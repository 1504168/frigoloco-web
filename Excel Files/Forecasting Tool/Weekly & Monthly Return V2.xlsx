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igoloco.sharepoint.com/sites/FrigoLocoOneDrive/Shared Documents/Forecasting/Forecasting Tool/"/>
    </mc:Choice>
  </mc:AlternateContent>
  <xr:revisionPtr revIDLastSave="292636" documentId="13_ncr:1_{B4238E70-E86F-403C-9CCA-F1607F58B590}" xr6:coauthVersionLast="47" xr6:coauthVersionMax="47" xr10:uidLastSave="{BF3B6F6A-C34E-45FA-8C5A-1764702297E0}"/>
  <bookViews>
    <workbookView xWindow="63920" yWindow="-18280" windowWidth="30040" windowHeight="25840" firstSheet="1" activeTab="2" xr2:uid="{791508CE-2502-48F5-8B2D-5F201B8502E8}"/>
  </bookViews>
  <sheets>
    <sheet name="Settings" sheetId="7" r:id="rId1"/>
    <sheet name="Weekly View" sheetId="9" r:id="rId2"/>
    <sheet name="Weekly Data" sheetId="8" r:id="rId3"/>
    <sheet name="DV List" sheetId="19" r:id="rId4"/>
    <sheet name="Monthly Client Analysis" sheetId="4" r:id="rId5"/>
    <sheet name="Monthly Supplier Analysis" sheetId="5" r:id="rId6"/>
    <sheet name="Monthly Category Analysis" sheetId="6" r:id="rId7"/>
    <sheet name="Dispatch Data" sheetId="1" r:id="rId8"/>
    <sheet name="Added Data" sheetId="18" r:id="rId9"/>
    <sheet name="Sales Data" sheetId="2" r:id="rId10"/>
    <sheet name="Fraction List" sheetId="10" r:id="rId11"/>
    <sheet name="Fee List" sheetId="11" r:id="rId12"/>
    <sheet name="Chart Data" sheetId="14" r:id="rId13"/>
    <sheet name="Sheet1" sheetId="17" r:id="rId14"/>
    <sheet name="Service Additionals" sheetId="13" r:id="rId15"/>
  </sheets>
  <definedNames>
    <definedName name="ByCategoryChartCategoryName">_xlfn.ANCHORARRAY('Chart Data'!$F$5)</definedName>
    <definedName name="ByCategoryChartMargin">_xlfn.ANCHORARRAY('Chart Data'!$G$5)</definedName>
    <definedName name="ByFridgeChartFridgeName">_xlfn.ANCHORARRAY('Chart Data'!$C$5)</definedName>
    <definedName name="ByFridgeChartMargin">_xlfn.ANCHORARRAY('Chart Data'!$D$5)</definedName>
    <definedName name="FormatDateYear">_xlfn.LAMBDA(_xlpm.Dates, TEXT(_xlpm.Dates, "mmmm yyyy"))</definedName>
    <definedName name="FrigolocoDiscountProvider">Settings!$C$5</definedName>
    <definedName name="MonthAndYearList">_xlfn.ANCHORARRAY('DV List'!$C$3)</definedName>
    <definedName name="MonthlyByCategoryAnalysis">_xlfn.LAMBDA(_xlpm.Categories,_xlpm.ForMonthYear,_xlfn.LET(_xlpm.\\LambdaName, "MonthlyByCategoryAnalysis", _xlpm.SelectedMonthFoodCostData, _xlfn._xlws.FILTER(ByCategoryMonthlyDispatchDataTable[[Category Name]:[Dispatched Value]], FormatDateYear(ByCategoryMonthlyDispatchDataTable[Month Start Date]) = _xlpm.ForMonthYear), _xlpm.SelectedMonthSalesData, _xlfn.CHOOSECOLS(_xlfn._xlws.FILTER(ByCategoryMonthlySalesDataTable[], FormatDateYear(ByCategoryMonthlySalesDataTable[Start Date]) = _xlpm.ForMonthYear), 3, 4, -1), _xlfn.DROP(_xlfn.REDUCE("", _xlpm.Categories, _xlfn.LAMBDA(_xlpm.a,_xlpm.c, _xlfn.VSTACK(_xlpm.a, _xlfn.LET(_xlpm.CurrFoodCost, IFERROR(VLOOKUP(_xlpm.c, _xlpm.SelectedMonthFoodCostData, 2, FALSE), 0), _xlpm.SalesTurnover, IFERROR(VLOOKUP(_xlpm.c, _xlpm.SelectedMonthSalesData, 3, FALSE), 0), _xlpm.TotalProductSold, IFERROR(VLOOKUP(_xlpm.c, _xlpm.SelectedMonthSalesData, 2, FALSE), 0), _xlpm.FoodMargin, _xlpm.SalesTurnover - _xlpm.CurrFoodCost, _xlpm.FoodMarginPercentage, IF(_xlpm.SalesTurnover = 0, 0, _xlpm.FoodMargin / _xlpm.SalesTurnover), _xlpm.TotalRFIDFees, RFIDTagAndTransactionFee * _xlpm.TotalProductSold, _xlpm.NetMargin, (_xlpm.SalesTurnover - _xlpm.CurrFoodCost - _xlpm.TotalRFIDFees), _xlfn.HSTACK(_xlpm.CurrFoodCost, _xlpm.SalesTurnover, _xlpm.FoodMargin, _xlpm.FoodMarginPercentage, _xlpm.TotalRFIDFees, _xlpm.NetMargin))))), 1)))</definedName>
    <definedName name="MonthlyByFridgeAnalysis">_xlfn.LAMBDA(_xlpm.Suppliers,_xlpm.ForMonthYear,_xlfn.LET(_xlpm.\\LambdaName, "MonthlyByFridgeAnalysis", _xlpm.SelectedMonthFoodCostData, _xlfn._xlws.FILTER(ByFridgeMonthlyDispatchDataTable[[Fridge Name]:[Dispatched Value]], FormatDateYear(ByFridgeMonthlyDispatchDataTable[Month Start Date]) = _xlpm.ForMonthYear), _xlpm.SelectedMonthSalesData, _xlfn.CHOOSECOLS(_xlfn._xlws.FILTER(ByFridgeMonthlySalesDataTable[], FormatDateYear(ByFridgeMonthlySalesDataTable[Start Date]) = _xlpm.ForMonthYear), 3, 4, -1), _xlpm.SelectedMonthServiceAdditional, _xlfn._xlws.FILTER(_xlfn.CHOOSECOLS(ServiceAdditionalsTable[], 1, 3), ServiceAdditionalsTable[Month] = _xlpm.ForMonthYear), _xlpm.SelectedMonthFractions, _xlfn.CHOOSECOLS(_xlfn._xlws.FILTER(FractionListTable[], FractionListTable[Month] = _xlpm.ForMonthYear), 1, 3), _xlpm.LogisticsCostForMonth, IFERROR(VLOOKUP(_xlpm.ForMonthYear, MonthWiseLogisticsCost, 2, FALSE), 0), _xlpm.Result, _xlfn.DROP(_xlfn.REDUCE("", _xlpm.Suppliers, _xlfn.LAMBDA(_xlpm.a,_xlpm.c, _xlfn.VSTACK(_xlpm.a, _xlfn.LET(_xlpm.CurrFoodCost, IFERROR(VLOOKUP(_xlpm.c, _xlpm.SelectedMonthFoodCostData, 2, FALSE), 0), _xlpm.SalesTurnover, IFERROR(VLOOKUP(_xlpm.c, _xlpm.SelectedMonthSalesData, 3, FALSE), 0), _xlpm.TotalProductSold, IFERROR(VLOOKUP(_xlpm.c, _xlpm.SelectedMonthSalesData, 2, FALSE), 0), _xlpm.FoodMargin, _xlpm.SalesTurnover - _xlpm.CurrFoodCost, _xlpm.FoodMarginPercentage, IF(_xlpm.SalesTurnover = 0, 0, _xlpm.FoodMargin / _xlpm.SalesTurnover), _xlpm.ServiceAdditionalAmt, IFERROR(VLOOKUP(_xlpm.c, _xlpm.SelectedMonthServiceAdditional, 2, FALSE), 0), _xlpm.FractionPercent, IFERROR(VLOOKUP(_xlpm.c, _xlpm.SelectedMonthFractions, 2, FALSE), 0), _xlpm.ClientFee, IFERROR(VLOOKUP(_xlpm.c, FeeListTable[], 2, FALSE), 0) / 12, _xlpm.POSAndSoftwareAmt, _xlpm.SalesTurnover * POSAndSoftwarePercentage, _xlpm.LogisticsAmt, _xlpm.LogisticsCostForMonth * _xlpm.FractionPercent, _xlpm.NetMargin, (_xlpm.FoodMargin + _xlpm.ServiceAdditionalAmt + _xlpm.ClientFee) - (_xlpm.LogisticsAmt + _xlpm.POSAndSoftwareAmt), _xlfn.HSTACK(_xlpm.CurrFoodCost, _xlpm.SalesTurnover, _xlpm.FoodMargin, _xlpm.FoodMarginPercentage, _xlpm.ServiceAdditionalAmt, _xlpm.FractionPercent, _xlpm.LogisticsAmt, _xlpm.POSAndSoftwareAmt, _xlpm.ClientFee, _xlpm.NetMargin))))), 1), _xlpm.Result))</definedName>
    <definedName name="MonthlyBySupplierAnalysis">_xlfn.LAMBDA(_xlpm.Suppliers,_xlpm.ForMonthYear,_xlfn.LET(_xlpm.\\LambdaName, "MonthlyBySupplierAnalysis", _xlpm.SelectedMonthFoodCostData, _xlfn._xlws.FILTER(BySupplierMonthlyDispatchDataTable[[Supplier Name]:[Dispatched Value]], FormatDateYear(BySupplierMonthlyDispatchDataTable[Month Start Date]) = _xlpm.ForMonthYear), _xlpm.SelectedMonthSalesData, _xlfn.CHOOSECOLS(_xlfn._xlws.FILTER(BySupplierMonthlySalesDataTable[], FormatDateYear(BySupplierMonthlySalesDataTable[Start Date]) = _xlpm.ForMonthYear), 3, 4, -1), _xlfn.DROP(_xlfn.REDUCE("", _xlpm.Suppliers, _xlfn.LAMBDA(_xlpm.a,_xlpm.c, _xlfn.VSTACK(_xlpm.a, _xlfn.LET(_xlpm.CurrFoodCost, IFERROR(VLOOKUP(_xlpm.c, _xlpm.SelectedMonthFoodCostData, 2, FALSE), 0), _xlpm.SalesTurnover, IFERROR(VLOOKUP(_xlpm.c, _xlpm.SelectedMonthSalesData, 3, FALSE), 0), _xlpm.TotalProductSold, IFERROR(VLOOKUP(_xlpm.c, _xlpm.SelectedMonthSalesData, 2, FALSE), 0), _xlpm.FoodMargin, _xlpm.SalesTurnover - _xlpm.CurrFoodCost, _xlpm.FoodMarginPercentage, IF(_xlpm.SalesTurnover = 0, 0, _xlpm.FoodMargin / _xlpm.SalesTurnover), _xlpm.TotalRFIDFees, RFIDTagAndTransactionFee * _xlpm.TotalProductSold, _xlpm.NetMargin, (_xlpm.SalesTurnover - _xlpm.CurrFoodCost - _xlpm.TotalRFIDFees), _xlfn.HSTACK(_xlpm.CurrFoodCost, _xlpm.SalesTurnover, _xlpm.FoodMargin, _xlpm.FoodMarginPercentage, _xlpm.TotalRFIDFees, _xlpm.NetMargin))))), 1)))</definedName>
    <definedName name="MonthlyCalcFromWeekly">_xlfn.LAMBDA(_xlpm.StartDates,_xlpm.EndDates,_xlpm.Costs,_xlpm.KeyValues, _xlfn.LET(_xlpm.MonthlyCalcByRow, _xlfn.REDUCE({"",""}, _xlfn.SEQUENCE(ROWS(_xlpm.StartDates)), _xlfn.LAMBDA(_xlpm.Acc,_xlpm.i, _xlfn.LET(_xlpm.Key, INDEX(_xlpm.KeyValues, _xlpm.i), _xlpm.StartDate, INDEX(_xlpm.StartDates, _xlpm.i), _xlpm.EndDate, INDEX(_xlpm.EndDates, _xlpm.i), _xlpm.Cost, INDEX(_xlpm.Costs, _xlpm.i), _xlpm.DailyCost, _xlpm.Cost / 7, _xlpm.StartMonth, EOMONTH(_xlpm.StartDate, -1) + 1, _xlpm.EndMonth, EOMONTH(_xlpm.EndDate, -1) + 1, _xlpm.IsSameMonth, TEXT(_xlpm.StartDate, "yyyymm") = TEXT(_xlpm.EndDate, "yyyymm"), _xlpm.SameMonthBlock, _xlfn.HSTACK(_xlpm.StartMonth, _xlpm.Key, _xlpm.Cost), _xlpm.DaysInStartMonth, EOMONTH(_xlpm.StartDate, 0) - _xlpm.StartDate + 1, _xlpm.CostStart, _xlpm.DaysInStartMonth * _xlpm.DailyCost, _xlpm.CostEnd, _xlpm.Cost - _xlpm.CostStart, _xlpm.NextMonth, EOMONTH(_xlpm.StartDate, 0) + 1, _xlpm.TwoMonthBlock, _xlfn.VSTACK(_xlfn.HSTACK(_xlpm.StartMonth, _xlpm.Key, _xlpm.CostStart), _xlfn.HSTACK(_xlpm.NextMonth, _xlpm.Key, _xlpm.CostEnd)), _xlpm.Result, IF(_xlpm.IsSameMonth, _xlpm.SameMonthBlock, _xlpm.TwoMonthBlock), _xlfn.VSTACK(_xlpm.Acc, _xlpm.Result)))), _xlpm.RemoveHRow, _xlfn.DROP(_xlpm.MonthlyCalcByRow, 1), _xlpm.Result, _xlfn.GROUPBY(_xlfn.HSTACK(TEXT(_xlfn.CHOOSECOLS(_xlpm.RemoveHRow, 1), "mmmm"), _xlfn.CHOOSECOLS(_xlpm.RemoveHRow, 2)), _xlfn.CHOOSECOLS(_xlpm.RemoveHRow, -1), _xleta.SUM, 0, 0), _xlpm.Result))</definedName>
    <definedName name="MonthWiseLogisticsCost">_xlfn.ANCHORARRAY('Weekly Data'!$AG$5)</definedName>
    <definedName name="POSAndSoftwarePercentage">Settings!$C$3</definedName>
    <definedName name="RFIDTagAndTransactionFee">Settings!$C$4</definedName>
    <definedName name="WeeklyViewCateringFoodCost">'Weekly View'!$F$4</definedName>
    <definedName name="WeeklyViewCateringTurnover">'Weekly View'!$D$4</definedName>
    <definedName name="WeeklyViewLogisticsCost">'Weekly View'!$G$4</definedName>
    <definedName name="WeeklyViewNumberOfDrops">'Weekly View'!$H$4</definedName>
    <definedName name="WeeklyViewRemarks">'Weekly View'!$J$4</definedName>
    <definedName name="WeeklyViewShowProgressCell">'Weekly View'!$C$1</definedName>
    <definedName name="WeeklyViewTGTGTurnover">'Weekly View'!$E$4</definedName>
    <definedName name="WeeklyViewUnsoldItems">'Weekly View'!$I$4</definedName>
    <definedName name="WeeklyViewWeekNo">'Weekly View'!$C$4</definedName>
    <definedName name="WeeklyViewYear">'Weekly View'!$B$4</definedName>
    <definedName name="WeekStartDate">_xlfn.LAMBDA(_xlpm.WeekNo,_xlpm.Year,_xlfn.LET(_xlpm.\\LambdaName, "WeekStartDate", DATE(_xlpm.Year, 1, 1) - WEEKDAY(DATE(_xlpm.Year, 1, 1), 2) + 1 + (_xlpm.WeekNo - 1) * 7))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8" l="1"/>
  <c r="I43" i="8"/>
  <c r="M43" i="8" a="1"/>
  <c r="M43" i="8"/>
  <c r="N43" i="8" a="1"/>
  <c r="N43" i="8"/>
  <c r="V43" i="8"/>
  <c r="W43" i="8"/>
  <c r="X43" i="8"/>
  <c r="Y43" i="8"/>
  <c r="Z43" i="8"/>
  <c r="AA43" i="8"/>
  <c r="AB43" i="8"/>
  <c r="AC43" i="8"/>
  <c r="AD43" i="8"/>
  <c r="T42" i="8"/>
  <c r="I42" i="8"/>
  <c r="M42" i="8" a="1"/>
  <c r="M42" i="8"/>
  <c r="N42" i="8" a="1"/>
  <c r="N42" i="8"/>
  <c r="V42" i="8"/>
  <c r="W42" i="8"/>
  <c r="X42" i="8"/>
  <c r="Y42" i="8"/>
  <c r="Z42" i="8"/>
  <c r="AA42" i="8"/>
  <c r="AB42" i="8"/>
  <c r="AC42" i="8"/>
  <c r="AD42" i="8"/>
  <c r="T41" i="8"/>
  <c r="I41" i="8"/>
  <c r="M41" i="8" a="1"/>
  <c r="M41" i="8"/>
  <c r="N41" i="8" a="1"/>
  <c r="N41" i="8"/>
  <c r="V41" i="8"/>
  <c r="W41" i="8"/>
  <c r="X41" i="8"/>
  <c r="Y41" i="8"/>
  <c r="Z41" i="8"/>
  <c r="AA41" i="8"/>
  <c r="AB41" i="8"/>
  <c r="AC41" i="8"/>
  <c r="AD41" i="8"/>
  <c r="T40" i="8"/>
  <c r="I40" i="8"/>
  <c r="M40" i="8" a="1"/>
  <c r="M40" i="8"/>
  <c r="N40" i="8" a="1"/>
  <c r="N40" i="8"/>
  <c r="V40" i="8"/>
  <c r="W40" i="8"/>
  <c r="X40" i="8"/>
  <c r="Y40" i="8"/>
  <c r="Z40" i="8"/>
  <c r="AA40" i="8"/>
  <c r="AB40" i="8"/>
  <c r="AC40" i="8"/>
  <c r="AD40" i="8"/>
  <c r="T39" i="8"/>
  <c r="I39" i="8"/>
  <c r="N39" i="8" a="1"/>
  <c r="N39" i="8"/>
  <c r="V39" i="8"/>
  <c r="W39" i="8"/>
  <c r="X39" i="8"/>
  <c r="Y39" i="8"/>
  <c r="Z39" i="8"/>
  <c r="AA39" i="8"/>
  <c r="AB39" i="8"/>
  <c r="AC39" i="8"/>
  <c r="AD39" i="8"/>
  <c r="T37" i="8"/>
  <c r="T38" i="8"/>
  <c r="I38" i="8"/>
  <c r="M38" i="8" a="1"/>
  <c r="M38" i="8"/>
  <c r="N38" i="8" a="1"/>
  <c r="N38" i="8"/>
  <c r="V38" i="8"/>
  <c r="W38" i="8"/>
  <c r="X38" i="8"/>
  <c r="Y38" i="8"/>
  <c r="Z38" i="8"/>
  <c r="AA38" i="8"/>
  <c r="AB38" i="8"/>
  <c r="AC38" i="8"/>
  <c r="AD38" i="8"/>
  <c r="I37" i="8"/>
  <c r="M37" i="8" a="1"/>
  <c r="M37" i="8"/>
  <c r="N37" i="8" a="1"/>
  <c r="N37" i="8"/>
  <c r="V37" i="8"/>
  <c r="W37" i="8"/>
  <c r="X37" i="8"/>
  <c r="Y37" i="8"/>
  <c r="Z37" i="8"/>
  <c r="AA37" i="8"/>
  <c r="AB37" i="8"/>
  <c r="AC37" i="8"/>
  <c r="AD37" i="8"/>
  <c r="T36" i="8"/>
  <c r="I23" i="9" a="1"/>
  <c r="I36" i="8"/>
  <c r="M36" i="8" a="1"/>
  <c r="M36" i="8" s="1"/>
  <c r="N36" i="8" a="1"/>
  <c r="N36" i="8" s="1"/>
  <c r="Y36" i="8"/>
  <c r="Z36" i="8"/>
  <c r="D5" i="5" a="1"/>
  <c r="D5" i="5" s="1"/>
  <c r="D23" i="11"/>
  <c r="AH5" i="5" a="1"/>
  <c r="AB5" i="5" a="1"/>
  <c r="T35" i="8"/>
  <c r="I35" i="8"/>
  <c r="M35" i="8" a="1"/>
  <c r="M35" i="8" s="1"/>
  <c r="N35" i="8" a="1"/>
  <c r="N35" i="8" s="1"/>
  <c r="V35" i="8"/>
  <c r="Y35" i="8"/>
  <c r="Z35" i="8"/>
  <c r="AA35" i="8"/>
  <c r="AB35" i="8"/>
  <c r="T33" i="8"/>
  <c r="T34" i="8"/>
  <c r="I34" i="8"/>
  <c r="M34" i="8" a="1"/>
  <c r="M34" i="8" s="1"/>
  <c r="W34" i="8" s="1"/>
  <c r="X34" i="8" s="1"/>
  <c r="N34" i="8" a="1"/>
  <c r="N34" i="8" s="1"/>
  <c r="V34" i="8"/>
  <c r="Y34" i="8"/>
  <c r="Z34" i="8"/>
  <c r="I33" i="8"/>
  <c r="M33" i="8" a="1"/>
  <c r="M33" i="8" s="1"/>
  <c r="N33" i="8" a="1"/>
  <c r="N33" i="8" s="1"/>
  <c r="V33" i="8"/>
  <c r="Y33" i="8"/>
  <c r="Z33" i="8"/>
  <c r="AA33" i="8"/>
  <c r="AB33" i="8"/>
  <c r="T31" i="8"/>
  <c r="T32" i="8"/>
  <c r="I32" i="8"/>
  <c r="M32" i="8" a="1"/>
  <c r="M32" i="8" s="1"/>
  <c r="N32" i="8" a="1"/>
  <c r="N32" i="8" s="1"/>
  <c r="V32" i="8"/>
  <c r="Y32" i="8"/>
  <c r="Z32" i="8"/>
  <c r="AA32" i="8"/>
  <c r="AB32" i="8"/>
  <c r="I31" i="8"/>
  <c r="M31" i="8" a="1"/>
  <c r="M31" i="8" s="1"/>
  <c r="W31" i="8" s="1"/>
  <c r="X31" i="8" s="1"/>
  <c r="N31" i="8" a="1"/>
  <c r="N31" i="8" s="1"/>
  <c r="V31" i="8"/>
  <c r="Y31" i="8"/>
  <c r="Z31" i="8"/>
  <c r="M28" i="8" a="1"/>
  <c r="M28" i="8" s="1"/>
  <c r="M29" i="8" a="1"/>
  <c r="M29" i="8" s="1"/>
  <c r="M30" i="8" a="1"/>
  <c r="M30" i="8" s="1"/>
  <c r="M26" i="8" a="1"/>
  <c r="M26" i="8" s="1"/>
  <c r="M25" i="8" a="1"/>
  <c r="M25" i="8" s="1"/>
  <c r="M27" i="8" a="1"/>
  <c r="M27" i="8" s="1"/>
  <c r="T30" i="8"/>
  <c r="I30" i="8"/>
  <c r="N30" i="8" a="1"/>
  <c r="N30" i="8" s="1"/>
  <c r="V30" i="8"/>
  <c r="Y30" i="8"/>
  <c r="Z30" i="8"/>
  <c r="AA30" i="8"/>
  <c r="AB30" i="8"/>
  <c r="T29" i="8"/>
  <c r="I29" i="8"/>
  <c r="N29" i="8" a="1"/>
  <c r="N29" i="8" s="1"/>
  <c r="V29" i="8"/>
  <c r="Y29" i="8"/>
  <c r="Z29" i="8"/>
  <c r="AA29" i="8"/>
  <c r="AB29" i="8"/>
  <c r="V4" i="6" a="1"/>
  <c r="AA14" i="6" s="1"/>
  <c r="P4" i="6" a="1"/>
  <c r="U14" i="6" s="1"/>
  <c r="V5" i="5" a="1"/>
  <c r="AA24" i="5" s="1"/>
  <c r="P5" i="5" a="1"/>
  <c r="U24" i="5" s="1"/>
  <c r="I23" i="9" l="1"/>
  <c r="V36" i="8"/>
  <c r="AB36" i="8"/>
  <c r="AA36" i="8"/>
  <c r="AC33" i="8"/>
  <c r="AD33" i="8" s="1"/>
  <c r="W33" i="8"/>
  <c r="X33" i="8" s="1"/>
  <c r="AC36" i="8"/>
  <c r="AD36" i="8" s="1"/>
  <c r="W36" i="8"/>
  <c r="X36" i="8" s="1"/>
  <c r="AC35" i="8"/>
  <c r="AD35" i="8" s="1"/>
  <c r="W35" i="8"/>
  <c r="X35" i="8" s="1"/>
  <c r="AA34" i="8"/>
  <c r="AB34" i="8"/>
  <c r="AC34" i="8"/>
  <c r="AD34" i="8" s="1"/>
  <c r="AC32" i="8"/>
  <c r="AD32" i="8" s="1"/>
  <c r="W32" i="8"/>
  <c r="X32" i="8" s="1"/>
  <c r="AA31" i="8"/>
  <c r="AB31" i="8"/>
  <c r="AC31" i="8"/>
  <c r="AD31" i="8" s="1"/>
  <c r="AM24" i="5"/>
  <c r="AL24" i="5"/>
  <c r="AJ24" i="5"/>
  <c r="AI24" i="5"/>
  <c r="AH5" i="5"/>
  <c r="AH24" i="5" s="1"/>
  <c r="AG24" i="5"/>
  <c r="AF24" i="5"/>
  <c r="AD24" i="5"/>
  <c r="AC24" i="5"/>
  <c r="AB5" i="5"/>
  <c r="AB24" i="5" s="1"/>
  <c r="W29" i="8"/>
  <c r="X29" i="8" s="1"/>
  <c r="AC29" i="8"/>
  <c r="AD29" i="8" s="1"/>
  <c r="AC30" i="8"/>
  <c r="AD30" i="8" s="1"/>
  <c r="W30" i="8"/>
  <c r="X30" i="8" s="1"/>
  <c r="Z14" i="6"/>
  <c r="V4" i="6"/>
  <c r="V14" i="6" s="1"/>
  <c r="W14" i="6"/>
  <c r="X14" i="6"/>
  <c r="T14" i="6"/>
  <c r="P4" i="6"/>
  <c r="P14" i="6" s="1"/>
  <c r="Q14" i="6"/>
  <c r="R14" i="6"/>
  <c r="V5" i="5"/>
  <c r="V24" i="5" s="1"/>
  <c r="W24" i="5"/>
  <c r="Z24" i="5"/>
  <c r="X24" i="5"/>
  <c r="P5" i="5"/>
  <c r="P24" i="5" s="1"/>
  <c r="Q24" i="5"/>
  <c r="R24" i="5"/>
  <c r="T24" i="5"/>
  <c r="T28" i="8"/>
  <c r="I28" i="8"/>
  <c r="AA28" i="8" s="1"/>
  <c r="N28" i="8" a="1"/>
  <c r="N28" i="8" s="1"/>
  <c r="Y28" i="8"/>
  <c r="Z28" i="8"/>
  <c r="C7" i="9" a="1"/>
  <c r="C7" i="9" s="1"/>
  <c r="T26" i="8"/>
  <c r="T24" i="8"/>
  <c r="T27" i="8"/>
  <c r="I27" i="8"/>
  <c r="N27" i="8" a="1"/>
  <c r="N27" i="8" s="1"/>
  <c r="Y27" i="8"/>
  <c r="Z27" i="8"/>
  <c r="AK24" i="5" l="1"/>
  <c r="AE24" i="5"/>
  <c r="S14" i="6"/>
  <c r="Y14" i="6"/>
  <c r="Y24" i="5"/>
  <c r="S24" i="5"/>
  <c r="AB28" i="8"/>
  <c r="W28" i="8"/>
  <c r="X28" i="8" s="1"/>
  <c r="V28" i="8"/>
  <c r="AC28" i="8"/>
  <c r="AD28" i="8" s="1"/>
  <c r="AC27" i="8"/>
  <c r="AD27" i="8" s="1"/>
  <c r="W27" i="8"/>
  <c r="X27" i="8" s="1"/>
  <c r="AB27" i="8"/>
  <c r="AA27" i="8"/>
  <c r="V27" i="8"/>
  <c r="M15" i="8" a="1"/>
  <c r="M15" i="8" s="1"/>
  <c r="M14" i="8" a="1"/>
  <c r="M14" i="8" s="1"/>
  <c r="M24" i="8" a="1"/>
  <c r="M24" i="8" s="1"/>
  <c r="M23" i="8" a="1"/>
  <c r="M23" i="8" s="1"/>
  <c r="M22" i="8" a="1"/>
  <c r="M22" i="8" s="1"/>
  <c r="M21" i="8" a="1"/>
  <c r="M21" i="8" s="1"/>
  <c r="M20" i="8" a="1"/>
  <c r="M20" i="8" s="1"/>
  <c r="M19" i="8" a="1"/>
  <c r="M19" i="8" s="1"/>
  <c r="M18" i="8" a="1"/>
  <c r="M18" i="8" s="1"/>
  <c r="M17" i="8" a="1"/>
  <c r="M17" i="8" s="1"/>
  <c r="M16" i="8" a="1"/>
  <c r="M16" i="8" s="1"/>
  <c r="N24" i="8" a="1"/>
  <c r="N24" i="8" s="1"/>
  <c r="N26" i="8" a="1"/>
  <c r="N26" i="8" s="1"/>
  <c r="N25" i="8" a="1"/>
  <c r="N25" i="8" s="1"/>
  <c r="N23" i="8" a="1"/>
  <c r="N23" i="8" s="1"/>
  <c r="N22" i="8" a="1"/>
  <c r="N22" i="8" s="1"/>
  <c r="N21" i="8" a="1"/>
  <c r="N21" i="8" s="1"/>
  <c r="N20" i="8" a="1"/>
  <c r="N20" i="8" s="1"/>
  <c r="N19" i="8" a="1"/>
  <c r="N19" i="8" s="1"/>
  <c r="N18" i="8" a="1"/>
  <c r="N18" i="8" s="1"/>
  <c r="N17" i="8" a="1"/>
  <c r="N17" i="8" s="1"/>
  <c r="N16" i="8" a="1"/>
  <c r="N16" i="8" s="1"/>
  <c r="N15" i="8" a="1"/>
  <c r="N15" i="8" s="1"/>
  <c r="N14" i="8" a="1"/>
  <c r="N14" i="8" s="1"/>
  <c r="N13" i="8" a="1"/>
  <c r="N13" i="8" s="1"/>
  <c r="M13" i="8" s="1"/>
  <c r="N12" i="8" a="1"/>
  <c r="N12" i="8" s="1"/>
  <c r="M12" i="8" s="1"/>
  <c r="N11" i="8" a="1"/>
  <c r="N11" i="8" s="1"/>
  <c r="M11" i="8" s="1"/>
  <c r="N10" i="8" a="1"/>
  <c r="N10" i="8" s="1"/>
  <c r="M10" i="8" s="1"/>
  <c r="N9" i="8" a="1"/>
  <c r="N9" i="8" s="1"/>
  <c r="M9" i="8" s="1"/>
  <c r="N8" i="8" a="1"/>
  <c r="N8" i="8" s="1"/>
  <c r="M8" i="8" s="1"/>
  <c r="N7" i="8" a="1"/>
  <c r="N7" i="8" s="1"/>
  <c r="M7" i="8" s="1"/>
  <c r="N6" i="8" a="1"/>
  <c r="N6" i="8" s="1"/>
  <c r="M6" i="8" s="1"/>
  <c r="N5" i="8" a="1"/>
  <c r="N5" i="8" s="1"/>
  <c r="M5" i="8" s="1"/>
  <c r="P23" i="9" a="1"/>
  <c r="I24" i="8"/>
  <c r="AB24" i="8" s="1"/>
  <c r="Y24" i="8"/>
  <c r="Z24" i="8"/>
  <c r="T25" i="8"/>
  <c r="Z26" i="8"/>
  <c r="Y26" i="8"/>
  <c r="I26" i="8"/>
  <c r="Z25" i="8"/>
  <c r="Y25" i="8"/>
  <c r="I25" i="8"/>
  <c r="E7" i="9"/>
  <c r="AG5" i="8" a="1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444" i="10"/>
  <c r="C3" i="19" a="1"/>
  <c r="C3" i="19" s="1"/>
  <c r="E23" i="8"/>
  <c r="T23" i="8" s="1"/>
  <c r="Y23" i="8"/>
  <c r="Z23" i="8"/>
  <c r="T22" i="8"/>
  <c r="I22" i="8"/>
  <c r="V22" i="8" s="1"/>
  <c r="Y22" i="8"/>
  <c r="Z22" i="8"/>
  <c r="H2" i="17" a="1"/>
  <c r="H2" i="17" s="1"/>
  <c r="D2" i="17" a="1"/>
  <c r="D2" i="17" s="1"/>
  <c r="T21" i="8"/>
  <c r="U20" i="8"/>
  <c r="I21" i="8"/>
  <c r="AA21" i="8" s="1"/>
  <c r="Y21" i="8"/>
  <c r="Z21" i="8"/>
  <c r="D43" i="11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36" i="10"/>
  <c r="E437" i="10"/>
  <c r="E438" i="10"/>
  <c r="E439" i="10"/>
  <c r="E440" i="10"/>
  <c r="E441" i="10"/>
  <c r="E442" i="10"/>
  <c r="E443" i="10"/>
  <c r="E445" i="10"/>
  <c r="E446" i="10"/>
  <c r="E447" i="10"/>
  <c r="D39" i="11"/>
  <c r="D40" i="11" s="1"/>
  <c r="D38" i="11"/>
  <c r="D36" i="11"/>
  <c r="D32" i="11"/>
  <c r="D26" i="11"/>
  <c r="D24" i="11"/>
  <c r="D21" i="11"/>
  <c r="D20" i="11"/>
  <c r="D19" i="11"/>
  <c r="D18" i="11"/>
  <c r="D17" i="11"/>
  <c r="D16" i="11"/>
  <c r="D10" i="11"/>
  <c r="D9" i="11"/>
  <c r="D7" i="11"/>
  <c r="D5" i="11"/>
  <c r="T20" i="8"/>
  <c r="I20" i="8"/>
  <c r="AA20" i="8" s="1"/>
  <c r="Y20" i="8"/>
  <c r="Z20" i="8"/>
  <c r="T19" i="8"/>
  <c r="I19" i="8"/>
  <c r="AA19" i="8" s="1"/>
  <c r="Y19" i="8"/>
  <c r="Z19" i="8"/>
  <c r="T18" i="8"/>
  <c r="I18" i="8"/>
  <c r="AA18" i="8" s="1"/>
  <c r="Y18" i="8"/>
  <c r="Z18" i="8"/>
  <c r="T17" i="8"/>
  <c r="I17" i="8"/>
  <c r="V17" i="8" s="1"/>
  <c r="Y17" i="8"/>
  <c r="Z17" i="8"/>
  <c r="T5" i="8"/>
  <c r="O14" i="8"/>
  <c r="Y14" i="8" s="1"/>
  <c r="O11" i="8"/>
  <c r="Y11" i="8" s="1"/>
  <c r="O12" i="8"/>
  <c r="Y12" i="8" s="1"/>
  <c r="O13" i="8"/>
  <c r="Y13" i="8" s="1"/>
  <c r="O10" i="8"/>
  <c r="Y10" i="8" s="1"/>
  <c r="I5" i="8"/>
  <c r="I6" i="8"/>
  <c r="I7" i="8"/>
  <c r="I8" i="8"/>
  <c r="I9" i="8"/>
  <c r="I10" i="8"/>
  <c r="V10" i="8" s="1"/>
  <c r="I11" i="8"/>
  <c r="I12" i="8"/>
  <c r="AB12" i="8" s="1"/>
  <c r="I13" i="8"/>
  <c r="AA13" i="8" s="1"/>
  <c r="I14" i="8"/>
  <c r="AB14" i="8" s="1"/>
  <c r="I15" i="8"/>
  <c r="AA15" i="8" s="1"/>
  <c r="I16" i="8"/>
  <c r="AB16" i="8" s="1"/>
  <c r="T16" i="8"/>
  <c r="T6" i="8"/>
  <c r="T7" i="8"/>
  <c r="T8" i="8"/>
  <c r="T9" i="8"/>
  <c r="T14" i="8"/>
  <c r="T10" i="8"/>
  <c r="T11" i="8"/>
  <c r="T12" i="8"/>
  <c r="T13" i="8"/>
  <c r="Y16" i="8"/>
  <c r="Z16" i="8"/>
  <c r="T15" i="8"/>
  <c r="U15" i="8"/>
  <c r="Y15" i="8"/>
  <c r="Z15" i="8"/>
  <c r="Z14" i="8"/>
  <c r="Z13" i="8"/>
  <c r="Z12" i="8"/>
  <c r="D4" i="6" a="1"/>
  <c r="D4" i="6" s="1"/>
  <c r="J5" i="5" a="1"/>
  <c r="J4" i="6" a="1"/>
  <c r="Y5" i="8"/>
  <c r="Z5" i="8"/>
  <c r="Z10" i="8"/>
  <c r="Z6" i="8"/>
  <c r="Z7" i="8"/>
  <c r="Z8" i="8"/>
  <c r="Z9" i="8"/>
  <c r="Z11" i="8"/>
  <c r="Y6" i="8"/>
  <c r="Y7" i="8"/>
  <c r="Y8" i="8"/>
  <c r="Y9" i="8"/>
  <c r="P20" i="9"/>
  <c r="I20" i="9"/>
  <c r="C2" i="14"/>
  <c r="F2" i="14"/>
  <c r="S33" i="9" l="1"/>
  <c r="AG5" i="8"/>
  <c r="AH5" i="4" s="1" a="1"/>
  <c r="L66" i="9"/>
  <c r="P23" i="9"/>
  <c r="F5" i="14" s="1" a="1"/>
  <c r="R33" i="9"/>
  <c r="Q33" i="9"/>
  <c r="K1" i="8"/>
  <c r="AA24" i="8"/>
  <c r="V24" i="8"/>
  <c r="AC24" i="8"/>
  <c r="AD24" i="8" s="1"/>
  <c r="W24" i="8"/>
  <c r="X24" i="8" s="1"/>
  <c r="C5" i="14" a="1"/>
  <c r="K66" i="9"/>
  <c r="AA16" i="8"/>
  <c r="I23" i="8"/>
  <c r="AA23" i="8" s="1"/>
  <c r="AA12" i="8"/>
  <c r="W21" i="8"/>
  <c r="X21" i="8" s="1"/>
  <c r="V15" i="8"/>
  <c r="AB22" i="8"/>
  <c r="W22" i="8"/>
  <c r="X22" i="8" s="1"/>
  <c r="V16" i="8"/>
  <c r="AA22" i="8"/>
  <c r="V13" i="8"/>
  <c r="V12" i="8"/>
  <c r="V20" i="8"/>
  <c r="AB13" i="8"/>
  <c r="W20" i="8"/>
  <c r="X20" i="8" s="1"/>
  <c r="AB17" i="8"/>
  <c r="V18" i="8"/>
  <c r="AC17" i="8"/>
  <c r="AD17" i="8" s="1"/>
  <c r="V19" i="8"/>
  <c r="V21" i="8"/>
  <c r="AA17" i="8"/>
  <c r="AB18" i="8"/>
  <c r="AB15" i="8"/>
  <c r="AB19" i="8"/>
  <c r="AB21" i="8"/>
  <c r="AB20" i="8"/>
  <c r="AC26" i="8"/>
  <c r="AD26" i="8" s="1"/>
  <c r="AB26" i="8"/>
  <c r="AA26" i="8"/>
  <c r="W26" i="8"/>
  <c r="X26" i="8" s="1"/>
  <c r="V26" i="8"/>
  <c r="AC25" i="8"/>
  <c r="AD25" i="8" s="1"/>
  <c r="AB25" i="8"/>
  <c r="AA25" i="8"/>
  <c r="W25" i="8"/>
  <c r="X25" i="8" s="1"/>
  <c r="V25" i="8"/>
  <c r="D7" i="9"/>
  <c r="B23" i="9" a="1"/>
  <c r="AC19" i="8"/>
  <c r="AD19" i="8" s="1"/>
  <c r="W19" i="8"/>
  <c r="X19" i="8" s="1"/>
  <c r="AC20" i="8"/>
  <c r="AD20" i="8" s="1"/>
  <c r="AC21" i="8"/>
  <c r="AD21" i="8" s="1"/>
  <c r="W18" i="8"/>
  <c r="X18" i="8" s="1"/>
  <c r="AC18" i="8"/>
  <c r="AD18" i="8" s="1"/>
  <c r="AC16" i="8"/>
  <c r="AD16" i="8" s="1"/>
  <c r="AC22" i="8"/>
  <c r="AD22" i="8" s="1"/>
  <c r="R2" i="17" a="1"/>
  <c r="R2" i="17" s="1"/>
  <c r="J66" i="9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W6" i="8"/>
  <c r="X6" i="8" s="1"/>
  <c r="W5" i="8"/>
  <c r="X5" i="8" s="1"/>
  <c r="W17" i="8"/>
  <c r="X17" i="8" s="1"/>
  <c r="AC14" i="8"/>
  <c r="AC15" i="8"/>
  <c r="AD15" i="8" s="1"/>
  <c r="V14" i="8"/>
  <c r="AA14" i="8"/>
  <c r="AA10" i="8"/>
  <c r="AB10" i="8"/>
  <c r="AC5" i="8"/>
  <c r="AC10" i="8"/>
  <c r="AD10" i="8" s="1"/>
  <c r="AC11" i="8"/>
  <c r="AC6" i="8"/>
  <c r="AC7" i="8"/>
  <c r="AC8" i="8"/>
  <c r="AC9" i="8"/>
  <c r="AC12" i="8"/>
  <c r="AD12" i="8" s="1"/>
  <c r="AC13" i="8"/>
  <c r="AD13" i="8" s="1"/>
  <c r="J4" i="6"/>
  <c r="J14" i="6" s="1"/>
  <c r="X5" i="4" a="1"/>
  <c r="AC46" i="4" s="1"/>
  <c r="D14" i="6"/>
  <c r="I14" i="6"/>
  <c r="H14" i="6"/>
  <c r="F14" i="6"/>
  <c r="E14" i="6"/>
  <c r="D24" i="5"/>
  <c r="I24" i="5"/>
  <c r="H24" i="5"/>
  <c r="F24" i="5"/>
  <c r="E24" i="5"/>
  <c r="O24" i="5"/>
  <c r="K24" i="5"/>
  <c r="J5" i="5"/>
  <c r="J24" i="5" s="1"/>
  <c r="L24" i="5"/>
  <c r="N24" i="5"/>
  <c r="O14" i="6"/>
  <c r="N14" i="6"/>
  <c r="L14" i="6"/>
  <c r="K14" i="6"/>
  <c r="AB5" i="8"/>
  <c r="AA5" i="8"/>
  <c r="V5" i="8"/>
  <c r="AB6" i="8"/>
  <c r="AA6" i="8"/>
  <c r="V6" i="8"/>
  <c r="V7" i="8"/>
  <c r="AB7" i="8"/>
  <c r="AA7" i="8"/>
  <c r="AB8" i="8"/>
  <c r="AA8" i="8"/>
  <c r="V8" i="8"/>
  <c r="AA9" i="8"/>
  <c r="AB9" i="8"/>
  <c r="V9" i="8"/>
  <c r="AB11" i="8"/>
  <c r="V11" i="8"/>
  <c r="AA11" i="8"/>
  <c r="G5" i="14" a="1"/>
  <c r="D5" i="14" a="1"/>
  <c r="AP46" i="4" l="1"/>
  <c r="AQ46" i="4"/>
  <c r="AQ47" i="4" s="1"/>
  <c r="AO46" i="4"/>
  <c r="AN46" i="4"/>
  <c r="AM46" i="4"/>
  <c r="AL46" i="4"/>
  <c r="AI46" i="4"/>
  <c r="AH5" i="4"/>
  <c r="AH46" i="4" s="1"/>
  <c r="T33" i="9"/>
  <c r="B20" i="9"/>
  <c r="AB23" i="8"/>
  <c r="AC23" i="8"/>
  <c r="AD23" i="8" s="1"/>
  <c r="V23" i="8"/>
  <c r="W23" i="8"/>
  <c r="X23" i="8" s="1"/>
  <c r="AD11" i="8"/>
  <c r="B23" i="9"/>
  <c r="F23" i="9" s="1" a="1"/>
  <c r="F23" i="9" s="1"/>
  <c r="M66" i="9"/>
  <c r="M14" i="6"/>
  <c r="AG46" i="4"/>
  <c r="AG47" i="4" s="1"/>
  <c r="AF46" i="4"/>
  <c r="AE46" i="4"/>
  <c r="AD46" i="4"/>
  <c r="AB46" i="4"/>
  <c r="Y46" i="4"/>
  <c r="X5" i="4"/>
  <c r="X46" i="4" s="1"/>
  <c r="AD5" i="8"/>
  <c r="N5" i="4" a="1"/>
  <c r="D5" i="4" a="1"/>
  <c r="AD6" i="8"/>
  <c r="AD7" i="8"/>
  <c r="AD8" i="8"/>
  <c r="AD9" i="8"/>
  <c r="AD14" i="8"/>
  <c r="M24" i="5"/>
  <c r="G14" i="6"/>
  <c r="G24" i="5"/>
  <c r="G5" i="14"/>
  <c r="F5" i="14"/>
  <c r="C5" i="14"/>
  <c r="D5" i="14"/>
  <c r="AN47" i="4" l="1"/>
  <c r="AD47" i="4"/>
  <c r="AJ46" i="4"/>
  <c r="AK46" i="4" s="1"/>
  <c r="D23" i="9" a="1"/>
  <c r="D23" i="9" s="1"/>
  <c r="E23" i="9" a="1"/>
  <c r="E23" i="9" s="1"/>
  <c r="G23" i="9" a="1"/>
  <c r="G23" i="9" s="1"/>
  <c r="Z46" i="4"/>
  <c r="AA46" i="4" s="1"/>
  <c r="N5" i="4"/>
  <c r="N46" i="4" s="1"/>
  <c r="W46" i="4"/>
  <c r="W47" i="4" s="1"/>
  <c r="V46" i="4"/>
  <c r="U46" i="4"/>
  <c r="T46" i="4"/>
  <c r="S46" i="4"/>
  <c r="R46" i="4"/>
  <c r="O46" i="4"/>
  <c r="D5" i="4"/>
  <c r="D46" i="4" s="1"/>
  <c r="M46" i="4"/>
  <c r="I46" i="4"/>
  <c r="L46" i="4"/>
  <c r="H46" i="4"/>
  <c r="J46" i="4"/>
  <c r="K46" i="4"/>
  <c r="E46" i="4"/>
  <c r="F46" i="4" l="1"/>
  <c r="G46" i="4" s="1"/>
  <c r="P46" i="4"/>
  <c r="Q4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<sst xmlns="http://schemas.openxmlformats.org/spreadsheetml/2006/main" count="19170" uniqueCount="273">
  <si>
    <t>Key</t>
  </si>
  <si>
    <t>Value</t>
  </si>
  <si>
    <t>Unit</t>
  </si>
  <si>
    <t>Comment</t>
  </si>
  <si>
    <t>POS &amp; Software Percentage</t>
  </si>
  <si>
    <t>Husky Fee on Sales</t>
  </si>
  <si>
    <t>RFID Tag &amp; Transaction Fee</t>
  </si>
  <si>
    <t>Per Item Sold</t>
  </si>
  <si>
    <t>We have RFID Tag on each product</t>
  </si>
  <si>
    <t>Frigoloco Discount Provider</t>
  </si>
  <si>
    <t>Frigo Loco Depot, Discount General</t>
  </si>
  <si>
    <t xml:space="preserve">Provider name in the discount part. </t>
  </si>
  <si>
    <t>TODO</t>
  </si>
  <si>
    <t>Take VAT off the turnover</t>
  </si>
  <si>
    <t>Create Monthly for 2026</t>
  </si>
  <si>
    <t>Tables updated successfully.</t>
  </si>
  <si>
    <t>Year</t>
  </si>
  <si>
    <t>Week No</t>
  </si>
  <si>
    <t>Busines Lunch CA</t>
  </si>
  <si>
    <t>TGTG CA</t>
  </si>
  <si>
    <t>Business Lunch Food Cost</t>
  </si>
  <si>
    <t>Logistics Cost</t>
  </si>
  <si>
    <t># Of Drops</t>
  </si>
  <si>
    <t>Unsold Items</t>
  </si>
  <si>
    <t>Remarks</t>
  </si>
  <si>
    <t>Start Date</t>
  </si>
  <si>
    <t>End Date</t>
  </si>
  <si>
    <t>In History?</t>
  </si>
  <si>
    <t>Added Food Cost</t>
  </si>
  <si>
    <t>Sales Turnover</t>
  </si>
  <si>
    <t>Margin post logistics %</t>
  </si>
  <si>
    <t>Fridge Name</t>
  </si>
  <si>
    <t>Net Sale</t>
  </si>
  <si>
    <t>Food Cost</t>
  </si>
  <si>
    <t>Margin</t>
  </si>
  <si>
    <t>Margin%</t>
  </si>
  <si>
    <t>Category Name</t>
  </si>
  <si>
    <t>Margin %</t>
  </si>
  <si>
    <t>TOTAL</t>
  </si>
  <si>
    <t>MANUAL</t>
  </si>
  <si>
    <t>INCL VAT</t>
  </si>
  <si>
    <t>EX VAT</t>
  </si>
  <si>
    <t>From Wix/Manual Input</t>
  </si>
  <si>
    <t>Manual Input</t>
  </si>
  <si>
    <t>Comes from dispatch</t>
  </si>
  <si>
    <t>Manual/Wix</t>
  </si>
  <si>
    <t>From Settings Sheet</t>
  </si>
  <si>
    <t>Calculated Fields</t>
  </si>
  <si>
    <t>Month Wise Logistics Cost</t>
  </si>
  <si>
    <t>Total Sales</t>
  </si>
  <si>
    <t>Total Refund</t>
  </si>
  <si>
    <t>FrigoLoco Discount</t>
  </si>
  <si>
    <t>Customer Credit</t>
  </si>
  <si>
    <t># Of Fridge</t>
  </si>
  <si>
    <t>Catering Turnover</t>
  </si>
  <si>
    <t>TGTG Turnover</t>
  </si>
  <si>
    <t>Fridge Food Cost</t>
  </si>
  <si>
    <t>Catering Food Cost</t>
  </si>
  <si>
    <t>RFID Tags</t>
  </si>
  <si>
    <t>Per Fridge Turnover</t>
  </si>
  <si>
    <t>Food Margin In Euro</t>
  </si>
  <si>
    <t>Food Margin %</t>
  </si>
  <si>
    <t>Food Margin for catering %</t>
  </si>
  <si>
    <t>Logistic Cost Per Fridge</t>
  </si>
  <si>
    <t>Logistic %</t>
  </si>
  <si>
    <t>Unsold Item %</t>
  </si>
  <si>
    <t>Net Margin</t>
  </si>
  <si>
    <t>Net Margin %</t>
  </si>
  <si>
    <t>Colonne1</t>
  </si>
  <si>
    <t>Month Name</t>
  </si>
  <si>
    <t>Cost</t>
  </si>
  <si>
    <t>Friday Refill @Neuhaus</t>
  </si>
  <si>
    <t>Panne electricité chez Spadel - deucième semaine vacances toussaint</t>
  </si>
  <si>
    <t>Porte frigo RTBF Tombée 129€ à facturer</t>
  </si>
  <si>
    <t>3 livreurs absent lundi, lancement 2 nouveau clients Zoetis et Thermo Vilvoorde</t>
  </si>
  <si>
    <t>Pas livraison Viangreo, remplacé par Colors Kitchen 2 proxideal, Livraison Zoetis apres midi et Namur pas livré</t>
  </si>
  <si>
    <t>Engie Namur fermé, Engie bxl et Abbot non livré le jeudi car grêve des tracteurs donc moins de conso. VDD départ en vacances</t>
  </si>
  <si>
    <t>Semaine de congé scolaire + Noel. Engie Namur fermé</t>
  </si>
  <si>
    <t>Congé scolaire Flandre + wallonie + Porte DPG Anvers Ouverte</t>
  </si>
  <si>
    <t>Congé scolaire + Engie Namur off 3 jours + RTBF Ecran cassé</t>
  </si>
  <si>
    <t>Porte DPG cassée perte produits+ Belle météo+ ramadan</t>
  </si>
  <si>
    <t xml:space="preserve">Grêve 4 jours transport + centre Bruxelles </t>
  </si>
  <si>
    <t>Livraison Patisserie Ramadan dans  toute la Belgique</t>
  </si>
  <si>
    <t>Formation 3 students et + de produit pour couvrir le lundi férié</t>
  </si>
  <si>
    <t>Congé Flandre + semaine 4 jours +Proxideal</t>
  </si>
  <si>
    <t>Congé Flandre + Lancement Allnex Freezer + deplacement FRigo PWC A par Selen</t>
  </si>
  <si>
    <t>Semaine de pacques francophone, semaine de 4 jours, Sandra en vacances:surstock de snacks and drinks  =&gt; outil mal calibré dû aux codes EAN)</t>
  </si>
  <si>
    <t>DPG Vilvoorde lercteur RFID out(perdu toute la livraison), RTBF changement bâtiment donc nouvelle conso, grêve nationale mardi</t>
  </si>
  <si>
    <t>Semaine de 4 jours + 30 degrés+ Soucis Dispatch bug doc de commande + Sandra absence + Frigo DPG out connexion</t>
  </si>
  <si>
    <t xml:space="preserve">DHL Caisse recup + Fluxys 2X </t>
  </si>
  <si>
    <t>RTBF Déménagement final ancien bâtiment +200 euro frigo voisins + DPG Connection</t>
  </si>
  <si>
    <t>1 frigo granola + 3 congelo delimeal out car bloc prise défectueux.+ Relivraison ABB + thermo Vilvoorde jeudi car mail client+ Glitch chez Husky mercredi et jeudi + RTBF roi et reine moins de conso</t>
  </si>
  <si>
    <t>Nouvelles tournées via APP + Van+ Repasser chez plusieurs clients car grosses conso avec les 38°C  + Hadrien bloqué Van déchargé</t>
  </si>
  <si>
    <t xml:space="preserve">based on ADDED </t>
  </si>
  <si>
    <t>Fill in historical data</t>
  </si>
  <si>
    <t>Compare real data (ADDED) vs Dispatch Data</t>
  </si>
  <si>
    <t>Huppertz</t>
  </si>
  <si>
    <t>charge them ADDED</t>
  </si>
  <si>
    <t>Specific data</t>
  </si>
  <si>
    <t>Can we go YoY?</t>
  </si>
  <si>
    <t>COPY PASTE FOR AN EXTRA MONTH</t>
  </si>
  <si>
    <t>How do we add exta months</t>
  </si>
  <si>
    <t>March 2026</t>
  </si>
  <si>
    <t>November 2025</t>
  </si>
  <si>
    <t>April 2026</t>
  </si>
  <si>
    <t>Food Margin</t>
  </si>
  <si>
    <t>% Food Margin</t>
  </si>
  <si>
    <t>Service Additional</t>
  </si>
  <si>
    <t>Fraction</t>
  </si>
  <si>
    <t>POS &amp; Software</t>
  </si>
  <si>
    <t>Client Fee</t>
  </si>
  <si>
    <t>ABB Zaventem</t>
  </si>
  <si>
    <t>Abbott Wavre</t>
  </si>
  <si>
    <t>Allianz Brussels</t>
  </si>
  <si>
    <t>Allnex</t>
  </si>
  <si>
    <t>Allnex Freezer</t>
  </si>
  <si>
    <t>Bank Degroof</t>
  </si>
  <si>
    <t>Bia Group Overijse</t>
  </si>
  <si>
    <t>Brussels Airlines Airport</t>
  </si>
  <si>
    <t>Brussels Airlines Be house</t>
  </si>
  <si>
    <t>Brussels Airlines TFC</t>
  </si>
  <si>
    <t>Brussels Airlines Vilvoorde</t>
  </si>
  <si>
    <t>CBC</t>
  </si>
  <si>
    <t>DPG Media Antwerpen</t>
  </si>
  <si>
    <t>DPG Media Vilvoorde</t>
  </si>
  <si>
    <t>Engie Antwerpen</t>
  </si>
  <si>
    <t>Engie Garden Café Heat and Eat</t>
  </si>
  <si>
    <t>Engie Garden Café Wrap &amp; Roll</t>
  </si>
  <si>
    <t>Engie Namur</t>
  </si>
  <si>
    <t>GSV Huppertz Wilrijk</t>
  </si>
  <si>
    <t>Greenhouse Collection Antwerpen</t>
  </si>
  <si>
    <t>Greenhouse Collection Links</t>
  </si>
  <si>
    <t>Interparking</t>
  </si>
  <si>
    <t>Kadans Droite</t>
  </si>
  <si>
    <t>Kadans Gauche</t>
  </si>
  <si>
    <t>Lhoist Corbais</t>
  </si>
  <si>
    <t>Lhoist Limelette</t>
  </si>
  <si>
    <t>Lhoist Nivelles</t>
  </si>
  <si>
    <t>Neuhaus Sint-Pieters</t>
  </si>
  <si>
    <t>Police Tubize</t>
  </si>
  <si>
    <t>PWC Antwerpen</t>
  </si>
  <si>
    <t>PWC Diegem</t>
  </si>
  <si>
    <t>PWC Ghent</t>
  </si>
  <si>
    <t>RTBF</t>
  </si>
  <si>
    <t>RTBF Mediasquare 2e</t>
  </si>
  <si>
    <t>Spadel Brussels</t>
  </si>
  <si>
    <t>The Woods</t>
  </si>
  <si>
    <t>Thermofisher Zaventem</t>
  </si>
  <si>
    <t>Thermofisher Vilvoorde</t>
  </si>
  <si>
    <t>Van Mieghem Tubize</t>
  </si>
  <si>
    <t>Velux</t>
  </si>
  <si>
    <t>Zoetis LLN</t>
  </si>
  <si>
    <t>Total</t>
  </si>
  <si>
    <t>Documentation des calculs</t>
  </si>
  <si>
    <t>Quand commence et quand termine le mois?</t>
  </si>
  <si>
    <t>May 2026</t>
  </si>
  <si>
    <t>February 2026</t>
  </si>
  <si>
    <t>Supplier Name</t>
  </si>
  <si>
    <t>Bon - With Love</t>
  </si>
  <si>
    <t>Boulangerie Louise</t>
  </si>
  <si>
    <t>Croc&amp;Go</t>
  </si>
  <si>
    <t>Colors kitchen</t>
  </si>
  <si>
    <t>Full-iz</t>
  </si>
  <si>
    <t>Gaufrine</t>
  </si>
  <si>
    <t>GENEROUS</t>
  </si>
  <si>
    <t>Gourmart</t>
  </si>
  <si>
    <t>Grains Noirs</t>
  </si>
  <si>
    <t>Greenz</t>
  </si>
  <si>
    <t>Interdrinks</t>
  </si>
  <si>
    <t>La Cantine de Géraldine</t>
  </si>
  <si>
    <t>MadLab</t>
  </si>
  <si>
    <t>Mister cook</t>
  </si>
  <si>
    <t>RISH</t>
  </si>
  <si>
    <t>Seppe's</t>
  </si>
  <si>
    <t>Tastyfood</t>
  </si>
  <si>
    <t>The Good Food</t>
  </si>
  <si>
    <t>Tropbon</t>
  </si>
  <si>
    <t>Categories</t>
  </si>
  <si>
    <t>1. Cold Dishes</t>
  </si>
  <si>
    <t>2. Wraps &amp; Sandwiches</t>
  </si>
  <si>
    <t>3. Warm Dishes Jar</t>
  </si>
  <si>
    <t>4. Warm Dishes</t>
  </si>
  <si>
    <t>5. Desserts</t>
  </si>
  <si>
    <t>6. Snacks</t>
  </si>
  <si>
    <t>7. Drinks</t>
  </si>
  <si>
    <t>8. Breakfast</t>
  </si>
  <si>
    <t>9. Soup</t>
  </si>
  <si>
    <t>10. Frozen warm meals</t>
  </si>
  <si>
    <t>Last Updated Time:</t>
  </si>
  <si>
    <t>Wed Jan 28 2026 03:30:06 GMT+0000 (Coordinated Universal Time)</t>
  </si>
  <si>
    <t>Mon Jun 29 2026 07:57:54 GMT+0000 (Coordinated Universal Time)</t>
  </si>
  <si>
    <t>Weekly Dispatch Data</t>
  </si>
  <si>
    <t>Monthly Dispatch Data</t>
  </si>
  <si>
    <t>Week Start Date</t>
  </si>
  <si>
    <t>Foodcost Value</t>
  </si>
  <si>
    <t>Supplier Name Name</t>
  </si>
  <si>
    <t>Month Start Date</t>
  </si>
  <si>
    <t>Dispatched Value</t>
  </si>
  <si>
    <t>Colors Kitchen</t>
  </si>
  <si>
    <t>March</t>
  </si>
  <si>
    <t>April</t>
  </si>
  <si>
    <t>Full-Iz</t>
  </si>
  <si>
    <t>10. Frozen Warm Dishes</t>
  </si>
  <si>
    <t>May</t>
  </si>
  <si>
    <t>Big Bag</t>
  </si>
  <si>
    <t>June</t>
  </si>
  <si>
    <t>Delimeal</t>
  </si>
  <si>
    <t>G-Spud</t>
  </si>
  <si>
    <t>July</t>
  </si>
  <si>
    <t>Betty&amp;Albert</t>
  </si>
  <si>
    <t>October</t>
  </si>
  <si>
    <t>November</t>
  </si>
  <si>
    <t>Greenhouse Collection gauche</t>
  </si>
  <si>
    <t>December</t>
  </si>
  <si>
    <t>January</t>
  </si>
  <si>
    <t>February</t>
  </si>
  <si>
    <t>RTBF Mediasquare 4e</t>
  </si>
  <si>
    <t>ATELIER</t>
  </si>
  <si>
    <t>Atelier rue du Cerf</t>
  </si>
  <si>
    <t>Thermofisher</t>
  </si>
  <si>
    <t>Zoetis</t>
  </si>
  <si>
    <t>The GreenHouse</t>
  </si>
  <si>
    <t>Weekly Added Data</t>
  </si>
  <si>
    <t>Monthly Added Data</t>
  </si>
  <si>
    <t>Added Value</t>
  </si>
  <si>
    <t>September</t>
  </si>
  <si>
    <t>August</t>
  </si>
  <si>
    <t>Unknown</t>
  </si>
  <si>
    <t>RTBF Mediasquare droite</t>
  </si>
  <si>
    <t>Weekly Sales Data</t>
  </si>
  <si>
    <t>Monthly Sales Data</t>
  </si>
  <si>
    <t>Total Product</t>
  </si>
  <si>
    <t>Refund Amount</t>
  </si>
  <si>
    <t>Frozen Warm dishes</t>
  </si>
  <si>
    <t>What about 2026</t>
  </si>
  <si>
    <t>Month</t>
  </si>
  <si>
    <t>Fraction %</t>
  </si>
  <si>
    <t>January 2025</t>
  </si>
  <si>
    <t># of Fridges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</si>
  <si>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</si>
  <si>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</si>
  <si>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</si>
  <si>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</si>
  <si>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</si>
  <si>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</si>
  <si>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</si>
  <si>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</si>
  <si>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</si>
  <si>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December 2025</t>
  </si>
  <si>
    <t>January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</si>
  <si>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</si>
  <si>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</si>
  <si>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</si>
  <si>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</si>
  <si>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</si>
  <si>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</si>
  <si>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</si>
  <si>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START DATE</t>
  </si>
  <si>
    <t>END DATE</t>
  </si>
  <si>
    <t>Yearly Fee</t>
  </si>
  <si>
    <t>Contract End Date</t>
  </si>
  <si>
    <t>15/12/2025</t>
  </si>
  <si>
    <t>24/02/2027</t>
  </si>
  <si>
    <t>Greenhouse collection Links</t>
  </si>
  <si>
    <t>20/07/2027</t>
  </si>
  <si>
    <t>16/01/2026</t>
  </si>
  <si>
    <t>15/04/2026</t>
  </si>
  <si>
    <t>24/12/2025</t>
  </si>
  <si>
    <t>25/10/2025</t>
  </si>
  <si>
    <t>30/06/2026</t>
  </si>
  <si>
    <t>31/12/2026</t>
  </si>
  <si>
    <t>Chart Title</t>
  </si>
  <si>
    <t>Service Additionals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</si>
</sst>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164" formatCode="_(&quot;€&quot;* #,##0.00_);_(&quot;€&quot;* \(#,##0.00\);_(&quot;€&quot;* &quot;-&quot;??_);_(@_)"/>
    <numFmt numFmtId="165" formatCode="_([$€-2]\ * #,##0.00_);_([$€-2]\ * \(#,##0.00\);_([$€-2]\ * &quot;-&quot;??_);_(@_)"/>
    <numFmt numFmtId="166" formatCode="[$-F800]dddd\,\ mmmm\ dd\,\ yyyy"/>
    <numFmt numFmtId="167" formatCode="[$€-2]\ #,##0.00_);[Red]\([$€-2]\ #,##0.00\)"/>
    <numFmt numFmtId="168" formatCode="#,##0.00\ &quot;€&quot;;[Red]\-#,##0.00\ &quot;€&quot;"/>
    <numFmt numFmtId="169" formatCode="0.0%"/>
    <numFmt numFmtId="170" formatCode="_-* #,##0.0\ &quot;€&quot;_-;\-* #,##0.0\ &quot;€&quot;_-;_-* &quot;-&quot;??\ &quot;€&quot;_-;_-@_-"/>
    <numFmt numFmtId="171" formatCode="_-* #,##0\ &quot;€&quot;_-;\-* #,##0\ &quot;€&quot;_-;_-* &quot;-&quot;??\ &quot;€&quot;_-;_-@_-"/>
    <numFmt numFmtId="172" formatCode="[$€-2]\ #,##0_);[Red]\([$€-2]\ #,##0\)"/>
    <numFmt numFmtId="173" formatCode="_([$€-2]\ * #,##0_);_([$€-2]\ * \(#,##0\);_([$€-2]\ * &quot;-&quot;??_);_(@_)"/>
    <numFmt numFmtId="174" formatCode="[$-409]d\-mmm\-yy;@"/>
    <numFmt numFmtId="175" formatCode="_ * #,##0_)\ &quot;€&quot;_ ;_ * \(#,##0\)\ &quot;€&quot;_ ;_ * &quot;-&quot;??_)\ &quot;€&quot;_ ;_ @_ "/>
    <numFmt numFmtId="176" formatCode="_(* #,##0.0_);_(* \(#,##0.0\);_(* &quot;-&quot;?_);_(@_)"/>
    <numFmt numFmtId="177" formatCode="[$-409]d\-mmm\-yyyy;@"/>
    <numFmt numFmtId="178" formatCode="_(* #,##0.0_);_(* \(#,##0.0\);_(* &quot;-&quot;??_);_(@_)"/>
  </numFmts>
  <fonts count="22">
    <font>
      <sz val="14"/>
      <color theme="1"/>
      <name val="Aptos"/>
      <family val="2"/>
    </font>
    <font>
      <sz val="12"/>
      <color theme="1"/>
      <name val="Aptos Narrow"/>
      <family val="2"/>
      <scheme val="minor"/>
    </font>
    <font>
      <sz val="14"/>
      <color rgb="FF625D5B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625D5B"/>
      <name val="Aptos Narrow"/>
      <family val="2"/>
      <scheme val="minor"/>
    </font>
    <font>
      <sz val="8"/>
      <name val="Aptos"/>
      <family val="2"/>
    </font>
    <font>
      <sz val="14"/>
      <color theme="1"/>
      <name val="Aptos"/>
      <family val="2"/>
    </font>
    <font>
      <b/>
      <sz val="14"/>
      <color theme="0"/>
      <name val="Aptos"/>
      <family val="2"/>
    </font>
    <font>
      <sz val="14"/>
      <color theme="0"/>
      <name val="Aptos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2"/>
      <color rgb="FF000000"/>
      <name val="Aptos Narrow"/>
      <family val="2"/>
    </font>
    <font>
      <b/>
      <sz val="14"/>
      <color rgb="FF000000"/>
      <name val="Aptos Narrow"/>
      <family val="2"/>
    </font>
    <font>
      <sz val="14"/>
      <color theme="1"/>
      <name val="Aptos Narrow"/>
      <family val="2"/>
    </font>
    <font>
      <sz val="14"/>
      <name val="Aptos Narrow"/>
      <family val="2"/>
    </font>
    <font>
      <sz val="12"/>
      <color rgb="FF000000"/>
      <name val="Aptos Narrow"/>
      <family val="2"/>
    </font>
    <font>
      <b/>
      <sz val="14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45">
    <xf numFmtId="0" fontId="0" fillId="0" borderId="0" xfId="0"/>
    <xf numFmtId="0" fontId="0" fillId="3" borderId="1" xfId="0" applyFill="1" applyBorder="1" applyAlignment="1">
      <alignment vertical="center"/>
    </xf>
    <xf numFmtId="0" fontId="3" fillId="0" borderId="0" xfId="1"/>
    <xf numFmtId="0" fontId="3" fillId="3" borderId="0" xfId="1" applyFill="1"/>
    <xf numFmtId="0" fontId="0" fillId="4" borderId="2" xfId="0" applyFill="1" applyBorder="1"/>
    <xf numFmtId="14" fontId="0" fillId="0" borderId="0" xfId="0" applyNumberFormat="1"/>
    <xf numFmtId="165" fontId="0" fillId="0" borderId="0" xfId="0" applyNumberFormat="1"/>
    <xf numFmtId="14" fontId="3" fillId="0" borderId="0" xfId="1" applyNumberFormat="1"/>
    <xf numFmtId="0" fontId="0" fillId="5" borderId="1" xfId="0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0" xfId="0" applyNumberFormat="1"/>
    <xf numFmtId="167" fontId="3" fillId="0" borderId="0" xfId="1" applyNumberFormat="1"/>
    <xf numFmtId="9" fontId="0" fillId="0" borderId="0" xfId="3" applyFont="1"/>
    <xf numFmtId="165" fontId="0" fillId="3" borderId="0" xfId="0" applyNumberFormat="1" applyFill="1" applyAlignment="1">
      <alignment vertical="center"/>
    </xf>
    <xf numFmtId="1" fontId="0" fillId="3" borderId="0" xfId="0" applyNumberFormat="1" applyFill="1" applyAlignment="1">
      <alignment vertical="center"/>
    </xf>
    <xf numFmtId="166" fontId="0" fillId="0" borderId="0" xfId="0" applyNumberFormat="1"/>
    <xf numFmtId="9" fontId="0" fillId="0" borderId="0" xfId="0" applyNumberFormat="1"/>
    <xf numFmtId="0" fontId="7" fillId="6" borderId="0" xfId="0" applyFont="1" applyFill="1"/>
    <xf numFmtId="0" fontId="9" fillId="8" borderId="1" xfId="0" applyFont="1" applyFill="1" applyBorder="1"/>
    <xf numFmtId="0" fontId="13" fillId="8" borderId="1" xfId="0" applyFont="1" applyFill="1" applyBorder="1"/>
    <xf numFmtId="0" fontId="14" fillId="9" borderId="1" xfId="0" applyFont="1" applyFill="1" applyBorder="1"/>
    <xf numFmtId="0" fontId="15" fillId="9" borderId="1" xfId="0" applyFont="1" applyFill="1" applyBorder="1"/>
    <xf numFmtId="0" fontId="9" fillId="10" borderId="7" xfId="0" applyFont="1" applyFill="1" applyBorder="1"/>
    <xf numFmtId="168" fontId="10" fillId="0" borderId="1" xfId="0" applyNumberFormat="1" applyFont="1" applyBorder="1"/>
    <xf numFmtId="9" fontId="10" fillId="0" borderId="1" xfId="3" applyFont="1" applyFill="1" applyBorder="1"/>
    <xf numFmtId="169" fontId="10" fillId="10" borderId="1" xfId="3" applyNumberFormat="1" applyFont="1" applyFill="1" applyBorder="1"/>
    <xf numFmtId="168" fontId="11" fillId="0" borderId="1" xfId="0" applyNumberFormat="1" applyFont="1" applyBorder="1"/>
    <xf numFmtId="0" fontId="9" fillId="8" borderId="8" xfId="0" applyFont="1" applyFill="1" applyBorder="1"/>
    <xf numFmtId="0" fontId="12" fillId="10" borderId="9" xfId="0" applyFont="1" applyFill="1" applyBorder="1"/>
    <xf numFmtId="0" fontId="12" fillId="10" borderId="10" xfId="0" applyFont="1" applyFill="1" applyBorder="1"/>
    <xf numFmtId="0" fontId="12" fillId="10" borderId="11" xfId="0" applyFont="1" applyFill="1" applyBorder="1"/>
    <xf numFmtId="165" fontId="12" fillId="10" borderId="11" xfId="0" applyNumberFormat="1" applyFont="1" applyFill="1" applyBorder="1"/>
    <xf numFmtId="0" fontId="12" fillId="10" borderId="12" xfId="0" applyFont="1" applyFill="1" applyBorder="1"/>
    <xf numFmtId="0" fontId="10" fillId="9" borderId="13" xfId="0" applyFont="1" applyFill="1" applyBorder="1" applyAlignment="1">
      <alignment horizontal="left"/>
    </xf>
    <xf numFmtId="170" fontId="10" fillId="0" borderId="13" xfId="4" applyNumberFormat="1" applyFont="1" applyFill="1" applyBorder="1"/>
    <xf numFmtId="0" fontId="16" fillId="0" borderId="6" xfId="0" applyFont="1" applyBorder="1"/>
    <xf numFmtId="170" fontId="10" fillId="0" borderId="14" xfId="4" applyNumberFormat="1" applyFont="1" applyFill="1" applyBorder="1"/>
    <xf numFmtId="165" fontId="10" fillId="0" borderId="1" xfId="3" applyNumberFormat="1" applyFont="1" applyFill="1" applyBorder="1"/>
    <xf numFmtId="9" fontId="10" fillId="0" borderId="1" xfId="4" applyNumberFormat="1" applyFont="1" applyFill="1" applyBorder="1"/>
    <xf numFmtId="170" fontId="10" fillId="0" borderId="1" xfId="4" applyNumberFormat="1" applyFont="1" applyFill="1" applyBorder="1"/>
    <xf numFmtId="171" fontId="10" fillId="0" borderId="1" xfId="4" applyNumberFormat="1" applyFont="1" applyFill="1" applyBorder="1"/>
    <xf numFmtId="170" fontId="10" fillId="0" borderId="15" xfId="4" applyNumberFormat="1" applyFont="1" applyFill="1" applyBorder="1"/>
    <xf numFmtId="0" fontId="9" fillId="8" borderId="16" xfId="0" applyFont="1" applyFill="1" applyBorder="1" applyAlignment="1">
      <alignment horizontal="left"/>
    </xf>
    <xf numFmtId="170" fontId="9" fillId="10" borderId="17" xfId="4" applyNumberFormat="1" applyFont="1" applyFill="1" applyBorder="1"/>
    <xf numFmtId="170" fontId="9" fillId="10" borderId="18" xfId="4" applyNumberFormat="1" applyFont="1" applyFill="1" applyBorder="1"/>
    <xf numFmtId="169" fontId="9" fillId="10" borderId="18" xfId="3" applyNumberFormat="1" applyFont="1" applyFill="1" applyBorder="1"/>
    <xf numFmtId="9" fontId="9" fillId="10" borderId="17" xfId="3" applyFont="1" applyFill="1" applyBorder="1"/>
    <xf numFmtId="167" fontId="3" fillId="3" borderId="0" xfId="1" applyNumberFormat="1" applyFill="1"/>
    <xf numFmtId="172" fontId="0" fillId="0" borderId="1" xfId="0" applyNumberFormat="1" applyBorder="1" applyAlignment="1">
      <alignment horizontal="center" vertical="center"/>
    </xf>
    <xf numFmtId="172" fontId="0" fillId="0" borderId="6" xfId="0" applyNumberFormat="1" applyBorder="1" applyAlignment="1">
      <alignment horizontal="left" vertical="center"/>
    </xf>
    <xf numFmtId="172" fontId="0" fillId="0" borderId="6" xfId="0" applyNumberFormat="1" applyBorder="1" applyAlignment="1">
      <alignment horizontal="left"/>
    </xf>
    <xf numFmtId="0" fontId="0" fillId="3" borderId="0" xfId="0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7" fillId="0" borderId="25" xfId="0" applyFont="1" applyBorder="1"/>
    <xf numFmtId="9" fontId="0" fillId="3" borderId="15" xfId="0" applyNumberForma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9" fontId="0" fillId="3" borderId="30" xfId="0" applyNumberForma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0" fillId="3" borderId="32" xfId="0" applyFill="1" applyBorder="1" applyAlignment="1">
      <alignment vertical="center"/>
    </xf>
    <xf numFmtId="9" fontId="0" fillId="3" borderId="33" xfId="0" applyNumberFormat="1" applyFill="1" applyBorder="1" applyAlignment="1">
      <alignment vertical="center"/>
    </xf>
    <xf numFmtId="9" fontId="0" fillId="3" borderId="34" xfId="0" applyNumberFormat="1" applyFill="1" applyBorder="1" applyAlignment="1">
      <alignment vertical="center"/>
    </xf>
    <xf numFmtId="0" fontId="0" fillId="4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2" fillId="2" borderId="39" xfId="0" applyFont="1" applyFill="1" applyBorder="1" applyAlignment="1">
      <alignment vertical="center"/>
    </xf>
    <xf numFmtId="9" fontId="0" fillId="3" borderId="7" xfId="0" applyNumberFormat="1" applyFill="1" applyBorder="1" applyAlignment="1">
      <alignment vertical="center"/>
    </xf>
    <xf numFmtId="9" fontId="0" fillId="3" borderId="40" xfId="0" applyNumberFormat="1" applyFill="1" applyBorder="1" applyAlignment="1">
      <alignment vertical="center"/>
    </xf>
    <xf numFmtId="9" fontId="0" fillId="3" borderId="41" xfId="0" applyNumberFormat="1" applyFill="1" applyBorder="1" applyAlignment="1">
      <alignment vertical="center"/>
    </xf>
    <xf numFmtId="173" fontId="0" fillId="0" borderId="0" xfId="0" applyNumberFormat="1"/>
    <xf numFmtId="174" fontId="3" fillId="0" borderId="0" xfId="1" applyNumberFormat="1"/>
    <xf numFmtId="0" fontId="17" fillId="0" borderId="0" xfId="0" applyFont="1"/>
    <xf numFmtId="0" fontId="0" fillId="0" borderId="0" xfId="0" applyAlignment="1">
      <alignment horizontal="left"/>
    </xf>
    <xf numFmtId="49" fontId="0" fillId="3" borderId="0" xfId="0" applyNumberFormat="1" applyFill="1" applyAlignment="1">
      <alignment horizontal="left" vertical="center"/>
    </xf>
    <xf numFmtId="167" fontId="0" fillId="0" borderId="0" xfId="0" applyNumberFormat="1" applyAlignment="1">
      <alignment horizontal="left"/>
    </xf>
    <xf numFmtId="9" fontId="0" fillId="12" borderId="4" xfId="0" applyNumberFormat="1" applyFill="1" applyBorder="1"/>
    <xf numFmtId="0" fontId="0" fillId="0" borderId="44" xfId="0" applyBorder="1"/>
    <xf numFmtId="0" fontId="0" fillId="0" borderId="30" xfId="0" applyBorder="1"/>
    <xf numFmtId="0" fontId="0" fillId="0" borderId="45" xfId="0" applyBorder="1"/>
    <xf numFmtId="0" fontId="0" fillId="0" borderId="34" xfId="0" applyBorder="1"/>
    <xf numFmtId="173" fontId="0" fillId="0" borderId="30" xfId="0" applyNumberFormat="1" applyBorder="1"/>
    <xf numFmtId="0" fontId="17" fillId="0" borderId="35" xfId="0" applyFont="1" applyBorder="1"/>
    <xf numFmtId="0" fontId="17" fillId="0" borderId="46" xfId="0" applyFont="1" applyBorder="1"/>
    <xf numFmtId="0" fontId="0" fillId="0" borderId="47" xfId="0" applyBorder="1"/>
    <xf numFmtId="173" fontId="0" fillId="0" borderId="41" xfId="0" applyNumberFormat="1" applyBorder="1"/>
    <xf numFmtId="175" fontId="9" fillId="10" borderId="1" xfId="4" applyNumberFormat="1" applyFont="1" applyFill="1" applyBorder="1"/>
    <xf numFmtId="173" fontId="9" fillId="10" borderId="1" xfId="0" applyNumberFormat="1" applyFont="1" applyFill="1" applyBorder="1"/>
    <xf numFmtId="173" fontId="9" fillId="10" borderId="1" xfId="4" applyNumberFormat="1" applyFont="1" applyFill="1" applyBorder="1"/>
    <xf numFmtId="0" fontId="18" fillId="3" borderId="0" xfId="1" applyFont="1" applyFill="1"/>
    <xf numFmtId="0" fontId="0" fillId="4" borderId="0" xfId="0" applyFill="1"/>
    <xf numFmtId="169" fontId="0" fillId="0" borderId="0" xfId="0" applyNumberFormat="1"/>
    <xf numFmtId="14" fontId="0" fillId="0" borderId="6" xfId="0" applyNumberFormat="1" applyBorder="1"/>
    <xf numFmtId="14" fontId="0" fillId="0" borderId="6" xfId="0" applyNumberFormat="1" applyBorder="1" applyAlignment="1">
      <alignment horizontal="right"/>
    </xf>
    <xf numFmtId="169" fontId="10" fillId="0" borderId="1" xfId="4" applyNumberFormat="1" applyFont="1" applyFill="1" applyBorder="1"/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14" fontId="0" fillId="0" borderId="48" xfId="0" applyNumberFormat="1" applyBorder="1"/>
    <xf numFmtId="14" fontId="0" fillId="3" borderId="6" xfId="0" applyNumberFormat="1" applyFill="1" applyBorder="1"/>
    <xf numFmtId="0" fontId="12" fillId="10" borderId="52" xfId="0" applyFont="1" applyFill="1" applyBorder="1"/>
    <xf numFmtId="0" fontId="12" fillId="10" borderId="53" xfId="0" applyFont="1" applyFill="1" applyBorder="1"/>
    <xf numFmtId="170" fontId="10" fillId="0" borderId="54" xfId="4" applyNumberFormat="1" applyFont="1" applyFill="1" applyBorder="1"/>
    <xf numFmtId="170" fontId="10" fillId="0" borderId="42" xfId="4" applyNumberFormat="1" applyFont="1" applyFill="1" applyBorder="1"/>
    <xf numFmtId="170" fontId="9" fillId="10" borderId="31" xfId="4" applyNumberFormat="1" applyFont="1" applyFill="1" applyBorder="1"/>
    <xf numFmtId="170" fontId="9" fillId="10" borderId="55" xfId="4" applyNumberFormat="1" applyFont="1" applyFill="1" applyBorder="1"/>
    <xf numFmtId="170" fontId="9" fillId="10" borderId="32" xfId="4" applyNumberFormat="1" applyFont="1" applyFill="1" applyBorder="1"/>
    <xf numFmtId="169" fontId="9" fillId="10" borderId="32" xfId="3" applyNumberFormat="1" applyFont="1" applyFill="1" applyBorder="1"/>
    <xf numFmtId="9" fontId="9" fillId="10" borderId="55" xfId="3" applyFont="1" applyFill="1" applyBorder="1"/>
    <xf numFmtId="170" fontId="9" fillId="10" borderId="56" xfId="4" applyNumberFormat="1" applyFont="1" applyFill="1" applyBorder="1"/>
    <xf numFmtId="0" fontId="12" fillId="10" borderId="57" xfId="0" applyFont="1" applyFill="1" applyBorder="1"/>
    <xf numFmtId="170" fontId="9" fillId="10" borderId="16" xfId="4" applyNumberFormat="1" applyFont="1" applyFill="1" applyBorder="1"/>
    <xf numFmtId="176" fontId="0" fillId="0" borderId="0" xfId="0" applyNumberFormat="1"/>
    <xf numFmtId="172" fontId="0" fillId="0" borderId="0" xfId="0" applyNumberFormat="1"/>
    <xf numFmtId="0" fontId="9" fillId="10" borderId="39" xfId="0" applyFont="1" applyFill="1" applyBorder="1"/>
    <xf numFmtId="0" fontId="9" fillId="10" borderId="59" xfId="0" applyFont="1" applyFill="1" applyBorder="1"/>
    <xf numFmtId="168" fontId="10" fillId="0" borderId="29" xfId="0" applyNumberFormat="1" applyFont="1" applyBorder="1"/>
    <xf numFmtId="168" fontId="10" fillId="0" borderId="42" xfId="0" applyNumberFormat="1" applyFont="1" applyBorder="1"/>
    <xf numFmtId="168" fontId="9" fillId="10" borderId="31" xfId="4" applyNumberFormat="1" applyFont="1" applyFill="1" applyBorder="1"/>
    <xf numFmtId="168" fontId="9" fillId="10" borderId="32" xfId="4" applyNumberFormat="1" applyFont="1" applyFill="1" applyBorder="1"/>
    <xf numFmtId="169" fontId="10" fillId="10" borderId="32" xfId="3" applyNumberFormat="1" applyFont="1" applyFill="1" applyBorder="1"/>
    <xf numFmtId="168" fontId="9" fillId="10" borderId="32" xfId="0" applyNumberFormat="1" applyFont="1" applyFill="1" applyBorder="1"/>
    <xf numFmtId="168" fontId="9" fillId="10" borderId="43" xfId="4" applyNumberFormat="1" applyFont="1" applyFill="1" applyBorder="1"/>
    <xf numFmtId="0" fontId="9" fillId="10" borderId="60" xfId="0" applyFont="1" applyFill="1" applyBorder="1"/>
    <xf numFmtId="168" fontId="10" fillId="0" borderId="14" xfId="0" applyNumberFormat="1" applyFont="1" applyBorder="1"/>
    <xf numFmtId="0" fontId="9" fillId="10" borderId="40" xfId="0" applyFont="1" applyFill="1" applyBorder="1"/>
    <xf numFmtId="168" fontId="10" fillId="0" borderId="15" xfId="0" applyNumberFormat="1" applyFont="1" applyBorder="1"/>
    <xf numFmtId="168" fontId="9" fillId="10" borderId="33" xfId="4" applyNumberFormat="1" applyFont="1" applyFill="1" applyBorder="1"/>
    <xf numFmtId="0" fontId="9" fillId="8" borderId="61" xfId="0" applyFont="1" applyFill="1" applyBorder="1"/>
    <xf numFmtId="0" fontId="10" fillId="9" borderId="62" xfId="0" applyFont="1" applyFill="1" applyBorder="1"/>
    <xf numFmtId="0" fontId="9" fillId="8" borderId="63" xfId="0" applyFont="1" applyFill="1" applyBorder="1"/>
    <xf numFmtId="168" fontId="9" fillId="10" borderId="64" xfId="4" applyNumberFormat="1" applyFont="1" applyFill="1" applyBorder="1"/>
    <xf numFmtId="0" fontId="0" fillId="4" borderId="3" xfId="0" applyFill="1" applyBorder="1"/>
    <xf numFmtId="169" fontId="10" fillId="0" borderId="1" xfId="4" applyNumberFormat="1" applyFont="1" applyBorder="1"/>
    <xf numFmtId="17" fontId="0" fillId="0" borderId="0" xfId="0" applyNumberFormat="1"/>
    <xf numFmtId="0" fontId="0" fillId="4" borderId="0" xfId="0" applyFill="1" applyAlignment="1">
      <alignment horizontal="center"/>
    </xf>
    <xf numFmtId="167" fontId="19" fillId="0" borderId="0" xfId="1" applyNumberFormat="1" applyFont="1"/>
    <xf numFmtId="167" fontId="19" fillId="3" borderId="0" xfId="1" applyNumberFormat="1" applyFont="1" applyFill="1"/>
    <xf numFmtId="0" fontId="17" fillId="5" borderId="9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0" fillId="0" borderId="65" xfId="0" applyBorder="1"/>
    <xf numFmtId="9" fontId="0" fillId="0" borderId="66" xfId="3" applyFont="1" applyBorder="1"/>
    <xf numFmtId="0" fontId="0" fillId="0" borderId="17" xfId="0" applyBorder="1"/>
    <xf numFmtId="172" fontId="0" fillId="0" borderId="18" xfId="0" applyNumberFormat="1" applyBorder="1" applyAlignment="1">
      <alignment horizontal="center" vertical="center"/>
    </xf>
    <xf numFmtId="9" fontId="0" fillId="0" borderId="67" xfId="3" applyFont="1" applyBorder="1"/>
    <xf numFmtId="0" fontId="4" fillId="2" borderId="9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8" fillId="7" borderId="69" xfId="0" applyFont="1" applyFill="1" applyBorder="1" applyAlignment="1">
      <alignment horizontal="center" vertical="center"/>
    </xf>
    <xf numFmtId="165" fontId="8" fillId="7" borderId="70" xfId="0" applyNumberFormat="1" applyFont="1" applyFill="1" applyBorder="1" applyAlignment="1">
      <alignment horizontal="center" vertical="center"/>
    </xf>
    <xf numFmtId="165" fontId="8" fillId="7" borderId="71" xfId="0" applyNumberFormat="1" applyFont="1" applyFill="1" applyBorder="1" applyAlignment="1">
      <alignment horizontal="center" vertical="center"/>
    </xf>
    <xf numFmtId="177" fontId="0" fillId="0" borderId="72" xfId="0" applyNumberFormat="1" applyBorder="1" applyAlignment="1">
      <alignment horizontal="center" vertical="center"/>
    </xf>
    <xf numFmtId="177" fontId="0" fillId="0" borderId="68" xfId="0" applyNumberFormat="1" applyBorder="1" applyAlignment="1">
      <alignment horizontal="center" vertical="center"/>
    </xf>
    <xf numFmtId="165" fontId="0" fillId="3" borderId="73" xfId="0" applyNumberForma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2" fontId="0" fillId="0" borderId="74" xfId="0" applyNumberFormat="1" applyBorder="1" applyAlignment="1">
      <alignment horizontal="left"/>
    </xf>
    <xf numFmtId="9" fontId="0" fillId="0" borderId="75" xfId="0" applyNumberFormat="1" applyBorder="1"/>
    <xf numFmtId="172" fontId="0" fillId="0" borderId="72" xfId="0" applyNumberFormat="1" applyBorder="1" applyAlignment="1">
      <alignment horizontal="left"/>
    </xf>
    <xf numFmtId="172" fontId="0" fillId="0" borderId="68" xfId="0" applyNumberFormat="1" applyBorder="1" applyAlignment="1">
      <alignment horizontal="left"/>
    </xf>
    <xf numFmtId="0" fontId="3" fillId="4" borderId="0" xfId="1" applyFill="1"/>
    <xf numFmtId="174" fontId="3" fillId="4" borderId="0" xfId="1" applyNumberFormat="1" applyFill="1"/>
    <xf numFmtId="14" fontId="3" fillId="4" borderId="0" xfId="1" applyNumberFormat="1" applyFill="1"/>
    <xf numFmtId="167" fontId="3" fillId="4" borderId="0" xfId="1" applyNumberFormat="1" applyFill="1"/>
    <xf numFmtId="9" fontId="0" fillId="4" borderId="0" xfId="3" applyFont="1" applyFill="1"/>
    <xf numFmtId="9" fontId="0" fillId="0" borderId="30" xfId="0" applyNumberFormat="1" applyBorder="1"/>
    <xf numFmtId="0" fontId="0" fillId="12" borderId="79" xfId="0" applyFill="1" applyBorder="1"/>
    <xf numFmtId="172" fontId="0" fillId="12" borderId="80" xfId="0" applyNumberFormat="1" applyFill="1" applyBorder="1" applyAlignment="1">
      <alignment horizontal="left"/>
    </xf>
    <xf numFmtId="172" fontId="17" fillId="12" borderId="80" xfId="0" applyNumberFormat="1" applyFont="1" applyFill="1" applyBorder="1" applyAlignment="1">
      <alignment horizontal="left"/>
    </xf>
    <xf numFmtId="9" fontId="0" fillId="12" borderId="38" xfId="0" applyNumberFormat="1" applyFill="1" applyBorder="1"/>
    <xf numFmtId="0" fontId="0" fillId="0" borderId="81" xfId="0" applyBorder="1"/>
    <xf numFmtId="172" fontId="0" fillId="0" borderId="82" xfId="0" applyNumberFormat="1" applyBorder="1" applyAlignment="1">
      <alignment horizontal="left" vertical="center"/>
    </xf>
    <xf numFmtId="9" fontId="0" fillId="0" borderId="83" xfId="0" applyNumberFormat="1" applyBorder="1"/>
    <xf numFmtId="0" fontId="17" fillId="5" borderId="69" xfId="0" applyFont="1" applyFill="1" applyBorder="1" applyAlignment="1">
      <alignment horizontal="center" vertical="center"/>
    </xf>
    <xf numFmtId="0" fontId="17" fillId="5" borderId="70" xfId="0" applyFont="1" applyFill="1" applyBorder="1" applyAlignment="1">
      <alignment horizontal="center" vertical="center"/>
    </xf>
    <xf numFmtId="0" fontId="17" fillId="5" borderId="70" xfId="0" applyFont="1" applyFill="1" applyBorder="1" applyAlignment="1">
      <alignment horizontal="left" vertical="center"/>
    </xf>
    <xf numFmtId="0" fontId="17" fillId="5" borderId="71" xfId="0" applyFont="1" applyFill="1" applyBorder="1" applyAlignment="1">
      <alignment horizontal="center" vertical="center"/>
    </xf>
    <xf numFmtId="0" fontId="17" fillId="5" borderId="76" xfId="0" applyFont="1" applyFill="1" applyBorder="1" applyAlignment="1">
      <alignment horizontal="center" vertical="center"/>
    </xf>
    <xf numFmtId="0" fontId="17" fillId="5" borderId="77" xfId="0" applyFont="1" applyFill="1" applyBorder="1" applyAlignment="1">
      <alignment horizontal="center" vertical="center"/>
    </xf>
    <xf numFmtId="0" fontId="17" fillId="5" borderId="78" xfId="0" applyFont="1" applyFill="1" applyBorder="1" applyAlignment="1">
      <alignment horizontal="center" vertical="center"/>
    </xf>
    <xf numFmtId="16" fontId="0" fillId="0" borderId="0" xfId="0" applyNumberFormat="1"/>
    <xf numFmtId="178" fontId="0" fillId="0" borderId="0" xfId="0" applyNumberFormat="1"/>
    <xf numFmtId="168" fontId="20" fillId="0" borderId="29" xfId="0" applyNumberFormat="1" applyFont="1" applyBorder="1"/>
    <xf numFmtId="168" fontId="20" fillId="0" borderId="1" xfId="0" applyNumberFormat="1" applyFont="1" applyBorder="1"/>
    <xf numFmtId="9" fontId="20" fillId="0" borderId="1" xfId="3" applyFont="1" applyBorder="1"/>
    <xf numFmtId="168" fontId="20" fillId="0" borderId="42" xfId="0" applyNumberFormat="1" applyFont="1" applyBorder="1"/>
    <xf numFmtId="169" fontId="21" fillId="10" borderId="32" xfId="3" applyNumberFormat="1" applyFont="1" applyFill="1" applyBorder="1"/>
    <xf numFmtId="167" fontId="1" fillId="0" borderId="0" xfId="0" applyNumberFormat="1" applyFont="1"/>
    <xf numFmtId="167" fontId="1" fillId="3" borderId="0" xfId="0" applyNumberFormat="1" applyFont="1" applyFill="1"/>
    <xf numFmtId="169" fontId="0" fillId="0" borderId="0" xfId="3" applyNumberFormat="1" applyFont="1"/>
    <xf numFmtId="0" fontId="17" fillId="5" borderId="8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173" fontId="0" fillId="0" borderId="68" xfId="0" applyNumberFormat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165" fontId="0" fillId="3" borderId="18" xfId="0" applyNumberFormat="1" applyFill="1" applyBorder="1" applyAlignment="1">
      <alignment horizontal="left"/>
    </xf>
    <xf numFmtId="1" fontId="0" fillId="3" borderId="18" xfId="0" applyNumberFormat="1" applyFill="1" applyBorder="1" applyAlignment="1">
      <alignment horizontal="left"/>
    </xf>
    <xf numFmtId="167" fontId="1" fillId="3" borderId="0" xfId="3" applyNumberFormat="1" applyFont="1" applyFill="1"/>
    <xf numFmtId="167" fontId="1" fillId="4" borderId="0" xfId="3" applyNumberFormat="1" applyFont="1" applyFill="1"/>
    <xf numFmtId="9" fontId="0" fillId="0" borderId="73" xfId="0" applyNumberFormat="1" applyBorder="1"/>
    <xf numFmtId="0" fontId="17" fillId="12" borderId="2" xfId="0" applyFont="1" applyFill="1" applyBorder="1"/>
    <xf numFmtId="172" fontId="0" fillId="12" borderId="3" xfId="0" applyNumberFormat="1" applyFill="1" applyBorder="1" applyAlignment="1">
      <alignment horizontal="left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49" fontId="0" fillId="3" borderId="18" xfId="0" applyNumberFormat="1" applyFill="1" applyBorder="1" applyAlignment="1">
      <alignment horizontal="left" vertical="center" wrapText="1"/>
    </xf>
    <xf numFmtId="49" fontId="0" fillId="3" borderId="67" xfId="0" applyNumberForma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0" xfId="1" applyAlignment="1">
      <alignment horizontal="center"/>
    </xf>
    <xf numFmtId="0" fontId="0" fillId="4" borderId="19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3" borderId="49" xfId="0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0" fillId="16" borderId="49" xfId="0" applyFill="1" applyBorder="1" applyAlignment="1">
      <alignment horizontal="center"/>
    </xf>
    <xf numFmtId="0" fontId="0" fillId="16" borderId="50" xfId="0" applyFill="1" applyBorder="1" applyAlignment="1">
      <alignment horizontal="center"/>
    </xf>
    <xf numFmtId="0" fontId="0" fillId="16" borderId="51" xfId="0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4" borderId="58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11" borderId="0" xfId="0" applyFill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3" fillId="0" borderId="0" xfId="1" applyNumberFormat="1" applyFill="1"/>
    <xf numFmtId="9" fontId="0" fillId="0" borderId="0" xfId="3" applyNumberFormat="1" applyFont="1"/>
    <xf numFmtId="0" fontId="0" fillId="0" borderId="0" xfId="0" applyFill="1"/>
    <xf numFmtId="14" fontId="0" fillId="0" borderId="0" xfId="0" applyNumberFormat="1" applyFill="1"/>
    <xf numFmtId="165" fontId="0" fillId="0" borderId="0" xfId="0" applyNumberFormat="1" applyFill="1"/>
  </cellXfs>
  <cellStyles count="5">
    <cellStyle name="Currency 2" xfId="2" xr:uid="{10220E9D-326B-4F8D-8F89-423A7E430A4B}"/>
    <cellStyle name="Monétaire" xfId="4" builtinId="4"/>
    <cellStyle name="Normal" xfId="0" builtinId="0"/>
    <cellStyle name="Normal 2" xfId="1" xr:uid="{3695B5B5-02BE-4817-A18D-E743E3C87370}"/>
    <cellStyle name="Pourcentage" xfId="3" builtinId="5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165" formatCode="_([$€-2]\ * #,##0.00_);_([$€-2]\ * \(#,##0.00\);_([$€-2]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"/>
        <family val="2"/>
        <scheme val="none"/>
      </font>
      <fill>
        <patternFill patternType="solid">
          <fgColor theme="4"/>
          <bgColor theme="4"/>
        </patternFill>
      </fill>
    </dxf>
    <dxf>
      <numFmt numFmtId="165" formatCode="_([$€-2]\ * #,##0.00_);_([$€-2]\ * \(#,##0.00\);_([$€-2]\ * &quot;-&quot;??_);_(@_)"/>
    </dxf>
    <dxf>
      <numFmt numFmtId="13" formatCode="0%"/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/>
        </top>
      </border>
    </dxf>
    <dxf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/>
        </top>
      </border>
    </dxf>
    <dxf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/>
        </top>
      </border>
    </dxf>
    <dxf>
      <fill>
        <patternFill patternType="none">
          <fgColor indexed="64"/>
          <bgColor auto="1"/>
        </patternFill>
      </fill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3" formatCode="0%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  <dxf>
      <numFmt numFmtId="167" formatCode="[$€-2]\ #,##0.00_);[Red]\([$€-2]\ 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1/relationships/FeaturePropertyBag" Target="featurePropertyBag/featurePropertyBag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Data'!$C$2:$D$2</c:f>
          <c:strCache>
            <c:ptCount val="2"/>
            <c:pt idx="0">
              <c:v>W26 Food Margin Per Fridge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50716518352776"/>
          <c:y val="9.0116015314599437E-2"/>
          <c:w val="0.87162493855607748"/>
          <c:h val="0.46561207830672541"/>
        </c:manualLayout>
      </c:layout>
      <c:barChart>
        <c:barDir val="col"/>
        <c:grouping val="clustered"/>
        <c:varyColors val="0"/>
        <c:ser>
          <c:idx val="0"/>
          <c:order val="0"/>
          <c:tx>
            <c:v>Profit Margin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[0]!ByFridgeChartFridgeName</c:f>
              <c:strCache>
                <c:ptCount val="41"/>
                <c:pt idx="0">
                  <c:v>Allnex Freezer</c:v>
                </c:pt>
                <c:pt idx="1">
                  <c:v>Spadel Brussels</c:v>
                </c:pt>
                <c:pt idx="2">
                  <c:v>Lhoist Corbais</c:v>
                </c:pt>
                <c:pt idx="3">
                  <c:v>Atelier rue du Cerf</c:v>
                </c:pt>
                <c:pt idx="4">
                  <c:v>Velux</c:v>
                </c:pt>
                <c:pt idx="5">
                  <c:v>Brussels Airlines Vilvoorde</c:v>
                </c:pt>
                <c:pt idx="6">
                  <c:v>Abbott Wavre</c:v>
                </c:pt>
                <c:pt idx="7">
                  <c:v>Brussels Airlines TFC</c:v>
                </c:pt>
                <c:pt idx="8">
                  <c:v>Brussels Airlines Airport</c:v>
                </c:pt>
                <c:pt idx="9">
                  <c:v>ABB Zaventem</c:v>
                </c:pt>
                <c:pt idx="10">
                  <c:v>Bank Degroof</c:v>
                </c:pt>
                <c:pt idx="11">
                  <c:v>Engie Antwerpen</c:v>
                </c:pt>
                <c:pt idx="12">
                  <c:v>Lhoist Nivelles</c:v>
                </c:pt>
                <c:pt idx="13">
                  <c:v>PWC Ghent</c:v>
                </c:pt>
                <c:pt idx="14">
                  <c:v>Thermofisher Vilvoorde</c:v>
                </c:pt>
                <c:pt idx="15">
                  <c:v>Allianz Brussels</c:v>
                </c:pt>
                <c:pt idx="16">
                  <c:v>Engie Namur</c:v>
                </c:pt>
                <c:pt idx="17">
                  <c:v>Greenhouse Collection Links</c:v>
                </c:pt>
                <c:pt idx="18">
                  <c:v>Police Tubize</c:v>
                </c:pt>
                <c:pt idx="19">
                  <c:v>Interparking</c:v>
                </c:pt>
                <c:pt idx="20">
                  <c:v>Bia Group Overijse</c:v>
                </c:pt>
                <c:pt idx="21">
                  <c:v>Lhoist Limelette</c:v>
                </c:pt>
                <c:pt idx="22">
                  <c:v>GSV Huppertz Wilrijk</c:v>
                </c:pt>
                <c:pt idx="23">
                  <c:v>Engie Garden Café Wrap &amp; Roll</c:v>
                </c:pt>
                <c:pt idx="24">
                  <c:v>Greenhouse Collection Antwerpen</c:v>
                </c:pt>
                <c:pt idx="25">
                  <c:v>Brussels Airlines Be house</c:v>
                </c:pt>
                <c:pt idx="26">
                  <c:v>Kadans Droite</c:v>
                </c:pt>
                <c:pt idx="27">
                  <c:v>CBC</c:v>
                </c:pt>
                <c:pt idx="28">
                  <c:v>Engie Garden Café Heat and Eat</c:v>
                </c:pt>
                <c:pt idx="29">
                  <c:v>Kadans Gauche</c:v>
                </c:pt>
                <c:pt idx="30">
                  <c:v>DPG Media Antwerpen</c:v>
                </c:pt>
                <c:pt idx="31">
                  <c:v>Thermofisher Zaventem</c:v>
                </c:pt>
                <c:pt idx="32">
                  <c:v>DPG Media Vilvoorde</c:v>
                </c:pt>
                <c:pt idx="33">
                  <c:v>Neuhaus Sint-Pieters</c:v>
                </c:pt>
                <c:pt idx="34">
                  <c:v>Allnex</c:v>
                </c:pt>
                <c:pt idx="35">
                  <c:v>RTBF Mediasquare 4e</c:v>
                </c:pt>
                <c:pt idx="36">
                  <c:v>RTBF</c:v>
                </c:pt>
                <c:pt idx="37">
                  <c:v>PWC Diegem</c:v>
                </c:pt>
                <c:pt idx="38">
                  <c:v>The Woods</c:v>
                </c:pt>
                <c:pt idx="39">
                  <c:v>Zoetis LLN</c:v>
                </c:pt>
                <c:pt idx="40">
                  <c:v>RTBF Mediasquare 2e</c:v>
                </c:pt>
              </c:strCache>
            </c:strRef>
          </c:cat>
          <c:val>
            <c:numRef>
              <c:f>[0]!ByFridgeChartMargin</c:f>
              <c:numCache>
                <c:formatCode>[$€-2]\ #,##0.00_);[Red]\([$€-2]\ #,##0.00\)</c:formatCode>
                <c:ptCount val="41"/>
                <c:pt idx="0">
                  <c:v>-96.769999999999982</c:v>
                </c:pt>
                <c:pt idx="1">
                  <c:v>-30.320000000000007</c:v>
                </c:pt>
                <c:pt idx="2">
                  <c:v>-28.110000000000007</c:v>
                </c:pt>
                <c:pt idx="3">
                  <c:v>-10.649999999999977</c:v>
                </c:pt>
                <c:pt idx="4">
                  <c:v>-6.4800000000000182</c:v>
                </c:pt>
                <c:pt idx="5">
                  <c:v>-0.55000000000003979</c:v>
                </c:pt>
                <c:pt idx="6">
                  <c:v>11.320000000000022</c:v>
                </c:pt>
                <c:pt idx="7">
                  <c:v>16.260000000000005</c:v>
                </c:pt>
                <c:pt idx="8">
                  <c:v>16.720000000000027</c:v>
                </c:pt>
                <c:pt idx="9">
                  <c:v>24.499999999999972</c:v>
                </c:pt>
                <c:pt idx="10">
                  <c:v>27.300000000000011</c:v>
                </c:pt>
                <c:pt idx="11">
                  <c:v>40.70999999999998</c:v>
                </c:pt>
                <c:pt idx="12">
                  <c:v>44.760000000000005</c:v>
                </c:pt>
                <c:pt idx="13">
                  <c:v>47.549999999999969</c:v>
                </c:pt>
                <c:pt idx="14">
                  <c:v>49.960000000000008</c:v>
                </c:pt>
                <c:pt idx="15">
                  <c:v>77.489999999999895</c:v>
                </c:pt>
                <c:pt idx="16">
                  <c:v>87.03</c:v>
                </c:pt>
                <c:pt idx="17">
                  <c:v>103.28999999999994</c:v>
                </c:pt>
                <c:pt idx="18">
                  <c:v>103.28999999999996</c:v>
                </c:pt>
                <c:pt idx="19">
                  <c:v>107.41999999999985</c:v>
                </c:pt>
                <c:pt idx="20">
                  <c:v>110.18999999999994</c:v>
                </c:pt>
                <c:pt idx="21">
                  <c:v>111.82999999999998</c:v>
                </c:pt>
                <c:pt idx="22">
                  <c:v>150.35999999999996</c:v>
                </c:pt>
                <c:pt idx="23">
                  <c:v>155.90000000000026</c:v>
                </c:pt>
                <c:pt idx="24">
                  <c:v>155.95999999999992</c:v>
                </c:pt>
                <c:pt idx="25">
                  <c:v>156.64999999999981</c:v>
                </c:pt>
                <c:pt idx="26">
                  <c:v>161.95000000000005</c:v>
                </c:pt>
                <c:pt idx="27">
                  <c:v>162.70999999999998</c:v>
                </c:pt>
                <c:pt idx="28">
                  <c:v>166.85999999999984</c:v>
                </c:pt>
                <c:pt idx="29">
                  <c:v>172.26999999999987</c:v>
                </c:pt>
                <c:pt idx="30">
                  <c:v>175.31000000000017</c:v>
                </c:pt>
                <c:pt idx="31">
                  <c:v>198.24</c:v>
                </c:pt>
                <c:pt idx="32">
                  <c:v>283.54000000000025</c:v>
                </c:pt>
                <c:pt idx="33">
                  <c:v>299.35000000000002</c:v>
                </c:pt>
                <c:pt idx="34">
                  <c:v>302.92000000000013</c:v>
                </c:pt>
                <c:pt idx="35">
                  <c:v>309.2600000000005</c:v>
                </c:pt>
                <c:pt idx="36">
                  <c:v>312.04000000000144</c:v>
                </c:pt>
                <c:pt idx="37">
                  <c:v>313.63000000000142</c:v>
                </c:pt>
                <c:pt idx="38">
                  <c:v>319.45000000000027</c:v>
                </c:pt>
                <c:pt idx="39">
                  <c:v>437.60000000000082</c:v>
                </c:pt>
                <c:pt idx="40">
                  <c:v>637.6700000000011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9-4CA1-BE0E-01ADB4694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730288"/>
        <c:axId val="1063728368"/>
      </c:barChart>
      <c:catAx>
        <c:axId val="106373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28368"/>
        <c:crosses val="autoZero"/>
        <c:auto val="1"/>
        <c:lblAlgn val="ctr"/>
        <c:lblOffset val="100"/>
        <c:noMultiLvlLbl val="0"/>
      </c:catAx>
      <c:valAx>
        <c:axId val="106372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.00_);[Red]\([$€-2]\ 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Data'!$F$2</c:f>
          <c:strCache>
            <c:ptCount val="1"/>
            <c:pt idx="0">
              <c:v>W26 Food Margin Per 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Data'!$F$5:$F$13</c:f>
              <c:strCache>
                <c:ptCount val="9"/>
                <c:pt idx="0">
                  <c:v>10. Frozen Warm Dishes</c:v>
                </c:pt>
                <c:pt idx="1">
                  <c:v>Unknown</c:v>
                </c:pt>
                <c:pt idx="2">
                  <c:v>3. Warm Dishes Jar</c:v>
                </c:pt>
                <c:pt idx="3">
                  <c:v>4. Warm Dishes</c:v>
                </c:pt>
                <c:pt idx="4">
                  <c:v>6. Snacks</c:v>
                </c:pt>
                <c:pt idx="5">
                  <c:v>8. Breakfast</c:v>
                </c:pt>
                <c:pt idx="6">
                  <c:v>7. Drinks</c:v>
                </c:pt>
                <c:pt idx="7">
                  <c:v>5. Desserts</c:v>
                </c:pt>
                <c:pt idx="8">
                  <c:v>1. Cold Dishes</c:v>
                </c:pt>
              </c:strCache>
            </c:strRef>
          </c:cat>
          <c:val>
            <c:numRef>
              <c:f>'Chart Data'!$G$5:$G$13</c:f>
              <c:numCache>
                <c:formatCode>[$€-2]\ #,##0.00_);[Red]\([$€-2]\ #,##0.00\)</c:formatCode>
                <c:ptCount val="9"/>
                <c:pt idx="0">
                  <c:v>-96.769999999999982</c:v>
                </c:pt>
                <c:pt idx="1">
                  <c:v>3.2</c:v>
                </c:pt>
                <c:pt idx="2">
                  <c:v>145.57000000000011</c:v>
                </c:pt>
                <c:pt idx="3">
                  <c:v>336.47000000000412</c:v>
                </c:pt>
                <c:pt idx="4">
                  <c:v>386.31000000000211</c:v>
                </c:pt>
                <c:pt idx="5">
                  <c:v>539.95000000000664</c:v>
                </c:pt>
                <c:pt idx="6">
                  <c:v>561.31000000000074</c:v>
                </c:pt>
                <c:pt idx="7">
                  <c:v>879.7099999999964</c:v>
                </c:pt>
                <c:pt idx="8">
                  <c:v>1018.8899999999953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C-4B10-86D3-3B3890B486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5947103"/>
        <c:axId val="995948063"/>
      </c:barChart>
      <c:catAx>
        <c:axId val="99594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8063"/>
        <c:crosses val="autoZero"/>
        <c:auto val="1"/>
        <c:lblAlgn val="ctr"/>
        <c:lblOffset val="100"/>
        <c:noMultiLvlLbl val="0"/>
      </c:catAx>
      <c:valAx>
        <c:axId val="995948063"/>
        <c:scaling>
          <c:orientation val="minMax"/>
        </c:scaling>
        <c:delete val="0"/>
        <c:axPos val="l"/>
        <c:numFmt formatCode="[$€-2]\ #,##0_);[Red]\([$€-2]\ #,##0\)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'Weekly View'!$B$20:$F$20</c:f>
          <c:strCache>
            <c:ptCount val="5"/>
            <c:pt idx="0">
              <c:v>W18-W26 sales turnover, food margin and logistics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View'!$E$22</c:f>
              <c:strCache>
                <c:ptCount val="1"/>
                <c:pt idx="0">
                  <c:v>Added Food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'Weekly View'!$C$23:$C$31</c:f>
              <c:numCache>
                <c:formatCode>General</c:formatCode>
                <c:ptCount val="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</c:numCache>
            </c:numRef>
          </c:cat>
          <c:val>
            <c:numRef>
              <c:f>'Weekly View'!$E$23:$E$31</c:f>
              <c:numCache>
                <c:formatCode>[$€-2]\ #,##0_);[Red]\([$€-2]\ #,##0\)</c:formatCode>
                <c:ptCount val="9"/>
                <c:pt idx="0">
                  <c:v>10551.300000000023</c:v>
                </c:pt>
                <c:pt idx="1">
                  <c:v>11043.590000000035</c:v>
                </c:pt>
                <c:pt idx="2">
                  <c:v>10473.69000000001</c:v>
                </c:pt>
                <c:pt idx="3">
                  <c:v>0</c:v>
                </c:pt>
                <c:pt idx="4">
                  <c:v>9993.4600000000319</c:v>
                </c:pt>
                <c:pt idx="5">
                  <c:v>12099.230000000001</c:v>
                </c:pt>
                <c:pt idx="6">
                  <c:v>12314.940000000068</c:v>
                </c:pt>
                <c:pt idx="7">
                  <c:v>0</c:v>
                </c:pt>
                <c:pt idx="8">
                  <c:v>12267.450000000004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2-4DA5-90D9-22DF60C003D9}"/>
            </c:ext>
          </c:extLst>
        </c:ser>
        <c:ser>
          <c:idx val="1"/>
          <c:order val="1"/>
          <c:tx>
            <c:strRef>
              <c:f>'Weekly View'!$F$22</c:f>
              <c:strCache>
                <c:ptCount val="1"/>
                <c:pt idx="0">
                  <c:v>Sales Turnover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'Weekly View'!$C$23:$C$31</c:f>
              <c:numCache>
                <c:formatCode>General</c:formatCode>
                <c:ptCount val="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</c:numCache>
            </c:numRef>
          </c:cat>
          <c:val>
            <c:numRef>
              <c:f>'Weekly View'!$F$23:$F$31</c:f>
              <c:numCache>
                <c:formatCode>[$€-2]\ #,##0_);[Red]\([$€-2]\ #,##0\)</c:formatCode>
                <c:ptCount val="9"/>
                <c:pt idx="0">
                  <c:v>13518.820754716975</c:v>
                </c:pt>
                <c:pt idx="1">
                  <c:v>14729.009433962241</c:v>
                </c:pt>
                <c:pt idx="2">
                  <c:v>12398.028301886769</c:v>
                </c:pt>
                <c:pt idx="3">
                  <c:v>0</c:v>
                </c:pt>
                <c:pt idx="4">
                  <c:v>13073.660377358439</c:v>
                </c:pt>
                <c:pt idx="5">
                  <c:v>16621.000000000113</c:v>
                </c:pt>
                <c:pt idx="6">
                  <c:v>16094.46226415102</c:v>
                </c:pt>
                <c:pt idx="7">
                  <c:v>15332.037735849106</c:v>
                </c:pt>
                <c:pt idx="8">
                  <c:v>16903.537735849193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2-4DA5-90D9-22DF60C003D9}"/>
            </c:ext>
          </c:extLst>
        </c:ser>
        <c:ser>
          <c:idx val="3"/>
          <c:order val="3"/>
          <c:tx>
            <c:strRef>
              <c:f>'Weekly View'!$D$22</c:f>
              <c:strCache>
                <c:ptCount val="1"/>
                <c:pt idx="0">
                  <c:v>Logistics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'Weekly View'!$D$23:$D$31</c:f>
              <c:numCache>
                <c:formatCode>[$€-2]\ #,##0_);[Red]\([$€-2]\ #,##0\)</c:formatCode>
                <c:ptCount val="9"/>
                <c:pt idx="0">
                  <c:v>1709</c:v>
                </c:pt>
                <c:pt idx="1">
                  <c:v>1728.72</c:v>
                </c:pt>
                <c:pt idx="2">
                  <c:v>1514.2</c:v>
                </c:pt>
                <c:pt idx="3">
                  <c:v>0</c:v>
                </c:pt>
                <c:pt idx="4">
                  <c:v>1583</c:v>
                </c:pt>
                <c:pt idx="5">
                  <c:v>1983.33</c:v>
                </c:pt>
                <c:pt idx="6">
                  <c:v>1741</c:v>
                </c:pt>
                <c:pt idx="7">
                  <c:v>1689</c:v>
                </c:pt>
                <c:pt idx="8">
                  <c:v>1711.6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D-424A-94CC-AA2601C1F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7883679"/>
        <c:axId val="1457885599"/>
      </c:barChart>
      <c:lineChart>
        <c:grouping val="standard"/>
        <c:varyColors val="0"/>
        <c:ser>
          <c:idx val="2"/>
          <c:order val="2"/>
          <c:tx>
            <c:strRef>
              <c:f>'Weekly View'!$G$22</c:f>
              <c:strCache>
                <c:ptCount val="1"/>
                <c:pt idx="0">
                  <c:v>Margin post logistics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'Weekly View'!$G$23:$G$31</c:f>
              <c:numCache>
                <c:formatCode>0%</c:formatCode>
                <c:ptCount val="9"/>
                <c:pt idx="0">
                  <c:v>7.1988791768255872E-3</c:v>
                </c:pt>
                <c:pt idx="1">
                  <c:v>6.2809039598494043E-2</c:v>
                </c:pt>
                <c:pt idx="2">
                  <c:v>-9.148770648345933E-2</c:v>
                </c:pt>
                <c:pt idx="3">
                  <c:v>0</c:v>
                </c:pt>
                <c:pt idx="4">
                  <c:v>2.7660040470291278E-2</c:v>
                </c:pt>
                <c:pt idx="5">
                  <c:v>9.1500035979856634E-2</c:v>
                </c:pt>
                <c:pt idx="6">
                  <c:v>3.2856515930495385E-2</c:v>
                </c:pt>
                <c:pt idx="7">
                  <c:v>3.3876347403416149E-2</c:v>
                </c:pt>
                <c:pt idx="8">
                  <c:v>9.0223681513337442E-2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82-4DA5-90D9-22DF60C0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583039"/>
        <c:axId val="1460322591"/>
      </c:lineChart>
      <c:catAx>
        <c:axId val="145788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85599"/>
        <c:crosses val="autoZero"/>
        <c:auto val="1"/>
        <c:lblAlgn val="ctr"/>
        <c:lblOffset val="100"/>
        <c:noMultiLvlLbl val="0"/>
      </c:catAx>
      <c:valAx>
        <c:axId val="145788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_);[Red]\([$€-2]\ 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83679"/>
        <c:crosses val="autoZero"/>
        <c:crossBetween val="between"/>
      </c:valAx>
      <c:valAx>
        <c:axId val="1460322591"/>
        <c:scaling>
          <c:orientation val="minMax"/>
          <c:min val="-0.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83039"/>
        <c:crosses val="max"/>
        <c:crossBetween val="between"/>
      </c:valAx>
      <c:catAx>
        <c:axId val="671583039"/>
        <c:scaling>
          <c:orientation val="minMax"/>
        </c:scaling>
        <c:delete val="1"/>
        <c:axPos val="b"/>
        <c:majorTickMark val="out"/>
        <c:minorTickMark val="none"/>
        <c:tickLblPos val="nextTo"/>
        <c:crossAx val="1460322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804333</xdr:colOff>
      <xdr:row>1</xdr:row>
      <xdr:rowOff>282575</xdr:rowOff>
    </xdr:from>
    <xdr:to>
      <xdr:col>5</xdr:col>
      <xdr:colOff>836084</xdr:colOff>
      <xdr:row>1</xdr:row>
      <xdr:rowOff>549275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29B3970-64BD-47DE-9DD5-A063DB94144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mcmlnb2xvY28tbXkuc2hhcmVwb2ludC5jb20vOnU6L2cvcGVyc29uYWwvbWF0aGlldV9mcmlnb2xvY29fYmUvRVhSakdYZUFSODVNcXBFRFh2VWs0RGdCYkJheTFrMTN1U0JoM3M3Z0k3WldDQQ&quot;}"/>
            </a:ext>
          </a:extLst>
        </xdr:cNvPr>
        <xdr:cNvSpPr/>
      </xdr:nvSpPr>
      <xdr:spPr>
        <a:xfrm>
          <a:off x="4295775" y="555625"/>
          <a:ext cx="1409700" cy="2667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Add Or Update</a:t>
          </a:r>
        </a:p>
      </xdr:txBody>
    </xdr:sp>
    <xdr:clientData/>
  </xdr:twoCellAnchor>
  <xdr:twoCellAnchor>
    <xdr:from>
      <xdr:col>7</xdr:col>
      <xdr:colOff>1047750</xdr:colOff>
      <xdr:row>8</xdr:row>
      <xdr:rowOff>44450</xdr:rowOff>
    </xdr:from>
    <xdr:to>
      <xdr:col>12</xdr:col>
      <xdr:colOff>323850</xdr:colOff>
      <xdr:row>18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E5B4B-4E23-A154-0E65-F9BFFCD54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66675</xdr:colOff>
      <xdr:row>8</xdr:row>
      <xdr:rowOff>47625</xdr:rowOff>
    </xdr:from>
    <xdr:to>
      <xdr:col>18</xdr:col>
      <xdr:colOff>695325</xdr:colOff>
      <xdr:row>18</xdr:row>
      <xdr:rowOff>47625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EF39F6F-790E-7F7C-C4F6-5CA8B7817CFA}"/>
            </a:ext>
            <a:ext uri="{147F2762-F138-4A5C-976F-8EAC2B608ADB}">
              <a16:predDERef xmlns:a16="http://schemas.microsoft.com/office/drawing/2014/main" pred="{44EE5B4B-4E23-A154-0E65-F9BFFCD54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177801</xdr:colOff>
      <xdr:row>8</xdr:row>
      <xdr:rowOff>63500</xdr:rowOff>
    </xdr:from>
    <xdr:to>
      <xdr:col>7</xdr:col>
      <xdr:colOff>60326</xdr:colOff>
      <xdr:row>18</xdr:row>
      <xdr:rowOff>64516</xdr:rowOff>
    </xdr:to>
    <xdr:graphicFrame macro="">
      <xdr:nvGraphicFramePr>
        <xdr:cNvPr id="14" name="Chart 8">
          <a:extLst>
            <a:ext uri="{FF2B5EF4-FFF2-40B4-BE49-F238E27FC236}">
              <a16:creationId xmlns:a16="http://schemas.microsoft.com/office/drawing/2014/main" id="{47204C76-B33B-6609-43E9-46859B9F86BF}"/>
            </a:ext>
            <a:ext uri="{147F2762-F138-4A5C-976F-8EAC2B608ADB}">
              <a16:predDERef xmlns:a16="http://schemas.microsoft.com/office/drawing/2014/main" pred="{3EF39F6F-790E-7F7C-C4F6-5CA8B7817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1661584</xdr:colOff>
      <xdr:row>1</xdr:row>
      <xdr:rowOff>282575</xdr:rowOff>
    </xdr:from>
    <xdr:to>
      <xdr:col>6</xdr:col>
      <xdr:colOff>1026583</xdr:colOff>
      <xdr:row>1</xdr:row>
      <xdr:rowOff>577850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59194B2-F047-45CD-BAC3-44857844600B}"/>
            </a:ext>
            <a:ext uri="{147F2762-F138-4A5C-976F-8EAC2B608ADB}">
              <a16:predDERef xmlns:a16="http://schemas.microsoft.com/office/drawing/2014/main" pred="{47204C76-B33B-6609-43E9-46859B9F86BF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mcmlnb2xvY28tbXkuc2hhcmVwb2ludC5jb20vOnU6L2cvcGVyc29uYWwvbWF0aGlldV9mcmlnb2xvY29fYmUvRVRlaGgyR2tsYlpMaW9Ham1EQjVfNjBCTXpSd0V4a0NTeDdJeUgyWXNqU0VaQQ&quot;}"/>
            </a:ext>
          </a:extLst>
        </xdr:cNvPr>
        <xdr:cNvSpPr/>
      </xdr:nvSpPr>
      <xdr:spPr>
        <a:xfrm>
          <a:off x="6530975" y="555625"/>
          <a:ext cx="1666875" cy="295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Import From History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2EC31-855E-409F-95C9-07E670EE22A7}" name="WeeklySummaryDataTable" displayName="WeeklySummaryDataTable" ref="B4:AE44" totalsRowCount="1" headerRowCellStyle="Normal 2">
  <autoFilter ref="B4:AE43" xr:uid="{9F32EC31-855E-409F-95C9-07E670EE22A7}"/>
  <sortState xmlns:xlrd2="http://schemas.microsoft.com/office/spreadsheetml/2017/richdata2" ref="B5:AD28">
    <sortCondition ref="C4:C28"/>
  </sortState>
  <tableColumns count="30">
    <tableColumn id="1" xr3:uid="{6AE4E850-096E-4602-A9AE-4CA935DB8183}" name="Week No"/>
    <tableColumn id="2" xr3:uid="{38CC8666-5F9C-435A-9A55-EC80F820A360}" name="Start Date"/>
    <tableColumn id="3" xr3:uid="{1EC2B859-9605-462F-BE05-44522E9D13DF}" name="End Date"/>
    <tableColumn id="15" xr3:uid="{1DE8B627-AF7C-4A4A-9E0A-C1B71281F419}" name="Total Sales" dataDxfId="96" totalsRowDxfId="97"/>
    <tableColumn id="14" xr3:uid="{40F7A654-D440-4CB5-9475-8170D6A5E0D5}" name="Total Refund" dataDxfId="94" totalsRowDxfId="95"/>
    <tableColumn id="16" xr3:uid="{FDF531EC-422E-4037-9F60-3A8D3B3A74C4}" name="FrigoLoco Discount" dataDxfId="92" totalsRowDxfId="93" dataCellStyle="Normal 2"/>
    <tableColumn id="17" xr3:uid="{5C437D93-A730-4E8D-8F4F-2E39710EFDA5}" name="Customer Credit" dataDxfId="90" totalsRowDxfId="91" dataCellStyle="Normal 2"/>
    <tableColumn id="4" xr3:uid="{41D05EBF-5057-4B84-8ABF-9C34CF5157FD}" name="Sales Turnover" dataDxfId="88" totalsRowDxfId="89">
      <calculatedColumnFormula>(WeeklySummaryDataTable[[#This Row],[Total Sales]]+WeeklySummaryDataTable[[#This Row],[Customer Credit]]-WeeklySummaryDataTable[[#This Row],[Total Refund]])/1.06</calculatedColumnFormula>
    </tableColumn>
    <tableColumn id="5" xr3:uid="{939F53CB-EBC5-41F9-BAA4-0F3367830050}" name="# Of Fridge"/>
    <tableColumn id="6" xr3:uid="{D050DA9F-6828-4C6C-96D1-3681C10A428A}" name="Catering Turnover" dataDxfId="86" totalsRowDxfId="87" dataCellStyle="Normal 2"/>
    <tableColumn id="7" xr3:uid="{C11106DE-34BB-4F87-9AE0-8AFCDE37C094}" name="TGTG Turnover" dataDxfId="84" totalsRowDxfId="85" dataCellStyle="Normal 2"/>
    <tableColumn id="8" xr3:uid="{21D95D98-B589-4BB9-8582-F7FA080D4CEF}" name="Fridge Food Cost" dataDxfId="82" totalsRowDxfId="83" dataCellStyle="Normal 2">
      <calculatedColumnFormula array="1">IFERROR(SUM(_xlfn._xlws.FILTER(ByCategoryWeeklyDispatchDataTable[Foodcost Value],ByCategoryWeeklyDispatchDataTable[Week No]=WeeklySummaryDataTable[[#This Row],[Week No]])),0)</calculatedColumnFormula>
    </tableColumn>
    <tableColumn id="29" xr3:uid="{77EB22EC-CB57-4860-B378-97926C107085}" name="Added Food Cost" dataDxfId="80" totalsRowDxfId="81" dataCellStyle="Normal 2">
      <calculatedColumnFormula array="1">IFERROR(SUM(_xlfn._xlws.FILTER(ByCategoryWeeklyAddedDataTable[Added Value],(ByCategoryWeeklyAddedDataTable[Week No]=WeeklySummaryDataTable[[#This Row],[Week No]])*(ByCategoryWeeklyAddedDataTable[Start Date]=WeeklySummaryDataTable[[#This Row],[Start Date]]))),0)</calculatedColumnFormula>
    </tableColumn>
    <tableColumn id="9" xr3:uid="{729E7168-E214-45C3-B4B7-BD9DCCC0AF7A}" name="Catering Food Cost" dataDxfId="78" totalsRowDxfId="79" dataCellStyle="Normal 2"/>
    <tableColumn id="10" xr3:uid="{03468DE9-A026-41D9-9CDD-3E38765A5C8A}" name="Logistics Cost" dataDxfId="76" totalsRowDxfId="77" dataCellStyle="Normal 2"/>
    <tableColumn id="11" xr3:uid="{1CC26CC7-0BF1-44CE-8063-D84AA0F63A45}" name="# Of Drops" totalsRowDxfId="75"/>
    <tableColumn id="12" xr3:uid="{AF1DB9C8-F7B5-4C5A-BBBA-4E0BDB2B3B52}" name="Unsold Items" dataDxfId="73" totalsRowDxfId="74" dataCellStyle="Normal 2"/>
    <tableColumn id="13" xr3:uid="{14CB2C36-1BF7-4423-8620-9AA6C0AA27AE}" name="Remarks"/>
    <tableColumn id="27" xr3:uid="{06ADE712-1157-4173-B0A5-3D2DF0897697}" name="POS &amp; Software Percentage" dataDxfId="71" totalsRowDxfId="72">
      <calculatedColumnFormula>WeeklySummaryDataTable[[#This Row],[Total Sales]]*Settings!$C$3</calculatedColumnFormula>
    </tableColumn>
    <tableColumn id="28" xr3:uid="{D056D065-894A-4E28-A396-A6E55677E46B}" name="RFID Tags" dataDxfId="69" totalsRowDxfId="70" dataCellStyle="Normal 2"/>
    <tableColumn id="18" xr3:uid="{4CE80C01-BE89-4865-9C07-D712AB30E032}" name="Per Fridge Turnover" dataDxfId="67" totalsRowDxfId="68" dataCellStyle="Normal 2">
      <calculatedColumnFormula>WeeklySummaryDataTable[[#This Row],[Sales Turnover]]/WeeklySummaryDataTable[[#This Row],['# Of Fridge]]</calculatedColumnFormula>
    </tableColumn>
    <tableColumn id="20" xr3:uid="{69D4AE34-07F1-417C-AA8D-DAB470C2C8BF}" name="Food Margin In Euro" dataDxfId="65" totalsRowDxfId="66" dataCellStyle="Normal 2">
      <calculatedColumnFormula>WeeklySummaryDataTable[[#This Row],[Sales Turnover]]-WeeklySummaryDataTable[[#This Row],[Fridge Food Cost]]</calculatedColumnFormula>
    </tableColumn>
    <tableColumn id="19" xr3:uid="{5DF3F419-B32E-4232-87C7-FB6F3ECB3EAC}" name="Food Margin %" dataDxfId="64">
      <calculatedColumnFormula>WeeklySummaryDataTable[[#This Row],[Food Margin In Euro]]/WeeklySummaryDataTable[[#This Row],[Sales Turnover]]</calculatedColumnFormula>
    </tableColumn>
    <tableColumn id="21" xr3:uid="{24CB5D38-001E-44AA-B021-7D0CB5E769CB}" name="Food Margin for catering %">
      <calculatedColumnFormula>IFERROR((WeeklySummaryDataTable[[#This Row],[Catering Turnover]]-WeeklySummaryDataTable[[#This Row],[Catering Food Cost]])/WeeklySummaryDataTable[[#This Row],[Catering Turnover]],0)</calculatedColumnFormula>
    </tableColumn>
    <tableColumn id="22" xr3:uid="{4407A2F9-6412-4754-A864-901BC1FFE41A}" name="Logistic Cost Per Fridge" dataDxfId="62" totalsRowDxfId="63" dataCellStyle="Normal 2">
      <calculatedColumnFormula>WeeklySummaryDataTable[[#This Row],[Logistics Cost]]/WeeklySummaryDataTable[[#This Row],['# Of Fridge]]</calculatedColumnFormula>
    </tableColumn>
    <tableColumn id="23" xr3:uid="{65A6D386-E872-4FA0-877C-AC8108957029}" name="Logistic %">
      <calculatedColumnFormula>IFERROR(WeeklySummaryDataTable[[#This Row],[Logistics Cost]]/WeeklySummaryDataTable[[#This Row],[Sales Turnover]],0)</calculatedColumnFormula>
    </tableColumn>
    <tableColumn id="24" xr3:uid="{AC252B5C-A007-4516-9311-90283147E2C0}" name="Unsold Item %">
      <calculatedColumnFormula>IFERROR(WeeklySummaryDataTable[[#This Row],[Unsold Items]]/WeeklySummaryDataTable[[#This Row],[Sales Turnover]],0)</calculatedColumnFormula>
    </tableColumn>
    <tableColumn id="25" xr3:uid="{2E33B4D2-604B-477B-A6A2-FD66188CADE6}" name="Net Margin" dataDxfId="60" totalsRowDxfId="61" dataCellStyle="Normal 2">
      <calculatedColumnFormula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calculatedColumnFormula>
    </tableColumn>
    <tableColumn id="26" xr3:uid="{2B655E4F-3CFA-4C7B-8EF5-BD941680BE72}" name="Net Margin %">
      <calculatedColumnFormula>IFERROR(WeeklySummaryDataTable[[#This Row],[Net Margin]]/(WeeklySummaryDataTable[[#This Row],[Sales Turnover]]+WeeklySummaryDataTable[[#This Row],[Catering Turnover]]+WeeklySummaryDataTable[[#This Row],[TGTG Turnover]]),0)</calculatedColumnFormula>
    </tableColumn>
    <tableColumn id="30" xr3:uid="{36114224-AB05-4E7D-9E3B-3DFB9CC79A96}" name="Colonne1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D43EBD-E901-48D5-9166-2153305DF1E1}" name="ByFridgeWeeklyDispatchDataTable" displayName="ByFridgeWeeklyDispatchDataTable" ref="B6:E583" totalsRowShown="0">
  <autoFilter ref="B6:E583" xr:uid="{3AD43EBD-E901-48D5-9166-2153305DF1E1}"/>
  <tableColumns count="4">
    <tableColumn id="1" xr3:uid="{B4B43B2F-36C4-4E47-BC7A-C35D5EDFF045}" name="Week No"/>
    <tableColumn id="4" xr3:uid="{C6912729-CAC6-4F7C-9E34-99053A3AAE77}" name="Week Start Date"/>
    <tableColumn id="2" xr3:uid="{8CC995C7-8C3B-48FA-AAD0-A43117D25946}" name="Fridge Name"/>
    <tableColumn id="3" xr3:uid="{CFCDE059-2400-463E-8B49-117D5999CCDA}" name="Foodcost Value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4AD1C5-4029-4D31-9702-85B71D83C413}" name="BySupplierWeeklyDispatchDataTable" displayName="BySupplierWeeklyDispatchDataTable" ref="G6:J205" totalsRowShown="0">
  <autoFilter ref="G6:J205" xr:uid="{BE4AD1C5-4029-4D31-9702-85B71D83C413}"/>
  <tableColumns count="4">
    <tableColumn id="1" xr3:uid="{1120E7C5-B8F7-4786-AEF3-1C87D58096B1}" name="Week No"/>
    <tableColumn id="4" xr3:uid="{B4577BD2-048A-4100-B6DD-1FEF7584F5ED}" name="Week Start Date"/>
    <tableColumn id="2" xr3:uid="{80D317DA-0855-4992-B88B-B6DAA9D5BCB8}" name="Supplier Name Name"/>
    <tableColumn id="3" xr3:uid="{E8D124F6-00D1-4093-A3FA-11FA1389DA58}" name="Foodcost Value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ACD31F-5540-401D-8708-82458F28B8C9}" name="ByCategoryWeeklyDispatchDataTable" displayName="ByCategoryWeeklyDispatchDataTable" ref="L6:O135" totalsRowShown="0">
  <autoFilter ref="L6:O135" xr:uid="{71ACD31F-5540-401D-8708-82458F28B8C9}"/>
  <tableColumns count="4">
    <tableColumn id="1" xr3:uid="{FC1B8EAC-6B4F-4E0C-8AFA-7C42C228A826}" name="Week No"/>
    <tableColumn id="4" xr3:uid="{CE592316-5546-405F-B97D-D617D358B01D}" name="Week Start Date"/>
    <tableColumn id="2" xr3:uid="{AE90A521-D2A6-4E37-9EC1-D9CBBC4751F6}" name="Category Name"/>
    <tableColumn id="3" xr3:uid="{7EEFAE77-8C7F-4BDD-9371-3A263E7361D5}" name="Foodcost Value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404A40E-BD00-4C52-B8F8-817C041B6FA3}" name="ByFridgeMonthlyDispatchDataTable" displayName="ByFridgeMonthlyDispatchDataTable" ref="Q6:T209" totalsRowShown="0">
  <autoFilter ref="Q6:T209" xr:uid="{C404A40E-BD00-4C52-B8F8-817C041B6FA3}"/>
  <tableColumns count="4">
    <tableColumn id="1" xr3:uid="{B722753C-A695-4EC5-A1FE-84F3D77D7D61}" name="Month Name"/>
    <tableColumn id="4" xr3:uid="{53FF2085-224E-41C9-AED5-C810584AB261}" name="Month Start Date"/>
    <tableColumn id="2" xr3:uid="{A89A9BE3-3F45-443A-BC0E-9820E823AA71}" name="Fridge Name"/>
    <tableColumn id="3" xr3:uid="{A5E36105-BBFC-4ABB-A2C4-5FA528F4E966}" name="Dispatched Value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608BD6-8887-4035-9B25-382326E6D070}" name="BySupplierMonthlyDispatchDataTable" displayName="BySupplierMonthlyDispatchDataTable" ref="V6:Y82" totalsRowShown="0">
  <autoFilter ref="V6:Y82" xr:uid="{21608BD6-8887-4035-9B25-382326E6D070}"/>
  <tableColumns count="4">
    <tableColumn id="1" xr3:uid="{AD30602C-A96A-4F24-899D-18F41961C716}" name="Month Name"/>
    <tableColumn id="4" xr3:uid="{B1DC1B72-3D98-45C0-A9F2-97039EDAC802}" name="Month Start Date"/>
    <tableColumn id="2" xr3:uid="{E9BF428B-D865-4391-A6C3-D2505C901259}" name="Supplier Name"/>
    <tableColumn id="3" xr3:uid="{66B1707A-88DA-4AB2-85ED-712E502934CA}" name="Dispatched Value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8EB3436-D375-40B3-B4D9-EE6F232B4378}" name="ByCategoryMonthlyDispatchDataTable" displayName="ByCategoryMonthlyDispatchDataTable" ref="AA6:AD50" totalsRowShown="0">
  <autoFilter ref="AA6:AD50" xr:uid="{F8EB3436-D375-40B3-B4D9-EE6F232B4378}"/>
  <tableColumns count="4">
    <tableColumn id="1" xr3:uid="{420CA1C5-F89B-4750-968C-0F89DFB34E8B}" name="Month Name"/>
    <tableColumn id="4" xr3:uid="{2462F80F-6988-4367-80DF-0C57B2991889}" name="Month Start Date"/>
    <tableColumn id="2" xr3:uid="{8A8D1245-7663-4D8C-B735-D8CDD2FA1302}" name="Category Name"/>
    <tableColumn id="3" xr3:uid="{03D1057B-C94C-42E6-9FD8-C52998181B08}" name="Dispatched Value"/>
  </tableColumns>
  <tableStyleInfo name="TableStyleLight9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F695B34-69DF-45F0-81A2-EFCDD971811F}" name="ByCategoryWeeklyAddedDataTable" displayName="ByCategoryWeeklyAddedDataTable" ref="M6:P330" totalsRowShown="0">
  <autoFilter ref="M6:P330" xr:uid="{3F695B34-69DF-45F0-81A2-EFCDD971811F}"/>
  <tableColumns count="4">
    <tableColumn id="1" xr3:uid="{A43EE530-E5A1-4065-88FE-136C2393BBD7}" name="Week No"/>
    <tableColumn id="4" xr3:uid="{F562B0C2-D874-49AD-9433-346110F8DFED}" name="Start Date"/>
    <tableColumn id="2" xr3:uid="{25625519-FA1E-4B9E-975F-2F185D73F3EA}" name="Category Name"/>
    <tableColumn id="3" xr3:uid="{FA7C8E1D-3D42-4CC8-B26C-D7B80EF33D08}" name="Added Value" dataDxfId="59" dataCellStyle="Normal 2"/>
  </tableColumns>
  <tableStyleInfo name="TableStyleLight9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8DB2108-497E-49F1-B51D-B83DB45E911E}" name="BySupplierMonthlyAddedDataTable" displayName="BySupplierMonthlyAddedDataTable" ref="W6:Z168" totalsRowShown="0">
  <autoFilter ref="W6:Z168" xr:uid="{88DB2108-497E-49F1-B51D-B83DB45E911E}"/>
  <tableColumns count="4">
    <tableColumn id="1" xr3:uid="{67007950-2CDE-4409-9090-F1D7CEE1C659}" name="Month Name"/>
    <tableColumn id="4" xr3:uid="{1B19D9D4-6C3A-46CE-87A8-B4A4EE058492}" name="Start Date"/>
    <tableColumn id="2" xr3:uid="{44B400C8-0680-43A5-9A5E-1D90B7355487}" name="Supplier Name"/>
    <tableColumn id="3" xr3:uid="{E1A6F903-EF4A-4EA7-AE5C-04D5D2B46AD5}" name="Added Value" dataDxfId="58" dataCellStyle="Normal 2"/>
  </tableColumns>
  <tableStyleInfo name="TableStyleLight9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C7E5FB5-78F8-4E69-A301-304390AF8286}" name="ByCategoryMonthlyAddedDataTable" displayName="ByCategoryMonthlyAddedDataTable" ref="AB6:AE94" totalsRowShown="0">
  <autoFilter ref="AB6:AE94" xr:uid="{6C7E5FB5-78F8-4E69-A301-304390AF8286}"/>
  <tableColumns count="4">
    <tableColumn id="1" xr3:uid="{216D8671-A242-4F4F-BF9B-27ACE43A6C05}" name="Month Name"/>
    <tableColumn id="4" xr3:uid="{02981912-DAD7-4A33-86F6-E5D13D75D953}" name="Start Date"/>
    <tableColumn id="2" xr3:uid="{C4C07502-C3D9-4C93-A207-79C606CC1362}" name="Category Name"/>
    <tableColumn id="3" xr3:uid="{945E81E1-3CB2-4B97-9D3B-2B06FEB5B4A7}" name="Added Value" dataDxfId="57" dataCellStyle="Normal 2"/>
  </tableColumns>
  <tableStyleInfo name="TableStyleLight9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8E6B438-AE67-40AF-83D5-18160547F50B}" name="ByFridgeWeeklyAddedDataTable" displayName="ByFridgeWeeklyAddedDataTable" ref="C6:F1408" totalsRowShown="0">
  <autoFilter ref="C6:F1408" xr:uid="{B8E6B438-AE67-40AF-83D5-18160547F50B}"/>
  <tableColumns count="4">
    <tableColumn id="1" xr3:uid="{6A45CD52-A5B3-4543-895C-AB97D19E6C50}" name="Week No"/>
    <tableColumn id="4" xr3:uid="{C7BA331F-7C3E-49C2-A04D-4F15EA649AF1}" name="Start Date"/>
    <tableColumn id="2" xr3:uid="{7C59F4BE-E6C1-44B5-93D4-6BE282E53B61}" name="Fridge Name"/>
    <tableColumn id="3" xr3:uid="{A70A6450-F8E3-4F48-A2E9-A3E8DB36F3B2}" name="Added Value" dataDxfId="56" dataCellStyle="Normal 2"/>
  </tableColumns>
  <tableStyleInfo name="TableStyleLight9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8D70BC7-34A8-4771-A658-1FC492DA740B}" name="BySupplierWeeklyAddedDataTable" displayName="BySupplierWeeklyAddedDataTable" ref="H6:K559" totalsRowShown="0">
  <autoFilter ref="H6:K559" xr:uid="{B8D70BC7-34A8-4771-A658-1FC492DA740B}"/>
  <tableColumns count="4">
    <tableColumn id="1" xr3:uid="{29F3AF63-EB1D-44E7-9A6E-878ED2E472DB}" name="Week No"/>
    <tableColumn id="4" xr3:uid="{15B5FE7C-8206-45BF-830C-55826625E8B2}" name="Start Date"/>
    <tableColumn id="2" xr3:uid="{5E320A9F-05BC-45C4-BAE6-ED4EFC8ED9A4}" name="Supplier Name Name"/>
    <tableColumn id="3" xr3:uid="{C12CEED7-4FB1-43E1-9B13-BA0C7D2C1542}" name="Added Value" dataDxfId="55" dataCellStyle="Normal 2"/>
  </tableColumns>
  <tableStyleInfo name="TableStyleLight9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F18DE6D-68D5-464D-8489-41E2E3E177FF}" name="ByFridgeMonthlyAddedDataTable" displayName="ByFridgeMonthlyAddedDataTable" ref="R6:U380" totalsRowShown="0">
  <autoFilter ref="R6:U380" xr:uid="{BF18DE6D-68D5-464D-8489-41E2E3E177FF}"/>
  <tableColumns count="4">
    <tableColumn id="1" xr3:uid="{35DD224B-CE2D-42D3-9545-EDF162510717}" name="Month Name"/>
    <tableColumn id="4" xr3:uid="{D3C96F36-EA22-440D-B7FD-5EF154CC563E}" name="Start Date"/>
    <tableColumn id="2" xr3:uid="{5CF2E268-45D2-4176-B248-AE6686542335}" name="Fridge Name"/>
    <tableColumn id="3" xr3:uid="{8A6E8710-CC1E-456C-9C8A-7BA12820FEFC}" name="Added Value"/>
  </tableColumns>
  <tableStyleInfo name="TableStyleLight9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5DFA9E-7473-4777-A65F-A72F210ACF36}" name="ByFridgeWeeklySalesDataTable" displayName="ByFridgeWeeklySalesDataTable" ref="B3:J1437" totalsRowShown="0">
  <autoFilter ref="B3:J1437" xr:uid="{DB5DFA9E-7473-4777-A65F-A72F210ACF36}"/>
  <tableColumns count="9">
    <tableColumn id="1" xr3:uid="{FB42BB69-F321-40ED-A136-9A5B13741AE0}" name="Week No"/>
    <tableColumn id="2" xr3:uid="{81E9882E-C986-40A8-9D72-B90AB7E1C4B5}" name="Week Start Date"/>
    <tableColumn id="3" xr3:uid="{C4B22AD2-8B4D-4557-8AC2-E9700FB822B5}" name="Fridge Name"/>
    <tableColumn id="9" xr3:uid="{C60F2B09-C9C4-4B14-8F6B-BDB0539A84E5}" name="Total Product"/>
    <tableColumn id="4" xr3:uid="{9998FD91-1D51-4537-9CC6-645F62FA9713}" name="Sales Turnover" dataDxfId="54"/>
    <tableColumn id="5" xr3:uid="{5DD5BA32-E96B-490B-A1CB-618883DF1D5B}" name="Refund Amount" dataDxfId="53"/>
    <tableColumn id="7" xr3:uid="{D3E0D41E-2C97-4248-BC98-B05DF7A24466}" name="FrigoLoco Discount" dataDxfId="52"/>
    <tableColumn id="8" xr3:uid="{042B3C9F-822A-4FD0-8A8B-BC43531EC87B}" name="Customer Credit" dataDxfId="51"/>
    <tableColumn id="6" xr3:uid="{338607F5-8E4B-4786-8079-90F217A8ED9F}" name="Net Sale" dataDxfId="50"/>
  </tableColumns>
  <tableStyleInfo name="TableStyleLight9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5F85A5-2501-4D61-91A5-0B37AC2C8988}" name="BySupplierWeeklySalesDataTable" displayName="BySupplierWeeklySalesDataTable" ref="L3:T605" totalsRowShown="0">
  <autoFilter ref="L3:T605" xr:uid="{B75F85A5-2501-4D61-91A5-0B37AC2C8988}"/>
  <tableColumns count="9">
    <tableColumn id="1" xr3:uid="{195B7B0A-BE5A-411B-A6A2-50B7F606D524}" name="Week No"/>
    <tableColumn id="2" xr3:uid="{A0DA2122-6D43-4067-9033-7EB4028A0F26}" name="Week Start Date"/>
    <tableColumn id="3" xr3:uid="{7253B128-3529-4B6F-9097-337FAB21AFB9}" name="Supplier Name"/>
    <tableColumn id="9" xr3:uid="{814381EB-2E9E-4894-A27E-E1DD5828AFA4}" name="Total Product"/>
    <tableColumn id="4" xr3:uid="{1B85010D-C015-4DB3-938C-33245E2EC5E0}" name="Sales Turnover" dataDxfId="49"/>
    <tableColumn id="7" xr3:uid="{43C8D3C1-C181-4639-B021-A037892F20A0}" name="FrigoLoco Discount" dataDxfId="48"/>
    <tableColumn id="8" xr3:uid="{22ACC32B-DDDD-4F08-A165-753C0EA82834}" name="Customer Credit" dataDxfId="47"/>
    <tableColumn id="5" xr3:uid="{2672BEBA-62CA-40D0-A9C8-1A4C2D6DFC77}" name="Refund Amount" dataDxfId="46"/>
    <tableColumn id="6" xr3:uid="{121A92DB-17DD-4C17-A0E7-87FD7E7D6DD4}" name="Net Sale" dataDxfId="45"/>
  </tableColumns>
  <tableStyleInfo name="TableStyleLight9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D5A86B-D485-4844-986D-5393216DB06D}" name="ByCategoryWeeklySalesDataTable" displayName="ByCategoryWeeklySalesDataTable" ref="V3:AD345" totalsRowShown="0">
  <autoFilter ref="V3:AD345" xr:uid="{88D5A86B-D485-4844-986D-5393216DB06D}"/>
  <tableColumns count="9">
    <tableColumn id="1" xr3:uid="{4C198023-345A-47DF-B3FF-B17B794BFB4A}" name="Week No"/>
    <tableColumn id="2" xr3:uid="{2A6DD5EF-040A-41B1-B1EF-610F95730C8C}" name="Week Start Date"/>
    <tableColumn id="3" xr3:uid="{E8099A94-A49E-4F83-B8B4-1F7D4BAFC7C1}" name="Category Name"/>
    <tableColumn id="9" xr3:uid="{279ED7EB-541D-4A7E-9A24-19C67F10BF9A}" name="Total Product"/>
    <tableColumn id="4" xr3:uid="{E1E30889-B873-4B39-BBC8-350B17AFF692}" name="Sales Turnover" dataDxfId="44"/>
    <tableColumn id="7" xr3:uid="{BEFFB4FE-9A35-43AF-A6D5-51A1DDF3B75D}" name="FrigoLoco Discount" dataDxfId="43"/>
    <tableColumn id="8" xr3:uid="{5C975718-B8E6-48EB-80CF-0A4C46D03FED}" name="Customer Credit" dataDxfId="42"/>
    <tableColumn id="5" xr3:uid="{075B04C7-EB50-4F04-B417-1BA02B5F4694}" name="Refund Amount" dataDxfId="41"/>
    <tableColumn id="6" xr3:uid="{14DBC8C7-CA83-42D9-A310-D9E107AD338B}" name="Net Sale" dataDxfId="40"/>
  </tableColumns>
  <tableStyleInfo name="TableStyleLight9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ED74D-3623-4599-A707-70C5EA3C81E2}" name="ByFridgeMonthlySalesDataTable" displayName="ByFridgeMonthlySalesDataTable" ref="AH3:AP376" totalsRowShown="0" dataDxfId="39" tableBorderDxfId="38">
  <autoFilter ref="AH3:AP376" xr:uid="{9CBED74D-3623-4599-A707-70C5EA3C81E2}"/>
  <tableColumns count="9">
    <tableColumn id="1" xr3:uid="{1B1D9F14-C95A-4700-8242-D5A01908D5C6}" name="Month Name" dataDxfId="37"/>
    <tableColumn id="2" xr3:uid="{EC74871C-0678-4FE5-B13A-920C91F9E62C}" name="Start Date" dataDxfId="36"/>
    <tableColumn id="3" xr3:uid="{7A6E56D4-CD0C-495E-AC09-DD2CCB160036}" name="Fridge Name" dataDxfId="35"/>
    <tableColumn id="9" xr3:uid="{42D0B151-B1A1-4BEE-B40E-1077B4786504}" name="Total Product" dataDxfId="34"/>
    <tableColumn id="4" xr3:uid="{42A8829E-E602-4E0C-9CFC-E097F85D28BC}" name="Sales Turnover" dataDxfId="33"/>
    <tableColumn id="5" xr3:uid="{C6238FD7-F404-4DCF-B5A9-DC1A43C8CEDF}" name="Refund Amount" dataDxfId="32"/>
    <tableColumn id="6" xr3:uid="{A6E2BBF3-B531-437D-9CDB-D9778283F52E}" name="FrigoLoco Discount" dataDxfId="31"/>
    <tableColumn id="7" xr3:uid="{13B0FC49-BC71-4252-A80D-ABE626C15193}" name="Customer Credit" dataDxfId="30"/>
    <tableColumn id="8" xr3:uid="{4725DD10-4DED-466B-8E52-769D6AB5BDDF}" name="Net Sale" dataDxfId="29"/>
  </tableColumns>
  <tableStyleInfo name="TableStyleLight9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066B7D-9DE2-4D91-AB56-969A77810DF3}" name="BySupplierMonthlySalesDataTable" displayName="BySupplierMonthlySalesDataTable" ref="AR3:AZ175" totalsRowShown="0" dataDxfId="28" tableBorderDxfId="27">
  <autoFilter ref="AR3:AZ175" xr:uid="{48066B7D-9DE2-4D91-AB56-969A77810DF3}"/>
  <tableColumns count="9">
    <tableColumn id="1" xr3:uid="{372FEDCC-5E6F-4B11-AF81-45FE61B884C4}" name="Month Name" dataDxfId="26"/>
    <tableColumn id="2" xr3:uid="{D42F7DC0-BE5B-41CE-9BE9-5A11650211A5}" name="Start Date" dataDxfId="25"/>
    <tableColumn id="3" xr3:uid="{4EFF3437-B7EE-432E-B3B4-E847C9CBD29C}" name="Supplier Name" dataDxfId="24"/>
    <tableColumn id="9" xr3:uid="{A3587C75-7619-4476-BDCD-1E631452BD09}" name="Total Product" dataDxfId="23"/>
    <tableColumn id="4" xr3:uid="{64A074BE-BEF5-4466-9724-ACBBFA01EDB3}" name="Sales Turnover" dataDxfId="22"/>
    <tableColumn id="5" xr3:uid="{37FCAEB6-CE54-48E9-9E8C-B7D0E65D430D}" name="FrigoLoco Discount" dataDxfId="21"/>
    <tableColumn id="6" xr3:uid="{D796FC1A-F74C-4BD4-ABF5-754BA010E196}" name="Customer Credit" dataDxfId="20"/>
    <tableColumn id="7" xr3:uid="{C06A2284-EDF8-4FAA-8112-8E7D44B79EC0}" name="Refund Amount" dataDxfId="19"/>
    <tableColumn id="8" xr3:uid="{1B85E1AC-3336-46FD-8685-455CB35ADE25}" name="Net Sale" dataDxfId="18"/>
  </tableColumns>
  <tableStyleInfo name="TableStyleLight9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5F6E7A-1177-44A9-86C7-89D2C31C1272}" name="ByCategoryMonthlySalesDataTable" displayName="ByCategoryMonthlySalesDataTable" ref="BB3:BJ95" totalsRowShown="0" dataDxfId="17" tableBorderDxfId="16">
  <autoFilter ref="BB3:BJ95" xr:uid="{765F6E7A-1177-44A9-86C7-89D2C31C1272}"/>
  <tableColumns count="9">
    <tableColumn id="1" xr3:uid="{C177329A-20AC-4FB9-B6AC-4313161C4D6C}" name="Month Name" dataDxfId="15"/>
    <tableColumn id="2" xr3:uid="{74BE3C46-EC06-4A9F-B3FF-4BBCF1BABE52}" name="Start Date" dataDxfId="14"/>
    <tableColumn id="3" xr3:uid="{9ECB59B1-D99F-46F2-A209-87E24859DFBE}" name="Category Name" dataDxfId="13"/>
    <tableColumn id="9" xr3:uid="{C9F7C7BA-4244-41FE-BE84-6BBEDBE4F354}" name="Total Product" dataDxfId="12"/>
    <tableColumn id="4" xr3:uid="{98BE3E0C-7A89-4E35-8E07-C12D8A2C7622}" name="Sales Turnover" dataDxfId="11"/>
    <tableColumn id="5" xr3:uid="{3DE561A9-1E99-4DDB-9890-72E765F8B9D4}" name="FrigoLoco Discount" dataDxfId="10"/>
    <tableColumn id="6" xr3:uid="{EE18A9C9-E215-46BD-A66A-5707379B4B4D}" name="Customer Credit" dataDxfId="9"/>
    <tableColumn id="7" xr3:uid="{9D4202CB-B66A-4885-9DEC-0A15B9C87E85}" name="Refund Amount" dataDxfId="8"/>
    <tableColumn id="8" xr3:uid="{0895589F-2D64-4592-BD33-EE1E76C1729E}" name="Net Sale" dataDxfId="7"/>
  </tableColumns>
  <tableStyleInfo name="TableStyleLight9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60CA34-FBBD-4174-888B-14EB92BB2C5A}" name="FractionListTable" displayName="FractionListTable" ref="C3:E891" totalsRowShown="0">
  <autoFilter ref="C3:E891" xr:uid="{EE60CA34-FBBD-4174-888B-14EB92BB2C5A}"/>
  <tableColumns count="3">
    <tableColumn id="1" xr3:uid="{1E770C46-A29F-475E-B954-D779D1F5928B}" name="Fridge Name"/>
    <tableColumn id="2" xr3:uid="{910F4AD1-2C01-4A61-8216-DA7346AAE3B5}" name="Month"/>
    <tableColumn id="3" xr3:uid="{CC491CA4-DB45-4C86-BC56-23CD9709CDA3}" name="Fraction %" dataDxfId="6">
      <calculatedColumnFormula>100/$J$14/100</calculatedColumnFormula>
    </tableColumn>
  </tableColumns>
  <tableStyleInfo name="TableStyleLight9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275AC0-4404-4E92-ABF7-B1638388896C}" name="FeeListTable" displayName="FeeListTable" ref="C3:E43" totalsRowShown="0">
  <autoFilter ref="C3:E43" xr:uid="{98275AC0-4404-4E92-ABF7-B1638388896C}"/>
  <tableColumns count="3">
    <tableColumn id="1" xr3:uid="{8AA8525E-C421-4F31-8BFE-CE0020C6D14C}" name="Fridge Name"/>
    <tableColumn id="2" xr3:uid="{DDFF79FB-81E8-4529-B4AC-67656676D7C7}" name="Yearly Fee" dataDxfId="5"/>
    <tableColumn id="3" xr3:uid="{1AE12938-0BDF-4BF6-9E08-CF60A64E92CE}" name="Contract End Date"/>
  </tableColumns>
  <tableStyleInfo name="TableStyleLight9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842D091-78C9-4903-ADF3-3271EB7D64C2}" name="ServiceAdditionalsTable" displayName="ServiceAdditionalsTable" ref="C3:E4" totalsRowShown="0" headerRowDxfId="4" tableBorderDxfId="3">
  <autoFilter ref="C3:E4" xr:uid="{B842D091-78C9-4903-ADF3-3271EB7D64C2}"/>
  <tableColumns count="3">
    <tableColumn id="1" xr3:uid="{251585BB-E121-4C70-806E-02099482A13E}" name="Fridge Name" dataDxfId="2"/>
    <tableColumn id="2" xr3:uid="{93C993CD-A774-4A36-8CAC-A2222A903933}" name="Month" dataDxfId="1"/>
    <tableColumn id="3" xr3:uid="{754AC250-0774-4015-84E1-466F037D4711}" name="Service Additionals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92" row="9">
    <wetp:webextensionref xmlns:r="http://schemas.openxmlformats.org/officeDocument/2006/relationships" r:id="rId1"/>
  </wetp:taskpane>
  <wetp:taskpane dockstate="right" visibility="0" width="1024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2829130-24C8-4C25-B7FC-290A7850B195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EB5519CE-8E63-41C1-94C7-91F9D1FF927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3423586-7BF0-4B8C-8039-566B7E4A7E7B}">
  <we:reference id="29673e3c-d826-4f00-92ee-162334a52b1a" version="1.0.0.5" store="EXCatalog" storeType="EXCatalog"/>
  <we:alternateReferences>
    <we:reference id="WA200009404" version="1.0.0.5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2738-8DBA-4A85-819F-017BFE7986E3}">
  <sheetPr codeName="Sheet7"/>
  <dimension ref="B2:E12"/>
  <sheetViews>
    <sheetView showGridLines="0" workbookViewId="0">
      <selection activeCell="B14" sqref="B14"/>
    </sheetView>
  </sheetViews>
  <sheetFormatPr defaultColWidth="8.69921875" defaultRowHeight="18.95"/>
  <cols>
    <col min="2" max="2" width="23" bestFit="1" customWidth="1"/>
    <col min="3" max="3" width="29.8984375" bestFit="1" customWidth="1"/>
    <col min="4" max="4" width="11.3984375" bestFit="1" customWidth="1"/>
    <col min="5" max="5" width="32" customWidth="1"/>
  </cols>
  <sheetData>
    <row r="2" spans="2:5">
      <c r="B2" s="68" t="s">
        <v>0</v>
      </c>
      <c r="C2" s="69" t="s">
        <v>1</v>
      </c>
      <c r="D2" s="70" t="s">
        <v>2</v>
      </c>
      <c r="E2" s="71" t="s">
        <v>3</v>
      </c>
    </row>
    <row r="3" spans="2:5" ht="15.95" customHeight="1">
      <c r="B3" s="72" t="s">
        <v>4</v>
      </c>
      <c r="C3" s="73">
        <v>0.09</v>
      </c>
      <c r="D3" s="74"/>
      <c r="E3" s="75" t="s">
        <v>5</v>
      </c>
    </row>
    <row r="4" spans="2:5" ht="15.95" customHeight="1">
      <c r="B4" s="62" t="s">
        <v>6</v>
      </c>
      <c r="C4" s="1">
        <v>0.1</v>
      </c>
      <c r="D4" s="61" t="s">
        <v>7</v>
      </c>
      <c r="E4" s="63" t="s">
        <v>8</v>
      </c>
    </row>
    <row r="5" spans="2:5">
      <c r="B5" s="64" t="s">
        <v>9</v>
      </c>
      <c r="C5" s="65" t="s">
        <v>10</v>
      </c>
      <c r="D5" s="66"/>
      <c r="E5" s="67" t="s">
        <v>11</v>
      </c>
    </row>
    <row r="9" spans="2:5">
      <c r="B9" t="s">
        <v>12</v>
      </c>
    </row>
    <row r="11" spans="2:5">
      <c r="B11" t="s">
        <v>13</v>
      </c>
      <c r="C11" s="16">
        <v>0.06</v>
      </c>
    </row>
    <row r="12" spans="2:5"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6395-AD0A-4EC4-A306-E35C0D38D5DB}">
  <sheetPr codeName="Sheet9">
    <tabColor theme="6"/>
  </sheetPr>
  <dimension ref="B1:T66"/>
  <sheetViews>
    <sheetView showGridLines="0" topLeftCell="A36" zoomScaleNormal="100" workbookViewId="0">
      <selection activeCell="J58" sqref="J58"/>
    </sheetView>
  </sheetViews>
  <sheetFormatPr defaultColWidth="8.69921875" defaultRowHeight="18.95"/>
  <cols>
    <col min="1" max="1" width="2.59765625" customWidth="1"/>
    <col min="2" max="2" width="4.8984375" customWidth="1"/>
    <col min="3" max="3" width="14.5" customWidth="1"/>
    <col min="4" max="4" width="14.8984375" style="10" customWidth="1"/>
    <col min="5" max="5" width="14.69921875" style="10" customWidth="1"/>
    <col min="6" max="6" width="24" style="10" customWidth="1"/>
    <col min="7" max="7" width="21.8984375" style="10" customWidth="1"/>
    <col min="8" max="8" width="10.5" customWidth="1"/>
    <col min="9" max="9" width="28.296875" customWidth="1"/>
    <col min="10" max="10" width="14.59765625" customWidth="1"/>
    <col min="11" max="11" width="12.69921875" style="81" customWidth="1"/>
    <col min="12" max="12" width="10" style="10" customWidth="1"/>
    <col min="13" max="13" width="9.09765625" customWidth="1"/>
    <col min="14" max="14" width="3" customWidth="1"/>
    <col min="15" max="15" width="4.296875" customWidth="1"/>
    <col min="16" max="16" width="26.8984375" bestFit="1" customWidth="1"/>
    <col min="17" max="17" width="11" customWidth="1"/>
    <col min="18" max="18" width="9.69921875" bestFit="1" customWidth="1"/>
    <col min="19" max="19" width="10.296875" bestFit="1" customWidth="1"/>
    <col min="22" max="22" width="12" bestFit="1" customWidth="1"/>
    <col min="23" max="23" width="12.59765625" bestFit="1" customWidth="1"/>
    <col min="24" max="24" width="8" bestFit="1" customWidth="1"/>
  </cols>
  <sheetData>
    <row r="1" spans="2:13" ht="21" customHeight="1">
      <c r="C1" s="206" t="s">
        <v>15</v>
      </c>
      <c r="D1" s="206"/>
      <c r="E1" s="206"/>
      <c r="F1" s="206"/>
      <c r="G1" s="206"/>
      <c r="H1" s="206"/>
      <c r="I1" s="206"/>
      <c r="J1" s="206"/>
      <c r="K1" s="206"/>
      <c r="L1"/>
    </row>
    <row r="2" spans="2:13" ht="66" customHeight="1" thickBot="1">
      <c r="D2"/>
      <c r="E2"/>
      <c r="F2"/>
      <c r="G2"/>
      <c r="K2" s="79"/>
      <c r="L2"/>
    </row>
    <row r="3" spans="2:13" ht="21.95">
      <c r="B3" s="151" t="s">
        <v>16</v>
      </c>
      <c r="C3" s="152" t="s">
        <v>17</v>
      </c>
      <c r="D3" s="152" t="s">
        <v>18</v>
      </c>
      <c r="E3" s="152" t="s">
        <v>19</v>
      </c>
      <c r="F3" s="152" t="s">
        <v>20</v>
      </c>
      <c r="G3" s="152" t="s">
        <v>21</v>
      </c>
      <c r="H3" s="152" t="s">
        <v>22</v>
      </c>
      <c r="I3" s="152" t="s">
        <v>23</v>
      </c>
      <c r="J3" s="210" t="s">
        <v>24</v>
      </c>
      <c r="K3" s="210"/>
      <c r="L3" s="210"/>
      <c r="M3" s="211"/>
    </row>
    <row r="4" spans="2:13" ht="47.25" customHeight="1">
      <c r="B4" s="197">
        <v>2026</v>
      </c>
      <c r="C4" s="198">
        <v>26</v>
      </c>
      <c r="D4" s="199"/>
      <c r="E4" s="199">
        <v>55</v>
      </c>
      <c r="F4" s="199"/>
      <c r="G4" s="196"/>
      <c r="H4" s="200">
        <v>120</v>
      </c>
      <c r="I4" s="199">
        <v>0</v>
      </c>
      <c r="J4" s="208"/>
      <c r="K4" s="208"/>
      <c r="L4" s="208"/>
      <c r="M4" s="209"/>
    </row>
    <row r="5" spans="2:13" ht="105" customHeight="1" thickBot="1">
      <c r="D5" s="13"/>
      <c r="E5" s="13"/>
      <c r="F5" s="13"/>
      <c r="G5" s="13"/>
      <c r="H5" s="13"/>
      <c r="I5" s="14"/>
      <c r="J5" s="13"/>
      <c r="K5" s="80"/>
      <c r="L5"/>
    </row>
    <row r="6" spans="2:13">
      <c r="C6" s="153" t="s">
        <v>25</v>
      </c>
      <c r="D6" s="154" t="s">
        <v>26</v>
      </c>
      <c r="E6" s="155" t="s">
        <v>27</v>
      </c>
      <c r="F6" s="13"/>
      <c r="G6" s="13"/>
      <c r="H6" s="13"/>
      <c r="I6" s="14"/>
      <c r="J6" s="13"/>
      <c r="K6" s="80"/>
      <c r="L6"/>
    </row>
    <row r="7" spans="2:13" ht="20.100000000000001" thickBot="1">
      <c r="C7" s="156" cm="1">
        <f t="array" ref="C7">WeekStartDate(WeeklyViewWeekNo,WeeklyViewYear)</f>
        <v>46195</v>
      </c>
      <c r="D7" s="157">
        <f>C7+6</f>
        <v>46201</v>
      </c>
      <c r="E7" s="158" t="b">
        <f>NOT(ISNA(MATCH(C4,WeeklySummaryDataTable[Week No],0)))</f>
        <v>1</v>
      </c>
      <c r="F7" s="13"/>
      <c r="G7" s="13"/>
      <c r="H7" s="13"/>
      <c r="I7" s="14"/>
      <c r="J7" s="13"/>
      <c r="K7" s="80"/>
      <c r="L7"/>
    </row>
    <row r="8" spans="2:13" ht="33" customHeight="1">
      <c r="C8" s="15"/>
      <c r="D8" s="13"/>
      <c r="E8" s="13"/>
      <c r="F8" s="13"/>
      <c r="G8" s="13"/>
      <c r="H8" s="13"/>
      <c r="I8" s="14"/>
      <c r="J8" s="13"/>
      <c r="K8" s="80"/>
      <c r="L8"/>
    </row>
    <row r="9" spans="2:13" ht="42.75" customHeight="1">
      <c r="E9"/>
      <c r="F9"/>
      <c r="G9"/>
      <c r="K9" s="79"/>
      <c r="L9"/>
    </row>
    <row r="10" spans="2:13" ht="33" customHeight="1">
      <c r="E10"/>
      <c r="F10"/>
      <c r="G10"/>
      <c r="K10" s="79"/>
      <c r="L10"/>
    </row>
    <row r="11" spans="2:13" ht="45.75" customHeight="1">
      <c r="E11"/>
      <c r="F11"/>
      <c r="G11"/>
      <c r="K11" s="79"/>
      <c r="L11"/>
    </row>
    <row r="12" spans="2:13" ht="48" customHeight="1">
      <c r="E12"/>
      <c r="F12"/>
      <c r="G12"/>
      <c r="K12" s="79"/>
      <c r="L12"/>
    </row>
    <row r="13" spans="2:13">
      <c r="E13"/>
      <c r="F13"/>
      <c r="G13"/>
      <c r="K13" s="79"/>
      <c r="L13"/>
    </row>
    <row r="14" spans="2:13">
      <c r="E14"/>
      <c r="F14"/>
      <c r="G14"/>
      <c r="K14" s="79"/>
      <c r="L14"/>
    </row>
    <row r="15" spans="2:13">
      <c r="E15"/>
      <c r="F15"/>
      <c r="G15"/>
      <c r="K15" s="79"/>
      <c r="L15"/>
    </row>
    <row r="16" spans="2:13">
      <c r="D16"/>
      <c r="E16"/>
      <c r="F16"/>
      <c r="G16"/>
      <c r="K16" s="79"/>
      <c r="L16"/>
    </row>
    <row r="17" spans="2:20">
      <c r="D17"/>
      <c r="E17"/>
      <c r="F17"/>
      <c r="G17"/>
      <c r="K17" s="79"/>
      <c r="L17"/>
    </row>
    <row r="18" spans="2:20">
      <c r="K18" s="79"/>
      <c r="L18"/>
    </row>
    <row r="19" spans="2:20">
      <c r="K19" s="79"/>
      <c r="L19"/>
    </row>
    <row r="20" spans="2:20" ht="21.75" customHeight="1">
      <c r="B20" s="207" t="str">
        <f>"W" &amp; C23&amp;"-"&amp;"W"&amp;C31&amp; " sales turnover, food margin and logistics"</f>
        <v>W18-W26 sales turnover, food margin and logistics</v>
      </c>
      <c r="C20" s="207"/>
      <c r="D20" s="207"/>
      <c r="E20" s="207"/>
      <c r="F20" s="207"/>
      <c r="G20" s="140"/>
      <c r="I20" s="206" t="str">
        <f>"Week " &amp; WeeklyViewWeekNo &amp; " Food Margin By Fridge"</f>
        <v>Week 26 Food Margin By Fridge</v>
      </c>
      <c r="J20" s="206"/>
      <c r="K20" s="206"/>
      <c r="L20" s="206"/>
      <c r="P20" s="206" t="str">
        <f>"Week " &amp; WeeklyViewWeekNo &amp; " Food Margin By Category"</f>
        <v>Week 26 Food Margin By Category</v>
      </c>
      <c r="Q20" s="206"/>
      <c r="R20" s="206"/>
      <c r="S20" s="206"/>
    </row>
    <row r="21" spans="2:20" ht="44.45" customHeight="1">
      <c r="D21"/>
      <c r="E21"/>
      <c r="F21"/>
      <c r="G21"/>
      <c r="K21" s="79"/>
      <c r="L21"/>
      <c r="R21" s="118"/>
    </row>
    <row r="22" spans="2:20">
      <c r="B22" s="193" t="s">
        <v>16</v>
      </c>
      <c r="C22" s="143" t="s">
        <v>17</v>
      </c>
      <c r="D22" s="144" t="s">
        <v>21</v>
      </c>
      <c r="E22" s="144" t="s">
        <v>28</v>
      </c>
      <c r="F22" s="144" t="s">
        <v>29</v>
      </c>
      <c r="G22" s="145" t="s">
        <v>30</v>
      </c>
      <c r="I22" s="176" t="s">
        <v>31</v>
      </c>
      <c r="J22" s="177" t="s">
        <v>32</v>
      </c>
      <c r="K22" s="178" t="s">
        <v>33</v>
      </c>
      <c r="L22" s="177" t="s">
        <v>34</v>
      </c>
      <c r="M22" s="179" t="s">
        <v>35</v>
      </c>
      <c r="P22" s="180" t="s">
        <v>36</v>
      </c>
      <c r="Q22" s="181" t="s">
        <v>32</v>
      </c>
      <c r="R22" s="181" t="s">
        <v>33</v>
      </c>
      <c r="S22" s="181" t="s">
        <v>34</v>
      </c>
      <c r="T22" s="182" t="s">
        <v>37</v>
      </c>
    </row>
    <row r="23" spans="2:20">
      <c r="B23" s="194" cm="1">
        <f t="array" ref="B23:C31">_xlfn.LET(_xlpm.WeekStartDate, C7, _xlpm.WeekOffsets, _xlfn.SEQUENCE(9, 1, -8, 1), _xlpm.TargetDates, _xlpm.WeekStartDate + _xlpm.WeekOffsets * 7, _xlfn.HSTACK(YEAR(_xlpm.TargetDates), _xlfn.ISOWEEKNUM(_xlpm.TargetDates)))</f>
        <v>2026</v>
      </c>
      <c r="C23" s="146">
        <v>18</v>
      </c>
      <c r="D23" s="48" cm="1">
        <f t="array" ref="D23:D31">_xlfn.MAP(_xlfn.CHOOSECOLS(_xlfn.ANCHORARRAY(B23), 1), _xlfn.CHOOSECOLS(_xlfn.ANCHORARRAY(B23), 2), _xlfn.LAMBDA(_xlpm.Year,_xlpm.WeekNo, _xlfn.XLOOKUP(1, (WeeklySummaryDataTable[Week No] = _xlpm.WeekNo) * (YEAR(WeeklySummaryDataTable[Start Date]) = _xlpm.Year), WeeklySummaryDataTable[Logistics Cost], 0)))</f>
        <v>1709</v>
      </c>
      <c r="E23" s="48" cm="1">
        <f t="array" ref="E23:E31">_xlfn.MAP(_xlfn.CHOOSECOLS(_xlfn.ANCHORARRAY(B23), 1), _xlfn.CHOOSECOLS(_xlfn.ANCHORARRAY(B23), 2), _xlfn.LAMBDA(_xlpm.Year,_xlpm.WeekNo, _xlfn.XLOOKUP(1, (WeeklySummaryDataTable[Week No] = _xlpm.WeekNo) * (YEAR(WeeklySummaryDataTable[Start Date]) = _xlpm.Year), WeeklySummaryDataTable[Added Food Cost], 0)))</f>
        <v>10551.300000000023</v>
      </c>
      <c r="F23" s="48" cm="1">
        <f t="array" ref="F23:F31">_xlfn.MAP(_xlfn.CHOOSECOLS(_xlfn.ANCHORARRAY(B23), 1), _xlfn.CHOOSECOLS(_xlfn.ANCHORARRAY(B23), 2), _xlfn.LAMBDA(_xlpm.Year,_xlpm.WeekNo, _xlfn.XLOOKUP(1, (WeeklySummaryDataTable[Week No] = _xlpm.WeekNo) * (YEAR(WeeklySummaryDataTable[Start Date]) = _xlpm.Year), WeeklySummaryDataTable[Sales Turnover], 0)))</f>
        <v>13518.820754716975</v>
      </c>
      <c r="G23" s="147" cm="1">
        <f t="array" ref="G23:G31">_xlfn.MAP(_xlfn.CHOOSECOLS(_xlfn.ANCHORARRAY(B23), 1), _xlfn.CHOOSECOLS(_xlfn.ANCHORARRAY(B23), 2), _xlfn.LAMBDA(_xlpm.Year,_xlpm.WeekNo, _xlfn.XLOOKUP(1, (WeeklySummaryDataTable[Week No] = _xlpm.WeekNo) * (YEAR(WeeklySummaryDataTable[Start Date]) = _xlpm.Year), WeeklySummaryDataTable[Net Margin %], 0)))</f>
        <v>7.1988791768255872E-3</v>
      </c>
      <c r="I23" s="159" t="str" cm="1">
        <f t="array" ref="I23:M63">_xlfn.LET(_xlpm.SalesData, _xlfn._xlws.FILTER(_xlfn.HSTACK(ByFridgeWeeklySalesDataTable[Fridge Name], ByFridgeWeeklySalesDataTable[Net Sale]), (ByFridgeWeeklySalesDataTable[Week No] = WeeklyViewWeekNo) * (YEAR(ByFridgeWeeklySalesDataTable[Week Start Date]) = WeeklyViewYear)), _xlpm.FoodCostData, _xlfn._xlws.FILTER(_xlfn.HSTACK(ByFridgeWeeklyDispatchDataTable[Fridge Name], ByFridgeWeeklyDispatchDataTable[Foodcost Value]), (ByFridgeWeeklyDispatchDataTable[Week No] = WeeklyViewWeekNo) * (YEAR(ByFridgeWeeklyDispatchDataTable[Week Start Date]) = WeeklyViewYear)), _xlpm.StackedData, _xlfn.VSTACK(IFERROR(_xlpm.SalesData, ""), IFERROR(_xlpm.FoodCostData, "")), _xlpm.UniqueFridgeName, _xlfn.UNIQUE(_xlfn.CHOOSECOLS(_xlfn._xlws.FILTER(_xlpm.StackedData, _xlfn.CHOOSECOLS(_xlpm.StackedData, 1) &lt;&gt; ""), 1)), _xlpm.SalesByFridge, _xlfn.MAP(_xlpm.UniqueFridgeName, _xlfn.LAMBDA(_xlpm.FridgeName, IFERROR(_xlfn._xlws.FILTER(_xlfn.CHOOSECOLS(_xlpm.SalesData, 2), _xlfn.CHOOSECOLS(_xlpm.SalesData, 1) = _xlpm.FridgeName), 0))), _xlpm.FoodCost, _xlfn.MAP(_xlpm.UniqueFridgeName, _xlfn.LAMBDA(_xlpm.FridgeName, IFERROR(_xlfn.XLOOKUP(_xlpm.FridgeName, _xlfn.CHOOSECOLS(_xlpm.FoodCostData, 1), _xlfn.CHOOSECOLS(_xlpm.FoodCostData, 2), 0), 0))), _xlpm.Margin, _xlpm.SalesByFridge - _xlpm.FoodCost, _xlpm.MarginPercentage, IFERROR(_xlpm.Margin / _xlpm.SalesByFridge, 0), _xlpm.Sorted, _xlfn.SORTBY(_xlfn.HSTACK(_xlpm.UniqueFridgeName, _xlpm.SalesByFridge, _xlpm.FoodCost, _xlpm.Margin, _xlpm.MarginPercentage), _xlpm.Margin, 1), _xlpm.Result, _xlfn._xlws.FILTER(_xlpm.Sorted, _xlfn.CHOOSECOLS(_xlpm.Sorted, 1) &lt;&gt; 0), _xlpm.Result)</f>
        <v>Allnex Freezer</v>
      </c>
      <c r="J23" s="50">
        <v>283.88</v>
      </c>
      <c r="K23" s="49">
        <v>380.65</v>
      </c>
      <c r="L23" s="49">
        <v>-96.769999999999982</v>
      </c>
      <c r="M23" s="160">
        <v>-0.34088347188953072</v>
      </c>
      <c r="P23" s="83" t="str" cm="1">
        <f t="array" ref="P23:T32">_xlfn.LET(_xlpm.SalesData, _xlfn._xlws.FILTER(_xlfn.HSTACK(ByCategoryWeeklySalesDataTable[Category Name], ByCategoryWeeklySalesDataTable[Net Sale]), (ByCategoryWeeklySalesDataTable[Week No] = WeeklyViewWeekNo) * (YEAR(ByCategoryWeeklySalesDataTable[Week Start Date]) = WeeklyViewYear)), _xlpm.FoodCostData, _xlfn._xlws.FILTER(_xlfn.HSTACK(ByCategoryWeeklyDispatchDataTable[Category Name], ByCategoryWeeklyDispatchDataTable[Foodcost Value]), (ByCategoryWeeklyDispatchDataTable[Week No] = WeeklyViewWeekNo) * (YEAR(ByCategoryWeeklyDispatchDataTable[Week Start Date]) = WeeklyViewYear)), _xlpm.StackedData, _xlfn.VSTACK(IFERROR(_xlpm.SalesData, ""), IFERROR(_xlpm.FoodCostData, "")), _xlpm.UniqueCategoryName, _xlfn.UNIQUE(_xlfn.CHOOSECOLS(_xlfn._xlws.FILTER(_xlpm.StackedData, NOT(ISNA(_xlfn.CHOOSECOLS(_xlpm.StackedData, 2)))), 1)), _xlpm.SalesByCategory, _xlfn.MAP(_xlpm.UniqueCategoryName, _xlfn.LAMBDA(_xlpm.CategoryName, IFERROR(_xlfn._xlws.FILTER(_xlfn.CHOOSECOLS(_xlpm.SalesData, 2), _xlfn.CHOOSECOLS(_xlpm.SalesData, 1) = _xlpm.CategoryName), 0))), _xlpm.FoodCost, _xlfn.MAP(_xlpm.UniqueCategoryName, _xlfn.LAMBDA(_xlpm.CategoryName, IFERROR(_xlfn.XLOOKUP(_xlpm.CategoryName, _xlfn.CHOOSECOLS(_xlpm.FoodCostData, 1), _xlfn.CHOOSECOLS(_xlpm.FoodCostData, 2), 0), 0))), _xlpm.Margin, _xlpm.SalesByCategory - _xlpm.FoodCost, _xlpm.MarginPercentage, IFERROR(_xlpm.Margin / _xlpm.SalesByCategory, 0), _xlpm.Sorted, _xlfn.SORTBY(_xlfn.HSTACK(_xlpm.UniqueCategoryName, _xlpm.SalesByCategory, _xlpm.FoodCost, _xlpm.Margin, _xlpm.MarginPercentage), _xlpm.Margin, 1), _xlpm.Sorted)</f>
        <v>10. Frozen Warm Dishes</v>
      </c>
      <c r="Q23" s="49">
        <v>283.88</v>
      </c>
      <c r="R23" s="49">
        <v>380.65</v>
      </c>
      <c r="S23" s="49">
        <v>-96.769999999999982</v>
      </c>
      <c r="T23" s="168">
        <v>-0.34088347188953072</v>
      </c>
    </row>
    <row r="24" spans="2:20">
      <c r="B24" s="194">
        <v>2026</v>
      </c>
      <c r="C24" s="146">
        <v>19</v>
      </c>
      <c r="D24" s="48">
        <v>1728.72</v>
      </c>
      <c r="E24" s="48">
        <v>11043.590000000035</v>
      </c>
      <c r="F24" s="48">
        <v>14729.009433962241</v>
      </c>
      <c r="G24" s="147">
        <v>6.2809039598494043E-2</v>
      </c>
      <c r="I24" s="159" t="str">
        <v>Spadel Brussels</v>
      </c>
      <c r="J24" s="50">
        <v>125.58</v>
      </c>
      <c r="K24" s="49">
        <v>155.9</v>
      </c>
      <c r="L24" s="49">
        <v>-30.320000000000007</v>
      </c>
      <c r="M24" s="160">
        <v>-0.24143971970058933</v>
      </c>
      <c r="P24" s="83" t="str">
        <v>Unknown</v>
      </c>
      <c r="Q24" s="49">
        <v>3.2</v>
      </c>
      <c r="R24" s="49">
        <v>0</v>
      </c>
      <c r="S24" s="49">
        <v>3.2</v>
      </c>
      <c r="T24" s="168">
        <v>1</v>
      </c>
    </row>
    <row r="25" spans="2:20">
      <c r="B25" s="194">
        <v>2026</v>
      </c>
      <c r="C25" s="146">
        <v>20</v>
      </c>
      <c r="D25" s="48">
        <v>1514.2</v>
      </c>
      <c r="E25" s="48">
        <v>10473.69000000001</v>
      </c>
      <c r="F25" s="48">
        <v>12398.028301886769</v>
      </c>
      <c r="G25" s="147">
        <v>-9.148770648345933E-2</v>
      </c>
      <c r="I25" s="159" t="str">
        <v>Lhoist Corbais</v>
      </c>
      <c r="J25" s="50">
        <v>53.559999999999995</v>
      </c>
      <c r="K25" s="49">
        <v>81.67</v>
      </c>
      <c r="L25" s="49">
        <v>-28.110000000000007</v>
      </c>
      <c r="M25" s="160">
        <v>-0.52483196415235267</v>
      </c>
      <c r="P25" s="83" t="str">
        <v>3. Warm Dishes Jar</v>
      </c>
      <c r="Q25" s="49">
        <v>372.87000000000012</v>
      </c>
      <c r="R25" s="49">
        <v>227.3</v>
      </c>
      <c r="S25" s="49">
        <v>145.57000000000011</v>
      </c>
      <c r="T25" s="168">
        <v>0.39040416230857955</v>
      </c>
    </row>
    <row r="26" spans="2:20">
      <c r="B26" s="194">
        <v>2026</v>
      </c>
      <c r="C26" s="146">
        <v>21</v>
      </c>
      <c r="D26" s="48">
        <v>0</v>
      </c>
      <c r="E26" s="48">
        <v>0</v>
      </c>
      <c r="F26" s="48">
        <v>0</v>
      </c>
      <c r="G26" s="147">
        <v>0</v>
      </c>
      <c r="I26" s="159" t="str">
        <v>Atelier rue du Cerf</v>
      </c>
      <c r="J26" s="50">
        <v>117.48000000000002</v>
      </c>
      <c r="K26" s="49">
        <v>128.13</v>
      </c>
      <c r="L26" s="49">
        <v>-10.649999999999977</v>
      </c>
      <c r="M26" s="160">
        <v>-9.0653728294177519E-2</v>
      </c>
      <c r="P26" s="83" t="str">
        <v>4. Warm Dishes</v>
      </c>
      <c r="Q26" s="49">
        <v>1938.6000000000042</v>
      </c>
      <c r="R26" s="49">
        <v>1602.13</v>
      </c>
      <c r="S26" s="49">
        <v>336.47000000000412</v>
      </c>
      <c r="T26" s="168">
        <v>0.17356339626534786</v>
      </c>
    </row>
    <row r="27" spans="2:20">
      <c r="B27" s="194">
        <v>2026</v>
      </c>
      <c r="C27" s="146">
        <v>22</v>
      </c>
      <c r="D27" s="48">
        <v>1583</v>
      </c>
      <c r="E27" s="48">
        <v>9993.4600000000319</v>
      </c>
      <c r="F27" s="48">
        <v>13073.660377358439</v>
      </c>
      <c r="G27" s="147">
        <v>2.7660040470291278E-2</v>
      </c>
      <c r="I27" s="159" t="str">
        <v>Velux</v>
      </c>
      <c r="J27" s="50">
        <v>134.52999999999997</v>
      </c>
      <c r="K27" s="49">
        <v>141.01</v>
      </c>
      <c r="L27" s="49">
        <v>-6.4800000000000182</v>
      </c>
      <c r="M27" s="160">
        <v>-4.8167694937932208E-2</v>
      </c>
      <c r="P27" s="83" t="str">
        <v>6. Snacks</v>
      </c>
      <c r="Q27" s="49">
        <v>921.09000000000208</v>
      </c>
      <c r="R27" s="49">
        <v>534.78</v>
      </c>
      <c r="S27" s="49">
        <v>386.31000000000211</v>
      </c>
      <c r="T27" s="168">
        <v>0.41940526984333915</v>
      </c>
    </row>
    <row r="28" spans="2:20">
      <c r="B28" s="194">
        <v>2026</v>
      </c>
      <c r="C28" s="146">
        <v>23</v>
      </c>
      <c r="D28" s="48">
        <v>1983.33</v>
      </c>
      <c r="E28" s="48">
        <v>12099.230000000001</v>
      </c>
      <c r="F28" s="48">
        <v>16621.000000000113</v>
      </c>
      <c r="G28" s="147">
        <v>9.1500035979856634E-2</v>
      </c>
      <c r="I28" s="159" t="str">
        <v>Brussels Airlines Vilvoorde</v>
      </c>
      <c r="J28" s="50">
        <v>142.64999999999995</v>
      </c>
      <c r="K28" s="49">
        <v>143.19999999999999</v>
      </c>
      <c r="L28" s="49">
        <v>-0.55000000000003979</v>
      </c>
      <c r="M28" s="160">
        <v>-3.8555906063795302E-3</v>
      </c>
      <c r="P28" s="83" t="str">
        <v>8. Breakfast</v>
      </c>
      <c r="Q28" s="49">
        <v>1442.9500000000066</v>
      </c>
      <c r="R28" s="49">
        <v>903</v>
      </c>
      <c r="S28" s="49">
        <v>539.95000000000664</v>
      </c>
      <c r="T28" s="168">
        <v>0.37419869018330792</v>
      </c>
    </row>
    <row r="29" spans="2:20">
      <c r="B29" s="194">
        <v>2026</v>
      </c>
      <c r="C29" s="146">
        <v>24</v>
      </c>
      <c r="D29" s="48">
        <v>1741</v>
      </c>
      <c r="E29" s="48">
        <v>12314.940000000068</v>
      </c>
      <c r="F29" s="48">
        <v>16094.46226415102</v>
      </c>
      <c r="G29" s="147">
        <v>3.2856515930495385E-2</v>
      </c>
      <c r="I29" s="159" t="str">
        <v>Abbott Wavre</v>
      </c>
      <c r="J29" s="50">
        <v>82.560000000000016</v>
      </c>
      <c r="K29" s="49">
        <v>71.239999999999995</v>
      </c>
      <c r="L29" s="49">
        <v>11.320000000000022</v>
      </c>
      <c r="M29" s="160">
        <v>0.13711240310077544</v>
      </c>
      <c r="P29" s="83" t="str">
        <v>7. Drinks</v>
      </c>
      <c r="Q29" s="49">
        <v>1155.9500000000007</v>
      </c>
      <c r="R29" s="49">
        <v>594.64</v>
      </c>
      <c r="S29" s="49">
        <v>561.31000000000074</v>
      </c>
      <c r="T29" s="168">
        <v>0.4855832864743288</v>
      </c>
    </row>
    <row r="30" spans="2:20">
      <c r="B30" s="194">
        <v>2026</v>
      </c>
      <c r="C30" s="146">
        <v>25</v>
      </c>
      <c r="D30" s="48">
        <v>1689</v>
      </c>
      <c r="E30" s="48">
        <v>0</v>
      </c>
      <c r="F30" s="48">
        <v>15332.037735849106</v>
      </c>
      <c r="G30" s="147">
        <v>3.3876347403416149E-2</v>
      </c>
      <c r="I30" s="159" t="str">
        <v>Brussels Airlines TFC</v>
      </c>
      <c r="J30" s="50">
        <v>104.78</v>
      </c>
      <c r="K30" s="49">
        <v>88.52</v>
      </c>
      <c r="L30" s="49">
        <v>16.260000000000005</v>
      </c>
      <c r="M30" s="160">
        <v>0.1551822866959344</v>
      </c>
      <c r="P30" s="83" t="str">
        <v>5. Desserts</v>
      </c>
      <c r="Q30" s="49">
        <v>2801.8599999999965</v>
      </c>
      <c r="R30" s="49">
        <v>1922.15</v>
      </c>
      <c r="S30" s="49">
        <v>879.7099999999964</v>
      </c>
      <c r="T30" s="168">
        <v>0.31397357469680764</v>
      </c>
    </row>
    <row r="31" spans="2:20">
      <c r="B31" s="195">
        <v>2026</v>
      </c>
      <c r="C31" s="148">
        <v>26</v>
      </c>
      <c r="D31" s="149">
        <v>1711.6</v>
      </c>
      <c r="E31" s="149">
        <v>12267.450000000004</v>
      </c>
      <c r="F31" s="149">
        <v>16903.537735849193</v>
      </c>
      <c r="G31" s="150">
        <v>9.0223681513337442E-2</v>
      </c>
      <c r="I31" s="159" t="str">
        <v>Brussels Airlines Airport</v>
      </c>
      <c r="J31" s="50">
        <v>213.48000000000002</v>
      </c>
      <c r="K31" s="49">
        <v>196.76</v>
      </c>
      <c r="L31" s="49">
        <v>16.720000000000027</v>
      </c>
      <c r="M31" s="160">
        <v>7.8321154206483168E-2</v>
      </c>
      <c r="P31" s="83" t="str">
        <v>1. Cold Dishes</v>
      </c>
      <c r="Q31" s="49">
        <v>3496.9399999999955</v>
      </c>
      <c r="R31" s="49">
        <v>2478.0500000000002</v>
      </c>
      <c r="S31" s="49">
        <v>1018.8899999999953</v>
      </c>
      <c r="T31" s="168">
        <v>0.29136616584785457</v>
      </c>
    </row>
    <row r="32" spans="2:20" ht="20.100000000000001" thickBot="1">
      <c r="I32" s="159" t="str">
        <v>ABB Zaventem</v>
      </c>
      <c r="J32" s="50">
        <v>177.08999999999997</v>
      </c>
      <c r="K32" s="49">
        <v>152.59</v>
      </c>
      <c r="L32" s="49">
        <v>24.499999999999972</v>
      </c>
      <c r="M32" s="160">
        <v>0.13834773279123597</v>
      </c>
      <c r="P32" s="173" t="str">
        <v>2. Wraps &amp; Sandwiches</v>
      </c>
      <c r="Q32" s="174">
        <v>5500.4099999999671</v>
      </c>
      <c r="R32" s="174">
        <v>3596.64</v>
      </c>
      <c r="S32" s="174">
        <v>1903.7699999999672</v>
      </c>
      <c r="T32" s="175">
        <v>0.34611419875972493</v>
      </c>
    </row>
    <row r="33" spans="7:20" ht="20.100000000000001" thickBot="1">
      <c r="I33" s="159" t="str">
        <v>Bank Degroof</v>
      </c>
      <c r="J33" s="50">
        <v>130.52000000000001</v>
      </c>
      <c r="K33" s="49">
        <v>103.22</v>
      </c>
      <c r="L33" s="49">
        <v>27.300000000000011</v>
      </c>
      <c r="M33" s="160">
        <v>0.20916334661354588</v>
      </c>
      <c r="P33" s="169" t="s">
        <v>38</v>
      </c>
      <c r="Q33" s="170">
        <f>SUM(Q23:Q32)/1.06</f>
        <v>16903.53773584903</v>
      </c>
      <c r="R33" s="170">
        <f>SUM(R23:R32)</f>
        <v>12239.34</v>
      </c>
      <c r="S33" s="171">
        <f>(SUM(S23:S32))-(SUM(Q23:Q32)*0.06)</f>
        <v>4603.3449999999739</v>
      </c>
      <c r="T33" s="172">
        <f>S33/Q33</f>
        <v>0.27233027026272721</v>
      </c>
    </row>
    <row r="34" spans="7:20">
      <c r="I34" s="159" t="str">
        <v>Engie Antwerpen</v>
      </c>
      <c r="J34" s="50">
        <v>119.06999999999998</v>
      </c>
      <c r="K34" s="49">
        <v>78.36</v>
      </c>
      <c r="L34" s="49">
        <v>40.70999999999998</v>
      </c>
      <c r="M34" s="160">
        <v>0.34189972285210368</v>
      </c>
    </row>
    <row r="35" spans="7:20">
      <c r="I35" s="159" t="str">
        <v>Lhoist Nivelles</v>
      </c>
      <c r="J35" s="50">
        <v>171</v>
      </c>
      <c r="K35" s="49">
        <v>126.24</v>
      </c>
      <c r="L35" s="49">
        <v>44.760000000000005</v>
      </c>
      <c r="M35" s="160">
        <v>0.2617543859649123</v>
      </c>
    </row>
    <row r="36" spans="7:20">
      <c r="I36" s="159" t="str">
        <v>PWC Ghent</v>
      </c>
      <c r="J36" s="50">
        <v>167.80999999999997</v>
      </c>
      <c r="K36" s="49">
        <v>120.26</v>
      </c>
      <c r="L36" s="49">
        <v>47.549999999999969</v>
      </c>
      <c r="M36" s="160">
        <v>0.28335617662832951</v>
      </c>
    </row>
    <row r="37" spans="7:20">
      <c r="G37" s="12"/>
      <c r="I37" s="159" t="str">
        <v>Thermofisher Vilvoorde</v>
      </c>
      <c r="J37" s="50">
        <v>118.05000000000001</v>
      </c>
      <c r="K37" s="49">
        <v>68.09</v>
      </c>
      <c r="L37" s="49">
        <v>49.960000000000008</v>
      </c>
      <c r="M37" s="160">
        <v>0.42321050402371879</v>
      </c>
    </row>
    <row r="38" spans="7:20">
      <c r="I38" s="159" t="str">
        <v>Allianz Brussels</v>
      </c>
      <c r="J38" s="50">
        <v>330.8599999999999</v>
      </c>
      <c r="K38" s="49">
        <v>253.37</v>
      </c>
      <c r="L38" s="49">
        <v>77.489999999999895</v>
      </c>
      <c r="M38" s="160">
        <v>0.23420782203953308</v>
      </c>
    </row>
    <row r="39" spans="7:20">
      <c r="I39" s="159" t="str">
        <v>Engie Namur</v>
      </c>
      <c r="J39" s="50">
        <v>295.12</v>
      </c>
      <c r="K39" s="49">
        <v>208.09</v>
      </c>
      <c r="L39" s="49">
        <v>87.03</v>
      </c>
      <c r="M39" s="160">
        <v>0.2948969910544863</v>
      </c>
    </row>
    <row r="40" spans="7:20">
      <c r="I40" s="159" t="str">
        <v>Greenhouse Collection Links</v>
      </c>
      <c r="J40" s="50">
        <v>338.55999999999995</v>
      </c>
      <c r="K40" s="49">
        <v>235.27</v>
      </c>
      <c r="L40" s="49">
        <v>103.28999999999994</v>
      </c>
      <c r="M40" s="160">
        <v>0.30508624763705089</v>
      </c>
    </row>
    <row r="41" spans="7:20">
      <c r="I41" s="159" t="str">
        <v>Police Tubize</v>
      </c>
      <c r="J41" s="50">
        <v>358.78</v>
      </c>
      <c r="K41" s="49">
        <v>255.49</v>
      </c>
      <c r="L41" s="49">
        <v>103.28999999999996</v>
      </c>
      <c r="M41" s="160">
        <v>0.28789230168905727</v>
      </c>
    </row>
    <row r="42" spans="7:20">
      <c r="I42" s="159" t="str">
        <v>Interparking</v>
      </c>
      <c r="J42" s="50">
        <v>289.09999999999985</v>
      </c>
      <c r="K42" s="49">
        <v>181.68</v>
      </c>
      <c r="L42" s="49">
        <v>107.41999999999985</v>
      </c>
      <c r="M42" s="160">
        <v>0.3715669318574884</v>
      </c>
    </row>
    <row r="43" spans="7:20">
      <c r="I43" s="159" t="str">
        <v>Bia Group Overijse</v>
      </c>
      <c r="J43" s="50">
        <v>347.04999999999995</v>
      </c>
      <c r="K43" s="49">
        <v>236.86</v>
      </c>
      <c r="L43" s="49">
        <v>110.18999999999994</v>
      </c>
      <c r="M43" s="160">
        <v>0.31750468232243179</v>
      </c>
    </row>
    <row r="44" spans="7:20">
      <c r="I44" s="159" t="str">
        <v>Lhoist Limelette</v>
      </c>
      <c r="J44" s="50">
        <v>257.57</v>
      </c>
      <c r="K44" s="49">
        <v>145.74</v>
      </c>
      <c r="L44" s="49">
        <v>111.82999999999998</v>
      </c>
      <c r="M44" s="160">
        <v>0.43417323446053496</v>
      </c>
    </row>
    <row r="45" spans="7:20">
      <c r="I45" s="159" t="str">
        <v>GSV Huppertz Wilrijk</v>
      </c>
      <c r="J45" s="50">
        <v>560.78</v>
      </c>
      <c r="K45" s="49">
        <v>410.42</v>
      </c>
      <c r="L45" s="49">
        <v>150.35999999999996</v>
      </c>
      <c r="M45" s="160">
        <v>0.26812653803630648</v>
      </c>
      <c r="P45" s="6"/>
    </row>
    <row r="46" spans="7:20">
      <c r="I46" s="159" t="str">
        <v>Engie Garden Café Wrap &amp; Roll</v>
      </c>
      <c r="J46" s="50">
        <v>443.93000000000023</v>
      </c>
      <c r="K46" s="49">
        <v>288.02999999999997</v>
      </c>
      <c r="L46" s="49">
        <v>155.90000000000026</v>
      </c>
      <c r="M46" s="160">
        <v>0.35118149257765907</v>
      </c>
      <c r="P46" s="6"/>
    </row>
    <row r="47" spans="7:20">
      <c r="I47" s="159" t="str">
        <v>Greenhouse Collection Antwerpen</v>
      </c>
      <c r="J47" s="50">
        <v>519.2399999999999</v>
      </c>
      <c r="K47" s="49">
        <v>363.28</v>
      </c>
      <c r="L47" s="49">
        <v>155.95999999999992</v>
      </c>
      <c r="M47" s="160">
        <v>0.30036206763731599</v>
      </c>
      <c r="P47" s="6"/>
    </row>
    <row r="48" spans="7:20">
      <c r="I48" s="159" t="str">
        <v>Brussels Airlines Be house</v>
      </c>
      <c r="J48" s="50">
        <v>486.94999999999982</v>
      </c>
      <c r="K48" s="49">
        <v>330.3</v>
      </c>
      <c r="L48" s="49">
        <v>156.64999999999981</v>
      </c>
      <c r="M48" s="160">
        <v>0.32169627271793794</v>
      </c>
    </row>
    <row r="49" spans="9:16">
      <c r="I49" s="159" t="str">
        <v>Kadans Droite</v>
      </c>
      <c r="J49" s="50">
        <v>536.1</v>
      </c>
      <c r="K49" s="49">
        <v>374.15</v>
      </c>
      <c r="L49" s="49">
        <v>161.95000000000005</v>
      </c>
      <c r="M49" s="160">
        <v>0.30208916246968859</v>
      </c>
    </row>
    <row r="50" spans="9:16">
      <c r="I50" s="159" t="str">
        <v>CBC</v>
      </c>
      <c r="J50" s="50">
        <v>436.06</v>
      </c>
      <c r="K50" s="49">
        <v>273.35000000000002</v>
      </c>
      <c r="L50" s="49">
        <v>162.70999999999998</v>
      </c>
      <c r="M50" s="160">
        <v>0.3731367243039948</v>
      </c>
    </row>
    <row r="51" spans="9:16">
      <c r="I51" s="159" t="str">
        <v>Engie Garden Café Heat and Eat</v>
      </c>
      <c r="J51" s="50">
        <v>314.78999999999985</v>
      </c>
      <c r="K51" s="49">
        <v>147.93</v>
      </c>
      <c r="L51" s="49">
        <v>166.85999999999984</v>
      </c>
      <c r="M51" s="160">
        <v>0.53006766415705686</v>
      </c>
    </row>
    <row r="52" spans="9:16">
      <c r="I52" s="159" t="str">
        <v>Kadans Gauche</v>
      </c>
      <c r="J52" s="50">
        <v>545.2399999999999</v>
      </c>
      <c r="K52" s="49">
        <v>372.97</v>
      </c>
      <c r="L52" s="49">
        <v>172.26999999999987</v>
      </c>
      <c r="M52" s="160">
        <v>0.31595260802582331</v>
      </c>
    </row>
    <row r="53" spans="9:16">
      <c r="I53" s="159" t="str">
        <v>DPG Media Antwerpen</v>
      </c>
      <c r="J53" s="50">
        <v>645.09000000000015</v>
      </c>
      <c r="K53" s="49">
        <v>469.78</v>
      </c>
      <c r="L53" s="49">
        <v>175.31000000000017</v>
      </c>
      <c r="M53" s="160">
        <v>0.27176052953851421</v>
      </c>
    </row>
    <row r="54" spans="9:16">
      <c r="I54" s="159" t="str">
        <v>Thermofisher Zaventem</v>
      </c>
      <c r="J54" s="50">
        <v>562.24</v>
      </c>
      <c r="K54" s="49">
        <v>364</v>
      </c>
      <c r="L54" s="49">
        <v>198.24</v>
      </c>
      <c r="M54" s="160">
        <v>0.35258964143426297</v>
      </c>
    </row>
    <row r="55" spans="9:16">
      <c r="I55" s="159" t="str">
        <v>DPG Media Vilvoorde</v>
      </c>
      <c r="J55" s="50">
        <v>711.50000000000023</v>
      </c>
      <c r="K55" s="49">
        <v>427.96</v>
      </c>
      <c r="L55" s="49">
        <v>283.54000000000025</v>
      </c>
      <c r="M55" s="160">
        <v>0.39851018973998614</v>
      </c>
    </row>
    <row r="56" spans="9:16">
      <c r="I56" s="159" t="str">
        <v>Neuhaus Sint-Pieters</v>
      </c>
      <c r="J56" s="50">
        <v>827.67000000000007</v>
      </c>
      <c r="K56" s="50">
        <v>528.32000000000005</v>
      </c>
      <c r="L56" s="49">
        <v>299.35000000000002</v>
      </c>
      <c r="M56" s="160">
        <v>0.36167796343953507</v>
      </c>
      <c r="P56" s="118"/>
    </row>
    <row r="57" spans="9:16">
      <c r="I57" s="159" t="str">
        <v>Allnex</v>
      </c>
      <c r="J57" s="50">
        <v>697.36000000000013</v>
      </c>
      <c r="K57" s="50">
        <v>394.44</v>
      </c>
      <c r="L57" s="49">
        <v>302.92000000000013</v>
      </c>
      <c r="M57" s="160">
        <v>0.43438109441321565</v>
      </c>
    </row>
    <row r="58" spans="9:16">
      <c r="I58" s="159" t="str">
        <v>RTBF Mediasquare 4e</v>
      </c>
      <c r="J58" s="50">
        <v>725.94000000000051</v>
      </c>
      <c r="K58" s="50">
        <v>416.68</v>
      </c>
      <c r="L58" s="49">
        <v>309.2600000000005</v>
      </c>
      <c r="M58" s="160">
        <v>0.42601316913243559</v>
      </c>
    </row>
    <row r="59" spans="9:16">
      <c r="I59" s="159" t="str">
        <v>RTBF</v>
      </c>
      <c r="J59" s="50">
        <v>868.47000000000139</v>
      </c>
      <c r="K59" s="50">
        <v>556.42999999999995</v>
      </c>
      <c r="L59" s="49">
        <v>312.04000000000144</v>
      </c>
      <c r="M59" s="160">
        <v>0.35929853650673133</v>
      </c>
    </row>
    <row r="60" spans="9:16">
      <c r="I60" s="159" t="str">
        <v>PWC Diegem</v>
      </c>
      <c r="J60" s="50">
        <v>795.57000000000141</v>
      </c>
      <c r="K60" s="50">
        <v>481.94</v>
      </c>
      <c r="L60" s="49">
        <v>313.63000000000142</v>
      </c>
      <c r="M60" s="160">
        <v>0.39422049599658215</v>
      </c>
    </row>
    <row r="61" spans="9:16">
      <c r="I61" s="159" t="str">
        <v>The Woods</v>
      </c>
      <c r="J61" s="50">
        <v>923.63000000000022</v>
      </c>
      <c r="K61" s="50">
        <v>604.17999999999995</v>
      </c>
      <c r="L61" s="49">
        <v>319.45000000000027</v>
      </c>
      <c r="M61" s="160">
        <v>0.34586360339096844</v>
      </c>
    </row>
    <row r="62" spans="9:16">
      <c r="I62" s="159" t="str">
        <v>Zoetis LLN</v>
      </c>
      <c r="J62" s="50">
        <v>1301.3700000000008</v>
      </c>
      <c r="K62" s="50">
        <v>863.77</v>
      </c>
      <c r="L62" s="49">
        <v>437.60000000000082</v>
      </c>
      <c r="M62" s="160">
        <v>0.3362610172356828</v>
      </c>
    </row>
    <row r="63" spans="9:16">
      <c r="I63" s="159" t="str">
        <v>RTBF Mediasquare 2e</v>
      </c>
      <c r="J63" s="50">
        <v>1656.7400000000011</v>
      </c>
      <c r="K63" s="50">
        <v>1019.07</v>
      </c>
      <c r="L63" s="49">
        <v>637.6700000000011</v>
      </c>
      <c r="M63" s="160">
        <v>0.38489443123242068</v>
      </c>
    </row>
    <row r="64" spans="9:16" ht="20.100000000000001" thickBot="1">
      <c r="I64" s="161"/>
      <c r="J64" s="162"/>
      <c r="K64" s="162"/>
      <c r="L64" s="162"/>
      <c r="M64" s="203"/>
    </row>
    <row r="65" spans="9:13" ht="20.100000000000001" thickBot="1"/>
    <row r="66" spans="9:13" ht="18.75">
      <c r="I66" s="204" t="s">
        <v>38</v>
      </c>
      <c r="J66" s="205">
        <f>SUM(J23:J64)/1.06</f>
        <v>16903.537735849062</v>
      </c>
      <c r="K66" s="205">
        <f>SUM(K23:K64)</f>
        <v>12239.34</v>
      </c>
      <c r="L66" s="205">
        <f>SUM(L23:L64)-(SUM(J23:J64)*0.06)</f>
        <v>4603.3450000000039</v>
      </c>
      <c r="M66" s="82">
        <f>L66/J66</f>
        <v>0.27233027026272844</v>
      </c>
    </row>
  </sheetData>
  <mergeCells count="6">
    <mergeCell ref="I20:L20"/>
    <mergeCell ref="P20:S20"/>
    <mergeCell ref="C1:K1"/>
    <mergeCell ref="B20:F20"/>
    <mergeCell ref="J4:M4"/>
    <mergeCell ref="J3:M3"/>
  </mergeCells>
  <dataValidations count="2">
    <dataValidation type="list" allowBlank="1" showInputMessage="1" showErrorMessage="1" sqref="C4" xr:uid="{752D63BA-F498-475C-8F91-2BC0FC311506}">
      <formula1>"1,2,3,4,5,6,7,8,9,10,11,12,13,14,15,16,17,18,19,20,21,22,23,24,25,26,27,28,29,30,31,32,33,34,35,36,37,38,39,40,41,42,43,44,45,46,47,48,49,50,51,52,53"</formula1>
    </dataValidation>
    <dataValidation type="list" allowBlank="1" showInputMessage="1" showErrorMessage="1" sqref="B4" xr:uid="{97C9A296-22C7-4972-8AA4-F78A79CE187C}">
      <formula1>"2025,2026"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2AE0-2E0D-4692-A7FB-146CD77711E1}">
  <sheetPr codeName="Sheet8">
    <tabColor theme="8" tint="-0.249977111117893"/>
  </sheetPr>
  <dimension ref="B1:AH59"/>
  <sheetViews>
    <sheetView showGridLines="0" tabSelected="1" workbookViewId="0">
      <pane xSplit="3" topLeftCell="M1" activePane="topRight" state="frozen"/>
      <selection pane="topRight" activeCell="R47" sqref="R47"/>
    </sheetView>
  </sheetViews>
  <sheetFormatPr defaultColWidth="8.69921875" defaultRowHeight="18.75" customHeight="1"/>
  <cols>
    <col min="3" max="3" width="9.69921875" bestFit="1" customWidth="1"/>
    <col min="5" max="6" width="10.69921875" bestFit="1" customWidth="1"/>
    <col min="7" max="7" width="15" bestFit="1" customWidth="1"/>
    <col min="8" max="8" width="13" bestFit="1" customWidth="1"/>
    <col min="9" max="9" width="11.8984375" customWidth="1"/>
    <col min="10" max="10" width="9.8984375" customWidth="1"/>
    <col min="11" max="11" width="15.3984375" bestFit="1" customWidth="1"/>
    <col min="12" max="12" width="11.69921875" customWidth="1"/>
    <col min="13" max="13" width="23.3984375" customWidth="1"/>
    <col min="14" max="14" width="19" bestFit="1" customWidth="1"/>
    <col min="15" max="15" width="12.3984375" customWidth="1"/>
    <col min="16" max="16" width="8.8984375" bestFit="1" customWidth="1"/>
    <col min="17" max="17" width="10.8984375" customWidth="1"/>
    <col min="18" max="18" width="13.8984375" customWidth="1"/>
    <col min="19" max="19" width="85.8984375" customWidth="1"/>
    <col min="20" max="20" width="14.8984375" customWidth="1"/>
    <col min="21" max="21" width="15" bestFit="1" customWidth="1"/>
    <col min="22" max="22" width="15" customWidth="1"/>
    <col min="23" max="23" width="13" customWidth="1"/>
    <col min="24" max="24" width="12.296875" customWidth="1"/>
    <col min="25" max="25" width="15" customWidth="1"/>
    <col min="26" max="26" width="10.3984375" customWidth="1"/>
    <col min="27" max="27" width="12" customWidth="1"/>
    <col min="28" max="28" width="11.8984375" customWidth="1"/>
    <col min="29" max="29" width="13.3984375" customWidth="1"/>
    <col min="30" max="30" width="11.296875" customWidth="1"/>
    <col min="32" max="32" width="11" bestFit="1" customWidth="1"/>
    <col min="33" max="33" width="14" bestFit="1" customWidth="1"/>
    <col min="34" max="34" width="11.69921875" bestFit="1" customWidth="1"/>
  </cols>
  <sheetData>
    <row r="1" spans="2:34" ht="18.95">
      <c r="K1" s="10">
        <f>8869-M14</f>
        <v>8869</v>
      </c>
    </row>
    <row r="2" spans="2:34" ht="18.95">
      <c r="T2" t="s">
        <v>39</v>
      </c>
    </row>
    <row r="3" spans="2:34" ht="18.95">
      <c r="C3" s="2"/>
      <c r="D3" s="2"/>
      <c r="E3" s="95" t="s">
        <v>40</v>
      </c>
      <c r="F3" s="3"/>
      <c r="G3" s="3"/>
      <c r="H3" s="3" t="s">
        <v>40</v>
      </c>
      <c r="I3" s="95" t="s">
        <v>41</v>
      </c>
      <c r="J3" s="2"/>
      <c r="K3" s="3" t="s">
        <v>42</v>
      </c>
      <c r="L3" s="2" t="s">
        <v>43</v>
      </c>
      <c r="M3" s="2" t="s">
        <v>44</v>
      </c>
      <c r="N3" s="2" t="s">
        <v>45</v>
      </c>
      <c r="O3" s="2" t="s">
        <v>43</v>
      </c>
      <c r="P3" s="2" t="s">
        <v>43</v>
      </c>
      <c r="Q3" s="2" t="s">
        <v>43</v>
      </c>
      <c r="R3" s="2" t="s">
        <v>43</v>
      </c>
      <c r="S3" s="212" t="s">
        <v>46</v>
      </c>
      <c r="T3" s="212"/>
      <c r="U3" s="207" t="s">
        <v>47</v>
      </c>
      <c r="V3" s="207"/>
      <c r="W3" s="207"/>
      <c r="X3" s="207"/>
      <c r="Y3" s="207"/>
      <c r="Z3" s="207"/>
      <c r="AA3" s="207"/>
      <c r="AB3" s="207"/>
      <c r="AC3" s="207"/>
      <c r="AF3" s="207" t="s">
        <v>48</v>
      </c>
      <c r="AG3" s="207"/>
    </row>
    <row r="4" spans="2:34" ht="18.95">
      <c r="B4" s="2" t="s">
        <v>17</v>
      </c>
      <c r="C4" s="2" t="s">
        <v>25</v>
      </c>
      <c r="D4" s="2" t="s">
        <v>26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29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28</v>
      </c>
      <c r="O4" s="2" t="s">
        <v>57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4</v>
      </c>
      <c r="U4" s="2" t="s">
        <v>58</v>
      </c>
      <c r="V4" s="2" t="s">
        <v>59</v>
      </c>
      <c r="W4" s="2" t="s">
        <v>60</v>
      </c>
      <c r="X4" s="2" t="s">
        <v>61</v>
      </c>
      <c r="Y4" s="2" t="s">
        <v>62</v>
      </c>
      <c r="Z4" s="2" t="s">
        <v>63</v>
      </c>
      <c r="AA4" s="2" t="s">
        <v>64</v>
      </c>
      <c r="AB4" s="2" t="s">
        <v>65</v>
      </c>
      <c r="AC4" s="2" t="s">
        <v>66</v>
      </c>
      <c r="AD4" s="2" t="s">
        <v>67</v>
      </c>
      <c r="AE4" s="2" t="s">
        <v>68</v>
      </c>
      <c r="AF4" s="78"/>
      <c r="AG4" s="88" t="s">
        <v>69</v>
      </c>
      <c r="AH4" s="89" t="s">
        <v>70</v>
      </c>
    </row>
    <row r="5" spans="2:34" ht="18.95" hidden="1">
      <c r="B5" s="2">
        <v>34</v>
      </c>
      <c r="C5" s="77">
        <v>45887</v>
      </c>
      <c r="D5" s="7">
        <v>45893</v>
      </c>
      <c r="E5" s="11">
        <v>9171.8099999999649</v>
      </c>
      <c r="F5" s="11">
        <v>8.5</v>
      </c>
      <c r="G5" s="11">
        <v>144.2199999999998</v>
      </c>
      <c r="H5" s="11">
        <v>720.75000000000057</v>
      </c>
      <c r="I5" s="11">
        <f>(WeeklySummaryDataTable[[#This Row],[Total Sales]]+WeeklySummaryDataTable[[#This Row],[Customer Credit]]-WeeklySummaryDataTable[[#This Row],[Total Refund]])/1.06</f>
        <v>9324.5849056603438</v>
      </c>
      <c r="J5" s="2">
        <v>31</v>
      </c>
      <c r="K5" s="11">
        <v>135</v>
      </c>
      <c r="L5" s="11">
        <v>55</v>
      </c>
      <c r="M5" s="141">
        <f>WeeklySummaryDataTable[[#This Row],[Added Food Cost]]</f>
        <v>7090.9100000000199</v>
      </c>
      <c r="N5" s="11" cm="1">
        <f t="array" ref="N5">IFERROR(SUM(_xlfn._xlws.FILTER(ByCategoryWeeklyAddedDataTable[Added Value],(ByCategoryWeeklyAddedDataTable[Week No]=WeeklySummaryDataTable[[#This Row],[Week No]])*(ByCategoryWeeklyAddedDataTable[Start Date]=WeeklySummaryDataTable[[#This Row],[Start Date]]))),0)</f>
        <v>7090.9100000000199</v>
      </c>
      <c r="O5" s="11">
        <v>100</v>
      </c>
      <c r="P5" s="11">
        <v>1572</v>
      </c>
      <c r="Q5" s="2">
        <v>120</v>
      </c>
      <c r="R5" s="11">
        <v>0</v>
      </c>
      <c r="S5" s="2"/>
      <c r="T5" s="201">
        <f>WeeklySummaryDataTable[[#This Row],[Total Sales]]*Settings!$C$3</f>
        <v>825.46289999999681</v>
      </c>
      <c r="U5" s="47">
        <v>0.1</v>
      </c>
      <c r="V5" s="11">
        <f>WeeklySummaryDataTable[[#This Row],[Sales Turnover]]/WeeklySummaryDataTable[[#This Row],['# Of Fridge]]</f>
        <v>300.7930614729143</v>
      </c>
      <c r="W5" s="11">
        <f>WeeklySummaryDataTable[[#This Row],[Sales Turnover]]-WeeklySummaryDataTable[[#This Row],[Fridge Food Cost]]</f>
        <v>2233.6749056603239</v>
      </c>
      <c r="X5" s="12">
        <f>WeeklySummaryDataTable[[#This Row],[Food Margin In Euro]]/WeeklySummaryDataTable[[#This Row],[Sales Turnover]]</f>
        <v>0.23954684613407365</v>
      </c>
      <c r="Y5" s="12">
        <f>IFERROR((WeeklySummaryDataTable[[#This Row],[Catering Turnover]]-WeeklySummaryDataTable[[#This Row],[Catering Food Cost]])/WeeklySummaryDataTable[[#This Row],[Catering Turnover]],0)</f>
        <v>0.25925925925925924</v>
      </c>
      <c r="Z5" s="11">
        <f>WeeklySummaryDataTable[[#This Row],[Logistics Cost]]/WeeklySummaryDataTable[[#This Row],['# Of Fridge]]</f>
        <v>50.70967741935484</v>
      </c>
      <c r="AA5" s="12">
        <f>IFERROR(WeeklySummaryDataTable[[#This Row],[Logistics Cost]]/WeeklySummaryDataTable[[#This Row],[Sales Turnover]],0)</f>
        <v>0.16858659295876452</v>
      </c>
      <c r="AB5" s="12">
        <f>IFERROR(WeeklySummaryDataTable[[#This Row],[Unsold Items]]/WeeklySummaryDataTable[[#This Row],[Sales Turnover]],0)</f>
        <v>0</v>
      </c>
      <c r="AC5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-73.887994339672872</v>
      </c>
      <c r="AD5" s="12">
        <f>IFERROR(WeeklySummaryDataTable[[#This Row],[Net Margin]]/(WeeklySummaryDataTable[[#This Row],[Sales Turnover]]+WeeklySummaryDataTable[[#This Row],[Catering Turnover]]+WeeklySummaryDataTable[[#This Row],[TGTG Turnover]]),0)</f>
        <v>-7.7657612047495623E-3</v>
      </c>
      <c r="AG5" s="90" t="str" cm="1">
        <f t="array" ref="AG5:AH14">_xlfn.LET(
    _xlpm.StartDates, WeeklySummaryDataTable[Start Date],
    _xlpm.LogisticsCost, WeeklySummaryDataTable[Logistics Cost],
    _xlpm.AllDates, _xlfn.DROP(
        _xlfn.REDUCE(
            "",
            _xlfn.SEQUENCE(ROWS(_xlpm.StartDates)),
            _xlfn.LAMBDA(_xlpm.a,_xlpm.c,
                _xlfn.LET(
                    _xlpm.StartDate, INDEX(_xlpm.StartDates, _xlpm.c, 1),
                    _xlpm.PerDayLogisticsCost, INDEX(_xlpm.LogisticsCost, _xlpm.c, 1) / 7,
                    _xlpm.Curr, _xlfn.HSTACK(_xlfn.SEQUENCE(7, 1, _xlpm.StartDate), _xlfn.DROP(_xlfn.EXPAND("", 8, 1, _xlpm.PerDayLogisticsCost), 1)),
                    _xlfn.VSTACK(_xlpm.a, _xlpm.Curr)
                )
            )
        ),
        1
    ),
    _xlpm.GroupedData, _xlfn.GROUPBY(FormatDateYear(_xlfn.CHOOSECOLS(_xlpm.AllDates, 1)), _xlfn.CHOOSECOLS(_xlpm.AllDates, 2), _xleta.SUM, 0, 0),
    _xlpm.GroupedData
)</f>
        <v>April 2026</v>
      </c>
      <c r="AH5" s="91">
        <v>7706.4657142857104</v>
      </c>
    </row>
    <row r="6" spans="2:34" ht="18.95" hidden="1">
      <c r="B6" s="2">
        <v>35</v>
      </c>
      <c r="C6" s="77">
        <v>45894</v>
      </c>
      <c r="D6" s="7">
        <v>45900</v>
      </c>
      <c r="E6" s="11">
        <v>9401.4199999999764</v>
      </c>
      <c r="F6" s="11">
        <v>7.41</v>
      </c>
      <c r="G6" s="11">
        <v>135.24000000000007</v>
      </c>
      <c r="H6" s="11">
        <v>811.67000000000053</v>
      </c>
      <c r="I6" s="11">
        <f>(WeeklySummaryDataTable[[#This Row],[Total Sales]]+WeeklySummaryDataTable[[#This Row],[Customer Credit]]-WeeklySummaryDataTable[[#This Row],[Total Refund]])/1.06</f>
        <v>9627.9999999999782</v>
      </c>
      <c r="J6" s="2">
        <v>31</v>
      </c>
      <c r="K6" s="11"/>
      <c r="L6" s="11">
        <v>0</v>
      </c>
      <c r="M6" s="141">
        <f>WeeklySummaryDataTable[[#This Row],[Added Food Cost]]</f>
        <v>7621.2100000000228</v>
      </c>
      <c r="N6" s="11" cm="1">
        <f t="array" ref="N6">IFERROR(SUM(_xlfn._xlws.FILTER(ByCategoryWeeklyAddedDataTable[Added Value],(ByCategoryWeeklyAddedDataTable[Week No]=WeeklySummaryDataTable[[#This Row],[Week No]])*(ByCategoryWeeklyAddedDataTable[Start Date]=WeeklySummaryDataTable[[#This Row],[Start Date]]))),0)</f>
        <v>7621.2100000000228</v>
      </c>
      <c r="O6" s="11"/>
      <c r="P6" s="11">
        <v>1377</v>
      </c>
      <c r="Q6" s="2">
        <v>120</v>
      </c>
      <c r="R6" s="11">
        <v>0</v>
      </c>
      <c r="S6" s="2"/>
      <c r="T6" s="201">
        <f>WeeklySummaryDataTable[[#This Row],[Total Sales]]*Settings!$C$3</f>
        <v>846.12779999999782</v>
      </c>
      <c r="U6" s="47">
        <v>0.1</v>
      </c>
      <c r="V6" s="11">
        <f>WeeklySummaryDataTable[[#This Row],[Sales Turnover]]/WeeklySummaryDataTable[[#This Row],['# Of Fridge]]</f>
        <v>310.58064516128962</v>
      </c>
      <c r="W6" s="11">
        <f>WeeklySummaryDataTable[[#This Row],[Sales Turnover]]-WeeklySummaryDataTable[[#This Row],[Fridge Food Cost]]</f>
        <v>2006.7899999999554</v>
      </c>
      <c r="X6" s="12">
        <f>WeeklySummaryDataTable[[#This Row],[Food Margin In Euro]]/WeeklySummaryDataTable[[#This Row],[Sales Turnover]]</f>
        <v>0.20843269630244701</v>
      </c>
      <c r="Y6" s="12">
        <f>IFERROR((WeeklySummaryDataTable[[#This Row],[Catering Turnover]]-WeeklySummaryDataTable[[#This Row],[Catering Food Cost]])/WeeklySummaryDataTable[[#This Row],[Catering Turnover]],0)</f>
        <v>0</v>
      </c>
      <c r="Z6" s="11">
        <f>WeeklySummaryDataTable[[#This Row],[Logistics Cost]]/WeeklySummaryDataTable[[#This Row],['# Of Fridge]]</f>
        <v>44.41935483870968</v>
      </c>
      <c r="AA6" s="12">
        <f>IFERROR(WeeklySummaryDataTable[[#This Row],[Logistics Cost]]/WeeklySummaryDataTable[[#This Row],[Sales Turnover]],0)</f>
        <v>0.14302035729123422</v>
      </c>
      <c r="AB6" s="12">
        <f>IFERROR(WeeklySummaryDataTable[[#This Row],[Unsold Items]]/WeeklySummaryDataTable[[#This Row],[Sales Turnover]],0)</f>
        <v>0</v>
      </c>
      <c r="AC6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-216.43780000004242</v>
      </c>
      <c r="AD6" s="12">
        <f>IFERROR(WeeklySummaryDataTable[[#This Row],[Net Margin]]/(WeeklySummaryDataTable[[#This Row],[Sales Turnover]]+WeeklySummaryDataTable[[#This Row],[Catering Turnover]]+WeeklySummaryDataTable[[#This Row],[TGTG Turnover]]),0)</f>
        <v>-2.248003739094754E-2</v>
      </c>
      <c r="AG6" s="83" t="str">
        <v>August 2025</v>
      </c>
      <c r="AH6" s="87">
        <v>2949.0000000000005</v>
      </c>
    </row>
    <row r="7" spans="2:34" ht="18.95" hidden="1">
      <c r="B7" s="2">
        <v>36</v>
      </c>
      <c r="C7" s="77">
        <v>45901</v>
      </c>
      <c r="D7" s="7">
        <v>45907</v>
      </c>
      <c r="E7" s="11">
        <v>10268.510000000024</v>
      </c>
      <c r="F7" s="11">
        <v>31.74</v>
      </c>
      <c r="G7" s="11">
        <v>164.68999999999983</v>
      </c>
      <c r="H7" s="11">
        <v>810.23000000000093</v>
      </c>
      <c r="I7" s="11">
        <f>(WeeklySummaryDataTable[[#This Row],[Total Sales]]+WeeklySummaryDataTable[[#This Row],[Customer Credit]]-WeeklySummaryDataTable[[#This Row],[Total Refund]])/1.06</f>
        <v>10421.698113207571</v>
      </c>
      <c r="J7" s="2">
        <v>32</v>
      </c>
      <c r="K7" s="11">
        <v>492</v>
      </c>
      <c r="L7" s="11">
        <v>0</v>
      </c>
      <c r="M7" s="141">
        <f>WeeklySummaryDataTable[[#This Row],[Added Food Cost]]</f>
        <v>8024.3800000000065</v>
      </c>
      <c r="N7" s="11" cm="1">
        <f t="array" ref="N7">IFERROR(SUM(_xlfn._xlws.FILTER(ByCategoryWeeklyAddedDataTable[Added Value],(ByCategoryWeeklyAddedDataTable[Week No]=WeeklySummaryDataTable[[#This Row],[Week No]])*(ByCategoryWeeklyAddedDataTable[Start Date]=WeeklySummaryDataTable[[#This Row],[Start Date]]))),0)</f>
        <v>8024.3800000000065</v>
      </c>
      <c r="O7" s="11">
        <v>298</v>
      </c>
      <c r="P7" s="11">
        <v>1598</v>
      </c>
      <c r="Q7" s="2">
        <v>120</v>
      </c>
      <c r="R7" s="11">
        <v>0</v>
      </c>
      <c r="S7" s="2"/>
      <c r="T7" s="201">
        <f>WeeklySummaryDataTable[[#This Row],[Total Sales]]*Settings!$C$3</f>
        <v>924.16590000000213</v>
      </c>
      <c r="U7" s="47">
        <v>0.1</v>
      </c>
      <c r="V7" s="11">
        <f>WeeklySummaryDataTable[[#This Row],[Sales Turnover]]/WeeklySummaryDataTable[[#This Row],['# Of Fridge]]</f>
        <v>325.67806603773658</v>
      </c>
      <c r="W7" s="11">
        <f>WeeklySummaryDataTable[[#This Row],[Sales Turnover]]-WeeklySummaryDataTable[[#This Row],[Fridge Food Cost]]</f>
        <v>2397.3181132075642</v>
      </c>
      <c r="X7" s="12">
        <f>WeeklySummaryDataTable[[#This Row],[Food Margin In Euro]]/WeeklySummaryDataTable[[#This Row],[Sales Turnover]]</f>
        <v>0.23003142934733523</v>
      </c>
      <c r="Y7" s="12">
        <f>IFERROR((WeeklySummaryDataTable[[#This Row],[Catering Turnover]]-WeeklySummaryDataTable[[#This Row],[Catering Food Cost]])/WeeklySummaryDataTable[[#This Row],[Catering Turnover]],0)</f>
        <v>0.39430894308943087</v>
      </c>
      <c r="Z7" s="11">
        <f>WeeklySummaryDataTable[[#This Row],[Logistics Cost]]/WeeklySummaryDataTable[[#This Row],['# Of Fridge]]</f>
        <v>49.9375</v>
      </c>
      <c r="AA7" s="12">
        <f>IFERROR(WeeklySummaryDataTable[[#This Row],[Logistics Cost]]/WeeklySummaryDataTable[[#This Row],[Sales Turnover]],0)</f>
        <v>0.15333393681542465</v>
      </c>
      <c r="AB7" s="12">
        <f>IFERROR(WeeklySummaryDataTable[[#This Row],[Unsold Items]]/WeeklySummaryDataTable[[#This Row],[Sales Turnover]],0)</f>
        <v>0</v>
      </c>
      <c r="AC7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69.052213207562119</v>
      </c>
      <c r="AD7" s="12">
        <f>IFERROR(WeeklySummaryDataTable[[#This Row],[Net Margin]]/(WeeklySummaryDataTable[[#This Row],[Sales Turnover]]+WeeklySummaryDataTable[[#This Row],[Catering Turnover]]+WeeklySummaryDataTable[[#This Row],[TGTG Turnover]]),0)</f>
        <v>6.3271140992984141E-3</v>
      </c>
      <c r="AG7" s="83" t="str">
        <v>December 2025</v>
      </c>
      <c r="AH7" s="87">
        <v>6201.0000000000009</v>
      </c>
    </row>
    <row r="8" spans="2:34" ht="18.95" hidden="1">
      <c r="B8" s="2">
        <v>37</v>
      </c>
      <c r="C8" s="77">
        <v>45908</v>
      </c>
      <c r="D8" s="7">
        <v>45914</v>
      </c>
      <c r="E8" s="11">
        <v>10672.490000000029</v>
      </c>
      <c r="F8" s="11">
        <v>52.980000000000011</v>
      </c>
      <c r="G8" s="11">
        <v>192.54999999999993</v>
      </c>
      <c r="H8" s="11">
        <v>786.79000000000053</v>
      </c>
      <c r="I8" s="11">
        <f>(WeeklySummaryDataTable[[#This Row],[Total Sales]]+WeeklySummaryDataTable[[#This Row],[Customer Credit]]-WeeklySummaryDataTable[[#This Row],[Total Refund]])/1.06</f>
        <v>10760.660377358519</v>
      </c>
      <c r="J8" s="2">
        <v>32</v>
      </c>
      <c r="K8" s="11">
        <v>378</v>
      </c>
      <c r="L8" s="11">
        <v>0</v>
      </c>
      <c r="M8" s="141">
        <f>WeeklySummaryDataTable[[#This Row],[Added Food Cost]]</f>
        <v>8505.820000000007</v>
      </c>
      <c r="N8" s="11" cm="1">
        <f t="array" ref="N8">IFERROR(SUM(_xlfn._xlws.FILTER(ByCategoryWeeklyAddedDataTable[Added Value],(ByCategoryWeeklyAddedDataTable[Week No]=WeeklySummaryDataTable[[#This Row],[Week No]])*(ByCategoryWeeklyAddedDataTable[Start Date]=WeeklySummaryDataTable[[#This Row],[Start Date]]))),0)</f>
        <v>8505.820000000007</v>
      </c>
      <c r="O8" s="11">
        <v>225</v>
      </c>
      <c r="P8" s="11">
        <v>1550</v>
      </c>
      <c r="Q8" s="2">
        <v>120</v>
      </c>
      <c r="R8" s="11">
        <v>0</v>
      </c>
      <c r="S8" s="2"/>
      <c r="T8" s="201">
        <f>WeeklySummaryDataTable[[#This Row],[Total Sales]]*Settings!$C$3</f>
        <v>960.52410000000259</v>
      </c>
      <c r="U8" s="47">
        <v>0.1</v>
      </c>
      <c r="V8" s="11">
        <f>WeeklySummaryDataTable[[#This Row],[Sales Turnover]]/WeeklySummaryDataTable[[#This Row],['# Of Fridge]]</f>
        <v>336.27063679245373</v>
      </c>
      <c r="W8" s="11">
        <f>WeeklySummaryDataTable[[#This Row],[Sales Turnover]]-WeeklySummaryDataTable[[#This Row],[Fridge Food Cost]]</f>
        <v>2254.8403773585123</v>
      </c>
      <c r="X8" s="12">
        <f>WeeklySummaryDataTable[[#This Row],[Food Margin In Euro]]/WeeklySummaryDataTable[[#This Row],[Sales Turnover]]</f>
        <v>0.20954479542007634</v>
      </c>
      <c r="Y8" s="12">
        <f>IFERROR((WeeklySummaryDataTable[[#This Row],[Catering Turnover]]-WeeklySummaryDataTable[[#This Row],[Catering Food Cost]])/WeeklySummaryDataTable[[#This Row],[Catering Turnover]],0)</f>
        <v>0.40476190476190477</v>
      </c>
      <c r="Z8" s="11">
        <f>WeeklySummaryDataTable[[#This Row],[Logistics Cost]]/WeeklySummaryDataTable[[#This Row],['# Of Fridge]]</f>
        <v>48.4375</v>
      </c>
      <c r="AA8" s="12">
        <f>IFERROR(WeeklySummaryDataTable[[#This Row],[Logistics Cost]]/WeeklySummaryDataTable[[#This Row],[Sales Turnover]],0)</f>
        <v>0.14404320419417302</v>
      </c>
      <c r="AB8" s="12">
        <f>IFERROR(WeeklySummaryDataTable[[#This Row],[Unsold Items]]/WeeklySummaryDataTable[[#This Row],[Sales Turnover]],0)</f>
        <v>0</v>
      </c>
      <c r="AC8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-102.78372264149024</v>
      </c>
      <c r="AD8" s="12">
        <f>IFERROR(WeeklySummaryDataTable[[#This Row],[Net Margin]]/(WeeklySummaryDataTable[[#This Row],[Sales Turnover]]+WeeklySummaryDataTable[[#This Row],[Catering Turnover]]+WeeklySummaryDataTable[[#This Row],[TGTG Turnover]]),0)</f>
        <v>-9.2276556748617667E-3</v>
      </c>
      <c r="AG8" s="83" t="str">
        <v>February 2026</v>
      </c>
      <c r="AH8" s="87">
        <v>6513.4514285714258</v>
      </c>
    </row>
    <row r="9" spans="2:34" ht="18.95" hidden="1">
      <c r="B9" s="2">
        <v>38</v>
      </c>
      <c r="C9" s="77">
        <v>45915</v>
      </c>
      <c r="D9" s="7">
        <v>45921</v>
      </c>
      <c r="E9" s="11">
        <v>9878.4800000000268</v>
      </c>
      <c r="F9" s="11">
        <v>135.47999999999999</v>
      </c>
      <c r="G9" s="11">
        <v>170.42</v>
      </c>
      <c r="H9" s="11">
        <v>874.43000000000086</v>
      </c>
      <c r="I9" s="11">
        <f>(WeeklySummaryDataTable[[#This Row],[Total Sales]]+WeeklySummaryDataTable[[#This Row],[Customer Credit]]-WeeklySummaryDataTable[[#This Row],[Total Refund]])/1.06</f>
        <v>10016.443396226441</v>
      </c>
      <c r="J9" s="2">
        <v>33</v>
      </c>
      <c r="K9" s="11">
        <v>575</v>
      </c>
      <c r="L9" s="11">
        <v>0</v>
      </c>
      <c r="M9" s="141">
        <f>WeeklySummaryDataTable[[#This Row],[Added Food Cost]]</f>
        <v>8269.6600000000071</v>
      </c>
      <c r="N9" s="11" cm="1">
        <f t="array" ref="N9">IFERROR(SUM(_xlfn._xlws.FILTER(ByCategoryWeeklyAddedDataTable[Added Value],(ByCategoryWeeklyAddedDataTable[Week No]=WeeklySummaryDataTable[[#This Row],[Week No]])*(ByCategoryWeeklyAddedDataTable[Start Date]=WeeklySummaryDataTable[[#This Row],[Start Date]]))),0)</f>
        <v>8269.6600000000071</v>
      </c>
      <c r="O9" s="11">
        <v>351</v>
      </c>
      <c r="P9" s="11">
        <v>1730</v>
      </c>
      <c r="Q9" s="2">
        <v>120</v>
      </c>
      <c r="R9" s="11">
        <v>0</v>
      </c>
      <c r="S9" s="2"/>
      <c r="T9" s="201">
        <f>WeeklySummaryDataTable[[#This Row],[Total Sales]]*Settings!$C$3</f>
        <v>889.06320000000244</v>
      </c>
      <c r="U9" s="47">
        <v>0.1</v>
      </c>
      <c r="V9" s="11">
        <f>WeeklySummaryDataTable[[#This Row],[Sales Turnover]]/WeeklySummaryDataTable[[#This Row],['# Of Fridge]]</f>
        <v>303.52858776443759</v>
      </c>
      <c r="W9" s="11">
        <f>WeeklySummaryDataTable[[#This Row],[Sales Turnover]]-WeeklySummaryDataTable[[#This Row],[Fridge Food Cost]]</f>
        <v>1746.783396226434</v>
      </c>
      <c r="X9" s="12">
        <f>WeeklySummaryDataTable[[#This Row],[Food Margin In Euro]]/WeeklySummaryDataTable[[#This Row],[Sales Turnover]]</f>
        <v>0.17439158063674687</v>
      </c>
      <c r="Y9" s="12">
        <f>IFERROR((WeeklySummaryDataTable[[#This Row],[Catering Turnover]]-WeeklySummaryDataTable[[#This Row],[Catering Food Cost]])/WeeklySummaryDataTable[[#This Row],[Catering Turnover]],0)</f>
        <v>0.38956521739130434</v>
      </c>
      <c r="Z9" s="11">
        <f>WeeklySummaryDataTable[[#This Row],[Logistics Cost]]/WeeklySummaryDataTable[[#This Row],['# Of Fridge]]</f>
        <v>52.424242424242422</v>
      </c>
      <c r="AA9" s="12">
        <f>IFERROR(WeeklySummaryDataTable[[#This Row],[Logistics Cost]]/WeeklySummaryDataTable[[#This Row],[Sales Turnover]],0)</f>
        <v>0.17271599624391168</v>
      </c>
      <c r="AB9" s="12">
        <f>IFERROR(WeeklySummaryDataTable[[#This Row],[Unsold Items]]/WeeklySummaryDataTable[[#This Row],[Sales Turnover]],0)</f>
        <v>0</v>
      </c>
      <c r="AC9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-648.37980377356848</v>
      </c>
      <c r="AD9" s="12">
        <f>IFERROR(WeeklySummaryDataTable[[#This Row],[Net Margin]]/(WeeklySummaryDataTable[[#This Row],[Sales Turnover]]+WeeklySummaryDataTable[[#This Row],[Catering Turnover]]+WeeklySummaryDataTable[[#This Row],[TGTG Turnover]]),0)</f>
        <v>-6.1217322277771477E-2</v>
      </c>
      <c r="AG9" s="83" t="str">
        <v>June 2026</v>
      </c>
      <c r="AH9" s="84">
        <v>7124.9300000000012</v>
      </c>
    </row>
    <row r="10" spans="2:34" ht="18.95" hidden="1">
      <c r="B10" s="2">
        <v>39</v>
      </c>
      <c r="C10" s="77">
        <v>45922</v>
      </c>
      <c r="D10" s="7">
        <v>45928</v>
      </c>
      <c r="E10" s="11">
        <v>10469.730000000009</v>
      </c>
      <c r="F10" s="11">
        <v>19.39</v>
      </c>
      <c r="G10" s="11">
        <v>156.87999999999997</v>
      </c>
      <c r="H10" s="11">
        <v>698.13000000000034</v>
      </c>
      <c r="I10" s="11">
        <f>(WeeklySummaryDataTable[[#This Row],[Total Sales]]+WeeklySummaryDataTable[[#This Row],[Customer Credit]]-WeeklySummaryDataTable[[#This Row],[Total Refund]])/1.06</f>
        <v>10517.424528301895</v>
      </c>
      <c r="J10" s="2">
        <v>33</v>
      </c>
      <c r="K10" s="11">
        <v>1043</v>
      </c>
      <c r="L10" s="11">
        <v>34</v>
      </c>
      <c r="M10" s="141">
        <f>WeeklySummaryDataTable[[#This Row],[Added Food Cost]]</f>
        <v>8123.7999999999975</v>
      </c>
      <c r="N10" s="11" cm="1">
        <f t="array" ref="N10">IFERROR(SUM(_xlfn._xlws.FILTER(ByCategoryWeeklyAddedDataTable[Added Value],(ByCategoryWeeklyAddedDataTable[Week No]=WeeklySummaryDataTable[[#This Row],[Week No]])*(ByCategoryWeeklyAddedDataTable[Start Date]=WeeklySummaryDataTable[[#This Row],[Start Date]]))),0)</f>
        <v>8123.7999999999975</v>
      </c>
      <c r="O10" s="11">
        <f>WeeklySummaryDataTable[[#This Row],[Catering Turnover]]-Q52</f>
        <v>1043</v>
      </c>
      <c r="P10" s="11">
        <v>1456</v>
      </c>
      <c r="Q10" s="2">
        <v>120</v>
      </c>
      <c r="R10" s="11">
        <v>0</v>
      </c>
      <c r="S10" s="2"/>
      <c r="T10" s="201">
        <f>WeeklySummaryDataTable[[#This Row],[Total Sales]]*Settings!$C$3</f>
        <v>942.27570000000071</v>
      </c>
      <c r="U10" s="47">
        <v>0.1</v>
      </c>
      <c r="V10" s="11">
        <f>WeeklySummaryDataTable[[#This Row],[Sales Turnover]]/WeeklySummaryDataTable[[#This Row],['# Of Fridge]]</f>
        <v>318.70983419096655</v>
      </c>
      <c r="W10" s="11">
        <f>WeeklySummaryDataTable[[#This Row],[Sales Turnover]]-WeeklySummaryDataTable[[#This Row],[Fridge Food Cost]]</f>
        <v>2393.624528301898</v>
      </c>
      <c r="X10" s="12">
        <f>WeeklySummaryDataTable[[#This Row],[Food Margin In Euro]]/WeeklySummaryDataTable[[#This Row],[Sales Turnover]]</f>
        <v>0.22758656569018079</v>
      </c>
      <c r="Y10" s="12">
        <f>IFERROR((WeeklySummaryDataTable[[#This Row],[Catering Turnover]]-WeeklySummaryDataTable[[#This Row],[Catering Food Cost]])/WeeklySummaryDataTable[[#This Row],[Catering Turnover]],0)</f>
        <v>0</v>
      </c>
      <c r="Z10" s="11">
        <f>WeeklySummaryDataTable[[#This Row],[Logistics Cost]]/WeeklySummaryDataTable[[#This Row],['# Of Fridge]]</f>
        <v>44.121212121212125</v>
      </c>
      <c r="AA10" s="12">
        <f>IFERROR(WeeklySummaryDataTable[[#This Row],[Logistics Cost]]/WeeklySummaryDataTable[[#This Row],[Sales Turnover]],0)</f>
        <v>0.13843693349849789</v>
      </c>
      <c r="AB10" s="12">
        <f>IFERROR(WeeklySummaryDataTable[[#This Row],[Unsold Items]]/WeeklySummaryDataTable[[#This Row],[Sales Turnover]],0)</f>
        <v>0</v>
      </c>
      <c r="AC10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29.248828301897241</v>
      </c>
      <c r="AD10" s="12">
        <f>IFERROR(WeeklySummaryDataTable[[#This Row],[Net Margin]]/(WeeklySummaryDataTable[[#This Row],[Sales Turnover]]+WeeklySummaryDataTable[[#This Row],[Catering Turnover]]+WeeklySummaryDataTable[[#This Row],[TGTG Turnover]]),0)</f>
        <v>2.5226632189032832E-3</v>
      </c>
      <c r="AG10" s="83" t="str">
        <v>March 2026</v>
      </c>
      <c r="AH10" s="84">
        <v>7768.4942857142833</v>
      </c>
    </row>
    <row r="11" spans="2:34" ht="18.95" hidden="1">
      <c r="B11" s="2">
        <v>40</v>
      </c>
      <c r="C11" s="77">
        <v>45929</v>
      </c>
      <c r="D11" s="7">
        <v>45935</v>
      </c>
      <c r="E11" s="11">
        <v>10458.710000000006</v>
      </c>
      <c r="F11" s="11">
        <v>29.57</v>
      </c>
      <c r="G11" s="11">
        <v>158.94</v>
      </c>
      <c r="H11" s="11">
        <v>840.83000000000129</v>
      </c>
      <c r="I11" s="11">
        <f>(WeeklySummaryDataTable[[#This Row],[Total Sales]]+WeeklySummaryDataTable[[#This Row],[Customer Credit]]-WeeklySummaryDataTable[[#This Row],[Total Refund]])/1.06</f>
        <v>10632.047169811329</v>
      </c>
      <c r="J11" s="2">
        <v>33</v>
      </c>
      <c r="K11" s="11">
        <v>441</v>
      </c>
      <c r="L11" s="11">
        <v>55</v>
      </c>
      <c r="M11" s="141">
        <f>WeeklySummaryDataTable[[#This Row],[Added Food Cost]]</f>
        <v>8596.8799999999974</v>
      </c>
      <c r="N11" s="11" cm="1">
        <f t="array" ref="N11">IFERROR(SUM(_xlfn._xlws.FILTER(ByCategoryWeeklyAddedDataTable[Added Value],(ByCategoryWeeklyAddedDataTable[Week No]=WeeklySummaryDataTable[[#This Row],[Week No]])*(ByCategoryWeeklyAddedDataTable[Start Date]=WeeklySummaryDataTable[[#This Row],[Start Date]]))),0)</f>
        <v>8596.8799999999974</v>
      </c>
      <c r="O11" s="11">
        <f>WeeklySummaryDataTable[[#This Row],[Catering Turnover]]-Q53</f>
        <v>283</v>
      </c>
      <c r="P11" s="11">
        <v>1527.56</v>
      </c>
      <c r="Q11" s="2">
        <v>120</v>
      </c>
      <c r="R11" s="11">
        <v>0</v>
      </c>
      <c r="S11" s="2" t="s">
        <v>71</v>
      </c>
      <c r="T11" s="201">
        <f>WeeklySummaryDataTable[[#This Row],[Total Sales]]*Settings!$C$3</f>
        <v>941.28390000000059</v>
      </c>
      <c r="U11" s="47">
        <v>0.1</v>
      </c>
      <c r="V11" s="11">
        <f>WeeklySummaryDataTable[[#This Row],[Sales Turnover]]/WeeklySummaryDataTable[[#This Row],['# Of Fridge]]</f>
        <v>322.18324757004029</v>
      </c>
      <c r="W11" s="11">
        <f>WeeklySummaryDataTable[[#This Row],[Sales Turnover]]-WeeklySummaryDataTable[[#This Row],[Fridge Food Cost]]</f>
        <v>2035.1671698113314</v>
      </c>
      <c r="X11" s="12">
        <f>WeeklySummaryDataTable[[#This Row],[Food Margin In Euro]]/WeeklySummaryDataTable[[#This Row],[Sales Turnover]]</f>
        <v>0.19141818478665068</v>
      </c>
      <c r="Y11" s="12">
        <f>IFERROR((WeeklySummaryDataTable[[#This Row],[Catering Turnover]]-WeeklySummaryDataTable[[#This Row],[Catering Food Cost]])/WeeklySummaryDataTable[[#This Row],[Catering Turnover]],0)</f>
        <v>0.35827664399092973</v>
      </c>
      <c r="Z11" s="11">
        <f>WeeklySummaryDataTable[[#This Row],[Logistics Cost]]/WeeklySummaryDataTable[[#This Row],['# Of Fridge]]</f>
        <v>46.289696969696969</v>
      </c>
      <c r="AA11" s="12">
        <f>IFERROR(WeeklySummaryDataTable[[#This Row],[Logistics Cost]]/WeeklySummaryDataTable[[#This Row],[Sales Turnover]],0)</f>
        <v>0.14367505858489407</v>
      </c>
      <c r="AB11" s="12">
        <f>IFERROR(WeeklySummaryDataTable[[#This Row],[Unsold Items]]/WeeklySummaryDataTable[[#This Row],[Sales Turnover]],0)</f>
        <v>0</v>
      </c>
      <c r="AC11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-220.77673018866867</v>
      </c>
      <c r="AD11" s="12">
        <f>IFERROR(WeeklySummaryDataTable[[#This Row],[Net Margin]]/(WeeklySummaryDataTable[[#This Row],[Sales Turnover]]+WeeklySummaryDataTable[[#This Row],[Catering Turnover]]+WeeklySummaryDataTable[[#This Row],[TGTG Turnover]]),0)</f>
        <v>-1.9839665200881047E-2</v>
      </c>
      <c r="AG11" s="83" t="str">
        <v>May 2026</v>
      </c>
      <c r="AH11" s="84">
        <v>5558.3485714285698</v>
      </c>
    </row>
    <row r="12" spans="2:34" ht="18.95" hidden="1">
      <c r="B12" s="2">
        <v>41</v>
      </c>
      <c r="C12" s="77">
        <v>45936</v>
      </c>
      <c r="D12" s="7">
        <v>45942</v>
      </c>
      <c r="E12" s="11">
        <v>10482.680000000011</v>
      </c>
      <c r="F12" s="11">
        <v>18.12</v>
      </c>
      <c r="G12" s="11">
        <v>152.5499999999999</v>
      </c>
      <c r="H12" s="11">
        <v>776.65000000000077</v>
      </c>
      <c r="I12" s="11">
        <f>(WeeklySummaryDataTable[[#This Row],[Total Sales]]+WeeklySummaryDataTable[[#This Row],[Customer Credit]]-WeeklySummaryDataTable[[#This Row],[Total Refund]])/1.06</f>
        <v>10604.915094339633</v>
      </c>
      <c r="J12" s="2">
        <v>34</v>
      </c>
      <c r="K12" s="11">
        <v>549</v>
      </c>
      <c r="L12" s="11">
        <v>55</v>
      </c>
      <c r="M12" s="141">
        <f>WeeklySummaryDataTable[[#This Row],[Added Food Cost]]</f>
        <v>8385.2800000000079</v>
      </c>
      <c r="N12" s="11" cm="1">
        <f t="array" ref="N12">IFERROR(SUM(_xlfn._xlws.FILTER(ByCategoryWeeklyAddedDataTable[Added Value],(ByCategoryWeeklyAddedDataTable[Week No]=WeeklySummaryDataTable[[#This Row],[Week No]])*(ByCategoryWeeklyAddedDataTable[Start Date]=WeeklySummaryDataTable[[#This Row],[Start Date]]))),0)</f>
        <v>8385.2800000000079</v>
      </c>
      <c r="O12" s="11">
        <f>WeeklySummaryDataTable[[#This Row],[Catering Turnover]]-Q54</f>
        <v>225</v>
      </c>
      <c r="P12" s="11">
        <v>1527.56</v>
      </c>
      <c r="Q12" s="2">
        <v>120</v>
      </c>
      <c r="R12" s="11">
        <v>0</v>
      </c>
      <c r="S12" s="2" t="s">
        <v>71</v>
      </c>
      <c r="T12" s="201">
        <f>WeeklySummaryDataTable[[#This Row],[Total Sales]]*Settings!$C$3</f>
        <v>943.441200000001</v>
      </c>
      <c r="U12" s="47">
        <v>0.1</v>
      </c>
      <c r="V12" s="11">
        <f>WeeklySummaryDataTable[[#This Row],[Sales Turnover]]/WeeklySummaryDataTable[[#This Row],['# Of Fridge]]</f>
        <v>311.90926748057745</v>
      </c>
      <c r="W12" s="11">
        <f>WeeklySummaryDataTable[[#This Row],[Sales Turnover]]-WeeklySummaryDataTable[[#This Row],[Fridge Food Cost]]</f>
        <v>2219.6350943396246</v>
      </c>
      <c r="X12" s="12">
        <f>WeeklySummaryDataTable[[#This Row],[Food Margin In Euro]]/WeeklySummaryDataTable[[#This Row],[Sales Turnover]]</f>
        <v>0.20930248612026642</v>
      </c>
      <c r="Y12" s="12">
        <f>IFERROR((WeeklySummaryDataTable[[#This Row],[Catering Turnover]]-WeeklySummaryDataTable[[#This Row],[Catering Food Cost]])/WeeklySummaryDataTable[[#This Row],[Catering Turnover]],0)</f>
        <v>0.5901639344262295</v>
      </c>
      <c r="Z12" s="11">
        <f>WeeklySummaryDataTable[[#This Row],[Logistics Cost]]/WeeklySummaryDataTable[[#This Row],['# Of Fridge]]</f>
        <v>44.928235294117648</v>
      </c>
      <c r="AA12" s="12">
        <f>IFERROR(WeeklySummaryDataTable[[#This Row],[Logistics Cost]]/WeeklySummaryDataTable[[#This Row],[Sales Turnover]],0)</f>
        <v>0.14404264309625017</v>
      </c>
      <c r="AB12" s="12">
        <f>IFERROR(WeeklySummaryDataTable[[#This Row],[Unsold Items]]/WeeklySummaryDataTable[[#This Row],[Sales Turnover]],0)</f>
        <v>0</v>
      </c>
      <c r="AC12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127.53389433962414</v>
      </c>
      <c r="AD12" s="12">
        <f>IFERROR(WeeklySummaryDataTable[[#This Row],[Net Margin]]/(WeeklySummaryDataTable[[#This Row],[Sales Turnover]]+WeeklySummaryDataTable[[#This Row],[Catering Turnover]]+WeeklySummaryDataTable[[#This Row],[TGTG Turnover]]),0)</f>
        <v>1.1377898152161687E-2</v>
      </c>
      <c r="AG12" s="83" t="str">
        <v>November 2025</v>
      </c>
      <c r="AH12" s="84">
        <v>6840.5714285714312</v>
      </c>
    </row>
    <row r="13" spans="2:34" ht="18.95" hidden="1">
      <c r="B13" s="2">
        <v>42</v>
      </c>
      <c r="C13" s="77">
        <v>45943</v>
      </c>
      <c r="D13" s="7">
        <v>45949</v>
      </c>
      <c r="E13" s="11">
        <v>11672.220000000041</v>
      </c>
      <c r="F13" s="11">
        <v>23.7</v>
      </c>
      <c r="G13" s="11">
        <v>284.17999999999984</v>
      </c>
      <c r="H13" s="11">
        <v>759.86</v>
      </c>
      <c r="I13" s="11">
        <f>(WeeklySummaryDataTable[[#This Row],[Total Sales]]+WeeklySummaryDataTable[[#This Row],[Customer Credit]]-WeeklySummaryDataTable[[#This Row],[Total Refund]])/1.06</f>
        <v>11706.018867924566</v>
      </c>
      <c r="J13" s="2">
        <v>35</v>
      </c>
      <c r="K13" s="11">
        <v>668</v>
      </c>
      <c r="L13" s="11">
        <v>55</v>
      </c>
      <c r="M13" s="141">
        <f>WeeklySummaryDataTable[[#This Row],[Added Food Cost]]</f>
        <v>9679.6400000000285</v>
      </c>
      <c r="N13" s="11" cm="1">
        <f t="array" ref="N13">IFERROR(SUM(_xlfn._xlws.FILTER(ByCategoryWeeklyAddedDataTable[Added Value],(ByCategoryWeeklyAddedDataTable[Week No]=WeeklySummaryDataTable[[#This Row],[Week No]])*(ByCategoryWeeklyAddedDataTable[Start Date]=WeeklySummaryDataTable[[#This Row],[Start Date]]))),0)</f>
        <v>9679.6400000000285</v>
      </c>
      <c r="O13" s="11">
        <f>WeeklySummaryDataTable[[#This Row],[Catering Turnover]]-Q55</f>
        <v>429</v>
      </c>
      <c r="P13" s="11">
        <v>1768.75</v>
      </c>
      <c r="Q13" s="2">
        <v>120</v>
      </c>
      <c r="R13" s="11">
        <v>0</v>
      </c>
      <c r="S13" s="2"/>
      <c r="T13" s="201">
        <f>WeeklySummaryDataTable[[#This Row],[Total Sales]]*Settings!$C$3</f>
        <v>1050.4998000000037</v>
      </c>
      <c r="U13" s="47">
        <v>0.1</v>
      </c>
      <c r="V13" s="11">
        <f>WeeklySummaryDataTable[[#This Row],[Sales Turnover]]/WeeklySummaryDataTable[[#This Row],['# Of Fridge]]</f>
        <v>334.45768194070189</v>
      </c>
      <c r="W13" s="11">
        <f>WeeklySummaryDataTable[[#This Row],[Sales Turnover]]-WeeklySummaryDataTable[[#This Row],[Fridge Food Cost]]</f>
        <v>2026.3788679245372</v>
      </c>
      <c r="X13" s="12">
        <f>WeeklySummaryDataTable[[#This Row],[Food Margin In Euro]]/WeeklySummaryDataTable[[#This Row],[Sales Turnover]]</f>
        <v>0.17310572371252353</v>
      </c>
      <c r="Y13" s="12">
        <f>IFERROR((WeeklySummaryDataTable[[#This Row],[Catering Turnover]]-WeeklySummaryDataTable[[#This Row],[Catering Food Cost]])/WeeklySummaryDataTable[[#This Row],[Catering Turnover]],0)</f>
        <v>0.35778443113772457</v>
      </c>
      <c r="Z13" s="11">
        <f>WeeklySummaryDataTable[[#This Row],[Logistics Cost]]/WeeklySummaryDataTable[[#This Row],['# Of Fridge]]</f>
        <v>50.535714285714285</v>
      </c>
      <c r="AA13" s="12">
        <f>IFERROR(WeeklySummaryDataTable[[#This Row],[Logistics Cost]]/WeeklySummaryDataTable[[#This Row],[Sales Turnover]],0)</f>
        <v>0.15109748411960255</v>
      </c>
      <c r="AB13" s="12">
        <f>IFERROR(WeeklySummaryDataTable[[#This Row],[Unsold Items]]/WeeklySummaryDataTable[[#This Row],[Sales Turnover]],0)</f>
        <v>0</v>
      </c>
      <c r="AC13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-498.97093207546652</v>
      </c>
      <c r="AD13" s="12">
        <f>IFERROR(WeeklySummaryDataTable[[#This Row],[Net Margin]]/(WeeklySummaryDataTable[[#This Row],[Sales Turnover]]+WeeklySummaryDataTable[[#This Row],[Catering Turnover]]+WeeklySummaryDataTable[[#This Row],[TGTG Turnover]]),0)</f>
        <v>-4.014564121092095E-2</v>
      </c>
      <c r="AG13" s="83" t="str">
        <v>October 2025</v>
      </c>
      <c r="AH13" s="84">
        <v>7362.6028571428606</v>
      </c>
    </row>
    <row r="14" spans="2:34" ht="18.95" hidden="1">
      <c r="B14" s="2">
        <v>43</v>
      </c>
      <c r="C14" s="77">
        <v>45950</v>
      </c>
      <c r="D14" s="7">
        <v>45956</v>
      </c>
      <c r="E14" s="11">
        <v>12075.260000000053</v>
      </c>
      <c r="F14" s="11">
        <v>16.59</v>
      </c>
      <c r="G14" s="11">
        <v>154.67999999999995</v>
      </c>
      <c r="H14" s="11">
        <v>731.63000000000113</v>
      </c>
      <c r="I14" s="11">
        <f>(WeeklySummaryDataTable[[#This Row],[Total Sales]]+WeeklySummaryDataTable[[#This Row],[Customer Credit]]-WeeklySummaryDataTable[[#This Row],[Total Refund]])/1.06</f>
        <v>12066.320754717031</v>
      </c>
      <c r="J14" s="2">
        <v>35</v>
      </c>
      <c r="K14" s="11">
        <v>129</v>
      </c>
      <c r="L14" s="11">
        <v>55</v>
      </c>
      <c r="M14" s="142" cm="1">
        <f t="array" ref="M14">IFERROR(SUM(_xlfn._xlws.FILTER(ByCategoryWeeklyDispatchDataTable[Foodcost Value],ByCategoryWeeklyDispatchDataTable[Week No]=WeeklySummaryDataTable[[#This Row],[Week No]])),0)</f>
        <v>0</v>
      </c>
      <c r="N14" s="47" cm="1">
        <f t="array" ref="N14">IFERROR(SUM(_xlfn._xlws.FILTER(ByCategoryWeeklyAddedDataTable[Added Value],(ByCategoryWeeklyAddedDataTable[Week No]=WeeklySummaryDataTable[[#This Row],[Week No]])*(ByCategoryWeeklyAddedDataTable[Start Date]=WeeklySummaryDataTable[[#This Row],[Start Date]]))),0)</f>
        <v>9007.0200000000114</v>
      </c>
      <c r="O14" s="11">
        <f>129-48.3</f>
        <v>80.7</v>
      </c>
      <c r="P14" s="11">
        <v>1768.75</v>
      </c>
      <c r="Q14" s="2">
        <v>120</v>
      </c>
      <c r="R14" s="11">
        <v>0</v>
      </c>
      <c r="S14" s="2"/>
      <c r="T14" s="201">
        <f>WeeklySummaryDataTable[[#This Row],[Total Sales]]*Settings!$C$3</f>
        <v>1086.7734000000048</v>
      </c>
      <c r="U14" s="47">
        <v>0.1</v>
      </c>
      <c r="V14" s="11">
        <f>WeeklySummaryDataTable[[#This Row],[Sales Turnover]]/WeeklySummaryDataTable[[#This Row],['# Of Fridge]]</f>
        <v>344.75202156334376</v>
      </c>
      <c r="W14" s="11">
        <f>WeeklySummaryDataTable[[#This Row],[Sales Turnover]]-WeeklySummaryDataTable[[#This Row],[Fridge Food Cost]]</f>
        <v>12066.320754717031</v>
      </c>
      <c r="X14" s="12">
        <f>WeeklySummaryDataTable[[#This Row],[Food Margin In Euro]]/WeeklySummaryDataTable[[#This Row],[Sales Turnover]]</f>
        <v>1</v>
      </c>
      <c r="Y14" s="12">
        <f>IFERROR((WeeklySummaryDataTable[[#This Row],[Catering Turnover]]-WeeklySummaryDataTable[[#This Row],[Catering Food Cost]])/WeeklySummaryDataTable[[#This Row],[Catering Turnover]],0)</f>
        <v>0.37441860465116278</v>
      </c>
      <c r="Z14" s="11">
        <f>WeeklySummaryDataTable[[#This Row],[Logistics Cost]]/WeeklySummaryDataTable[[#This Row],['# Of Fridge]]</f>
        <v>50.535714285714285</v>
      </c>
      <c r="AA14" s="12">
        <f>IFERROR(WeeklySummaryDataTable[[#This Row],[Logistics Cost]]/WeeklySummaryDataTable[[#This Row],[Sales Turnover]],0)</f>
        <v>0.14658569384611714</v>
      </c>
      <c r="AB14" s="12">
        <f>IFERROR(WeeklySummaryDataTable[[#This Row],[Unsold Items]]/WeeklySummaryDataTable[[#This Row],[Sales Turnover]],0)</f>
        <v>0</v>
      </c>
      <c r="AC14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9313.9973547170248</v>
      </c>
      <c r="AD14" s="12">
        <f>IFERROR(WeeklySummaryDataTable[[#This Row],[Net Margin]]/(WeeklySummaryDataTable[[#This Row],[Sales Turnover]]+WeeklySummaryDataTable[[#This Row],[Catering Turnover]]+WeeklySummaryDataTable[[#This Row],[TGTG Turnover]]),0)</f>
        <v>0.76030640676331973</v>
      </c>
      <c r="AG14" s="85" t="str">
        <v>September 2025</v>
      </c>
      <c r="AH14" s="86">
        <v>6770.4457142857136</v>
      </c>
    </row>
    <row r="15" spans="2:34" ht="18.95" hidden="1">
      <c r="B15" s="2">
        <v>44</v>
      </c>
      <c r="C15" s="77">
        <v>45957</v>
      </c>
      <c r="D15" s="7">
        <v>45963</v>
      </c>
      <c r="E15" s="11">
        <v>12093.569999999996</v>
      </c>
      <c r="F15" s="11">
        <v>0</v>
      </c>
      <c r="G15" s="11">
        <v>203.70000000000007</v>
      </c>
      <c r="H15" s="11">
        <v>750.48000000000093</v>
      </c>
      <c r="I15" s="11">
        <f>(WeeklySummaryDataTable[[#This Row],[Total Sales]]+WeeklySummaryDataTable[[#This Row],[Customer Credit]]-WeeklySummaryDataTable[[#This Row],[Total Refund]])/1.06</f>
        <v>12117.028301886789</v>
      </c>
      <c r="J15" s="2">
        <v>35</v>
      </c>
      <c r="K15" s="11">
        <v>288.39999999999998</v>
      </c>
      <c r="L15" s="11">
        <v>55</v>
      </c>
      <c r="M15" s="11" cm="1">
        <f t="array" ref="M15">IFERROR(SUM(_xlfn._xlws.FILTER(ByCategoryWeeklyDispatchDataTable[Foodcost Value],ByCategoryWeeklyDispatchDataTable[Week No]=WeeklySummaryDataTable[[#This Row],[Week No]])),0)</f>
        <v>0</v>
      </c>
      <c r="N15" s="11" cm="1">
        <f t="array" ref="N15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10395.01000000002</v>
      </c>
      <c r="O15" s="11">
        <v>171.46</v>
      </c>
      <c r="P15" s="11">
        <v>1689</v>
      </c>
      <c r="Q15" s="2">
        <v>120</v>
      </c>
      <c r="R15" s="11">
        <v>0</v>
      </c>
      <c r="S15" s="2" t="s">
        <v>72</v>
      </c>
      <c r="T15" s="201">
        <f>WeeklySummaryDataTable[[#This Row],[Total Sales]]*Settings!$C$3</f>
        <v>1088.4212999999995</v>
      </c>
      <c r="U15" s="47">
        <f>U14</f>
        <v>0.1</v>
      </c>
      <c r="V15" s="11">
        <f>WeeklySummaryDataTable[[#This Row],[Sales Turnover]]/WeeklySummaryDataTable[[#This Row],['# Of Fridge]]</f>
        <v>346.20080862533683</v>
      </c>
      <c r="W15" s="11">
        <f>WeeklySummaryDataTable[[#This Row],[Sales Turnover]]-WeeklySummaryDataTable[[#This Row],[Fridge Food Cost]]</f>
        <v>12117.028301886789</v>
      </c>
      <c r="X15" s="12">
        <f>WeeklySummaryDataTable[[#This Row],[Food Margin In Euro]]/WeeklySummaryDataTable[[#This Row],[Sales Turnover]]</f>
        <v>1</v>
      </c>
      <c r="Y15" s="12">
        <f>IFERROR((WeeklySummaryDataTable[[#This Row],[Catering Turnover]]-WeeklySummaryDataTable[[#This Row],[Catering Food Cost]])/WeeklySummaryDataTable[[#This Row],[Catering Turnover]],0)</f>
        <v>0.40547850208044378</v>
      </c>
      <c r="Z15" s="11">
        <f>WeeklySummaryDataTable[[#This Row],[Logistics Cost]]/WeeklySummaryDataTable[[#This Row],['# Of Fridge]]</f>
        <v>48.25714285714286</v>
      </c>
      <c r="AA15" s="12">
        <f>IFERROR(WeeklySummaryDataTable[[#This Row],[Logistics Cost]]/WeeklySummaryDataTable[[#This Row],[Sales Turnover]],0)</f>
        <v>0.13939061277400824</v>
      </c>
      <c r="AB15" s="12">
        <f>IFERROR(WeeklySummaryDataTable[[#This Row],[Unsold Items]]/WeeklySummaryDataTable[[#This Row],[Sales Turnover]],0)</f>
        <v>0</v>
      </c>
      <c r="AC15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9511.4470018867869</v>
      </c>
      <c r="AD15" s="12">
        <f>IFERROR(WeeklySummaryDataTable[[#This Row],[Net Margin]]/(WeeklySummaryDataTable[[#This Row],[Sales Turnover]]+WeeklySummaryDataTable[[#This Row],[Catering Turnover]]+WeeklySummaryDataTable[[#This Row],[TGTG Turnover]]),0)</f>
        <v>0.76333226847800573</v>
      </c>
    </row>
    <row r="16" spans="2:34" ht="18.95" hidden="1">
      <c r="B16" s="2">
        <v>45</v>
      </c>
      <c r="C16" s="77">
        <v>45964</v>
      </c>
      <c r="D16" s="7">
        <v>45970</v>
      </c>
      <c r="E16" s="11">
        <v>13152.870000000052</v>
      </c>
      <c r="F16" s="11">
        <v>44.64</v>
      </c>
      <c r="G16" s="11">
        <v>207.15999999999988</v>
      </c>
      <c r="H16" s="11">
        <v>812.08000000000072</v>
      </c>
      <c r="I16" s="11">
        <f>(WeeklySummaryDataTable[[#This Row],[Total Sales]]+WeeklySummaryDataTable[[#This Row],[Customer Credit]]-WeeklySummaryDataTable[[#This Row],[Total Refund]])/1.06</f>
        <v>13132.367924528351</v>
      </c>
      <c r="J16" s="2">
        <v>35</v>
      </c>
      <c r="K16" s="11">
        <v>209</v>
      </c>
      <c r="L16" s="11">
        <v>55</v>
      </c>
      <c r="M16" s="11" cm="1">
        <f t="array" ref="M16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16" s="11" cm="1">
        <f t="array" ref="N16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10112.069999999989</v>
      </c>
      <c r="O16" s="11">
        <v>137</v>
      </c>
      <c r="P16" s="11">
        <v>1811</v>
      </c>
      <c r="Q16" s="2">
        <v>120</v>
      </c>
      <c r="R16" s="11">
        <v>0</v>
      </c>
      <c r="S16" s="2"/>
      <c r="T16" s="201">
        <f>WeeklySummaryDataTable[[#This Row],[Total Sales]]*Settings!$C$3</f>
        <v>1183.7583000000045</v>
      </c>
      <c r="U16" s="47">
        <v>0.1</v>
      </c>
      <c r="V16" s="11">
        <f>WeeklySummaryDataTable[[#This Row],[Sales Turnover]]/WeeklySummaryDataTable[[#This Row],['# Of Fridge]]</f>
        <v>375.21051212938147</v>
      </c>
      <c r="W16" s="11">
        <f>WeeklySummaryDataTable[[#This Row],[Sales Turnover]]-WeeklySummaryDataTable[[#This Row],[Fridge Food Cost]]</f>
        <v>13132.367924528351</v>
      </c>
      <c r="X16" s="12">
        <f>WeeklySummaryDataTable[[#This Row],[Food Margin In Euro]]/WeeklySummaryDataTable[[#This Row],[Sales Turnover]]</f>
        <v>1</v>
      </c>
      <c r="Y16" s="12">
        <f>IFERROR((WeeklySummaryDataTable[[#This Row],[Catering Turnover]]-WeeklySummaryDataTable[[#This Row],[Catering Food Cost]])/WeeklySummaryDataTable[[#This Row],[Catering Turnover]],0)</f>
        <v>0.34449760765550241</v>
      </c>
      <c r="Z16" s="11">
        <f>WeeklySummaryDataTable[[#This Row],[Logistics Cost]]/WeeklySummaryDataTable[[#This Row],['# Of Fridge]]</f>
        <v>51.74285714285714</v>
      </c>
      <c r="AA16" s="12">
        <f>IFERROR(WeeklySummaryDataTable[[#This Row],[Logistics Cost]]/WeeklySummaryDataTable[[#This Row],[Sales Turnover]],0)</f>
        <v>0.13790353806775804</v>
      </c>
      <c r="AB16" s="12">
        <f>IFERROR(WeeklySummaryDataTable[[#This Row],[Unsold Items]]/WeeklySummaryDataTable[[#This Row],[Sales Turnover]],0)</f>
        <v>0</v>
      </c>
      <c r="AC16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10264.509624528346</v>
      </c>
      <c r="AD16" s="12">
        <f>IFERROR(WeeklySummaryDataTable[[#This Row],[Net Margin]]/(WeeklySummaryDataTable[[#This Row],[Sales Turnover]]+WeeklySummaryDataTable[[#This Row],[Catering Turnover]]+WeeklySummaryDataTable[[#This Row],[TGTG Turnover]]),0)</f>
        <v>0.76621586405777453</v>
      </c>
    </row>
    <row r="17" spans="2:30" ht="18.95" hidden="1">
      <c r="B17" s="2">
        <v>46</v>
      </c>
      <c r="C17" s="77">
        <v>45971</v>
      </c>
      <c r="D17" s="7">
        <v>45977</v>
      </c>
      <c r="E17" s="11">
        <v>11038.470000000028</v>
      </c>
      <c r="F17" s="11">
        <v>6.15</v>
      </c>
      <c r="G17" s="11">
        <v>187.54999999999987</v>
      </c>
      <c r="H17" s="11">
        <v>656.66000000000031</v>
      </c>
      <c r="I17" s="11">
        <f>(WeeklySummaryDataTable[[#This Row],[Total Sales]]+WeeklySummaryDataTable[[#This Row],[Customer Credit]]-WeeklySummaryDataTable[[#This Row],[Total Refund]])/1.06</f>
        <v>11027.339622641535</v>
      </c>
      <c r="J17" s="2">
        <v>35</v>
      </c>
      <c r="K17" s="11">
        <v>570</v>
      </c>
      <c r="L17" s="11">
        <v>55</v>
      </c>
      <c r="M17" s="11" cm="1">
        <f t="array" ref="M17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17" s="11" cm="1">
        <f t="array" ref="N17">IFERROR(SUM(_xlfn._xlws.FILTER(ByCategoryWeeklyAddedDataTable[Added Value],(ByCategoryWeeklyAddedDataTable[Week No]=WeeklySummaryDataTable[[#This Row],[Week No]])*(ByCategoryWeeklyAddedDataTable[Start Date]=WeeklySummaryDataTable[[#This Row],[Start Date]]))),0)</f>
        <v>9032.7250000000095</v>
      </c>
      <c r="O17" s="11">
        <v>359</v>
      </c>
      <c r="P17" s="11">
        <v>1380</v>
      </c>
      <c r="Q17" s="2">
        <v>120</v>
      </c>
      <c r="R17" s="11">
        <v>0</v>
      </c>
      <c r="S17" s="2" t="s">
        <v>73</v>
      </c>
      <c r="T17" s="201">
        <f>WeeklySummaryDataTable[[#This Row],[Total Sales]]*Settings!$C$3</f>
        <v>993.46230000000253</v>
      </c>
      <c r="U17" s="47">
        <v>0.1</v>
      </c>
      <c r="V17" s="11">
        <f>WeeklySummaryDataTable[[#This Row],[Sales Turnover]]/WeeklySummaryDataTable[[#This Row],['# Of Fridge]]</f>
        <v>315.06684636118672</v>
      </c>
      <c r="W17" s="11">
        <f>WeeklySummaryDataTable[[#This Row],[Sales Turnover]]-WeeklySummaryDataTable[[#This Row],[Fridge Food Cost]]</f>
        <v>11027.339622641535</v>
      </c>
      <c r="X17" s="12">
        <f>WeeklySummaryDataTable[[#This Row],[Food Margin In Euro]]/WeeklySummaryDataTable[[#This Row],[Sales Turnover]]</f>
        <v>1</v>
      </c>
      <c r="Y17" s="12">
        <f>IFERROR((WeeklySummaryDataTable[[#This Row],[Catering Turnover]]-WeeklySummaryDataTable[[#This Row],[Catering Food Cost]])/WeeklySummaryDataTable[[#This Row],[Catering Turnover]],0)</f>
        <v>0.37017543859649121</v>
      </c>
      <c r="Z17" s="11">
        <f>WeeklySummaryDataTable[[#This Row],[Logistics Cost]]/WeeklySummaryDataTable[[#This Row],['# Of Fridge]]</f>
        <v>39.428571428571431</v>
      </c>
      <c r="AA17" s="12">
        <f>IFERROR(WeeklySummaryDataTable[[#This Row],[Logistics Cost]]/WeeklySummaryDataTable[[#This Row],[Sales Turnover]],0)</f>
        <v>0.12514351123879044</v>
      </c>
      <c r="AB17" s="12">
        <f>IFERROR(WeeklySummaryDataTable[[#This Row],[Unsold Items]]/WeeklySummaryDataTable[[#This Row],[Sales Turnover]],0)</f>
        <v>0</v>
      </c>
      <c r="AC17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8919.777322641532</v>
      </c>
      <c r="AD17" s="12">
        <f>IFERROR(WeeklySummaryDataTable[[#This Row],[Net Margin]]/(WeeklySummaryDataTable[[#This Row],[Sales Turnover]]+WeeklySummaryDataTable[[#This Row],[Catering Turnover]]+WeeklySummaryDataTable[[#This Row],[TGTG Turnover]]),0)</f>
        <v>0.7654923913571493</v>
      </c>
    </row>
    <row r="18" spans="2:30" ht="18.95" hidden="1">
      <c r="B18" s="2">
        <v>47</v>
      </c>
      <c r="C18" s="77">
        <v>45978</v>
      </c>
      <c r="D18" s="7">
        <v>45984</v>
      </c>
      <c r="E18" s="11">
        <v>14965.820000000045</v>
      </c>
      <c r="F18" s="11">
        <v>44.07</v>
      </c>
      <c r="G18" s="11">
        <v>179.02999999999972</v>
      </c>
      <c r="H18" s="11">
        <v>904.30000000000098</v>
      </c>
      <c r="I18" s="11">
        <f>(WeeklySummaryDataTable[[#This Row],[Total Sales]]+WeeklySummaryDataTable[[#This Row],[Customer Credit]]-WeeklySummaryDataTable[[#This Row],[Total Refund]])/1.06</f>
        <v>14930.235849056648</v>
      </c>
      <c r="J18" s="2">
        <v>37</v>
      </c>
      <c r="K18" s="11">
        <v>1304</v>
      </c>
      <c r="L18" s="11">
        <v>55</v>
      </c>
      <c r="M18" s="11" cm="1">
        <f t="array" ref="M18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18" s="11" cm="1">
        <f t="array" ref="N18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10837.072499999958</v>
      </c>
      <c r="O18" s="11">
        <v>844</v>
      </c>
      <c r="P18" s="11">
        <v>1550</v>
      </c>
      <c r="Q18" s="2">
        <v>120</v>
      </c>
      <c r="R18" s="11">
        <v>0</v>
      </c>
      <c r="S18" s="2"/>
      <c r="T18" s="201">
        <f>WeeklySummaryDataTable[[#This Row],[Total Sales]]*Settings!$C$3</f>
        <v>1346.9238000000041</v>
      </c>
      <c r="U18" s="47">
        <v>0.1</v>
      </c>
      <c r="V18" s="11">
        <f>WeeklySummaryDataTable[[#This Row],[Sales Turnover]]/WeeklySummaryDataTable[[#This Row],['# Of Fridge]]</f>
        <v>403.51988781234184</v>
      </c>
      <c r="W18" s="11">
        <f>WeeklySummaryDataTable[[#This Row],[Sales Turnover]]-WeeklySummaryDataTable[[#This Row],[Fridge Food Cost]]</f>
        <v>14930.235849056648</v>
      </c>
      <c r="X18" s="12">
        <f>WeeklySummaryDataTable[[#This Row],[Food Margin In Euro]]/WeeklySummaryDataTable[[#This Row],[Sales Turnover]]</f>
        <v>1</v>
      </c>
      <c r="Y18" s="12">
        <f>IFERROR((WeeklySummaryDataTable[[#This Row],[Catering Turnover]]-WeeklySummaryDataTable[[#This Row],[Catering Food Cost]])/WeeklySummaryDataTable[[#This Row],[Catering Turnover]],0)</f>
        <v>0.35276073619631904</v>
      </c>
      <c r="Z18" s="11">
        <f>WeeklySummaryDataTable[[#This Row],[Logistics Cost]]/WeeklySummaryDataTable[[#This Row],['# Of Fridge]]</f>
        <v>41.891891891891895</v>
      </c>
      <c r="AA18" s="12">
        <f>IFERROR(WeeklySummaryDataTable[[#This Row],[Logistics Cost]]/WeeklySummaryDataTable[[#This Row],[Sales Turnover]],0)</f>
        <v>0.10381617649381843</v>
      </c>
      <c r="AB18" s="12">
        <f>IFERROR(WeeklySummaryDataTable[[#This Row],[Unsold Items]]/WeeklySummaryDataTable[[#This Row],[Sales Turnover]],0)</f>
        <v>0</v>
      </c>
      <c r="AC18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12548.212049056643</v>
      </c>
      <c r="AD18" s="12">
        <f>IFERROR(WeeklySummaryDataTable[[#This Row],[Net Margin]]/(WeeklySummaryDataTable[[#This Row],[Sales Turnover]]+WeeklySummaryDataTable[[#This Row],[Catering Turnover]]+WeeklySummaryDataTable[[#This Row],[TGTG Turnover]]),0)</f>
        <v>0.77033767362287553</v>
      </c>
    </row>
    <row r="19" spans="2:30" ht="18.95" hidden="1">
      <c r="B19" s="2">
        <v>48</v>
      </c>
      <c r="C19" s="77">
        <v>45985</v>
      </c>
      <c r="D19" s="7">
        <v>45991</v>
      </c>
      <c r="E19" s="11">
        <v>13712.519999999935</v>
      </c>
      <c r="F19" s="11">
        <v>37.880000000000003</v>
      </c>
      <c r="G19" s="11">
        <v>207.58000000000013</v>
      </c>
      <c r="H19" s="11">
        <v>859.54000000000053</v>
      </c>
      <c r="I19" s="11">
        <f>(WeeklySummaryDataTable[[#This Row],[Total Sales]]+WeeklySummaryDataTable[[#This Row],[Customer Credit]]-WeeklySummaryDataTable[[#This Row],[Total Refund]])/1.06</f>
        <v>13711.490566037675</v>
      </c>
      <c r="J19" s="2">
        <v>37</v>
      </c>
      <c r="K19" s="11">
        <v>352</v>
      </c>
      <c r="L19" s="11">
        <v>55</v>
      </c>
      <c r="M19" s="11" cm="1">
        <f t="array" ref="M19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19" s="11" cm="1">
        <f t="array" ref="N19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10674.92</v>
      </c>
      <c r="O19" s="11">
        <v>212</v>
      </c>
      <c r="P19" s="11">
        <v>1617</v>
      </c>
      <c r="Q19" s="2">
        <v>120</v>
      </c>
      <c r="R19" s="11">
        <v>0</v>
      </c>
      <c r="S19" s="2"/>
      <c r="T19" s="201">
        <f>WeeklySummaryDataTable[[#This Row],[Total Sales]]*Settings!$C$3</f>
        <v>1234.1267999999941</v>
      </c>
      <c r="U19" s="47">
        <v>0.1</v>
      </c>
      <c r="V19" s="11">
        <f>WeeklySummaryDataTable[[#This Row],[Sales Turnover]]/WeeklySummaryDataTable[[#This Row],['# Of Fridge]]</f>
        <v>370.58082610912635</v>
      </c>
      <c r="W19" s="11">
        <f>WeeklySummaryDataTable[[#This Row],[Sales Turnover]]-WeeklySummaryDataTable[[#This Row],[Fridge Food Cost]]</f>
        <v>13711.490566037675</v>
      </c>
      <c r="X19" s="12">
        <f>WeeklySummaryDataTable[[#This Row],[Food Margin In Euro]]/WeeklySummaryDataTable[[#This Row],[Sales Turnover]]</f>
        <v>1</v>
      </c>
      <c r="Y19" s="12">
        <f>IFERROR((WeeklySummaryDataTable[[#This Row],[Catering Turnover]]-WeeklySummaryDataTable[[#This Row],[Catering Food Cost]])/WeeklySummaryDataTable[[#This Row],[Catering Turnover]],0)</f>
        <v>0.39772727272727271</v>
      </c>
      <c r="Z19" s="11">
        <f>WeeklySummaryDataTable[[#This Row],[Logistics Cost]]/WeeklySummaryDataTable[[#This Row],['# Of Fridge]]</f>
        <v>43.702702702702702</v>
      </c>
      <c r="AA19" s="12">
        <f>IFERROR(WeeklySummaryDataTable[[#This Row],[Logistics Cost]]/WeeklySummaryDataTable[[#This Row],[Sales Turnover]],0)</f>
        <v>0.11793028571271359</v>
      </c>
      <c r="AB19" s="12">
        <f>IFERROR(WeeklySummaryDataTable[[#This Row],[Unsold Items]]/WeeklySummaryDataTable[[#This Row],[Sales Turnover]],0)</f>
        <v>0</v>
      </c>
      <c r="AC19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11055.26376603768</v>
      </c>
      <c r="AD19" s="12">
        <f>IFERROR(WeeklySummaryDataTable[[#This Row],[Net Margin]]/(WeeklySummaryDataTable[[#This Row],[Sales Turnover]]+WeeklySummaryDataTable[[#This Row],[Catering Turnover]]+WeeklySummaryDataTable[[#This Row],[TGTG Turnover]]),0)</f>
        <v>0.78303439835355693</v>
      </c>
    </row>
    <row r="20" spans="2:30" ht="18.95" hidden="1">
      <c r="B20" s="2">
        <v>49</v>
      </c>
      <c r="C20" s="77">
        <v>45992</v>
      </c>
      <c r="D20" s="7">
        <v>45998</v>
      </c>
      <c r="E20" s="11">
        <v>14803.989999999947</v>
      </c>
      <c r="F20" s="11">
        <v>24.23</v>
      </c>
      <c r="G20" s="11">
        <v>262.56000000000012</v>
      </c>
      <c r="H20" s="11">
        <v>1017.829999999999</v>
      </c>
      <c r="I20" s="11">
        <f>(WeeklySummaryDataTable[[#This Row],[Total Sales]]+WeeklySummaryDataTable[[#This Row],[Customer Credit]]-WeeklySummaryDataTable[[#This Row],[Total Refund]])/1.06</f>
        <v>14903.386792452779</v>
      </c>
      <c r="J20" s="2">
        <v>37</v>
      </c>
      <c r="K20" s="11">
        <v>1008</v>
      </c>
      <c r="L20" s="11">
        <v>55</v>
      </c>
      <c r="M20" s="11" cm="1">
        <f t="array" ref="M20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0" s="11" cm="1">
        <f t="array" ref="N20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12033.33999999996</v>
      </c>
      <c r="O20" s="11">
        <v>396.5</v>
      </c>
      <c r="P20" s="11">
        <v>1617</v>
      </c>
      <c r="Q20" s="2">
        <v>120</v>
      </c>
      <c r="R20" s="11">
        <v>0</v>
      </c>
      <c r="S20" s="2" t="s">
        <v>74</v>
      </c>
      <c r="T20" s="201">
        <f>WeeklySummaryDataTable[[#This Row],[Total Sales]]*Settings!$C$3</f>
        <v>1332.3590999999951</v>
      </c>
      <c r="U20" s="201">
        <f>WeeklySummaryDataTable[[#This Row],[Total Refund]]*Settings!$C$3</f>
        <v>2.1806999999999999</v>
      </c>
      <c r="V20" s="11">
        <f>WeeklySummaryDataTable[[#This Row],[Sales Turnover]]/WeeklySummaryDataTable[[#This Row],['# Of Fridge]]</f>
        <v>402.79423763385887</v>
      </c>
      <c r="W20" s="11">
        <f>WeeklySummaryDataTable[[#This Row],[Sales Turnover]]-WeeklySummaryDataTable[[#This Row],[Fridge Food Cost]]</f>
        <v>14903.386792452779</v>
      </c>
      <c r="X20" s="12">
        <f>WeeklySummaryDataTable[[#This Row],[Food Margin In Euro]]/WeeklySummaryDataTable[[#This Row],[Sales Turnover]]</f>
        <v>1</v>
      </c>
      <c r="Y20" s="12">
        <f>IFERROR((WeeklySummaryDataTable[[#This Row],[Catering Turnover]]-WeeklySummaryDataTable[[#This Row],[Catering Food Cost]])/WeeklySummaryDataTable[[#This Row],[Catering Turnover]],0)</f>
        <v>0.60664682539682535</v>
      </c>
      <c r="Z20" s="11">
        <f>WeeklySummaryDataTable[[#This Row],[Logistics Cost]]/WeeklySummaryDataTable[[#This Row],['# Of Fridge]]</f>
        <v>43.702702702702702</v>
      </c>
      <c r="AA20" s="12">
        <f>IFERROR(WeeklySummaryDataTable[[#This Row],[Logistics Cost]]/WeeklySummaryDataTable[[#This Row],[Sales Turnover]],0)</f>
        <v>0.10849882798578808</v>
      </c>
      <c r="AB20" s="12">
        <f>IFERROR(WeeklySummaryDataTable[[#This Row],[Unsold Items]]/WeeklySummaryDataTable[[#This Row],[Sales Turnover]],0)</f>
        <v>0</v>
      </c>
      <c r="AC20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12618.346992452782</v>
      </c>
      <c r="AD20" s="12">
        <f>IFERROR(WeeklySummaryDataTable[[#This Row],[Net Margin]]/(WeeklySummaryDataTable[[#This Row],[Sales Turnover]]+WeeklySummaryDataTable[[#This Row],[Catering Turnover]]+WeeklySummaryDataTable[[#This Row],[TGTG Turnover]]),0)</f>
        <v>0.7903069840708985</v>
      </c>
    </row>
    <row r="21" spans="2:30" ht="18.95" hidden="1">
      <c r="B21" s="2">
        <v>50</v>
      </c>
      <c r="C21" s="77">
        <v>45999</v>
      </c>
      <c r="D21" s="7">
        <v>46005</v>
      </c>
      <c r="E21" s="11">
        <v>14189.499999999956</v>
      </c>
      <c r="F21" s="11">
        <v>64.45</v>
      </c>
      <c r="G21" s="11">
        <v>302.10000000000025</v>
      </c>
      <c r="H21" s="11">
        <v>859.02000000000066</v>
      </c>
      <c r="I21" s="11">
        <f>(WeeklySummaryDataTable[[#This Row],[Total Sales]]+WeeklySummaryDataTable[[#This Row],[Customer Credit]]-WeeklySummaryDataTable[[#This Row],[Total Refund]])/1.06</f>
        <v>14135.91509433958</v>
      </c>
      <c r="J21" s="2">
        <v>36</v>
      </c>
      <c r="K21" s="11">
        <v>375</v>
      </c>
      <c r="L21" s="11">
        <v>55</v>
      </c>
      <c r="M21" s="11" cm="1">
        <f t="array" ref="M21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1" s="11" cm="1">
        <f t="array" ref="N21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12059.72000000001</v>
      </c>
      <c r="O21" s="11">
        <v>237</v>
      </c>
      <c r="P21" s="11">
        <v>1792</v>
      </c>
      <c r="Q21" s="2">
        <v>120</v>
      </c>
      <c r="R21" s="11">
        <v>0</v>
      </c>
      <c r="S21" s="2" t="s">
        <v>75</v>
      </c>
      <c r="T21" s="201">
        <f>WeeklySummaryDataTable[[#This Row],[Total Sales]]*Settings!$C$3</f>
        <v>1277.054999999996</v>
      </c>
      <c r="U21" s="47">
        <v>0.1</v>
      </c>
      <c r="V21" s="11">
        <f>WeeklySummaryDataTable[[#This Row],[Sales Turnover]]/WeeklySummaryDataTable[[#This Row],['# Of Fridge]]</f>
        <v>392.66430817609944</v>
      </c>
      <c r="W21" s="11">
        <f>WeeklySummaryDataTable[[#This Row],[Sales Turnover]]-WeeklySummaryDataTable[[#This Row],[Fridge Food Cost]]</f>
        <v>14135.91509433958</v>
      </c>
      <c r="X21" s="12">
        <f>WeeklySummaryDataTable[[#This Row],[Food Margin In Euro]]/WeeklySummaryDataTable[[#This Row],[Sales Turnover]]</f>
        <v>1</v>
      </c>
      <c r="Y21" s="12">
        <f>IFERROR((WeeklySummaryDataTable[[#This Row],[Catering Turnover]]-WeeklySummaryDataTable[[#This Row],[Catering Food Cost]])/WeeklySummaryDataTable[[#This Row],[Catering Turnover]],0)</f>
        <v>0.36799999999999999</v>
      </c>
      <c r="Z21" s="11">
        <f>WeeklySummaryDataTable[[#This Row],[Logistics Cost]]/WeeklySummaryDataTable[[#This Row],['# Of Fridge]]</f>
        <v>49.777777777777779</v>
      </c>
      <c r="AA21" s="12">
        <f>IFERROR(WeeklySummaryDataTable[[#This Row],[Logistics Cost]]/WeeklySummaryDataTable[[#This Row],[Sales Turnover]],0)</f>
        <v>0.12676929565865655</v>
      </c>
      <c r="AB21" s="12">
        <f>IFERROR(WeeklySummaryDataTable[[#This Row],[Unsold Items]]/WeeklySummaryDataTable[[#This Row],[Sales Turnover]],0)</f>
        <v>0</v>
      </c>
      <c r="AC21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11259.760094339583</v>
      </c>
      <c r="AD21" s="12">
        <f>IFERROR(WeeklySummaryDataTable[[#This Row],[Net Margin]]/(WeeklySummaryDataTable[[#This Row],[Sales Turnover]]+WeeklySummaryDataTable[[#This Row],[Catering Turnover]]+WeeklySummaryDataTable[[#This Row],[TGTG Turnover]]),0)</f>
        <v>0.77302112647321464</v>
      </c>
    </row>
    <row r="22" spans="2:30" ht="18.95" hidden="1">
      <c r="B22" s="2">
        <v>51</v>
      </c>
      <c r="C22" s="77">
        <v>46006</v>
      </c>
      <c r="D22" s="7">
        <v>46012</v>
      </c>
      <c r="E22" s="11">
        <v>14072.710000000017</v>
      </c>
      <c r="F22" s="11">
        <v>16.350000000000001</v>
      </c>
      <c r="G22" s="11">
        <v>262.52999999999975</v>
      </c>
      <c r="H22" s="11">
        <v>811.98000000000036</v>
      </c>
      <c r="I22" s="11">
        <f>(WeeklySummaryDataTable[[#This Row],[Total Sales]]+WeeklySummaryDataTable[[#This Row],[Customer Credit]]-WeeklySummaryDataTable[[#This Row],[Total Refund]])/1.06</f>
        <v>14026.735849056618</v>
      </c>
      <c r="J22" s="2">
        <v>36</v>
      </c>
      <c r="K22" s="11">
        <v>456</v>
      </c>
      <c r="L22" s="11">
        <v>75</v>
      </c>
      <c r="M22" s="11" cm="1">
        <f t="array" ref="M22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2" s="11" cm="1">
        <f t="array" ref="N22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10217.05999999999</v>
      </c>
      <c r="O22" s="11">
        <v>300</v>
      </c>
      <c r="P22" s="11">
        <v>1700</v>
      </c>
      <c r="Q22" s="2">
        <v>120</v>
      </c>
      <c r="R22" s="11">
        <v>0</v>
      </c>
      <c r="S22" s="2" t="s">
        <v>76</v>
      </c>
      <c r="T22" s="201">
        <f>WeeklySummaryDataTable[[#This Row],[Total Sales]]*Settings!$C$3</f>
        <v>1266.5439000000015</v>
      </c>
      <c r="U22" s="47">
        <v>0.1</v>
      </c>
      <c r="V22" s="11">
        <f>WeeklySummaryDataTable[[#This Row],[Sales Turnover]]/WeeklySummaryDataTable[[#This Row],['# Of Fridge]]</f>
        <v>389.63155136268387</v>
      </c>
      <c r="W22" s="11">
        <f>WeeklySummaryDataTable[[#This Row],[Sales Turnover]]-WeeklySummaryDataTable[[#This Row],[Fridge Food Cost]]</f>
        <v>14026.735849056618</v>
      </c>
      <c r="X22" s="12">
        <f>WeeklySummaryDataTable[[#This Row],[Food Margin In Euro]]/WeeklySummaryDataTable[[#This Row],[Sales Turnover]]</f>
        <v>1</v>
      </c>
      <c r="Y22" s="12">
        <f>IFERROR((WeeklySummaryDataTable[[#This Row],[Catering Turnover]]-WeeklySummaryDataTable[[#This Row],[Catering Food Cost]])/WeeklySummaryDataTable[[#This Row],[Catering Turnover]],0)</f>
        <v>0.34210526315789475</v>
      </c>
      <c r="Z22" s="11">
        <f>WeeklySummaryDataTable[[#This Row],[Logistics Cost]]/WeeklySummaryDataTable[[#This Row],['# Of Fridge]]</f>
        <v>47.222222222222221</v>
      </c>
      <c r="AA22" s="12">
        <f>IFERROR(WeeklySummaryDataTable[[#This Row],[Logistics Cost]]/WeeklySummaryDataTable[[#This Row],[Sales Turnover]],0)</f>
        <v>0.12119712086218086</v>
      </c>
      <c r="AB22" s="12">
        <f>IFERROR(WeeklySummaryDataTable[[#This Row],[Unsold Items]]/WeeklySummaryDataTable[[#This Row],[Sales Turnover]],0)</f>
        <v>0</v>
      </c>
      <c r="AC22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11291.091949056618</v>
      </c>
      <c r="AD22" s="12">
        <f>IFERROR(WeeklySummaryDataTable[[#This Row],[Net Margin]]/(WeeklySummaryDataTable[[#This Row],[Sales Turnover]]+WeeklySummaryDataTable[[#This Row],[Catering Turnover]]+WeeklySummaryDataTable[[#This Row],[TGTG Turnover]]),0)</f>
        <v>0.77560769518896799</v>
      </c>
    </row>
    <row r="23" spans="2:30" ht="18.75" hidden="1" customHeight="1">
      <c r="B23" s="2">
        <v>52</v>
      </c>
      <c r="C23" s="77">
        <v>46013</v>
      </c>
      <c r="D23" s="7">
        <v>46019</v>
      </c>
      <c r="E23" s="11">
        <f>5479.51999999998-165</f>
        <v>5314.5199999999804</v>
      </c>
      <c r="F23" s="11">
        <v>0</v>
      </c>
      <c r="G23" s="11">
        <v>132.47</v>
      </c>
      <c r="H23" s="11">
        <v>384.70999999999992</v>
      </c>
      <c r="I23" s="11">
        <f>(WeeklySummaryDataTable[[#This Row],[Total Sales]]+WeeklySummaryDataTable[[#This Row],[Customer Credit]]-WeeklySummaryDataTable[[#This Row],[Total Refund]])/1.06</f>
        <v>5376.6320754716799</v>
      </c>
      <c r="J23" s="2">
        <v>35</v>
      </c>
      <c r="K23" s="11">
        <v>0</v>
      </c>
      <c r="L23" s="11">
        <v>55</v>
      </c>
      <c r="M23" s="11" cm="1">
        <f t="array" ref="M23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3" s="11" cm="1">
        <f t="array" ref="N23">IFERROR(SUM(_xlfn._xlws.FILTER(ByCategoryWeeklyAddedDataTable[Added Value],(ByCategoryWeeklyAddedDataTable[Week No]=WeeklySummaryDataTable[[#This Row],[Week No]])*(ByCategoryWeeklyAddedDataTable[Start Date]=WeeklySummaryDataTable[[#This Row],[Start Date]]))),0)</f>
        <v>4963.7800000000016</v>
      </c>
      <c r="O23" s="11">
        <v>0</v>
      </c>
      <c r="P23" s="11">
        <v>1092</v>
      </c>
      <c r="Q23" s="2">
        <v>120</v>
      </c>
      <c r="R23" s="11">
        <v>0</v>
      </c>
      <c r="S23" s="2" t="s">
        <v>77</v>
      </c>
      <c r="T23" s="201">
        <f>WeeklySummaryDataTable[[#This Row],[Total Sales]]*Settings!$C$3</f>
        <v>478.30679999999825</v>
      </c>
      <c r="U23" s="47">
        <v>0.1</v>
      </c>
      <c r="V23" s="11">
        <f>WeeklySummaryDataTable[[#This Row],[Sales Turnover]]/WeeklySummaryDataTable[[#This Row],['# Of Fridge]]</f>
        <v>153.61805929919086</v>
      </c>
      <c r="W23" s="11">
        <f>WeeklySummaryDataTable[[#This Row],[Sales Turnover]]-WeeklySummaryDataTable[[#This Row],[Fridge Food Cost]]</f>
        <v>5376.6320754716799</v>
      </c>
      <c r="X23" s="12">
        <f>WeeklySummaryDataTable[[#This Row],[Food Margin In Euro]]/WeeklySummaryDataTable[[#This Row],[Sales Turnover]]</f>
        <v>1</v>
      </c>
      <c r="Y23" s="12">
        <f>IFERROR((WeeklySummaryDataTable[[#This Row],[Catering Turnover]]-WeeklySummaryDataTable[[#This Row],[Catering Food Cost]])/WeeklySummaryDataTable[[#This Row],[Catering Turnover]],0)</f>
        <v>0</v>
      </c>
      <c r="Z23" s="11">
        <f>WeeklySummaryDataTable[[#This Row],[Logistics Cost]]/WeeklySummaryDataTable[[#This Row],['# Of Fridge]]</f>
        <v>31.2</v>
      </c>
      <c r="AA23" s="12">
        <f>IFERROR(WeeklySummaryDataTable[[#This Row],[Logistics Cost]]/WeeklySummaryDataTable[[#This Row],[Sales Turnover]],0)</f>
        <v>0.20310112067770628</v>
      </c>
      <c r="AB23" s="12">
        <f>IFERROR(WeeklySummaryDataTable[[#This Row],[Unsold Items]]/WeeklySummaryDataTable[[#This Row],[Sales Turnover]],0)</f>
        <v>0</v>
      </c>
      <c r="AC23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3861.2252754716815</v>
      </c>
      <c r="AD23" s="12">
        <f>IFERROR(WeeklySummaryDataTable[[#This Row],[Net Margin]]/(WeeklySummaryDataTable[[#This Row],[Sales Turnover]]+WeeklySummaryDataTable[[#This Row],[Catering Turnover]]+WeeklySummaryDataTable[[#This Row],[TGTG Turnover]]),0)</f>
        <v>0.71087754505838374</v>
      </c>
    </row>
    <row r="24" spans="2:30" ht="18.75" hidden="1" customHeight="1">
      <c r="B24" s="163">
        <v>6</v>
      </c>
      <c r="C24" s="164">
        <v>46055</v>
      </c>
      <c r="D24" s="165">
        <v>46061</v>
      </c>
      <c r="E24" s="166">
        <v>16893.119999999824</v>
      </c>
      <c r="F24" s="166">
        <v>59.65</v>
      </c>
      <c r="G24" s="166">
        <v>342.51999999999981</v>
      </c>
      <c r="H24" s="166">
        <v>831.22000000000014</v>
      </c>
      <c r="I24" s="166">
        <f>(WeeklySummaryDataTable[[#This Row],[Total Sales]]+WeeklySummaryDataTable[[#This Row],[Customer Credit]]-WeeklySummaryDataTable[[#This Row],[Total Refund]])/1.06</f>
        <v>16664.801886792287</v>
      </c>
      <c r="J24" s="163">
        <v>39</v>
      </c>
      <c r="K24" s="166">
        <v>375</v>
      </c>
      <c r="L24" s="166">
        <v>55</v>
      </c>
      <c r="M24" s="166" cm="1">
        <f t="array" ref="M24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4" s="166" cm="1">
        <f t="array" ref="N24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13284.00999999996</v>
      </c>
      <c r="O24" s="166">
        <v>250</v>
      </c>
      <c r="P24" s="166">
        <v>1792</v>
      </c>
      <c r="Q24" s="163">
        <v>120</v>
      </c>
      <c r="R24" s="166">
        <v>0</v>
      </c>
      <c r="S24" s="163"/>
      <c r="T24" s="202">
        <f>WeeklySummaryDataTable[[#This Row],[Total Sales]]*Settings!$C$3</f>
        <v>1520.3807999999842</v>
      </c>
      <c r="U24" s="166">
        <v>0.1</v>
      </c>
      <c r="V24" s="166">
        <f>WeeklySummaryDataTable[[#This Row],[Sales Turnover]]/WeeklySummaryDataTable[[#This Row],['# Of Fridge]]</f>
        <v>427.30261248185354</v>
      </c>
      <c r="W24" s="166">
        <f>WeeklySummaryDataTable[[#This Row],[Sales Turnover]]-WeeklySummaryDataTable[[#This Row],[Fridge Food Cost]]</f>
        <v>16664.801886792287</v>
      </c>
      <c r="X24" s="167">
        <f>WeeklySummaryDataTable[[#This Row],[Food Margin In Euro]]/WeeklySummaryDataTable[[#This Row],[Sales Turnover]]</f>
        <v>1</v>
      </c>
      <c r="Y24" s="167">
        <f>IFERROR((WeeklySummaryDataTable[[#This Row],[Catering Turnover]]-WeeklySummaryDataTable[[#This Row],[Catering Food Cost]])/WeeklySummaryDataTable[[#This Row],[Catering Turnover]],0)</f>
        <v>0.33333333333333331</v>
      </c>
      <c r="Z24" s="166">
        <f>WeeklySummaryDataTable[[#This Row],[Logistics Cost]]/WeeklySummaryDataTable[[#This Row],['# Of Fridge]]</f>
        <v>45.948717948717949</v>
      </c>
      <c r="AA24" s="167">
        <f>IFERROR(WeeklySummaryDataTable[[#This Row],[Logistics Cost]]/WeeklySummaryDataTable[[#This Row],[Sales Turnover]],0)</f>
        <v>0.10753203141408192</v>
      </c>
      <c r="AB24" s="167">
        <f>IFERROR(WeeklySummaryDataTable[[#This Row],[Unsold Items]]/WeeklySummaryDataTable[[#This Row],[Sales Turnover]],0)</f>
        <v>0</v>
      </c>
      <c r="AC24" s="166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13532.321086792303</v>
      </c>
      <c r="AD24" s="167">
        <f>IFERROR(WeeklySummaryDataTable[[#This Row],[Net Margin]]/(WeeklySummaryDataTable[[#This Row],[Sales Turnover]]+WeeklySummaryDataTable[[#This Row],[Catering Turnover]]+WeeklySummaryDataTable[[#This Row],[TGTG Turnover]]),0)</f>
        <v>0.79160444071876535</v>
      </c>
    </row>
    <row r="25" spans="2:30" ht="18.95" hidden="1">
      <c r="B25" s="163">
        <v>7</v>
      </c>
      <c r="C25" s="164">
        <v>46062</v>
      </c>
      <c r="D25" s="165">
        <v>46068</v>
      </c>
      <c r="E25" s="166">
        <v>16370.249999999724</v>
      </c>
      <c r="F25" s="166">
        <v>12.59</v>
      </c>
      <c r="G25" s="166">
        <v>590.34999999999934</v>
      </c>
      <c r="H25" s="166">
        <v>836.5899999999998</v>
      </c>
      <c r="I25" s="166">
        <f>(WeeklySummaryDataTable[[#This Row],[Total Sales]]+WeeklySummaryDataTable[[#This Row],[Customer Credit]]-WeeklySummaryDataTable[[#This Row],[Total Refund]])/1.06</f>
        <v>16220.990566037473</v>
      </c>
      <c r="J25" s="163">
        <v>38</v>
      </c>
      <c r="K25" s="166">
        <v>375</v>
      </c>
      <c r="L25" s="166">
        <v>55</v>
      </c>
      <c r="M25" s="166" cm="1">
        <f t="array" ref="M25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5" s="166" cm="1">
        <f t="array" ref="N25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12288.299999999979</v>
      </c>
      <c r="O25" s="166">
        <v>0</v>
      </c>
      <c r="P25" s="166">
        <v>1792</v>
      </c>
      <c r="Q25" s="163">
        <v>120</v>
      </c>
      <c r="R25" s="166">
        <v>0</v>
      </c>
      <c r="S25" s="163" t="s">
        <v>75</v>
      </c>
      <c r="T25" s="202">
        <f>WeeklySummaryDataTable[[#This Row],[Total Sales]]*Settings!$C$3</f>
        <v>1473.322499999975</v>
      </c>
      <c r="U25" s="166">
        <v>0.1</v>
      </c>
      <c r="V25" s="166">
        <f>WeeklySummaryDataTable[[#This Row],[Sales Turnover]]/WeeklySummaryDataTable[[#This Row],['# Of Fridge]]</f>
        <v>426.86817279045982</v>
      </c>
      <c r="W25" s="166">
        <f>WeeklySummaryDataTable[[#This Row],[Sales Turnover]]-WeeklySummaryDataTable[[#This Row],[Fridge Food Cost]]</f>
        <v>16220.990566037473</v>
      </c>
      <c r="X25" s="167">
        <f>WeeklySummaryDataTable[[#This Row],[Food Margin In Euro]]/WeeklySummaryDataTable[[#This Row],[Sales Turnover]]</f>
        <v>1</v>
      </c>
      <c r="Y25" s="167">
        <f>IFERROR((WeeklySummaryDataTable[[#This Row],[Catering Turnover]]-WeeklySummaryDataTable[[#This Row],[Catering Food Cost]])/WeeklySummaryDataTable[[#This Row],[Catering Turnover]],0)</f>
        <v>1</v>
      </c>
      <c r="Z25" s="166">
        <f>WeeklySummaryDataTable[[#This Row],[Logistics Cost]]/WeeklySummaryDataTable[[#This Row],['# Of Fridge]]</f>
        <v>47.157894736842103</v>
      </c>
      <c r="AA25" s="167">
        <f>IFERROR(WeeklySummaryDataTable[[#This Row],[Logistics Cost]]/WeeklySummaryDataTable[[#This Row],[Sales Turnover]],0)</f>
        <v>0.11047414106460188</v>
      </c>
      <c r="AB25" s="167">
        <f>IFERROR(WeeklySummaryDataTable[[#This Row],[Unsold Items]]/WeeklySummaryDataTable[[#This Row],[Sales Turnover]],0)</f>
        <v>0</v>
      </c>
      <c r="AC25" s="166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13385.568066037496</v>
      </c>
      <c r="AD25" s="167">
        <f>IFERROR(WeeklySummaryDataTable[[#This Row],[Net Margin]]/(WeeklySummaryDataTable[[#This Row],[Sales Turnover]]+WeeklySummaryDataTable[[#This Row],[Catering Turnover]]+WeeklySummaryDataTable[[#This Row],[TGTG Turnover]]),0)</f>
        <v>0.80389019577848064</v>
      </c>
    </row>
    <row r="26" spans="2:30" ht="18.95" hidden="1">
      <c r="B26" s="2">
        <v>8</v>
      </c>
      <c r="C26" s="77">
        <v>46069</v>
      </c>
      <c r="D26" s="7">
        <v>46075</v>
      </c>
      <c r="E26" s="11">
        <v>13360.969999999834</v>
      </c>
      <c r="F26" s="11">
        <v>6.74</v>
      </c>
      <c r="G26" s="11">
        <v>496.87000000000018</v>
      </c>
      <c r="H26" s="11">
        <v>732.1800000000004</v>
      </c>
      <c r="I26" s="11">
        <f>(WeeklySummaryDataTable[[#This Row],[Total Sales]]+WeeklySummaryDataTable[[#This Row],[Customer Credit]]-WeeklySummaryDataTable[[#This Row],[Total Refund]])/1.06</f>
        <v>13289.066037735693</v>
      </c>
      <c r="J26" s="2">
        <v>38</v>
      </c>
      <c r="K26" s="11">
        <v>375</v>
      </c>
      <c r="L26" s="11">
        <v>55</v>
      </c>
      <c r="M26" s="11" cm="1">
        <f t="array" ref="M26">IFERROR(SUM(_xlfn._xlws.FILTER(ByCategoryWeeklyDispatchDataTable[Foodcost Value],(ByCategoryWeeklyDispatchDataTable[Week No]=WeeklySummaryDataTable[[#This Row],[Week No]])*(ByCategoryWeeklyDispatchDataTable[Week Start Date]=WeeklySummaryDataTable[[#This Row],[Start Date]]))),0)</f>
        <v>0</v>
      </c>
      <c r="N26" s="11" cm="1">
        <f t="array" ref="N26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10171.899999999989</v>
      </c>
      <c r="O26" s="11">
        <v>250</v>
      </c>
      <c r="P26" s="11">
        <v>1667</v>
      </c>
      <c r="Q26" s="2">
        <v>120</v>
      </c>
      <c r="R26" s="11">
        <v>0</v>
      </c>
      <c r="S26" s="2" t="s">
        <v>78</v>
      </c>
      <c r="T26" s="201">
        <f>WeeklySummaryDataTable[[#This Row],[Total Sales]]*Settings!$C$3</f>
        <v>1202.487299999985</v>
      </c>
      <c r="U26" s="47">
        <v>0.1</v>
      </c>
      <c r="V26" s="11">
        <f>WeeklySummaryDataTable[[#This Row],[Sales Turnover]]/WeeklySummaryDataTable[[#This Row],['# Of Fridge]]</f>
        <v>349.71226415093929</v>
      </c>
      <c r="W26" s="11">
        <f>WeeklySummaryDataTable[[#This Row],[Sales Turnover]]-WeeklySummaryDataTable[[#This Row],[Fridge Food Cost]]</f>
        <v>13289.066037735693</v>
      </c>
      <c r="X26" s="12">
        <f>WeeklySummaryDataTable[[#This Row],[Food Margin In Euro]]/WeeklySummaryDataTable[[#This Row],[Sales Turnover]]</f>
        <v>1</v>
      </c>
      <c r="Y26" s="12">
        <f>IFERROR((WeeklySummaryDataTable[[#This Row],[Catering Turnover]]-WeeklySummaryDataTable[[#This Row],[Catering Food Cost]])/WeeklySummaryDataTable[[#This Row],[Catering Turnover]],0)</f>
        <v>0.33333333333333331</v>
      </c>
      <c r="Z26" s="11">
        <f>WeeklySummaryDataTable[[#This Row],[Logistics Cost]]/WeeklySummaryDataTable[[#This Row],['# Of Fridge]]</f>
        <v>43.868421052631582</v>
      </c>
      <c r="AA26" s="12">
        <f>IFERROR(WeeklySummaryDataTable[[#This Row],[Logistics Cost]]/WeeklySummaryDataTable[[#This Row],[Sales Turnover]],0)</f>
        <v>0.12544147160277322</v>
      </c>
      <c r="AB26" s="12">
        <f>IFERROR(WeeklySummaryDataTable[[#This Row],[Unsold Items]]/WeeklySummaryDataTable[[#This Row],[Sales Turnover]],0)</f>
        <v>0</v>
      </c>
      <c r="AC26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10599.478737735708</v>
      </c>
      <c r="AD26" s="12">
        <f>IFERROR(WeeklySummaryDataTable[[#This Row],[Net Margin]]/(WeeklySummaryDataTable[[#This Row],[Sales Turnover]]+WeeklySummaryDataTable[[#This Row],[Catering Turnover]]+WeeklySummaryDataTable[[#This Row],[TGTG Turnover]]),0)</f>
        <v>0.77260935318634361</v>
      </c>
    </row>
    <row r="27" spans="2:30" ht="18.95" hidden="1">
      <c r="B27" s="2">
        <v>9</v>
      </c>
      <c r="C27" s="77">
        <v>46076</v>
      </c>
      <c r="D27" s="7">
        <v>46082</v>
      </c>
      <c r="E27" s="11">
        <v>14369.529999999822</v>
      </c>
      <c r="F27" s="11">
        <v>11.58</v>
      </c>
      <c r="G27" s="11">
        <v>508.47000000000008</v>
      </c>
      <c r="H27" s="11">
        <v>839.81000000000074</v>
      </c>
      <c r="I27" s="11">
        <f>(WeeklySummaryDataTable[[#This Row],[Total Sales]]+WeeklySummaryDataTable[[#This Row],[Customer Credit]]-WeeklySummaryDataTable[[#This Row],[Total Refund]])/1.06</f>
        <v>14337.509433962097</v>
      </c>
      <c r="J27" s="2">
        <v>38</v>
      </c>
      <c r="K27" s="11">
        <v>134.6</v>
      </c>
      <c r="L27" s="11">
        <v>55</v>
      </c>
      <c r="M27" s="11" cm="1">
        <f t="array" ref="M27">IFERROR(SUM(_xlfn._xlws.FILTER(ByCategoryWeeklyDispatchDataTable[Foodcost Value],ByCategoryWeeklyDispatchDataTable[Week No]=WeeklySummaryDataTable[[#This Row],[Week No]])),0)</f>
        <v>0</v>
      </c>
      <c r="N27" s="11" cm="1">
        <f t="array" ref="N27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10872.119999999972</v>
      </c>
      <c r="O27" s="11">
        <v>83.72</v>
      </c>
      <c r="P27" s="11">
        <v>1472.86</v>
      </c>
      <c r="Q27" s="2">
        <v>120</v>
      </c>
      <c r="R27" s="11">
        <v>0</v>
      </c>
      <c r="S27" s="2" t="s">
        <v>79</v>
      </c>
      <c r="T27" s="201">
        <f>WeeklySummaryDataTable[[#This Row],[Total Sales]]*Settings!$C$3</f>
        <v>1293.257699999984</v>
      </c>
      <c r="U27" s="47">
        <v>0.1</v>
      </c>
      <c r="V27" s="11">
        <f>WeeklySummaryDataTable[[#This Row],[Sales Turnover]]/WeeklySummaryDataTable[[#This Row],['# Of Fridge]]</f>
        <v>377.30287984110782</v>
      </c>
      <c r="W27" s="11">
        <f>WeeklySummaryDataTable[[#This Row],[Sales Turnover]]-WeeklySummaryDataTable[[#This Row],[Fridge Food Cost]]</f>
        <v>14337.509433962097</v>
      </c>
      <c r="X27" s="12">
        <f>WeeklySummaryDataTable[[#This Row],[Food Margin In Euro]]/WeeklySummaryDataTable[[#This Row],[Sales Turnover]]</f>
        <v>1</v>
      </c>
      <c r="Y27" s="12">
        <f>IFERROR((WeeklySummaryDataTable[[#This Row],[Catering Turnover]]-WeeklySummaryDataTable[[#This Row],[Catering Food Cost]])/WeeklySummaryDataTable[[#This Row],[Catering Turnover]],0)</f>
        <v>0.37800891530460623</v>
      </c>
      <c r="Z27" s="11">
        <f>WeeklySummaryDataTable[[#This Row],[Logistics Cost]]/WeeklySummaryDataTable[[#This Row],['# Of Fridge]]</f>
        <v>38.759473684210526</v>
      </c>
      <c r="AA27" s="12">
        <f>IFERROR(WeeklySummaryDataTable[[#This Row],[Logistics Cost]]/WeeklySummaryDataTable[[#This Row],[Sales Turnover]],0)</f>
        <v>0.10272774408860372</v>
      </c>
      <c r="AB27" s="12">
        <f>IFERROR(WeeklySummaryDataTable[[#This Row],[Unsold Items]]/WeeklySummaryDataTable[[#This Row],[Sales Turnover]],0)</f>
        <v>0</v>
      </c>
      <c r="AC27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11677.171733962114</v>
      </c>
      <c r="AD27" s="12">
        <f>IFERROR(WeeklySummaryDataTable[[#This Row],[Net Margin]]/(WeeklySummaryDataTable[[#This Row],[Sales Turnover]]+WeeklySummaryDataTable[[#This Row],[Catering Turnover]]+WeeklySummaryDataTable[[#This Row],[TGTG Turnover]]),0)</f>
        <v>0.80381935491328527</v>
      </c>
    </row>
    <row r="28" spans="2:30" ht="18.95" hidden="1">
      <c r="B28" s="2">
        <v>10</v>
      </c>
      <c r="C28" s="77">
        <v>46083</v>
      </c>
      <c r="D28" s="7">
        <v>46089</v>
      </c>
      <c r="E28" s="11">
        <v>15774.669999999811</v>
      </c>
      <c r="F28" s="11">
        <v>19.05</v>
      </c>
      <c r="G28" s="11">
        <v>522.38000000000022</v>
      </c>
      <c r="H28" s="11">
        <v>845.58000000000106</v>
      </c>
      <c r="I28" s="11">
        <f>(WeeklySummaryDataTable[[#This Row],[Total Sales]]+WeeklySummaryDataTable[[#This Row],[Customer Credit]]-WeeklySummaryDataTable[[#This Row],[Total Refund]])/1.06</f>
        <v>15661.509433962086</v>
      </c>
      <c r="J28" s="2">
        <v>38</v>
      </c>
      <c r="K28" s="11">
        <v>139.80000000000001</v>
      </c>
      <c r="L28" s="11">
        <v>55</v>
      </c>
      <c r="M28" s="11" cm="1">
        <f t="array" ref="M28">IFERROR(SUM(_xlfn._xlws.FILTER(ByCategoryWeeklyDispatchDataTable[Foodcost Value],ByCategoryWeeklyDispatchDataTable[Week No]=WeeklySummaryDataTable[[#This Row],[Week No]])),0)</f>
        <v>0</v>
      </c>
      <c r="N28" s="11" cm="1">
        <f t="array" ref="N28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12112.4</v>
      </c>
      <c r="O28" s="11">
        <v>87.36</v>
      </c>
      <c r="P28" s="11">
        <v>1797.68</v>
      </c>
      <c r="Q28" s="2">
        <v>120</v>
      </c>
      <c r="R28" s="11">
        <v>0</v>
      </c>
      <c r="S28" s="2" t="s">
        <v>80</v>
      </c>
      <c r="T28" s="201">
        <f>WeeklySummaryDataTable[[#This Row],[Total Sales]]*Settings!$C$3</f>
        <v>1419.7202999999829</v>
      </c>
      <c r="U28" s="47">
        <v>0.1</v>
      </c>
      <c r="V28" s="11">
        <f>WeeklySummaryDataTable[[#This Row],[Sales Turnover]]/WeeklySummaryDataTable[[#This Row],['# Of Fridge]]</f>
        <v>412.14498510426546</v>
      </c>
      <c r="W28" s="11">
        <f>WeeklySummaryDataTable[[#This Row],[Sales Turnover]]-WeeklySummaryDataTable[[#This Row],[Fridge Food Cost]]</f>
        <v>15661.509433962086</v>
      </c>
      <c r="X28" s="12">
        <f>WeeklySummaryDataTable[[#This Row],[Food Margin In Euro]]/WeeklySummaryDataTable[[#This Row],[Sales Turnover]]</f>
        <v>1</v>
      </c>
      <c r="Y28" s="12">
        <f>IFERROR((WeeklySummaryDataTable[[#This Row],[Catering Turnover]]-WeeklySummaryDataTable[[#This Row],[Catering Food Cost]])/WeeklySummaryDataTable[[#This Row],[Catering Turnover]],0)</f>
        <v>0.37510729613733912</v>
      </c>
      <c r="Z28" s="11">
        <f>WeeklySummaryDataTable[[#This Row],[Logistics Cost]]/WeeklySummaryDataTable[[#This Row],['# Of Fridge]]</f>
        <v>47.307368421052637</v>
      </c>
      <c r="AA28" s="12">
        <f>IFERROR(WeeklySummaryDataTable[[#This Row],[Logistics Cost]]/WeeklySummaryDataTable[[#This Row],[Sales Turnover]],0)</f>
        <v>0.1147833168686614</v>
      </c>
      <c r="AB28" s="12">
        <f>IFERROR(WeeklySummaryDataTable[[#This Row],[Unsold Items]]/WeeklySummaryDataTable[[#This Row],[Sales Turnover]],0)</f>
        <v>0</v>
      </c>
      <c r="AC28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12551.449133962104</v>
      </c>
      <c r="AD28" s="12">
        <f>IFERROR(WeeklySummaryDataTable[[#This Row],[Net Margin]]/(WeeklySummaryDataTable[[#This Row],[Sales Turnover]]+WeeklySummaryDataTable[[#This Row],[Catering Turnover]]+WeeklySummaryDataTable[[#This Row],[TGTG Turnover]]),0)</f>
        <v>0.79157443200992184</v>
      </c>
    </row>
    <row r="29" spans="2:30" ht="18.95" hidden="1">
      <c r="B29" s="2">
        <v>11</v>
      </c>
      <c r="C29" s="77">
        <v>46090</v>
      </c>
      <c r="D29" s="7">
        <v>46096</v>
      </c>
      <c r="E29" s="11">
        <v>15378.999999999891</v>
      </c>
      <c r="F29" s="11">
        <v>1.5</v>
      </c>
      <c r="G29" s="11">
        <v>601.78000000000031</v>
      </c>
      <c r="H29" s="11">
        <v>740.67000000000053</v>
      </c>
      <c r="I29" s="11">
        <f>(WeeklySummaryDataTable[[#This Row],[Total Sales]]+WeeklySummaryDataTable[[#This Row],[Customer Credit]]-WeeklySummaryDataTable[[#This Row],[Total Refund]])/1.06</f>
        <v>15205.820754716877</v>
      </c>
      <c r="J29" s="2">
        <v>38</v>
      </c>
      <c r="K29" s="11">
        <v>560</v>
      </c>
      <c r="L29" s="11">
        <v>55</v>
      </c>
      <c r="M29" s="11" cm="1">
        <f t="array" ref="M29">IFERROR(SUM(_xlfn._xlws.FILTER(ByCategoryWeeklyDispatchDataTable[Foodcost Value],ByCategoryWeeklyDispatchDataTable[Week No]=WeeklySummaryDataTable[[#This Row],[Week No]])),0)</f>
        <v>0</v>
      </c>
      <c r="N29" s="11" cm="1">
        <f t="array" ref="N29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11722.09999999998</v>
      </c>
      <c r="O29" s="11">
        <v>374</v>
      </c>
      <c r="P29" s="11">
        <v>1656.38</v>
      </c>
      <c r="Q29" s="2">
        <v>120</v>
      </c>
      <c r="R29" s="11">
        <v>0</v>
      </c>
      <c r="S29" s="2" t="s">
        <v>81</v>
      </c>
      <c r="T29" s="201">
        <f>WeeklySummaryDataTable[[#This Row],[Total Sales]]*Settings!$C$3</f>
        <v>1384.1099999999901</v>
      </c>
      <c r="U29" s="47">
        <v>0.1</v>
      </c>
      <c r="V29" s="11">
        <f>WeeklySummaryDataTable[[#This Row],[Sales Turnover]]/WeeklySummaryDataTable[[#This Row],['# Of Fridge]]</f>
        <v>400.1531777557073</v>
      </c>
      <c r="W29" s="11">
        <f>WeeklySummaryDataTable[[#This Row],[Sales Turnover]]-WeeklySummaryDataTable[[#This Row],[Fridge Food Cost]]</f>
        <v>15205.820754716877</v>
      </c>
      <c r="X29" s="12">
        <f>WeeklySummaryDataTable[[#This Row],[Food Margin In Euro]]/WeeklySummaryDataTable[[#This Row],[Sales Turnover]]</f>
        <v>1</v>
      </c>
      <c r="Y29" s="12">
        <f>IFERROR((WeeklySummaryDataTable[[#This Row],[Catering Turnover]]-WeeklySummaryDataTable[[#This Row],[Catering Food Cost]])/WeeklySummaryDataTable[[#This Row],[Catering Turnover]],0)</f>
        <v>0.33214285714285713</v>
      </c>
      <c r="Z29" s="11">
        <f>WeeklySummaryDataTable[[#This Row],[Logistics Cost]]/WeeklySummaryDataTable[[#This Row],['# Of Fridge]]</f>
        <v>43.588947368421053</v>
      </c>
      <c r="AA29" s="12">
        <f>IFERROR(WeeklySummaryDataTable[[#This Row],[Logistics Cost]]/WeeklySummaryDataTable[[#This Row],[Sales Turnover]],0)</f>
        <v>0.10893065403826936</v>
      </c>
      <c r="AB29" s="12">
        <f>IFERROR(WeeklySummaryDataTable[[#This Row],[Unsold Items]]/WeeklySummaryDataTable[[#This Row],[Sales Turnover]],0)</f>
        <v>0</v>
      </c>
      <c r="AC29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12406.230754716888</v>
      </c>
      <c r="AD29" s="12">
        <f>IFERROR(WeeklySummaryDataTable[[#This Row],[Net Margin]]/(WeeklySummaryDataTable[[#This Row],[Sales Turnover]]+WeeklySummaryDataTable[[#This Row],[Catering Turnover]]+WeeklySummaryDataTable[[#This Row],[TGTG Turnover]]),0)</f>
        <v>0.78417112152781643</v>
      </c>
    </row>
    <row r="30" spans="2:30" ht="18.95" hidden="1">
      <c r="B30" s="2">
        <v>12</v>
      </c>
      <c r="C30" s="77">
        <v>46097</v>
      </c>
      <c r="D30" s="7">
        <v>46103</v>
      </c>
      <c r="E30" s="11">
        <v>16374.199999999821</v>
      </c>
      <c r="F30" s="11">
        <v>6.49</v>
      </c>
      <c r="G30" s="11">
        <v>405.73999999999972</v>
      </c>
      <c r="H30" s="11">
        <v>822.32</v>
      </c>
      <c r="I30" s="11">
        <f>(WeeklySummaryDataTable[[#This Row],[Total Sales]]+WeeklySummaryDataTable[[#This Row],[Customer Credit]]-WeeklySummaryDataTable[[#This Row],[Total Refund]])/1.06</f>
        <v>16217.009433962094</v>
      </c>
      <c r="J30" s="2">
        <v>38</v>
      </c>
      <c r="K30" s="11">
        <v>1985</v>
      </c>
      <c r="L30" s="11">
        <v>55</v>
      </c>
      <c r="M30" s="11" cm="1">
        <f t="array" ref="M30">IFERROR(SUM(_xlfn._xlws.FILTER(ByCategoryWeeklyDispatchDataTable[Foodcost Value],ByCategoryWeeklyDispatchDataTable[Week No]=WeeklySummaryDataTable[[#This Row],[Week No]])),0)</f>
        <v>0</v>
      </c>
      <c r="N30" s="11" cm="1">
        <f t="array" ref="N30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12435.21</v>
      </c>
      <c r="O30" s="11">
        <v>1343</v>
      </c>
      <c r="P30" s="11">
        <v>1885.77</v>
      </c>
      <c r="Q30" s="2">
        <v>120</v>
      </c>
      <c r="R30" s="11">
        <v>0</v>
      </c>
      <c r="S30" s="2" t="s">
        <v>82</v>
      </c>
      <c r="T30" s="201">
        <f>WeeklySummaryDataTable[[#This Row],[Total Sales]]*Settings!$C$3</f>
        <v>1473.6779999999837</v>
      </c>
      <c r="U30" s="47">
        <v>0.1</v>
      </c>
      <c r="V30" s="11">
        <f>WeeklySummaryDataTable[[#This Row],[Sales Turnover]]/WeeklySummaryDataTable[[#This Row],['# Of Fridge]]</f>
        <v>426.76340615689719</v>
      </c>
      <c r="W30" s="11">
        <f>WeeklySummaryDataTable[[#This Row],[Sales Turnover]]-WeeklySummaryDataTable[[#This Row],[Fridge Food Cost]]</f>
        <v>16217.009433962094</v>
      </c>
      <c r="X30" s="12">
        <f>WeeklySummaryDataTable[[#This Row],[Food Margin In Euro]]/WeeklySummaryDataTable[[#This Row],[Sales Turnover]]</f>
        <v>1</v>
      </c>
      <c r="Y30" s="12">
        <f>IFERROR((WeeklySummaryDataTable[[#This Row],[Catering Turnover]]-WeeklySummaryDataTable[[#This Row],[Catering Food Cost]])/WeeklySummaryDataTable[[#This Row],[Catering Turnover]],0)</f>
        <v>0.3234256926952141</v>
      </c>
      <c r="Z30" s="11">
        <f>WeeklySummaryDataTable[[#This Row],[Logistics Cost]]/WeeklySummaryDataTable[[#This Row],['# Of Fridge]]</f>
        <v>49.625526315789472</v>
      </c>
      <c r="AA30" s="12">
        <f>IFERROR(WeeklySummaryDataTable[[#This Row],[Logistics Cost]]/WeeklySummaryDataTable[[#This Row],[Sales Turnover]],0)</f>
        <v>0.11628346198348816</v>
      </c>
      <c r="AB30" s="12">
        <f>IFERROR(WeeklySummaryDataTable[[#This Row],[Unsold Items]]/WeeklySummaryDataTable[[#This Row],[Sales Turnover]],0)</f>
        <v>0</v>
      </c>
      <c r="AC30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13554.461433962108</v>
      </c>
      <c r="AD30" s="12">
        <f>IFERROR(WeeklySummaryDataTable[[#This Row],[Net Margin]]/(WeeklySummaryDataTable[[#This Row],[Sales Turnover]]+WeeklySummaryDataTable[[#This Row],[Catering Turnover]]+WeeklySummaryDataTable[[#This Row],[TGTG Turnover]]),0)</f>
        <v>0.74242506599946201</v>
      </c>
    </row>
    <row r="31" spans="2:30" ht="18.95" hidden="1">
      <c r="B31" s="2">
        <v>13</v>
      </c>
      <c r="C31" s="77">
        <v>46104</v>
      </c>
      <c r="D31" s="7">
        <v>46110</v>
      </c>
      <c r="E31" s="11">
        <v>17002.589999999895</v>
      </c>
      <c r="F31" s="11">
        <v>21.650000000000002</v>
      </c>
      <c r="G31" s="11">
        <v>434.48999999999978</v>
      </c>
      <c r="H31" s="11">
        <v>872.05</v>
      </c>
      <c r="I31" s="11">
        <f>(WeeklySummaryDataTable[[#This Row],[Total Sales]]+WeeklySummaryDataTable[[#This Row],[Customer Credit]]-WeeklySummaryDataTable[[#This Row],[Total Refund]])/1.06</f>
        <v>16842.443396226314</v>
      </c>
      <c r="J31" s="2">
        <v>38</v>
      </c>
      <c r="K31" s="11">
        <v>378</v>
      </c>
      <c r="L31" s="11">
        <v>55</v>
      </c>
      <c r="M31" s="11" cm="1">
        <f t="array" ref="M31">IFERROR(SUM(_xlfn._xlws.FILTER(ByCategoryWeeklyDispatchDataTable[Foodcost Value],ByCategoryWeeklyDispatchDataTable[Week No]=WeeklySummaryDataTable[[#This Row],[Week No]])),0)</f>
        <v>2368.4100000000003</v>
      </c>
      <c r="N31" s="11" cm="1">
        <f t="array" ref="N31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11922.82999999998</v>
      </c>
      <c r="O31" s="11">
        <v>237</v>
      </c>
      <c r="P31" s="11">
        <v>1725.31</v>
      </c>
      <c r="Q31" s="2">
        <v>120</v>
      </c>
      <c r="R31" s="11">
        <v>0</v>
      </c>
      <c r="S31" s="2"/>
      <c r="T31" s="201">
        <f>WeeklySummaryDataTable[[#This Row],[Total Sales]]*Settings!$C$3</f>
        <v>1530.2330999999904</v>
      </c>
      <c r="U31" s="47">
        <v>0.1</v>
      </c>
      <c r="V31" s="11">
        <f>WeeklySummaryDataTable[[#This Row],[Sales Turnover]]/WeeklySummaryDataTable[[#This Row],['# Of Fridge]]</f>
        <v>443.22219463753459</v>
      </c>
      <c r="W31" s="11">
        <f>WeeklySummaryDataTable[[#This Row],[Sales Turnover]]-WeeklySummaryDataTable[[#This Row],[Fridge Food Cost]]</f>
        <v>14474.033396226314</v>
      </c>
      <c r="X31" s="12">
        <f>WeeklySummaryDataTable[[#This Row],[Food Margin In Euro]]/WeeklySummaryDataTable[[#This Row],[Sales Turnover]]</f>
        <v>0.85937847945918222</v>
      </c>
      <c r="Y31" s="12">
        <f>IFERROR((WeeklySummaryDataTable[[#This Row],[Catering Turnover]]-WeeklySummaryDataTable[[#This Row],[Catering Food Cost]])/WeeklySummaryDataTable[[#This Row],[Catering Turnover]],0)</f>
        <v>0.37301587301587302</v>
      </c>
      <c r="Z31" s="11">
        <f>WeeklySummaryDataTable[[#This Row],[Logistics Cost]]/WeeklySummaryDataTable[[#This Row],['# Of Fridge]]</f>
        <v>45.402894736842107</v>
      </c>
      <c r="AA31" s="12">
        <f>IFERROR(WeeklySummaryDataTable[[#This Row],[Logistics Cost]]/WeeklySummaryDataTable[[#This Row],[Sales Turnover]],0)</f>
        <v>0.10243822463352138</v>
      </c>
      <c r="AB31" s="12">
        <f>IFERROR(WeeklySummaryDataTable[[#This Row],[Unsold Items]]/WeeklySummaryDataTable[[#This Row],[Sales Turnover]],0)</f>
        <v>0</v>
      </c>
      <c r="AC31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11414.390296226322</v>
      </c>
      <c r="AD31" s="12">
        <f>IFERROR(WeeklySummaryDataTable[[#This Row],[Net Margin]]/(WeeklySummaryDataTable[[#This Row],[Sales Turnover]]+WeeklySummaryDataTable[[#This Row],[Catering Turnover]]+WeeklySummaryDataTable[[#This Row],[TGTG Turnover]]),0)</f>
        <v>0.66072922323485528</v>
      </c>
    </row>
    <row r="32" spans="2:30" ht="20.100000000000001" hidden="1" customHeight="1">
      <c r="B32" s="2">
        <v>14</v>
      </c>
      <c r="C32" s="77">
        <v>46111</v>
      </c>
      <c r="D32" s="7">
        <v>46117</v>
      </c>
      <c r="E32" s="11">
        <v>17259.549999999879</v>
      </c>
      <c r="F32" s="11">
        <v>7.8900000000000006</v>
      </c>
      <c r="G32" s="11">
        <v>276.28999999999991</v>
      </c>
      <c r="H32" s="11">
        <v>924.87</v>
      </c>
      <c r="I32" s="11">
        <f>(WeeklySummaryDataTable[[#This Row],[Total Sales]]+WeeklySummaryDataTable[[#This Row],[Customer Credit]]-WeeklySummaryDataTable[[#This Row],[Total Refund]])/1.06</f>
        <v>17147.66981132064</v>
      </c>
      <c r="J32" s="2">
        <v>39</v>
      </c>
      <c r="K32" s="11">
        <v>0</v>
      </c>
      <c r="L32" s="11">
        <v>55</v>
      </c>
      <c r="M32" s="11" cm="1">
        <f t="array" ref="M32">IFERROR(SUM(_xlfn._xlws.FILTER(ByCategoryWeeklyDispatchDataTable[Foodcost Value],ByCategoryWeeklyDispatchDataTable[Week No]=WeeklySummaryDataTable[[#This Row],[Week No]])),0)</f>
        <v>11485.490000000002</v>
      </c>
      <c r="N32" s="11" cm="1">
        <f t="array" ref="N32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12897.739999999987</v>
      </c>
      <c r="O32" s="11">
        <v>0</v>
      </c>
      <c r="P32" s="11">
        <v>1725.31</v>
      </c>
      <c r="Q32" s="2">
        <v>120</v>
      </c>
      <c r="R32" s="11">
        <v>0</v>
      </c>
      <c r="S32" s="2" t="s">
        <v>83</v>
      </c>
      <c r="T32" s="201">
        <f>WeeklySummaryDataTable[[#This Row],[Total Sales]]*Settings!$C$3</f>
        <v>1553.3594999999891</v>
      </c>
      <c r="U32" s="47">
        <v>0.1</v>
      </c>
      <c r="V32" s="11">
        <f>WeeklySummaryDataTable[[#This Row],[Sales Turnover]]/WeeklySummaryDataTable[[#This Row],['# Of Fridge]]</f>
        <v>439.68384131591387</v>
      </c>
      <c r="W32" s="11">
        <f>WeeklySummaryDataTable[[#This Row],[Sales Turnover]]-WeeklySummaryDataTable[[#This Row],[Fridge Food Cost]]</f>
        <v>5662.1798113206387</v>
      </c>
      <c r="X32" s="12">
        <f>WeeklySummaryDataTable[[#This Row],[Food Margin In Euro]]/WeeklySummaryDataTable[[#This Row],[Sales Turnover]]</f>
        <v>0.33020112199632806</v>
      </c>
      <c r="Y32" s="12">
        <f>IFERROR((WeeklySummaryDataTable[[#This Row],[Catering Turnover]]-WeeklySummaryDataTable[[#This Row],[Catering Food Cost]])/WeeklySummaryDataTable[[#This Row],[Catering Turnover]],0)</f>
        <v>0</v>
      </c>
      <c r="Z32" s="11">
        <f>WeeklySummaryDataTable[[#This Row],[Logistics Cost]]/WeeklySummaryDataTable[[#This Row],['# Of Fridge]]</f>
        <v>44.238717948717948</v>
      </c>
      <c r="AA32" s="12">
        <f>IFERROR(WeeklySummaryDataTable[[#This Row],[Logistics Cost]]/WeeklySummaryDataTable[[#This Row],[Sales Turnover]],0)</f>
        <v>0.10061483682529131</v>
      </c>
      <c r="AB32" s="12">
        <f>IFERROR(WeeklySummaryDataTable[[#This Row],[Unsold Items]]/WeeklySummaryDataTable[[#This Row],[Sales Turnover]],0)</f>
        <v>0</v>
      </c>
      <c r="AC32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2438.4103113206502</v>
      </c>
      <c r="AD32" s="12">
        <f>IFERROR(WeeklySummaryDataTable[[#This Row],[Net Margin]]/(WeeklySummaryDataTable[[#This Row],[Sales Turnover]]+WeeklySummaryDataTable[[#This Row],[Catering Turnover]]+WeeklySummaryDataTable[[#This Row],[TGTG Turnover]]),0)</f>
        <v>0.14174603931047924</v>
      </c>
    </row>
    <row r="33" spans="2:30" ht="18.75" hidden="1" customHeight="1">
      <c r="B33" s="2">
        <v>15</v>
      </c>
      <c r="C33" s="77">
        <v>46118</v>
      </c>
      <c r="D33" s="7">
        <v>46124</v>
      </c>
      <c r="E33" s="11">
        <v>12500.889999999943</v>
      </c>
      <c r="F33" s="11">
        <v>0</v>
      </c>
      <c r="G33" s="11">
        <v>405.53999999999979</v>
      </c>
      <c r="H33" s="11">
        <v>706.21999999999991</v>
      </c>
      <c r="I33" s="11">
        <f>(WeeklySummaryDataTable[[#This Row],[Total Sales]]+WeeklySummaryDataTable[[#This Row],[Customer Credit]]-WeeklySummaryDataTable[[#This Row],[Total Refund]])/1.06</f>
        <v>12459.537735849002</v>
      </c>
      <c r="J33" s="2">
        <v>39</v>
      </c>
      <c r="K33" s="11">
        <v>0</v>
      </c>
      <c r="L33" s="11">
        <v>55</v>
      </c>
      <c r="M33" s="11" cm="1">
        <f t="array" ref="M33">IFERROR(SUM(_xlfn._xlws.FILTER(ByCategoryWeeklyDispatchDataTable[Foodcost Value],ByCategoryWeeklyDispatchDataTable[Week No]=WeeklySummaryDataTable[[#This Row],[Week No]])),0)</f>
        <v>8855.77</v>
      </c>
      <c r="N33" s="11" cm="1">
        <f t="array" ref="N33">IFERROR(SUM(_xlfn._xlws.FILTER(ByCategoryWeeklyAddedDataTable[Added Value],(ByCategoryWeeklyAddedDataTable[Week No]=WeeklySummaryDataTable[[#This Row],[Week No]])*(ByCategoryWeeklyAddedDataTable[Start Date]=WeeklySummaryDataTable[[#This Row],[Start Date]]))),0)</f>
        <v>9322.8400000000183</v>
      </c>
      <c r="O33" s="11">
        <v>0</v>
      </c>
      <c r="P33" s="11">
        <v>1654.36</v>
      </c>
      <c r="Q33" s="2">
        <v>120</v>
      </c>
      <c r="R33" s="11">
        <v>0</v>
      </c>
      <c r="S33" s="2" t="s">
        <v>84</v>
      </c>
      <c r="T33" s="201">
        <f>WeeklySummaryDataTable[[#This Row],[Total Sales]]*Settings!$C$3</f>
        <v>1125.0800999999949</v>
      </c>
      <c r="U33" s="47">
        <v>0.1</v>
      </c>
      <c r="V33" s="11">
        <f>WeeklySummaryDataTable[[#This Row],[Sales Turnover]]/WeeklySummaryDataTable[[#This Row],['# Of Fridge]]</f>
        <v>319.47532656023083</v>
      </c>
      <c r="W33" s="11">
        <f>WeeklySummaryDataTable[[#This Row],[Sales Turnover]]-WeeklySummaryDataTable[[#This Row],[Fridge Food Cost]]</f>
        <v>3603.7677358490018</v>
      </c>
      <c r="X33" s="12">
        <f>WeeklySummaryDataTable[[#This Row],[Food Margin In Euro]]/WeeklySummaryDataTable[[#This Row],[Sales Turnover]]</f>
        <v>0.28923767576706477</v>
      </c>
      <c r="Y33" s="12">
        <f>IFERROR((WeeklySummaryDataTable[[#This Row],[Catering Turnover]]-WeeklySummaryDataTable[[#This Row],[Catering Food Cost]])/WeeklySummaryDataTable[[#This Row],[Catering Turnover]],0)</f>
        <v>0</v>
      </c>
      <c r="Z33" s="11">
        <f>WeeklySummaryDataTable[[#This Row],[Logistics Cost]]/WeeklySummaryDataTable[[#This Row],['# Of Fridge]]</f>
        <v>42.419487179487177</v>
      </c>
      <c r="AA33" s="12">
        <f>IFERROR(WeeklySummaryDataTable[[#This Row],[Logistics Cost]]/WeeklySummaryDataTable[[#This Row],[Sales Turnover]],0)</f>
        <v>0.13277860182886397</v>
      </c>
      <c r="AB33" s="12">
        <f>IFERROR(WeeklySummaryDataTable[[#This Row],[Unsold Items]]/WeeklySummaryDataTable[[#This Row],[Sales Turnover]],0)</f>
        <v>0</v>
      </c>
      <c r="AC33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879.22763584900633</v>
      </c>
      <c r="AD33" s="12">
        <f>IFERROR(WeeklySummaryDataTable[[#This Row],[Net Margin]]/(WeeklySummaryDataTable[[#This Row],[Sales Turnover]]+WeeklySummaryDataTable[[#This Row],[Catering Turnover]]+WeeklySummaryDataTable[[#This Row],[TGTG Turnover]]),0)</f>
        <v>7.0256501231394333E-2</v>
      </c>
    </row>
    <row r="34" spans="2:30" ht="18.75" hidden="1" customHeight="1">
      <c r="B34" s="2">
        <v>16</v>
      </c>
      <c r="C34" s="77">
        <v>46125</v>
      </c>
      <c r="D34" s="7">
        <v>46131</v>
      </c>
      <c r="E34" s="11">
        <v>14531.06999999994</v>
      </c>
      <c r="F34" s="11">
        <v>18.59</v>
      </c>
      <c r="G34" s="11">
        <v>359.05000000000024</v>
      </c>
      <c r="H34" s="11">
        <v>771.95000000000073</v>
      </c>
      <c r="I34" s="11">
        <f>(WeeklySummaryDataTable[[#This Row],[Total Sales]]+WeeklySummaryDataTable[[#This Row],[Customer Credit]]-WeeklySummaryDataTable[[#This Row],[Total Refund]])/1.06</f>
        <v>14419.273584905603</v>
      </c>
      <c r="J34" s="2">
        <v>40</v>
      </c>
      <c r="K34" s="11">
        <v>0</v>
      </c>
      <c r="L34" s="11">
        <v>55</v>
      </c>
      <c r="M34" s="11" cm="1">
        <f t="array" ref="M34">IFERROR(SUM(_xlfn._xlws.FILTER(ByCategoryWeeklyDispatchDataTable[Foodcost Value],ByCategoryWeeklyDispatchDataTable[Week No]=WeeklySummaryDataTable[[#This Row],[Week No]])),0)</f>
        <v>10317.58</v>
      </c>
      <c r="N34" s="11" cm="1">
        <f t="array" ref="N34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11353.200000000021</v>
      </c>
      <c r="O34" s="11">
        <v>0</v>
      </c>
      <c r="P34" s="11">
        <v>1749.17</v>
      </c>
      <c r="Q34" s="2">
        <v>120</v>
      </c>
      <c r="R34" s="11">
        <v>0</v>
      </c>
      <c r="S34" s="2" t="s">
        <v>85</v>
      </c>
      <c r="T34" s="201">
        <f>WeeklySummaryDataTable[[#This Row],[Total Sales]]*Settings!$C$3</f>
        <v>1307.7962999999945</v>
      </c>
      <c r="U34" s="47">
        <v>0.1</v>
      </c>
      <c r="V34" s="11">
        <f>WeeklySummaryDataTable[[#This Row],[Sales Turnover]]/WeeklySummaryDataTable[[#This Row],['# Of Fridge]]</f>
        <v>360.48183962264005</v>
      </c>
      <c r="W34" s="11">
        <f>WeeklySummaryDataTable[[#This Row],[Sales Turnover]]-WeeklySummaryDataTable[[#This Row],[Fridge Food Cost]]</f>
        <v>4101.6935849056026</v>
      </c>
      <c r="X34" s="12">
        <f>WeeklySummaryDataTable[[#This Row],[Food Margin In Euro]]/WeeklySummaryDataTable[[#This Row],[Sales Turnover]]</f>
        <v>0.28445909988137968</v>
      </c>
      <c r="Y34" s="12">
        <f>IFERROR((WeeklySummaryDataTable[[#This Row],[Catering Turnover]]-WeeklySummaryDataTable[[#This Row],[Catering Food Cost]])/WeeklySummaryDataTable[[#This Row],[Catering Turnover]],0)</f>
        <v>0</v>
      </c>
      <c r="Z34" s="11">
        <f>WeeklySummaryDataTable[[#This Row],[Logistics Cost]]/WeeklySummaryDataTable[[#This Row],['# Of Fridge]]</f>
        <v>43.72925</v>
      </c>
      <c r="AA34" s="12">
        <f>IFERROR(WeeklySummaryDataTable[[#This Row],[Logistics Cost]]/WeeklySummaryDataTable[[#This Row],[Sales Turnover]],0)</f>
        <v>0.12130777529813068</v>
      </c>
      <c r="AB34" s="12">
        <f>IFERROR(WeeklySummaryDataTable[[#This Row],[Unsold Items]]/WeeklySummaryDataTable[[#This Row],[Sales Turnover]],0)</f>
        <v>0</v>
      </c>
      <c r="AC34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1099.6272849056081</v>
      </c>
      <c r="AD34" s="12">
        <f>IFERROR(WeeklySummaryDataTable[[#This Row],[Net Margin]]/(WeeklySummaryDataTable[[#This Row],[Sales Turnover]]+WeeklySummaryDataTable[[#This Row],[Catering Turnover]]+WeeklySummaryDataTable[[#This Row],[TGTG Turnover]]),0)</f>
        <v>7.5971155198582607E-2</v>
      </c>
    </row>
    <row r="35" spans="2:30" ht="18.75" hidden="1" customHeight="1">
      <c r="B35" s="2">
        <v>17</v>
      </c>
      <c r="C35" s="77">
        <v>46132</v>
      </c>
      <c r="D35" s="7">
        <v>46138</v>
      </c>
      <c r="E35" s="11">
        <v>16963.129999999859</v>
      </c>
      <c r="F35" s="11">
        <v>12.77</v>
      </c>
      <c r="G35" s="11">
        <v>502.39999999999912</v>
      </c>
      <c r="H35" s="11">
        <v>936.13999999999953</v>
      </c>
      <c r="I35" s="11">
        <f>(WeeklySummaryDataTable[[#This Row],[Total Sales]]+WeeklySummaryDataTable[[#This Row],[Customer Credit]]-WeeklySummaryDataTable[[#This Row],[Total Refund]])/1.06</f>
        <v>16874.05660377345</v>
      </c>
      <c r="J35" s="2">
        <v>40</v>
      </c>
      <c r="K35" s="11">
        <v>0</v>
      </c>
      <c r="L35" s="11">
        <v>55</v>
      </c>
      <c r="M35" s="11" cm="1">
        <f t="array" ref="M35">IFERROR(SUM(_xlfn._xlws.FILTER(ByCategoryWeeklyDispatchDataTable[Foodcost Value],ByCategoryWeeklyDispatchDataTable[Week No]=WeeklySummaryDataTable[[#This Row],[Week No]])),0)</f>
        <v>12316.47</v>
      </c>
      <c r="N35" s="11" cm="1">
        <f t="array" ref="N35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12523.120000000017</v>
      </c>
      <c r="O35" s="11">
        <v>0</v>
      </c>
      <c r="P35" s="11">
        <v>2094</v>
      </c>
      <c r="Q35" s="2">
        <v>120</v>
      </c>
      <c r="R35" s="11">
        <v>0</v>
      </c>
      <c r="S35" s="2"/>
      <c r="T35" s="201">
        <f>WeeklySummaryDataTable[[#This Row],[Total Sales]]*Settings!$C$3</f>
        <v>1526.6816999999874</v>
      </c>
      <c r="U35" s="47">
        <v>0.1</v>
      </c>
      <c r="V35" s="11">
        <f>WeeklySummaryDataTable[[#This Row],[Sales Turnover]]/WeeklySummaryDataTable[[#This Row],['# Of Fridge]]</f>
        <v>421.85141509433623</v>
      </c>
      <c r="W35" s="11">
        <f>WeeklySummaryDataTable[[#This Row],[Sales Turnover]]-WeeklySummaryDataTable[[#This Row],[Fridge Food Cost]]</f>
        <v>4557.5866037734504</v>
      </c>
      <c r="X35" s="12">
        <f>WeeklySummaryDataTable[[#This Row],[Food Margin In Euro]]/WeeklySummaryDataTable[[#This Row],[Sales Turnover]]</f>
        <v>0.2700943057613226</v>
      </c>
      <c r="Y35" s="12">
        <f>IFERROR((WeeklySummaryDataTable[[#This Row],[Catering Turnover]]-WeeklySummaryDataTable[[#This Row],[Catering Food Cost]])/WeeklySummaryDataTable[[#This Row],[Catering Turnover]],0)</f>
        <v>0</v>
      </c>
      <c r="Z35" s="11">
        <f>WeeklySummaryDataTable[[#This Row],[Logistics Cost]]/WeeklySummaryDataTable[[#This Row],['# Of Fridge]]</f>
        <v>52.35</v>
      </c>
      <c r="AA35" s="12">
        <f>IFERROR(WeeklySummaryDataTable[[#This Row],[Logistics Cost]]/WeeklySummaryDataTable[[#This Row],[Sales Turnover]],0)</f>
        <v>0.12409582646129862</v>
      </c>
      <c r="AB35" s="12">
        <f>IFERROR(WeeklySummaryDataTable[[#This Row],[Unsold Items]]/WeeklySummaryDataTable[[#This Row],[Sales Turnover]],0)</f>
        <v>0</v>
      </c>
      <c r="AC35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991.80490377346302</v>
      </c>
      <c r="AD35" s="12">
        <f>IFERROR(WeeklySummaryDataTable[[#This Row],[Net Margin]]/(WeeklySummaryDataTable[[#This Row],[Sales Turnover]]+WeeklySummaryDataTable[[#This Row],[Catering Turnover]]+WeeklySummaryDataTable[[#This Row],[TGTG Turnover]]),0)</f>
        <v>5.8585952365023806E-2</v>
      </c>
    </row>
    <row r="36" spans="2:30" ht="18.75" hidden="1" customHeight="1">
      <c r="B36" s="2">
        <v>18</v>
      </c>
      <c r="C36" s="77">
        <v>46139</v>
      </c>
      <c r="D36" s="7">
        <v>46145</v>
      </c>
      <c r="E36" s="11">
        <v>13501.399999999992</v>
      </c>
      <c r="F36" s="11">
        <v>6.8</v>
      </c>
      <c r="G36" s="11">
        <v>60.600000000000009</v>
      </c>
      <c r="H36" s="11">
        <v>835.35000000000048</v>
      </c>
      <c r="I36" s="11">
        <f>(WeeklySummaryDataTable[[#This Row],[Total Sales]]+WeeklySummaryDataTable[[#This Row],[Customer Credit]]-WeeklySummaryDataTable[[#This Row],[Total Refund]])/1.06</f>
        <v>13518.820754716975</v>
      </c>
      <c r="J36" s="2">
        <v>39</v>
      </c>
      <c r="K36" s="11">
        <v>661</v>
      </c>
      <c r="L36" s="11">
        <v>55</v>
      </c>
      <c r="M36" s="11" cm="1">
        <f t="array" ref="M36">IFERROR(SUM(_xlfn._xlws.FILTER(ByCategoryWeeklyDispatchDataTable[Foodcost Value],ByCategoryWeeklyDispatchDataTable[Week No]=WeeklySummaryDataTable[[#This Row],[Week No]])),0)</f>
        <v>10748.119999999999</v>
      </c>
      <c r="N36" s="11" cm="1">
        <f t="array" ref="N36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10551.300000000023</v>
      </c>
      <c r="O36" s="11">
        <v>460</v>
      </c>
      <c r="P36" s="11">
        <v>1709</v>
      </c>
      <c r="Q36" s="2">
        <v>120</v>
      </c>
      <c r="R36" s="11">
        <v>0</v>
      </c>
      <c r="S36" s="2" t="s">
        <v>86</v>
      </c>
      <c r="T36" s="201">
        <f>WeeklySummaryDataTable[[#This Row],[Total Sales]]*Settings!$C$3</f>
        <v>1215.1259999999993</v>
      </c>
      <c r="U36" s="47">
        <v>0.1</v>
      </c>
      <c r="V36" s="11">
        <f>WeeklySummaryDataTable[[#This Row],[Sales Turnover]]/WeeklySummaryDataTable[[#This Row],['# Of Fridge]]</f>
        <v>346.63642960812757</v>
      </c>
      <c r="W36" s="11">
        <f>WeeklySummaryDataTable[[#This Row],[Sales Turnover]]-WeeklySummaryDataTable[[#This Row],[Fridge Food Cost]]</f>
        <v>2770.700754716976</v>
      </c>
      <c r="X36" s="12">
        <f>WeeklySummaryDataTable[[#This Row],[Food Margin In Euro]]/WeeklySummaryDataTable[[#This Row],[Sales Turnover]]</f>
        <v>0.20495136410106077</v>
      </c>
      <c r="Y36" s="12">
        <f>IFERROR((WeeklySummaryDataTable[[#This Row],[Catering Turnover]]-WeeklySummaryDataTable[[#This Row],[Catering Food Cost]])/WeeklySummaryDataTable[[#This Row],[Catering Turnover]],0)</f>
        <v>0.30408472012102872</v>
      </c>
      <c r="Z36" s="11">
        <f>WeeklySummaryDataTable[[#This Row],[Logistics Cost]]/WeeklySummaryDataTable[[#This Row],['# Of Fridge]]</f>
        <v>43.820512820512818</v>
      </c>
      <c r="AA36" s="12">
        <f>IFERROR(WeeklySummaryDataTable[[#This Row],[Logistics Cost]]/WeeklySummaryDataTable[[#This Row],[Sales Turnover]],0)</f>
        <v>0.12641635176675431</v>
      </c>
      <c r="AB36" s="12">
        <f>IFERROR(WeeklySummaryDataTable[[#This Row],[Unsold Items]]/WeeklySummaryDataTable[[#This Row],[Sales Turnover]],0)</f>
        <v>0</v>
      </c>
      <c r="AC36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102.47475471697672</v>
      </c>
      <c r="AD36" s="12">
        <f>IFERROR(WeeklySummaryDataTable[[#This Row],[Net Margin]]/(WeeklySummaryDataTable[[#This Row],[Sales Turnover]]+WeeklySummaryDataTable[[#This Row],[Catering Turnover]]+WeeklySummaryDataTable[[#This Row],[TGTG Turnover]]),0)</f>
        <v>7.1988791768255872E-3</v>
      </c>
    </row>
    <row r="37" spans="2:30" ht="18.75" hidden="1" customHeight="1">
      <c r="B37" s="2">
        <v>20</v>
      </c>
      <c r="C37" s="77">
        <v>46153</v>
      </c>
      <c r="D37" s="7">
        <v>46159</v>
      </c>
      <c r="E37" s="11">
        <v>12362.969999999976</v>
      </c>
      <c r="F37" s="11">
        <v>6.3</v>
      </c>
      <c r="G37" s="11">
        <v>298.06999999999971</v>
      </c>
      <c r="H37" s="11">
        <v>785.23999999999967</v>
      </c>
      <c r="I37" s="11">
        <f>(WeeklySummaryDataTable[[#This Row],[Total Sales]]+WeeklySummaryDataTable[[#This Row],[Customer Credit]]-WeeklySummaryDataTable[[#This Row],[Total Refund]])/1.06</f>
        <v>12398.028301886769</v>
      </c>
      <c r="J37" s="2">
        <v>40</v>
      </c>
      <c r="K37" s="11">
        <v>0</v>
      </c>
      <c r="L37" s="11">
        <v>55</v>
      </c>
      <c r="M37" s="11" cm="1">
        <f t="array" ref="M37">IFERROR(SUM(_xlfn._xlws.FILTER(ByCategoryWeeklyDispatchDataTable[Foodcost Value],ByCategoryWeeklyDispatchDataTable[Week No]=WeeklySummaryDataTable[[#This Row],[Week No]])),0)</f>
        <v>10965.359999999999</v>
      </c>
      <c r="N37" s="11" cm="1">
        <f t="array" ref="N37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10473.69000000001</v>
      </c>
      <c r="O37" s="11">
        <v>0</v>
      </c>
      <c r="P37" s="11">
        <v>1514.2</v>
      </c>
      <c r="Q37" s="2">
        <v>120</v>
      </c>
      <c r="R37" s="11">
        <v>0</v>
      </c>
      <c r="S37" s="2" t="s">
        <v>87</v>
      </c>
      <c r="T37" s="201">
        <f>WeeklySummaryDataTable[[#This Row],[Total Sales]]*Settings!$C$3</f>
        <v>1112.6672999999978</v>
      </c>
      <c r="U37" s="47">
        <v>0.1</v>
      </c>
      <c r="V37" s="11">
        <f>WeeklySummaryDataTable[[#This Row],[Sales Turnover]]/WeeklySummaryDataTable[[#This Row],['# Of Fridge]]</f>
        <v>309.9507075471692</v>
      </c>
      <c r="W37" s="11">
        <f>WeeklySummaryDataTable[[#This Row],[Sales Turnover]]-WeeklySummaryDataTable[[#This Row],[Fridge Food Cost]]</f>
        <v>1432.6683018867698</v>
      </c>
      <c r="X37" s="12">
        <f>WeeklySummaryDataTable[[#This Row],[Food Margin In Euro]]/WeeklySummaryDataTable[[#This Row],[Sales Turnover]]</f>
        <v>0.11555614062187147</v>
      </c>
      <c r="Y37" s="12">
        <f>IFERROR((WeeklySummaryDataTable[[#This Row],[Catering Turnover]]-WeeklySummaryDataTable[[#This Row],[Catering Food Cost]])/WeeklySummaryDataTable[[#This Row],[Catering Turnover]],0)</f>
        <v>0</v>
      </c>
      <c r="Z37" s="11">
        <f>WeeklySummaryDataTable[[#This Row],[Logistics Cost]]/WeeklySummaryDataTable[[#This Row],['# Of Fridge]]</f>
        <v>37.855000000000004</v>
      </c>
      <c r="AA37" s="12">
        <f>IFERROR(WeeklySummaryDataTable[[#This Row],[Logistics Cost]]/WeeklySummaryDataTable[[#This Row],[Sales Turnover]],0)</f>
        <v>0.12213232323155486</v>
      </c>
      <c r="AB37" s="12">
        <f>IFERROR(WeeklySummaryDataTable[[#This Row],[Unsold Items]]/WeeklySummaryDataTable[[#This Row],[Sales Turnover]],0)</f>
        <v>0</v>
      </c>
      <c r="AC37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-1139.2989981132287</v>
      </c>
      <c r="AD37" s="12">
        <f>IFERROR(WeeklySummaryDataTable[[#This Row],[Net Margin]]/(WeeklySummaryDataTable[[#This Row],[Sales Turnover]]+WeeklySummaryDataTable[[#This Row],[Catering Turnover]]+WeeklySummaryDataTable[[#This Row],[TGTG Turnover]]),0)</f>
        <v>-9.148770648345933E-2</v>
      </c>
    </row>
    <row r="38" spans="2:30" ht="18.75" customHeight="1">
      <c r="B38" s="2">
        <v>19</v>
      </c>
      <c r="C38" s="77">
        <v>46146</v>
      </c>
      <c r="D38" s="7">
        <v>46152</v>
      </c>
      <c r="E38" s="11">
        <v>14805.999999999976</v>
      </c>
      <c r="F38" s="11">
        <v>29.099999999999998</v>
      </c>
      <c r="G38" s="11">
        <v>435.74999999999972</v>
      </c>
      <c r="H38" s="11">
        <v>835.8499999999998</v>
      </c>
      <c r="I38" s="11">
        <f>(WeeklySummaryDataTable[[#This Row],[Total Sales]]+WeeklySummaryDataTable[[#This Row],[Customer Credit]]-WeeklySummaryDataTable[[#This Row],[Total Refund]])/1.06</f>
        <v>14729.009433962241</v>
      </c>
      <c r="J38" s="2">
        <v>40</v>
      </c>
      <c r="K38" s="11">
        <v>0</v>
      </c>
      <c r="L38" s="11">
        <v>55</v>
      </c>
      <c r="M38" s="11" cm="1">
        <f t="array" ref="M38">IFERROR(SUM(_xlfn._xlws.FILTER(ByCategoryWeeklyDispatchDataTable[Foodcost Value],ByCategoryWeeklyDispatchDataTable[Week No]=WeeklySummaryDataTable[[#This Row],[Week No]])),0)</f>
        <v>10794.08</v>
      </c>
      <c r="N38" s="11" cm="1">
        <f t="array" ref="N38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11043.590000000035</v>
      </c>
      <c r="O38" s="11">
        <v>0</v>
      </c>
      <c r="P38" s="11">
        <v>1728.72</v>
      </c>
      <c r="Q38" s="2">
        <v>120</v>
      </c>
      <c r="R38" s="11">
        <v>0</v>
      </c>
      <c r="S38" s="2" t="s">
        <v>87</v>
      </c>
      <c r="T38" s="201">
        <f>WeeklySummaryDataTable[[#This Row],[Total Sales]]*Settings!$C$3</f>
        <v>1332.5399999999979</v>
      </c>
      <c r="U38" s="47">
        <v>0.1</v>
      </c>
      <c r="V38" s="11">
        <f>WeeklySummaryDataTable[[#This Row],[Sales Turnover]]/WeeklySummaryDataTable[[#This Row],['# Of Fridge]]</f>
        <v>368.22523584905605</v>
      </c>
      <c r="W38" s="11">
        <f>WeeklySummaryDataTable[[#This Row],[Sales Turnover]]-WeeklySummaryDataTable[[#This Row],[Fridge Food Cost]]</f>
        <v>3934.9294339622411</v>
      </c>
      <c r="X38" s="12">
        <f>WeeklySummaryDataTable[[#This Row],[Food Margin In Euro]]/WeeklySummaryDataTable[[#This Row],[Sales Turnover]]</f>
        <v>0.26715506236889608</v>
      </c>
      <c r="Y38" s="12">
        <f>IFERROR((WeeklySummaryDataTable[[#This Row],[Catering Turnover]]-WeeklySummaryDataTable[[#This Row],[Catering Food Cost]])/WeeklySummaryDataTable[[#This Row],[Catering Turnover]],0)</f>
        <v>0</v>
      </c>
      <c r="Z38" s="11">
        <f>WeeklySummaryDataTable[[#This Row],[Logistics Cost]]/WeeklySummaryDataTable[[#This Row],['# Of Fridge]]</f>
        <v>43.218000000000004</v>
      </c>
      <c r="AA38" s="12">
        <f>IFERROR(WeeklySummaryDataTable[[#This Row],[Logistics Cost]]/WeeklySummaryDataTable[[#This Row],[Sales Turnover]],0)</f>
        <v>0.11736838161118335</v>
      </c>
      <c r="AB38" s="12">
        <f>IFERROR(WeeklySummaryDataTable[[#This Row],[Unsold Items]]/WeeklySummaryDataTable[[#This Row],[Sales Turnover]],0)</f>
        <v>0</v>
      </c>
      <c r="AC38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928.56943396224381</v>
      </c>
      <c r="AD38" s="12">
        <f>IFERROR(WeeklySummaryDataTable[[#This Row],[Net Margin]]/(WeeklySummaryDataTable[[#This Row],[Sales Turnover]]+WeeklySummaryDataTable[[#This Row],[Catering Turnover]]+WeeklySummaryDataTable[[#This Row],[TGTG Turnover]]),0)</f>
        <v>6.2809039598494043E-2</v>
      </c>
    </row>
    <row r="39" spans="2:30" ht="18.75" customHeight="1">
      <c r="B39" s="2">
        <v>22</v>
      </c>
      <c r="C39" s="77">
        <v>46167</v>
      </c>
      <c r="D39" s="7">
        <v>46173</v>
      </c>
      <c r="E39" s="11">
        <v>13215.789999999948</v>
      </c>
      <c r="F39" s="11">
        <v>9.0399999999999991</v>
      </c>
      <c r="G39" s="11">
        <v>379.65999999999934</v>
      </c>
      <c r="H39" s="11">
        <v>651.32999999999993</v>
      </c>
      <c r="I39" s="11">
        <f>(WeeklySummaryDataTable[[#This Row],[Total Sales]]+WeeklySummaryDataTable[[#This Row],[Customer Credit]]-WeeklySummaryDataTable[[#This Row],[Total Refund]])/1.06</f>
        <v>13073.660377358439</v>
      </c>
      <c r="J39" s="2">
        <v>40</v>
      </c>
      <c r="K39" s="11">
        <v>0</v>
      </c>
      <c r="L39" s="11">
        <v>55</v>
      </c>
      <c r="M39" s="11">
        <v>9993</v>
      </c>
      <c r="N39" s="11" cm="1">
        <f t="array" ref="N39">IFERROR(SUM(_xlfn._xlws.FILTER(ByCategoryWeeklyAddedDataTable[Added Value],(ByCategoryWeeklyAddedDataTable[Week No]=WeeklySummaryDataTable[[#This Row],[Week No]])*(ByCategoryWeeklyAddedDataTable[Start Date]=WeeklySummaryDataTable[[#This Row],[Start Date]]))),0)</f>
        <v>9993.4600000000319</v>
      </c>
      <c r="O39" s="11">
        <v>0</v>
      </c>
      <c r="P39" s="11">
        <v>1583</v>
      </c>
      <c r="Q39" s="2">
        <v>120</v>
      </c>
      <c r="R39" s="11">
        <v>0</v>
      </c>
      <c r="S39" s="2" t="s">
        <v>88</v>
      </c>
      <c r="T39" s="201">
        <f>WeeklySummaryDataTable[[#This Row],[Total Sales]]*Settings!$C$3</f>
        <v>1189.4210999999952</v>
      </c>
      <c r="U39" s="47">
        <v>0.1</v>
      </c>
      <c r="V39" s="11">
        <f>WeeklySummaryDataTable[[#This Row],[Sales Turnover]]/WeeklySummaryDataTable[[#This Row],['# Of Fridge]]</f>
        <v>326.84150943396099</v>
      </c>
      <c r="W39" s="11">
        <f>WeeklySummaryDataTable[[#This Row],[Sales Turnover]]-WeeklySummaryDataTable[[#This Row],[Fridge Food Cost]]</f>
        <v>3080.6603773584393</v>
      </c>
      <c r="X39" s="12">
        <f>WeeklySummaryDataTable[[#This Row],[Food Margin In Euro]]/WeeklySummaryDataTable[[#This Row],[Sales Turnover]]</f>
        <v>0.23563870319697666</v>
      </c>
      <c r="Y39" s="12">
        <f>IFERROR((WeeklySummaryDataTable[[#This Row],[Catering Turnover]]-WeeklySummaryDataTable[[#This Row],[Catering Food Cost]])/WeeklySummaryDataTable[[#This Row],[Catering Turnover]],0)</f>
        <v>0</v>
      </c>
      <c r="Z39" s="11">
        <f>WeeklySummaryDataTable[[#This Row],[Logistics Cost]]/WeeklySummaryDataTable[[#This Row],['# Of Fridge]]</f>
        <v>39.575000000000003</v>
      </c>
      <c r="AA39" s="12">
        <f>IFERROR(WeeklySummaryDataTable[[#This Row],[Logistics Cost]]/WeeklySummaryDataTable[[#This Row],[Sales Turnover]],0)</f>
        <v>0.12108315148996157</v>
      </c>
      <c r="AB39" s="12">
        <f>IFERROR(WeeklySummaryDataTable[[#This Row],[Unsold Items]]/WeeklySummaryDataTable[[#This Row],[Sales Turnover]],0)</f>
        <v>0</v>
      </c>
      <c r="AC39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363.13927735844402</v>
      </c>
      <c r="AD39" s="12">
        <f>IFERROR(WeeklySummaryDataTable[[#This Row],[Net Margin]]/(WeeklySummaryDataTable[[#This Row],[Sales Turnover]]+WeeklySummaryDataTable[[#This Row],[Catering Turnover]]+WeeklySummaryDataTable[[#This Row],[TGTG Turnover]]),0)</f>
        <v>2.7660040470291278E-2</v>
      </c>
    </row>
    <row r="40" spans="2:30" ht="18.75" customHeight="1">
      <c r="B40" s="2">
        <v>23</v>
      </c>
      <c r="C40" s="77">
        <v>46174</v>
      </c>
      <c r="D40" s="7">
        <v>46180</v>
      </c>
      <c r="E40" s="11">
        <v>16913.060000000121</v>
      </c>
      <c r="F40" s="11">
        <v>29.820000000000004</v>
      </c>
      <c r="G40" s="11">
        <v>367.16000000000014</v>
      </c>
      <c r="H40" s="11">
        <v>735.02000000000089</v>
      </c>
      <c r="I40" s="11">
        <f>(WeeklySummaryDataTable[[#This Row],[Total Sales]]+WeeklySummaryDataTable[[#This Row],[Customer Credit]]-WeeklySummaryDataTable[[#This Row],[Total Refund]])/1.06</f>
        <v>16621.000000000113</v>
      </c>
      <c r="J40" s="2">
        <v>40</v>
      </c>
      <c r="K40" s="11">
        <v>0</v>
      </c>
      <c r="L40" s="11">
        <v>55</v>
      </c>
      <c r="M40" s="11" cm="1">
        <f t="array" ref="M40">IFERROR(SUM(_xlfn._xlws.FILTER(ByCategoryWeeklyDispatchDataTable[Foodcost Value],ByCategoryWeeklyDispatchDataTable[Week No]=WeeklySummaryDataTable[[#This Row],[Week No]])),0)</f>
        <v>11644.540000000003</v>
      </c>
      <c r="N40" s="11" cm="1">
        <f t="array" ref="N40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12099.230000000001</v>
      </c>
      <c r="O40" s="11">
        <v>0</v>
      </c>
      <c r="P40" s="11">
        <v>1983.33</v>
      </c>
      <c r="Q40" s="2">
        <v>120</v>
      </c>
      <c r="R40" s="11">
        <v>0</v>
      </c>
      <c r="S40" s="2" t="s">
        <v>89</v>
      </c>
      <c r="T40" s="201">
        <f>WeeklySummaryDataTable[[#This Row],[Total Sales]]*Settings!$C$3</f>
        <v>1522.1754000000108</v>
      </c>
      <c r="U40" s="47">
        <v>0.1</v>
      </c>
      <c r="V40" s="11">
        <f>WeeklySummaryDataTable[[#This Row],[Sales Turnover]]/WeeklySummaryDataTable[[#This Row],['# Of Fridge]]</f>
        <v>415.52500000000282</v>
      </c>
      <c r="W40" s="11">
        <f>WeeklySummaryDataTable[[#This Row],[Sales Turnover]]-WeeklySummaryDataTable[[#This Row],[Fridge Food Cost]]</f>
        <v>4976.4600000001101</v>
      </c>
      <c r="X40" s="12">
        <f>WeeklySummaryDataTable[[#This Row],[Food Margin In Euro]]/WeeklySummaryDataTable[[#This Row],[Sales Turnover]]</f>
        <v>0.29940797785933915</v>
      </c>
      <c r="Y40" s="12">
        <f>IFERROR((WeeklySummaryDataTable[[#This Row],[Catering Turnover]]-WeeklySummaryDataTable[[#This Row],[Catering Food Cost]])/WeeklySummaryDataTable[[#This Row],[Catering Turnover]],0)</f>
        <v>0</v>
      </c>
      <c r="Z40" s="11">
        <f>WeeklySummaryDataTable[[#This Row],[Logistics Cost]]/WeeklySummaryDataTable[[#This Row],['# Of Fridge]]</f>
        <v>49.58325</v>
      </c>
      <c r="AA40" s="12">
        <f>IFERROR(WeeklySummaryDataTable[[#This Row],[Logistics Cost]]/WeeklySummaryDataTable[[#This Row],[Sales Turnover]],0)</f>
        <v>0.11932675530954735</v>
      </c>
      <c r="AB40" s="12">
        <f>IFERROR(WeeklySummaryDataTable[[#This Row],[Unsold Items]]/WeeklySummaryDataTable[[#This Row],[Sales Turnover]],0)</f>
        <v>0</v>
      </c>
      <c r="AC40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1525.8546000000995</v>
      </c>
      <c r="AD40" s="12">
        <f>IFERROR(WeeklySummaryDataTable[[#This Row],[Net Margin]]/(WeeklySummaryDataTable[[#This Row],[Sales Turnover]]+WeeklySummaryDataTable[[#This Row],[Catering Turnover]]+WeeklySummaryDataTable[[#This Row],[TGTG Turnover]]),0)</f>
        <v>9.1500035979856634E-2</v>
      </c>
    </row>
    <row r="41" spans="2:30" ht="18.75" customHeight="1">
      <c r="B41" s="2">
        <v>24</v>
      </c>
      <c r="C41" s="77">
        <v>46181</v>
      </c>
      <c r="D41" s="7">
        <v>46187</v>
      </c>
      <c r="E41" s="11">
        <v>16234.08000000008</v>
      </c>
      <c r="F41" s="11">
        <v>9.9400000000000013</v>
      </c>
      <c r="G41" s="11">
        <v>788.69000000000312</v>
      </c>
      <c r="H41" s="11">
        <v>835.99000000000069</v>
      </c>
      <c r="I41" s="11">
        <f>(WeeklySummaryDataTable[[#This Row],[Total Sales]]+WeeklySummaryDataTable[[#This Row],[Customer Credit]]-WeeklySummaryDataTable[[#This Row],[Total Refund]])/1.06</f>
        <v>16094.46226415102</v>
      </c>
      <c r="J41" s="2">
        <v>41</v>
      </c>
      <c r="K41" s="11">
        <v>0</v>
      </c>
      <c r="L41" s="11">
        <v>55</v>
      </c>
      <c r="M41" s="11" cm="1">
        <f t="array" ref="M41">IFERROR(SUM(_xlfn._xlws.FILTER(ByCategoryWeeklyDispatchDataTable[Foodcost Value],ByCategoryWeeklyDispatchDataTable[Week No]=WeeklySummaryDataTable[[#This Row],[Week No]])),0)</f>
        <v>12416.68</v>
      </c>
      <c r="N41" s="11" cm="1">
        <f t="array" ref="N41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12314.940000000068</v>
      </c>
      <c r="O41" s="11">
        <v>0</v>
      </c>
      <c r="P41" s="11">
        <v>1741</v>
      </c>
      <c r="Q41" s="2">
        <v>120</v>
      </c>
      <c r="R41" s="11">
        <v>0</v>
      </c>
      <c r="S41" s="2" t="s">
        <v>90</v>
      </c>
      <c r="T41" s="201">
        <f>WeeklySummaryDataTable[[#This Row],[Total Sales]]*Settings!$C$3</f>
        <v>1461.0672000000072</v>
      </c>
      <c r="U41" s="47">
        <v>0.1</v>
      </c>
      <c r="V41" s="11">
        <f>WeeklySummaryDataTable[[#This Row],[Sales Turnover]]/WeeklySummaryDataTable[[#This Row],['# Of Fridge]]</f>
        <v>392.5478601012444</v>
      </c>
      <c r="W41" s="11">
        <f>WeeklySummaryDataTable[[#This Row],[Sales Turnover]]-WeeklySummaryDataTable[[#This Row],[Fridge Food Cost]]</f>
        <v>3677.7822641510193</v>
      </c>
      <c r="X41" s="12">
        <f>WeeklySummaryDataTable[[#This Row],[Food Margin In Euro]]/WeeklySummaryDataTable[[#This Row],[Sales Turnover]]</f>
        <v>0.22851227980091957</v>
      </c>
      <c r="Y41" s="12">
        <f>IFERROR((WeeklySummaryDataTable[[#This Row],[Catering Turnover]]-WeeklySummaryDataTable[[#This Row],[Catering Food Cost]])/WeeklySummaryDataTable[[#This Row],[Catering Turnover]],0)</f>
        <v>0</v>
      </c>
      <c r="Z41" s="11">
        <f>WeeklySummaryDataTable[[#This Row],[Logistics Cost]]/WeeklySummaryDataTable[[#This Row],['# Of Fridge]]</f>
        <v>42.463414634146339</v>
      </c>
      <c r="AA41" s="12">
        <f>IFERROR(WeeklySummaryDataTable[[#This Row],[Logistics Cost]]/WeeklySummaryDataTable[[#This Row],[Sales Turnover]],0)</f>
        <v>0.10817385330592388</v>
      </c>
      <c r="AB41" s="12">
        <f>IFERROR(WeeklySummaryDataTable[[#This Row],[Unsold Items]]/WeeklySummaryDataTable[[#This Row],[Sales Turnover]],0)</f>
        <v>0</v>
      </c>
      <c r="AC41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530.61506415101201</v>
      </c>
      <c r="AD41" s="12">
        <f>IFERROR(WeeklySummaryDataTable[[#This Row],[Net Margin]]/(WeeklySummaryDataTable[[#This Row],[Sales Turnover]]+WeeklySummaryDataTable[[#This Row],[Catering Turnover]]+WeeklySummaryDataTable[[#This Row],[TGTG Turnover]]),0)</f>
        <v>3.2856515930495385E-2</v>
      </c>
    </row>
    <row r="42" spans="2:30" ht="18.75" customHeight="1">
      <c r="B42" s="2">
        <v>25</v>
      </c>
      <c r="C42" s="77">
        <v>46188</v>
      </c>
      <c r="D42" s="7">
        <v>46194</v>
      </c>
      <c r="E42" s="11">
        <v>15584.790000000054</v>
      </c>
      <c r="F42" s="11">
        <v>62.250000000000007</v>
      </c>
      <c r="G42" s="11">
        <v>301.84000000000015</v>
      </c>
      <c r="H42" s="11">
        <v>729.42000000000007</v>
      </c>
      <c r="I42" s="11">
        <f>(WeeklySummaryDataTable[[#This Row],[Total Sales]]+WeeklySummaryDataTable[[#This Row],[Customer Credit]]-WeeklySummaryDataTable[[#This Row],[Total Refund]])/1.06</f>
        <v>15332.037735849106</v>
      </c>
      <c r="J42" s="2">
        <v>41</v>
      </c>
      <c r="K42" s="11">
        <v>0</v>
      </c>
      <c r="L42" s="11">
        <v>55</v>
      </c>
      <c r="M42" s="11" cm="1">
        <f t="array" ref="M42">IFERROR(SUM(_xlfn._xlws.FILTER(ByCategoryWeeklyDispatchDataTable[Foodcost Value],ByCategoryWeeklyDispatchDataTable[Week No]=WeeklySummaryDataTable[[#This Row],[Week No]])),0)</f>
        <v>11774.050000000003</v>
      </c>
      <c r="N42" s="11" cm="1">
        <f t="array" ref="N42">IFERROR(SUM(_xlfn._xlws.FILTER(ByCategoryWeeklyAddedDataTable[Added Value],(ByCategoryWeeklyAddedDataTable[Week No]=WeeklySummaryDataTable[[#This Row],[Week No]])*(ByCategoryWeeklyAddedDataTable[Start Date]=WeeklySummaryDataTable[[#This Row],[Start Date]]))),0)</f>
        <v>0</v>
      </c>
      <c r="O42" s="11">
        <v>0</v>
      </c>
      <c r="P42" s="11">
        <v>1689</v>
      </c>
      <c r="Q42" s="2">
        <v>120</v>
      </c>
      <c r="R42" s="11">
        <v>0</v>
      </c>
      <c r="S42" s="2" t="s">
        <v>91</v>
      </c>
      <c r="T42" s="201">
        <f>WeeklySummaryDataTable[[#This Row],[Total Sales]]*Settings!$C$3</f>
        <v>1402.6311000000048</v>
      </c>
      <c r="U42" s="47">
        <v>0.1</v>
      </c>
      <c r="V42" s="11">
        <f>WeeklySummaryDataTable[[#This Row],[Sales Turnover]]/WeeklySummaryDataTable[[#This Row],['# Of Fridge]]</f>
        <v>373.95213989875867</v>
      </c>
      <c r="W42" s="11">
        <f>WeeklySummaryDataTable[[#This Row],[Sales Turnover]]-WeeklySummaryDataTable[[#This Row],[Fridge Food Cost]]</f>
        <v>3557.987735849103</v>
      </c>
      <c r="X42" s="12">
        <f>WeeklySummaryDataTable[[#This Row],[Food Margin In Euro]]/WeeklySummaryDataTable[[#This Row],[Sales Turnover]]</f>
        <v>0.23206228664112127</v>
      </c>
      <c r="Y42" s="12">
        <f>IFERROR((WeeklySummaryDataTable[[#This Row],[Catering Turnover]]-WeeklySummaryDataTable[[#This Row],[Catering Food Cost]])/WeeklySummaryDataTable[[#This Row],[Catering Turnover]],0)</f>
        <v>0</v>
      </c>
      <c r="Z42" s="11">
        <f>WeeklySummaryDataTable[[#This Row],[Logistics Cost]]/WeeklySummaryDataTable[[#This Row],['# Of Fridge]]</f>
        <v>41.195121951219512</v>
      </c>
      <c r="AA42" s="12">
        <f>IFERROR(WeeklySummaryDataTable[[#This Row],[Logistics Cost]]/WeeklySummaryDataTable[[#This Row],[Sales Turnover]],0)</f>
        <v>0.11016148206124025</v>
      </c>
      <c r="AB42" s="12">
        <f>IFERROR(WeeklySummaryDataTable[[#This Row],[Unsold Items]]/WeeklySummaryDataTable[[#This Row],[Sales Turnover]],0)</f>
        <v>0</v>
      </c>
      <c r="AC42" s="11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521.25663584909819</v>
      </c>
      <c r="AD42" s="12">
        <f>IFERROR(WeeklySummaryDataTable[[#This Row],[Net Margin]]/(WeeklySummaryDataTable[[#This Row],[Sales Turnover]]+WeeklySummaryDataTable[[#This Row],[Catering Turnover]]+WeeklySummaryDataTable[[#This Row],[TGTG Turnover]]),0)</f>
        <v>3.3876347403416149E-2</v>
      </c>
    </row>
    <row r="43" spans="2:30" ht="18.75" customHeight="1">
      <c r="B43" s="2">
        <v>26</v>
      </c>
      <c r="C43" s="77">
        <v>46195</v>
      </c>
      <c r="D43" s="7">
        <v>46201</v>
      </c>
      <c r="E43" s="11">
        <v>17030.080000000144</v>
      </c>
      <c r="F43" s="11">
        <v>8.3000000000000007</v>
      </c>
      <c r="G43" s="240">
        <v>471.770000000001</v>
      </c>
      <c r="H43" s="240">
        <v>895.96999999999991</v>
      </c>
      <c r="I43" s="11">
        <f>(WeeklySummaryDataTable[[#This Row],[Total Sales]]+WeeklySummaryDataTable[[#This Row],[Customer Credit]]-WeeklySummaryDataTable[[#This Row],[Total Refund]])/1.06</f>
        <v>16903.537735849193</v>
      </c>
      <c r="J43" s="2">
        <v>41</v>
      </c>
      <c r="K43" s="240">
        <v>263</v>
      </c>
      <c r="L43" s="240">
        <v>55</v>
      </c>
      <c r="M43" s="240" cm="1">
        <f t="array" ref="M43">IFERROR(SUM(_xlfn._xlws.FILTER(ByCategoryWeeklyDispatchDataTable[Foodcost Value],ByCategoryWeeklyDispatchDataTable[Week No]=WeeklySummaryDataTable[[#This Row],[Week No]])),0)</f>
        <v>12239.34</v>
      </c>
      <c r="N43" s="240" cm="1">
        <f t="array" ref="N43">IFERROR(SUM(_xlfn._xlws.FILTER(ByCategoryWeeklyAddedDataTable[Added Value],(ByCategoryWeeklyAddedDataTable[Week No]=WeeklySummaryDataTable[[#This Row],[Week No]])*(ByCategoryWeeklyAddedDataTable[Start Date]=WeeklySummaryDataTable[[#This Row],[Start Date]]))),0)</f>
        <v>12267.450000000004</v>
      </c>
      <c r="O43" s="240">
        <v>184</v>
      </c>
      <c r="P43" s="240">
        <v>1711.6</v>
      </c>
      <c r="Q43" s="2">
        <v>67</v>
      </c>
      <c r="R43" s="240">
        <v>0</v>
      </c>
      <c r="S43" s="2" t="s">
        <v>92</v>
      </c>
      <c r="T43" s="201">
        <f>WeeklySummaryDataTable[[#This Row],[Total Sales]]*Settings!$C$3</f>
        <v>1532.7072000000128</v>
      </c>
      <c r="U43" s="47">
        <v>0.1</v>
      </c>
      <c r="V43" s="240">
        <f>WeeklySummaryDataTable[[#This Row],[Sales Turnover]]/WeeklySummaryDataTable[[#This Row],['# Of Fridge]]</f>
        <v>412.28140819144375</v>
      </c>
      <c r="W43" s="240">
        <f>WeeklySummaryDataTable[[#This Row],[Sales Turnover]]-WeeklySummaryDataTable[[#This Row],[Fridge Food Cost]]</f>
        <v>4664.1977358491931</v>
      </c>
      <c r="X43" s="241">
        <f>WeeklySummaryDataTable[[#This Row],[Food Margin In Euro]]/WeeklySummaryDataTable[[#This Row],[Sales Turnover]]</f>
        <v>0.27593027026273415</v>
      </c>
      <c r="Y43" s="12">
        <f>IFERROR((WeeklySummaryDataTable[[#This Row],[Catering Turnover]]-WeeklySummaryDataTable[[#This Row],[Catering Food Cost]])/WeeklySummaryDataTable[[#This Row],[Catering Turnover]],0)</f>
        <v>0.30038022813688214</v>
      </c>
      <c r="Z43" s="240">
        <f>WeeklySummaryDataTable[[#This Row],[Logistics Cost]]/WeeklySummaryDataTable[[#This Row],['# Of Fridge]]</f>
        <v>41.74634146341463</v>
      </c>
      <c r="AA43" s="12">
        <f>IFERROR(WeeklySummaryDataTable[[#This Row],[Logistics Cost]]/WeeklySummaryDataTable[[#This Row],[Sales Turnover]],0)</f>
        <v>0.10125691004729864</v>
      </c>
      <c r="AB43" s="12">
        <f>IFERROR(WeeklySummaryDataTable[[#This Row],[Unsold Items]]/WeeklySummaryDataTable[[#This Row],[Sales Turnover]],0)</f>
        <v>0</v>
      </c>
      <c r="AC43" s="240">
        <f>(WeeklySummaryDataTable[[#This Row],[Sales Turnover]]+WeeklySummaryDataTable[[#This Row],[Catering Turnover]]+WeeklySummaryDataTable[[#This Row],[TGTG Turnover]])-(WeeklySummaryDataTable[[#This Row],[Fridge Food Cost]]+WeeklySummaryDataTable[[#This Row],[Catering Food Cost]]+WeeklySummaryDataTable[[#This Row],[Logistics Cost]])-WeeklySummaryDataTable[[#This Row],[POS &amp; Software Percentage]]-WeeklySummaryDataTable[[#This Row],[RFID Tags]]</f>
        <v>1553.7905358491801</v>
      </c>
      <c r="AD43" s="12">
        <f>IFERROR(WeeklySummaryDataTable[[#This Row],[Net Margin]]/(WeeklySummaryDataTable[[#This Row],[Sales Turnover]]+WeeklySummaryDataTable[[#This Row],[Catering Turnover]]+WeeklySummaryDataTable[[#This Row],[TGTG Turnover]]),0)</f>
        <v>9.0223681513337442E-2</v>
      </c>
    </row>
    <row r="44" spans="2:30" ht="18.75" customHeight="1">
      <c r="E44" s="10"/>
      <c r="F44" s="10"/>
      <c r="G44" s="190"/>
      <c r="H44" s="190"/>
      <c r="I44" s="10"/>
      <c r="K44" s="190"/>
      <c r="L44" s="190"/>
      <c r="M44" s="190"/>
      <c r="N44" s="190"/>
      <c r="O44" s="190"/>
      <c r="P44" s="190"/>
      <c r="Q44" s="10"/>
      <c r="R44" s="190"/>
      <c r="T44" s="51"/>
      <c r="U44" s="191"/>
      <c r="V44" s="190"/>
      <c r="W44" s="190"/>
      <c r="Z44" s="190"/>
      <c r="AC44" s="190"/>
    </row>
    <row r="45" spans="2:30" ht="18.75" customHeight="1">
      <c r="I45" s="10"/>
      <c r="P45" s="10"/>
      <c r="AA45" s="183"/>
      <c r="AC45" s="10"/>
    </row>
    <row r="46" spans="2:30" ht="18.75" customHeight="1">
      <c r="H46" s="10"/>
      <c r="M46" s="60" t="s">
        <v>93</v>
      </c>
    </row>
    <row r="47" spans="2:30" ht="18.75" customHeight="1">
      <c r="H47" s="10"/>
      <c r="L47" s="57">
        <v>1</v>
      </c>
      <c r="M47" t="s">
        <v>94</v>
      </c>
      <c r="N47" s="52"/>
      <c r="O47" s="53"/>
    </row>
    <row r="48" spans="2:30" ht="18.75" customHeight="1">
      <c r="E48" s="10"/>
      <c r="H48" s="10"/>
      <c r="L48" s="58">
        <v>2</v>
      </c>
      <c r="M48" t="s">
        <v>95</v>
      </c>
      <c r="O48" s="54"/>
    </row>
    <row r="49" spans="5:17" ht="18.75" customHeight="1">
      <c r="E49" s="10"/>
      <c r="L49" s="59">
        <v>3</v>
      </c>
      <c r="M49" s="55" t="s">
        <v>96</v>
      </c>
      <c r="N49" s="55" t="s">
        <v>97</v>
      </c>
      <c r="O49" s="56"/>
      <c r="P49" t="s">
        <v>98</v>
      </c>
    </row>
    <row r="50" spans="5:17" ht="18.75" customHeight="1">
      <c r="E50" s="10"/>
    </row>
    <row r="52" spans="5:17" ht="18.75" customHeight="1">
      <c r="Q52" s="11"/>
    </row>
    <row r="53" spans="5:17" ht="18.75" customHeight="1">
      <c r="I53" s="76"/>
      <c r="J53" s="76"/>
      <c r="M53" s="76"/>
      <c r="N53" s="16"/>
      <c r="Q53" s="11">
        <v>158</v>
      </c>
    </row>
    <row r="54" spans="5:17" ht="18.75" customHeight="1">
      <c r="I54" s="76"/>
      <c r="J54" s="76"/>
      <c r="M54" s="76"/>
      <c r="N54" s="16"/>
      <c r="Q54" s="11">
        <v>324</v>
      </c>
    </row>
    <row r="55" spans="5:17" ht="18.75" customHeight="1">
      <c r="I55" s="76"/>
      <c r="J55" s="76"/>
      <c r="M55" s="76"/>
      <c r="N55" s="16"/>
      <c r="Q55" s="11">
        <v>239</v>
      </c>
    </row>
    <row r="56" spans="5:17" ht="18.75" customHeight="1">
      <c r="I56" s="76"/>
      <c r="J56" s="76"/>
      <c r="M56" s="76"/>
      <c r="N56" s="16"/>
    </row>
    <row r="57" spans="5:17" ht="18.75" customHeight="1">
      <c r="I57" s="76"/>
      <c r="J57" s="76"/>
      <c r="M57" s="76"/>
      <c r="N57" s="16"/>
    </row>
    <row r="58" spans="5:17" ht="18.75" customHeight="1">
      <c r="I58" s="76"/>
      <c r="J58" s="76"/>
      <c r="M58" s="76"/>
      <c r="N58" s="16"/>
    </row>
    <row r="59" spans="5:17" ht="18.75" customHeight="1">
      <c r="I59" s="76"/>
      <c r="J59" s="76"/>
      <c r="M59" s="76"/>
      <c r="N59" s="16"/>
    </row>
  </sheetData>
  <mergeCells count="3">
    <mergeCell ref="U3:AC3"/>
    <mergeCell ref="S3:T3"/>
    <mergeCell ref="AF3:AG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FDA4-7AD9-426B-AD37-B59686F14ED0}">
  <sheetPr codeName="Sheet15"/>
  <dimension ref="C3:C62"/>
  <sheetViews>
    <sheetView showGridLines="0" workbookViewId="0">
      <selection activeCell="C3" sqref="C3"/>
    </sheetView>
  </sheetViews>
  <sheetFormatPr defaultColWidth="8.69921875" defaultRowHeight="18.95"/>
  <cols>
    <col min="3" max="3" width="14" bestFit="1" customWidth="1"/>
  </cols>
  <sheetData>
    <row r="3" spans="3:3">
      <c r="C3" t="str" cm="1">
        <f t="array" ref="C3:C62">FormatDateYear(_xlfn.DROP(_xlfn.REDUCE("",_xlfn.SEQUENCE(5,1,2025),_xlfn.LAMBDA(_xlpm.a,_xlpm.c,_xlfn.VSTACK(_xlpm.a,DATE(_xlpm.c,_xlfn.SEQUENCE(12),1)))),1))</f>
        <v>January 2025</v>
      </c>
    </row>
    <row r="4" spans="3:3">
      <c r="C4" t="str">
        <v>February 2025</v>
      </c>
    </row>
    <row r="5" spans="3:3">
      <c r="C5" t="str">
        <v>March 2025</v>
      </c>
    </row>
    <row r="6" spans="3:3">
      <c r="C6" t="str">
        <v>April 2025</v>
      </c>
    </row>
    <row r="7" spans="3:3">
      <c r="C7" t="str">
        <v>May 2025</v>
      </c>
    </row>
    <row r="8" spans="3:3">
      <c r="C8" t="str">
        <v>June 2025</v>
      </c>
    </row>
    <row r="9" spans="3:3">
      <c r="C9" t="str">
        <v>July 2025</v>
      </c>
    </row>
    <row r="10" spans="3:3">
      <c r="C10" t="str">
        <v>August 2025</v>
      </c>
    </row>
    <row r="11" spans="3:3">
      <c r="C11" t="str">
        <v>September 2025</v>
      </c>
    </row>
    <row r="12" spans="3:3">
      <c r="C12" t="str">
        <v>October 2025</v>
      </c>
    </row>
    <row r="13" spans="3:3">
      <c r="C13" t="str">
        <v>November 2025</v>
      </c>
    </row>
    <row r="14" spans="3:3">
      <c r="C14" t="str">
        <v>December 2025</v>
      </c>
    </row>
    <row r="15" spans="3:3">
      <c r="C15" t="str">
        <v>January 2026</v>
      </c>
    </row>
    <row r="16" spans="3:3">
      <c r="C16" t="str">
        <v>February 2026</v>
      </c>
    </row>
    <row r="17" spans="3:3">
      <c r="C17" t="str">
        <v>March 2026</v>
      </c>
    </row>
    <row r="18" spans="3:3">
      <c r="C18" t="str">
        <v>April 2026</v>
      </c>
    </row>
    <row r="19" spans="3:3">
      <c r="C19" t="str">
        <v>May 2026</v>
      </c>
    </row>
    <row r="20" spans="3:3">
      <c r="C20" t="str">
        <v>June 2026</v>
      </c>
    </row>
    <row r="21" spans="3:3">
      <c r="C21" t="str">
        <v>July 2026</v>
      </c>
    </row>
    <row r="22" spans="3:3">
      <c r="C22" t="str">
        <v>August 2026</v>
      </c>
    </row>
    <row r="23" spans="3:3">
      <c r="C23" t="str">
        <v>September 2026</v>
      </c>
    </row>
    <row r="24" spans="3:3">
      <c r="C24" t="str">
        <v>October 2026</v>
      </c>
    </row>
    <row r="25" spans="3:3">
      <c r="C25" t="str">
        <v>November 2026</v>
      </c>
    </row>
    <row r="26" spans="3:3">
      <c r="C26" t="str">
        <v>December 2026</v>
      </c>
    </row>
    <row r="27" spans="3:3">
      <c r="C27" t="str">
        <v>January 2027</v>
      </c>
    </row>
    <row r="28" spans="3:3">
      <c r="C28" t="str">
        <v>February 2027</v>
      </c>
    </row>
    <row r="29" spans="3:3">
      <c r="C29" t="str">
        <v>March 2027</v>
      </c>
    </row>
    <row r="30" spans="3:3">
      <c r="C30" t="str">
        <v>April 2027</v>
      </c>
    </row>
    <row r="31" spans="3:3">
      <c r="C31" t="str">
        <v>May 2027</v>
      </c>
    </row>
    <row r="32" spans="3:3">
      <c r="C32" t="str">
        <v>June 2027</v>
      </c>
    </row>
    <row r="33" spans="3:3">
      <c r="C33" t="str">
        <v>July 2027</v>
      </c>
    </row>
    <row r="34" spans="3:3">
      <c r="C34" t="str">
        <v>August 2027</v>
      </c>
    </row>
    <row r="35" spans="3:3">
      <c r="C35" t="str">
        <v>September 2027</v>
      </c>
    </row>
    <row r="36" spans="3:3">
      <c r="C36" t="str">
        <v>October 2027</v>
      </c>
    </row>
    <row r="37" spans="3:3">
      <c r="C37" t="str">
        <v>November 2027</v>
      </c>
    </row>
    <row r="38" spans="3:3">
      <c r="C38" t="str">
        <v>December 2027</v>
      </c>
    </row>
    <row r="39" spans="3:3">
      <c r="C39" t="str">
        <v>January 2028</v>
      </c>
    </row>
    <row r="40" spans="3:3">
      <c r="C40" t="str">
        <v>February 2028</v>
      </c>
    </row>
    <row r="41" spans="3:3">
      <c r="C41" t="str">
        <v>March 2028</v>
      </c>
    </row>
    <row r="42" spans="3:3">
      <c r="C42" t="str">
        <v>April 2028</v>
      </c>
    </row>
    <row r="43" spans="3:3">
      <c r="C43" t="str">
        <v>May 2028</v>
      </c>
    </row>
    <row r="44" spans="3:3">
      <c r="C44" t="str">
        <v>June 2028</v>
      </c>
    </row>
    <row r="45" spans="3:3">
      <c r="C45" t="str">
        <v>July 2028</v>
      </c>
    </row>
    <row r="46" spans="3:3">
      <c r="C46" t="str">
        <v>August 2028</v>
      </c>
    </row>
    <row r="47" spans="3:3">
      <c r="C47" t="str">
        <v>September 2028</v>
      </c>
    </row>
    <row r="48" spans="3:3">
      <c r="C48" t="str">
        <v>October 2028</v>
      </c>
    </row>
    <row r="49" spans="3:3">
      <c r="C49" t="str">
        <v>November 2028</v>
      </c>
    </row>
    <row r="50" spans="3:3">
      <c r="C50" t="str">
        <v>December 2028</v>
      </c>
    </row>
    <row r="51" spans="3:3">
      <c r="C51" t="str">
        <v>January 2029</v>
      </c>
    </row>
    <row r="52" spans="3:3">
      <c r="C52" t="str">
        <v>February 2029</v>
      </c>
    </row>
    <row r="53" spans="3:3">
      <c r="C53" t="str">
        <v>March 2029</v>
      </c>
    </row>
    <row r="54" spans="3:3">
      <c r="C54" t="str">
        <v>April 2029</v>
      </c>
    </row>
    <row r="55" spans="3:3">
      <c r="C55" t="str">
        <v>May 2029</v>
      </c>
    </row>
    <row r="56" spans="3:3">
      <c r="C56" t="str">
        <v>June 2029</v>
      </c>
    </row>
    <row r="57" spans="3:3">
      <c r="C57" t="str">
        <v>July 2029</v>
      </c>
    </row>
    <row r="58" spans="3:3">
      <c r="C58" t="str">
        <v>August 2029</v>
      </c>
    </row>
    <row r="59" spans="3:3">
      <c r="C59" t="str">
        <v>September 2029</v>
      </c>
    </row>
    <row r="60" spans="3:3">
      <c r="C60" t="str">
        <v>October 2029</v>
      </c>
    </row>
    <row r="61" spans="3:3">
      <c r="C61" t="str">
        <v>November 2029</v>
      </c>
    </row>
    <row r="62" spans="3:3">
      <c r="C62" t="str">
        <v>December 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80F7-1A19-4986-BEEC-6E5235FD865F}">
  <sheetPr codeName="Sheet4"/>
  <dimension ref="B1:AQ51"/>
  <sheetViews>
    <sheetView showGridLines="0" zoomScale="140" zoomScaleNormal="140" workbookViewId="0">
      <pane xSplit="3" ySplit="4" topLeftCell="D5" activePane="bottomRight" state="frozen"/>
      <selection pane="bottomRight" activeCell="C15" sqref="C15"/>
      <selection pane="bottomLeft"/>
      <selection pane="topRight"/>
    </sheetView>
  </sheetViews>
  <sheetFormatPr defaultColWidth="8.69921875" defaultRowHeight="18.95"/>
  <cols>
    <col min="3" max="3" width="24.09765625" customWidth="1"/>
    <col min="4" max="4" width="9.69921875" customWidth="1"/>
    <col min="5" max="5" width="10.3984375" bestFit="1" customWidth="1"/>
    <col min="6" max="6" width="8.69921875" bestFit="1" customWidth="1"/>
    <col min="7" max="7" width="10" bestFit="1" customWidth="1"/>
    <col min="8" max="8" width="13.69921875" bestFit="1" customWidth="1"/>
    <col min="9" max="9" width="6" bestFit="1" customWidth="1"/>
    <col min="10" max="10" width="9.8984375" bestFit="1" customWidth="1"/>
    <col min="11" max="11" width="10.8984375" bestFit="1" customWidth="1"/>
    <col min="12" max="12" width="9" customWidth="1"/>
    <col min="13" max="13" width="9.09765625" customWidth="1"/>
    <col min="16" max="16" width="9" customWidth="1"/>
    <col min="25" max="25" width="10.3984375" customWidth="1"/>
    <col min="27" max="27" width="10.8984375" customWidth="1"/>
    <col min="28" max="28" width="8.8984375" customWidth="1"/>
    <col min="32" max="32" width="9.3984375" customWidth="1"/>
    <col min="33" max="34" width="10" customWidth="1"/>
    <col min="43" max="43" width="11.09765625" customWidth="1"/>
  </cols>
  <sheetData>
    <row r="1" spans="3:43">
      <c r="D1" t="s">
        <v>99</v>
      </c>
      <c r="F1" t="s">
        <v>100</v>
      </c>
    </row>
    <row r="2" spans="3:43">
      <c r="D2" t="s">
        <v>101</v>
      </c>
    </row>
    <row r="3" spans="3:43">
      <c r="D3" s="213" t="s">
        <v>102</v>
      </c>
      <c r="E3" s="213"/>
      <c r="F3" s="213"/>
      <c r="G3" s="213"/>
      <c r="H3" s="213"/>
      <c r="I3" s="213"/>
      <c r="J3" s="213"/>
      <c r="K3" s="213"/>
      <c r="L3" s="213"/>
      <c r="M3" s="213"/>
      <c r="N3" s="214" t="s">
        <v>103</v>
      </c>
      <c r="O3" s="214"/>
      <c r="P3" s="214"/>
      <c r="Q3" s="214"/>
      <c r="R3" s="214"/>
      <c r="S3" s="214"/>
      <c r="T3" s="214"/>
      <c r="U3" s="214"/>
      <c r="V3" s="214"/>
      <c r="W3" s="214"/>
      <c r="X3" s="215" t="s">
        <v>102</v>
      </c>
      <c r="Y3" s="216"/>
      <c r="Z3" s="216"/>
      <c r="AA3" s="216"/>
      <c r="AB3" s="216"/>
      <c r="AC3" s="216"/>
      <c r="AD3" s="216"/>
      <c r="AE3" s="216"/>
      <c r="AF3" s="216"/>
      <c r="AG3" s="217"/>
      <c r="AH3" s="218" t="s">
        <v>104</v>
      </c>
      <c r="AI3" s="219"/>
      <c r="AJ3" s="219"/>
      <c r="AK3" s="219"/>
      <c r="AL3" s="219"/>
      <c r="AM3" s="219"/>
      <c r="AN3" s="219"/>
      <c r="AO3" s="219"/>
      <c r="AP3" s="219"/>
      <c r="AQ3" s="220"/>
    </row>
    <row r="4" spans="3:43">
      <c r="C4" s="27" t="s">
        <v>31</v>
      </c>
      <c r="D4" s="28" t="s">
        <v>33</v>
      </c>
      <c r="E4" s="29" t="s">
        <v>29</v>
      </c>
      <c r="F4" s="30" t="s">
        <v>105</v>
      </c>
      <c r="G4" s="30" t="s">
        <v>106</v>
      </c>
      <c r="H4" s="31" t="s">
        <v>107</v>
      </c>
      <c r="I4" s="30" t="s">
        <v>108</v>
      </c>
      <c r="J4" s="30" t="s">
        <v>21</v>
      </c>
      <c r="K4" s="30" t="s">
        <v>109</v>
      </c>
      <c r="L4" s="30" t="s">
        <v>110</v>
      </c>
      <c r="M4" s="32" t="s">
        <v>66</v>
      </c>
      <c r="N4" s="28" t="s">
        <v>33</v>
      </c>
      <c r="O4" s="29" t="s">
        <v>29</v>
      </c>
      <c r="P4" s="30" t="s">
        <v>105</v>
      </c>
      <c r="Q4" s="30" t="s">
        <v>106</v>
      </c>
      <c r="R4" s="31" t="s">
        <v>107</v>
      </c>
      <c r="S4" s="30" t="s">
        <v>108</v>
      </c>
      <c r="T4" s="30" t="s">
        <v>21</v>
      </c>
      <c r="U4" s="30" t="s">
        <v>109</v>
      </c>
      <c r="V4" s="30" t="s">
        <v>110</v>
      </c>
      <c r="W4" s="115" t="s">
        <v>66</v>
      </c>
      <c r="X4" s="105" t="s">
        <v>33</v>
      </c>
      <c r="Y4" s="29" t="s">
        <v>29</v>
      </c>
      <c r="Z4" s="30" t="s">
        <v>105</v>
      </c>
      <c r="AA4" s="30" t="s">
        <v>106</v>
      </c>
      <c r="AB4" s="31" t="s">
        <v>107</v>
      </c>
      <c r="AC4" s="30" t="s">
        <v>108</v>
      </c>
      <c r="AD4" s="30" t="s">
        <v>21</v>
      </c>
      <c r="AE4" s="30" t="s">
        <v>109</v>
      </c>
      <c r="AF4" s="30" t="s">
        <v>110</v>
      </c>
      <c r="AG4" s="106" t="s">
        <v>66</v>
      </c>
      <c r="AH4" s="105" t="s">
        <v>33</v>
      </c>
      <c r="AI4" s="29" t="s">
        <v>29</v>
      </c>
      <c r="AJ4" s="30" t="s">
        <v>105</v>
      </c>
      <c r="AK4" s="30" t="s">
        <v>106</v>
      </c>
      <c r="AL4" s="31" t="s">
        <v>107</v>
      </c>
      <c r="AM4" s="30" t="s">
        <v>108</v>
      </c>
      <c r="AN4" s="30" t="s">
        <v>21</v>
      </c>
      <c r="AO4" s="30" t="s">
        <v>109</v>
      </c>
      <c r="AP4" s="30" t="s">
        <v>110</v>
      </c>
      <c r="AQ4" s="106" t="s">
        <v>66</v>
      </c>
    </row>
    <row r="5" spans="3:43">
      <c r="C5" s="33" t="s">
        <v>111</v>
      </c>
      <c r="D5" s="34" cm="1">
        <f t="array" ref="D5:M45">MonthlyByFridgeAnalysis($C$5:$C$45,D3)</f>
        <v>74.680000000000007</v>
      </c>
      <c r="E5" s="35">
        <v>1247.6300000000001</v>
      </c>
      <c r="F5" s="36">
        <v>1172.95</v>
      </c>
      <c r="G5" s="24">
        <v>0.94014251019933792</v>
      </c>
      <c r="H5" s="37">
        <v>0</v>
      </c>
      <c r="I5" s="38">
        <v>2.7027027027027025E-2</v>
      </c>
      <c r="J5" s="39">
        <v>209.95930501930494</v>
      </c>
      <c r="K5" s="39">
        <v>112.28670000000001</v>
      </c>
      <c r="L5" s="40">
        <v>648.91666666666663</v>
      </c>
      <c r="M5" s="41">
        <v>1499.6206616473619</v>
      </c>
      <c r="N5" s="34" cm="1">
        <f t="array" ref="N5:W45">MonthlyByFridgeAnalysis($C$5:$C$45, N3)</f>
        <v>0</v>
      </c>
      <c r="O5" s="35">
        <v>1199.05</v>
      </c>
      <c r="P5" s="36">
        <v>1199.05</v>
      </c>
      <c r="Q5" s="24">
        <v>1</v>
      </c>
      <c r="R5" s="37">
        <v>0</v>
      </c>
      <c r="S5" s="38">
        <v>2.7027027027027025E-2</v>
      </c>
      <c r="T5" s="39">
        <v>184.88030888030895</v>
      </c>
      <c r="U5" s="39">
        <v>107.91449999999999</v>
      </c>
      <c r="V5" s="40">
        <v>648.91666666666663</v>
      </c>
      <c r="W5" s="41">
        <v>1555.1718577863578</v>
      </c>
      <c r="X5" s="107" cm="1">
        <f t="array" ref="X5:AG45">MonthlyByFridgeAnalysis($C$5:$C$45, X3)</f>
        <v>74.680000000000007</v>
      </c>
      <c r="Y5" s="35">
        <v>1247.6300000000001</v>
      </c>
      <c r="Z5" s="36">
        <v>1172.95</v>
      </c>
      <c r="AA5" s="24">
        <v>0.94014251019933792</v>
      </c>
      <c r="AB5" s="37">
        <v>0</v>
      </c>
      <c r="AC5" s="138">
        <v>2.7027027027027025E-2</v>
      </c>
      <c r="AD5" s="39">
        <v>209.95930501930494</v>
      </c>
      <c r="AE5" s="39">
        <v>112.28670000000001</v>
      </c>
      <c r="AF5" s="40">
        <v>648.91666666666663</v>
      </c>
      <c r="AG5" s="108">
        <v>1499.6206616473619</v>
      </c>
      <c r="AH5" s="107" cm="1">
        <f t="array" ref="AH5:AQ45">MonthlyByFridgeAnalysis($C$5:$C$45, AH3)</f>
        <v>680.54</v>
      </c>
      <c r="AI5" s="35">
        <v>783.73</v>
      </c>
      <c r="AJ5" s="36">
        <v>103.19000000000005</v>
      </c>
      <c r="AK5" s="24">
        <v>0.13166524185625159</v>
      </c>
      <c r="AL5" s="37">
        <v>0</v>
      </c>
      <c r="AM5" s="138">
        <v>2.7027027027027025E-2</v>
      </c>
      <c r="AN5" s="39">
        <v>208.28285714285701</v>
      </c>
      <c r="AO5" s="39">
        <v>70.535700000000006</v>
      </c>
      <c r="AP5" s="40">
        <v>648.91666666666663</v>
      </c>
      <c r="AQ5" s="108">
        <v>473.28810952380968</v>
      </c>
    </row>
    <row r="6" spans="3:43">
      <c r="C6" s="33" t="s">
        <v>112</v>
      </c>
      <c r="D6" s="34">
        <v>19.84</v>
      </c>
      <c r="E6" s="35">
        <v>290.41000000000003</v>
      </c>
      <c r="F6" s="36">
        <v>270.57000000000005</v>
      </c>
      <c r="G6" s="24">
        <v>0.93168279329224213</v>
      </c>
      <c r="H6" s="37">
        <v>0</v>
      </c>
      <c r="I6" s="38">
        <v>2.7027027027027025E-2</v>
      </c>
      <c r="J6" s="39">
        <v>209.95930501930494</v>
      </c>
      <c r="K6" s="39">
        <v>26.136900000000001</v>
      </c>
      <c r="L6" s="40">
        <v>900</v>
      </c>
      <c r="M6" s="41">
        <v>934.47379498069517</v>
      </c>
      <c r="N6" s="34">
        <v>0</v>
      </c>
      <c r="O6" s="35">
        <v>247.51</v>
      </c>
      <c r="P6" s="36">
        <v>247.51</v>
      </c>
      <c r="Q6" s="24">
        <v>1</v>
      </c>
      <c r="R6" s="37">
        <v>0</v>
      </c>
      <c r="S6" s="38">
        <v>2.7027027027027025E-2</v>
      </c>
      <c r="T6" s="39">
        <v>184.88030888030895</v>
      </c>
      <c r="U6" s="39">
        <v>22.2759</v>
      </c>
      <c r="V6" s="40">
        <v>900</v>
      </c>
      <c r="W6" s="41">
        <v>940.3537911196911</v>
      </c>
      <c r="X6" s="107">
        <v>19.84</v>
      </c>
      <c r="Y6" s="35">
        <v>290.41000000000003</v>
      </c>
      <c r="Z6" s="36">
        <v>270.57000000000005</v>
      </c>
      <c r="AA6" s="24">
        <v>0.93168279329224213</v>
      </c>
      <c r="AB6" s="37">
        <v>0</v>
      </c>
      <c r="AC6" s="100">
        <v>2.7027027027027025E-2</v>
      </c>
      <c r="AD6" s="39">
        <v>209.95930501930494</v>
      </c>
      <c r="AE6" s="39">
        <v>26.136900000000001</v>
      </c>
      <c r="AF6" s="40">
        <v>900</v>
      </c>
      <c r="AG6" s="108">
        <v>934.47379498069517</v>
      </c>
      <c r="AH6" s="107">
        <v>285.70999999999998</v>
      </c>
      <c r="AI6" s="35">
        <v>273.05</v>
      </c>
      <c r="AJ6" s="36">
        <v>-12.659999999999968</v>
      </c>
      <c r="AK6" s="24">
        <v>-4.6365134590734179E-2</v>
      </c>
      <c r="AL6" s="37">
        <v>0</v>
      </c>
      <c r="AM6" s="100">
        <v>2.7027027027027025E-2</v>
      </c>
      <c r="AN6" s="39">
        <v>208.28285714285701</v>
      </c>
      <c r="AO6" s="39">
        <v>24.5745</v>
      </c>
      <c r="AP6" s="40">
        <v>900</v>
      </c>
      <c r="AQ6" s="108">
        <v>654.48264285714299</v>
      </c>
    </row>
    <row r="7" spans="3:43">
      <c r="C7" s="33" t="s">
        <v>113</v>
      </c>
      <c r="D7" s="34">
        <v>128.22</v>
      </c>
      <c r="E7" s="35">
        <v>1188.67</v>
      </c>
      <c r="F7" s="36">
        <v>1060.45</v>
      </c>
      <c r="G7" s="24">
        <v>0.89213154197548516</v>
      </c>
      <c r="H7" s="37">
        <v>0</v>
      </c>
      <c r="I7" s="38">
        <v>2.7027027027027025E-2</v>
      </c>
      <c r="J7" s="39">
        <v>209.95930501930494</v>
      </c>
      <c r="K7" s="39">
        <v>106.9803</v>
      </c>
      <c r="L7" s="40">
        <v>900</v>
      </c>
      <c r="M7" s="41">
        <v>1643.5103949806951</v>
      </c>
      <c r="N7" s="34">
        <v>0</v>
      </c>
      <c r="O7" s="35">
        <v>1180.47</v>
      </c>
      <c r="P7" s="36">
        <v>1180.47</v>
      </c>
      <c r="Q7" s="24">
        <v>1</v>
      </c>
      <c r="R7" s="37">
        <v>0</v>
      </c>
      <c r="S7" s="38">
        <v>2.7027027027027025E-2</v>
      </c>
      <c r="T7" s="39">
        <v>184.88030888030895</v>
      </c>
      <c r="U7" s="39">
        <v>106.2423</v>
      </c>
      <c r="V7" s="40">
        <v>900</v>
      </c>
      <c r="W7" s="41">
        <v>1789.3473911196913</v>
      </c>
      <c r="X7" s="107">
        <v>128.22</v>
      </c>
      <c r="Y7" s="35">
        <v>1188.67</v>
      </c>
      <c r="Z7" s="36">
        <v>1060.45</v>
      </c>
      <c r="AA7" s="24">
        <v>0.89213154197548516</v>
      </c>
      <c r="AB7" s="37">
        <v>0</v>
      </c>
      <c r="AC7" s="100">
        <v>2.7027027027027025E-2</v>
      </c>
      <c r="AD7" s="39">
        <v>209.95930501930494</v>
      </c>
      <c r="AE7" s="39">
        <v>106.9803</v>
      </c>
      <c r="AF7" s="40">
        <v>900</v>
      </c>
      <c r="AG7" s="108">
        <v>1643.5103949806951</v>
      </c>
      <c r="AH7" s="107">
        <v>830.72</v>
      </c>
      <c r="AI7" s="35">
        <v>1260.1199999999999</v>
      </c>
      <c r="AJ7" s="36">
        <v>429.39999999999986</v>
      </c>
      <c r="AK7" s="24">
        <v>0.34076119734628441</v>
      </c>
      <c r="AL7" s="37">
        <v>0</v>
      </c>
      <c r="AM7" s="100">
        <v>2.7027027027027025E-2</v>
      </c>
      <c r="AN7" s="39">
        <v>208.28285714285701</v>
      </c>
      <c r="AO7" s="39">
        <v>113.41079999999998</v>
      </c>
      <c r="AP7" s="40">
        <v>900</v>
      </c>
      <c r="AQ7" s="108">
        <v>1007.7063428571429</v>
      </c>
    </row>
    <row r="8" spans="3:43">
      <c r="C8" s="33" t="s">
        <v>114</v>
      </c>
      <c r="D8" s="34">
        <v>109.46</v>
      </c>
      <c r="E8" s="35">
        <v>2042.58</v>
      </c>
      <c r="F8" s="36">
        <v>1933.12</v>
      </c>
      <c r="G8" s="24">
        <v>0.94641091169011737</v>
      </c>
      <c r="H8" s="37">
        <v>0</v>
      </c>
      <c r="I8" s="38">
        <v>2.7027027027027025E-2</v>
      </c>
      <c r="J8" s="39">
        <v>209.95930501930494</v>
      </c>
      <c r="K8" s="39">
        <v>183.8322</v>
      </c>
      <c r="L8" s="40">
        <v>684</v>
      </c>
      <c r="M8" s="41">
        <v>2223.3284949806948</v>
      </c>
      <c r="N8" s="34">
        <v>0</v>
      </c>
      <c r="O8" s="35">
        <v>1449.5</v>
      </c>
      <c r="P8" s="36">
        <v>1449.5</v>
      </c>
      <c r="Q8" s="24">
        <v>1</v>
      </c>
      <c r="R8" s="37">
        <v>0</v>
      </c>
      <c r="S8" s="38">
        <v>2.7027027027027025E-2</v>
      </c>
      <c r="T8" s="39">
        <v>184.88030888030895</v>
      </c>
      <c r="U8" s="39">
        <v>130.45499999999998</v>
      </c>
      <c r="V8" s="40">
        <v>684</v>
      </c>
      <c r="W8" s="41">
        <v>1818.164691119691</v>
      </c>
      <c r="X8" s="107">
        <v>109.46</v>
      </c>
      <c r="Y8" s="35">
        <v>2042.58</v>
      </c>
      <c r="Z8" s="36">
        <v>1933.12</v>
      </c>
      <c r="AA8" s="24">
        <v>0.94641091169011737</v>
      </c>
      <c r="AB8" s="37">
        <v>0</v>
      </c>
      <c r="AC8" s="100">
        <v>2.7027027027027025E-2</v>
      </c>
      <c r="AD8" s="39">
        <v>209.95930501930494</v>
      </c>
      <c r="AE8" s="39">
        <v>183.8322</v>
      </c>
      <c r="AF8" s="40">
        <v>684</v>
      </c>
      <c r="AG8" s="108">
        <v>2223.3284949806948</v>
      </c>
      <c r="AH8" s="107">
        <v>1295.44</v>
      </c>
      <c r="AI8" s="35">
        <v>2048.29</v>
      </c>
      <c r="AJ8" s="36">
        <v>752.84999999999991</v>
      </c>
      <c r="AK8" s="24">
        <v>0.36755049333834561</v>
      </c>
      <c r="AL8" s="37">
        <v>0</v>
      </c>
      <c r="AM8" s="100">
        <v>2.7027027027027025E-2</v>
      </c>
      <c r="AN8" s="39">
        <v>208.28285714285701</v>
      </c>
      <c r="AO8" s="39">
        <v>184.34609999999998</v>
      </c>
      <c r="AP8" s="40">
        <v>684</v>
      </c>
      <c r="AQ8" s="108">
        <v>1044.2210428571429</v>
      </c>
    </row>
    <row r="9" spans="3:43">
      <c r="C9" s="33" t="s">
        <v>115</v>
      </c>
      <c r="D9" s="34">
        <v>0</v>
      </c>
      <c r="E9" s="35">
        <v>0</v>
      </c>
      <c r="F9" s="36">
        <v>0</v>
      </c>
      <c r="G9" s="24">
        <v>0</v>
      </c>
      <c r="H9" s="37">
        <v>0</v>
      </c>
      <c r="I9" s="38">
        <v>0</v>
      </c>
      <c r="J9" s="39">
        <v>0</v>
      </c>
      <c r="K9" s="39">
        <v>0</v>
      </c>
      <c r="L9" s="40">
        <v>600</v>
      </c>
      <c r="M9" s="41">
        <v>600</v>
      </c>
      <c r="N9" s="34">
        <v>0</v>
      </c>
      <c r="O9" s="35">
        <v>0</v>
      </c>
      <c r="P9" s="36">
        <v>0</v>
      </c>
      <c r="Q9" s="24">
        <v>0</v>
      </c>
      <c r="R9" s="37">
        <v>0</v>
      </c>
      <c r="S9" s="38">
        <v>0</v>
      </c>
      <c r="T9" s="39">
        <v>0</v>
      </c>
      <c r="U9" s="39">
        <v>0</v>
      </c>
      <c r="V9" s="40">
        <v>600</v>
      </c>
      <c r="W9" s="41">
        <v>600</v>
      </c>
      <c r="X9" s="107">
        <v>0</v>
      </c>
      <c r="Y9" s="35">
        <v>0</v>
      </c>
      <c r="Z9" s="36">
        <v>0</v>
      </c>
      <c r="AA9" s="24">
        <v>0</v>
      </c>
      <c r="AB9" s="37">
        <v>0</v>
      </c>
      <c r="AC9" s="100">
        <v>0</v>
      </c>
      <c r="AD9" s="39">
        <v>0</v>
      </c>
      <c r="AE9" s="39">
        <v>0</v>
      </c>
      <c r="AF9" s="40">
        <v>600</v>
      </c>
      <c r="AG9" s="108">
        <v>600</v>
      </c>
      <c r="AH9" s="107">
        <v>186.52</v>
      </c>
      <c r="AI9" s="35">
        <v>591</v>
      </c>
      <c r="AJ9" s="36">
        <v>404.48</v>
      </c>
      <c r="AK9" s="24">
        <v>0.68439932318104912</v>
      </c>
      <c r="AL9" s="37">
        <v>0</v>
      </c>
      <c r="AM9" s="100">
        <v>0</v>
      </c>
      <c r="AN9" s="39">
        <v>0</v>
      </c>
      <c r="AO9" s="39">
        <v>53.19</v>
      </c>
      <c r="AP9" s="40">
        <v>600</v>
      </c>
      <c r="AQ9" s="108">
        <v>951.29</v>
      </c>
    </row>
    <row r="10" spans="3:43">
      <c r="C10" s="33" t="s">
        <v>116</v>
      </c>
      <c r="D10" s="34">
        <v>28.63</v>
      </c>
      <c r="E10" s="35">
        <v>553.26</v>
      </c>
      <c r="F10" s="36">
        <v>524.63</v>
      </c>
      <c r="G10" s="24">
        <v>0.94825217799949391</v>
      </c>
      <c r="H10" s="37">
        <v>0</v>
      </c>
      <c r="I10" s="38">
        <v>2.7027027027027025E-2</v>
      </c>
      <c r="J10" s="39">
        <v>209.95930501930494</v>
      </c>
      <c r="K10" s="39">
        <v>49.793399999999998</v>
      </c>
      <c r="L10" s="40">
        <v>888</v>
      </c>
      <c r="M10" s="41">
        <v>1152.8772949806953</v>
      </c>
      <c r="N10" s="34">
        <v>0</v>
      </c>
      <c r="O10" s="35">
        <v>506.95</v>
      </c>
      <c r="P10" s="36">
        <v>506.95</v>
      </c>
      <c r="Q10" s="24">
        <v>1</v>
      </c>
      <c r="R10" s="37">
        <v>0</v>
      </c>
      <c r="S10" s="38">
        <v>2.7027027027027025E-2</v>
      </c>
      <c r="T10" s="39">
        <v>184.88030888030895</v>
      </c>
      <c r="U10" s="39">
        <v>45.625499999999995</v>
      </c>
      <c r="V10" s="40">
        <v>888</v>
      </c>
      <c r="W10" s="41">
        <v>1164.4441911196911</v>
      </c>
      <c r="X10" s="107">
        <v>28.63</v>
      </c>
      <c r="Y10" s="35">
        <v>553.26</v>
      </c>
      <c r="Z10" s="36">
        <v>524.63</v>
      </c>
      <c r="AA10" s="24">
        <v>0.94825217799949391</v>
      </c>
      <c r="AB10" s="37">
        <v>0</v>
      </c>
      <c r="AC10" s="100">
        <v>2.7027027027027025E-2</v>
      </c>
      <c r="AD10" s="39">
        <v>209.95930501930494</v>
      </c>
      <c r="AE10" s="39">
        <v>49.793399999999998</v>
      </c>
      <c r="AF10" s="40">
        <v>888</v>
      </c>
      <c r="AG10" s="108">
        <v>1152.8772949806953</v>
      </c>
      <c r="AH10" s="107">
        <v>415.11</v>
      </c>
      <c r="AI10" s="35">
        <v>472.74</v>
      </c>
      <c r="AJ10" s="36">
        <v>57.629999999999995</v>
      </c>
      <c r="AK10" s="24">
        <v>0.12190633329102676</v>
      </c>
      <c r="AL10" s="37">
        <v>0</v>
      </c>
      <c r="AM10" s="100">
        <v>2.7027027027027025E-2</v>
      </c>
      <c r="AN10" s="39">
        <v>208.28285714285701</v>
      </c>
      <c r="AO10" s="39">
        <v>42.546599999999998</v>
      </c>
      <c r="AP10" s="40">
        <v>888</v>
      </c>
      <c r="AQ10" s="108">
        <v>694.800542857143</v>
      </c>
    </row>
    <row r="11" spans="3:43" ht="20.100000000000001" customHeight="1">
      <c r="C11" s="33" t="s">
        <v>117</v>
      </c>
      <c r="D11" s="34">
        <v>110.76</v>
      </c>
      <c r="E11" s="35">
        <v>1615.31</v>
      </c>
      <c r="F11" s="36">
        <v>1504.55</v>
      </c>
      <c r="G11" s="24">
        <v>0.93143111848499671</v>
      </c>
      <c r="H11" s="37">
        <v>0</v>
      </c>
      <c r="I11" s="38">
        <v>2.7027027027027025E-2</v>
      </c>
      <c r="J11" s="39">
        <v>209.95930501930494</v>
      </c>
      <c r="K11" s="39">
        <v>145.37789999999998</v>
      </c>
      <c r="L11" s="40">
        <v>824</v>
      </c>
      <c r="M11" s="41">
        <v>1973.2127949806952</v>
      </c>
      <c r="N11" s="34">
        <v>0</v>
      </c>
      <c r="O11" s="35">
        <v>1246.46</v>
      </c>
      <c r="P11" s="36">
        <v>1246.46</v>
      </c>
      <c r="Q11" s="24">
        <v>1</v>
      </c>
      <c r="R11" s="37">
        <v>0</v>
      </c>
      <c r="S11" s="38">
        <v>2.7027027027027025E-2</v>
      </c>
      <c r="T11" s="39">
        <v>184.88030888030895</v>
      </c>
      <c r="U11" s="39">
        <v>112.1814</v>
      </c>
      <c r="V11" s="40">
        <v>824</v>
      </c>
      <c r="W11" s="41">
        <v>1773.3982911196911</v>
      </c>
      <c r="X11" s="107">
        <v>110.76</v>
      </c>
      <c r="Y11" s="35">
        <v>1615.31</v>
      </c>
      <c r="Z11" s="36">
        <v>1504.55</v>
      </c>
      <c r="AA11" s="24">
        <v>0.93143111848499671</v>
      </c>
      <c r="AB11" s="37">
        <v>0</v>
      </c>
      <c r="AC11" s="100">
        <v>2.7027027027027025E-2</v>
      </c>
      <c r="AD11" s="39">
        <v>209.95930501930494</v>
      </c>
      <c r="AE11" s="39">
        <v>145.37789999999998</v>
      </c>
      <c r="AF11" s="40">
        <v>824</v>
      </c>
      <c r="AG11" s="108">
        <v>1973.2127949806952</v>
      </c>
      <c r="AH11" s="107">
        <v>985.02</v>
      </c>
      <c r="AI11" s="35">
        <v>1308.51</v>
      </c>
      <c r="AJ11" s="36">
        <v>323.49</v>
      </c>
      <c r="AK11" s="24">
        <v>0.24722012059518078</v>
      </c>
      <c r="AL11" s="37">
        <v>0</v>
      </c>
      <c r="AM11" s="100">
        <v>2.7027027027027025E-2</v>
      </c>
      <c r="AN11" s="39">
        <v>208.28285714285701</v>
      </c>
      <c r="AO11" s="39">
        <v>117.76589999999999</v>
      </c>
      <c r="AP11" s="40">
        <v>824</v>
      </c>
      <c r="AQ11" s="108">
        <v>821.44124285714304</v>
      </c>
    </row>
    <row r="12" spans="3:43">
      <c r="C12" s="33" t="s">
        <v>118</v>
      </c>
      <c r="D12" s="34">
        <v>106.85</v>
      </c>
      <c r="E12" s="35">
        <v>881.12999999999897</v>
      </c>
      <c r="F12" s="36">
        <v>774.27999999999895</v>
      </c>
      <c r="G12" s="24">
        <v>0.87873526040425343</v>
      </c>
      <c r="H12" s="37">
        <v>0</v>
      </c>
      <c r="I12" s="38">
        <v>2.7027027027027025E-2</v>
      </c>
      <c r="J12" s="39">
        <v>209.95930501930494</v>
      </c>
      <c r="K12" s="39">
        <v>79.301699999999911</v>
      </c>
      <c r="L12" s="40">
        <v>814</v>
      </c>
      <c r="M12" s="41">
        <v>1299.0189949806941</v>
      </c>
      <c r="N12" s="34">
        <v>0</v>
      </c>
      <c r="O12" s="35">
        <v>862.67</v>
      </c>
      <c r="P12" s="36">
        <v>862.67</v>
      </c>
      <c r="Q12" s="24">
        <v>1</v>
      </c>
      <c r="R12" s="37">
        <v>0</v>
      </c>
      <c r="S12" s="38">
        <v>2.7027027027027025E-2</v>
      </c>
      <c r="T12" s="39">
        <v>184.88030888030895</v>
      </c>
      <c r="U12" s="39">
        <v>77.640299999999996</v>
      </c>
      <c r="V12" s="40">
        <v>814</v>
      </c>
      <c r="W12" s="41">
        <v>1414.1493911196912</v>
      </c>
      <c r="X12" s="107">
        <v>106.85</v>
      </c>
      <c r="Y12" s="35">
        <v>881.12999999999897</v>
      </c>
      <c r="Z12" s="36">
        <v>774.27999999999895</v>
      </c>
      <c r="AA12" s="24">
        <v>0.87873526040425343</v>
      </c>
      <c r="AB12" s="37">
        <v>0</v>
      </c>
      <c r="AC12" s="100">
        <v>2.7027027027027025E-2</v>
      </c>
      <c r="AD12" s="39">
        <v>209.95930501930494</v>
      </c>
      <c r="AE12" s="39">
        <v>79.301699999999911</v>
      </c>
      <c r="AF12" s="40">
        <v>814</v>
      </c>
      <c r="AG12" s="108">
        <v>1299.0189949806941</v>
      </c>
      <c r="AH12" s="107">
        <v>660.42</v>
      </c>
      <c r="AI12" s="35">
        <v>876.39000000000101</v>
      </c>
      <c r="AJ12" s="36">
        <v>215.97000000000105</v>
      </c>
      <c r="AK12" s="24">
        <v>0.246431383288263</v>
      </c>
      <c r="AL12" s="37">
        <v>0</v>
      </c>
      <c r="AM12" s="100">
        <v>2.7027027027027025E-2</v>
      </c>
      <c r="AN12" s="39">
        <v>208.28285714285701</v>
      </c>
      <c r="AO12" s="39">
        <v>78.875100000000089</v>
      </c>
      <c r="AP12" s="40">
        <v>814</v>
      </c>
      <c r="AQ12" s="108">
        <v>742.81204285714409</v>
      </c>
    </row>
    <row r="13" spans="3:43">
      <c r="C13" s="33" t="s">
        <v>119</v>
      </c>
      <c r="D13" s="34">
        <v>177.46</v>
      </c>
      <c r="E13" s="35">
        <v>2672.49999999999</v>
      </c>
      <c r="F13" s="36">
        <v>2495.03999999999</v>
      </c>
      <c r="G13" s="24">
        <v>0.93359775491113162</v>
      </c>
      <c r="H13" s="37">
        <v>0</v>
      </c>
      <c r="I13" s="38">
        <v>2.7027027027027025E-2</v>
      </c>
      <c r="J13" s="39">
        <v>209.95930501930494</v>
      </c>
      <c r="K13" s="39">
        <v>240.5249999999991</v>
      </c>
      <c r="L13" s="40">
        <v>814</v>
      </c>
      <c r="M13" s="41">
        <v>2858.555694980686</v>
      </c>
      <c r="N13" s="34">
        <v>0</v>
      </c>
      <c r="O13" s="35">
        <v>2294.7199999999898</v>
      </c>
      <c r="P13" s="36">
        <v>2294.7199999999898</v>
      </c>
      <c r="Q13" s="24">
        <v>1</v>
      </c>
      <c r="R13" s="37">
        <v>0</v>
      </c>
      <c r="S13" s="38">
        <v>2.7027027027027025E-2</v>
      </c>
      <c r="T13" s="39">
        <v>184.88030888030895</v>
      </c>
      <c r="U13" s="39">
        <v>206.52479999999906</v>
      </c>
      <c r="V13" s="40">
        <v>814</v>
      </c>
      <c r="W13" s="41">
        <v>2717.3148911196818</v>
      </c>
      <c r="X13" s="107">
        <v>177.46</v>
      </c>
      <c r="Y13" s="35">
        <v>2672.49999999999</v>
      </c>
      <c r="Z13" s="36">
        <v>2495.03999999999</v>
      </c>
      <c r="AA13" s="24">
        <v>0.93359775491113162</v>
      </c>
      <c r="AB13" s="37">
        <v>0</v>
      </c>
      <c r="AC13" s="100">
        <v>2.7027027027027025E-2</v>
      </c>
      <c r="AD13" s="39">
        <v>209.95930501930494</v>
      </c>
      <c r="AE13" s="39">
        <v>240.5249999999991</v>
      </c>
      <c r="AF13" s="40">
        <v>814</v>
      </c>
      <c r="AG13" s="108">
        <v>2858.555694980686</v>
      </c>
      <c r="AH13" s="107">
        <v>1485.63</v>
      </c>
      <c r="AI13" s="35">
        <v>2180.4699999999998</v>
      </c>
      <c r="AJ13" s="36">
        <v>694.83999999999969</v>
      </c>
      <c r="AK13" s="24">
        <v>0.31866524189738898</v>
      </c>
      <c r="AL13" s="37">
        <v>0</v>
      </c>
      <c r="AM13" s="100">
        <v>2.7027027027027025E-2</v>
      </c>
      <c r="AN13" s="39">
        <v>208.28285714285701</v>
      </c>
      <c r="AO13" s="39">
        <v>196.24229999999997</v>
      </c>
      <c r="AP13" s="40">
        <v>814</v>
      </c>
      <c r="AQ13" s="108">
        <v>1104.3148428571426</v>
      </c>
    </row>
    <row r="14" spans="3:43">
      <c r="C14" s="33" t="s">
        <v>120</v>
      </c>
      <c r="D14" s="34">
        <v>28.74</v>
      </c>
      <c r="E14" s="35">
        <v>607.42999999999995</v>
      </c>
      <c r="F14" s="36">
        <v>578.68999999999994</v>
      </c>
      <c r="G14" s="24">
        <v>0.95268590619495253</v>
      </c>
      <c r="H14" s="37">
        <v>0</v>
      </c>
      <c r="I14" s="38">
        <v>2.7027027027027025E-2</v>
      </c>
      <c r="J14" s="39">
        <v>209.95930501930494</v>
      </c>
      <c r="K14" s="39">
        <v>54.668699999999994</v>
      </c>
      <c r="L14" s="40">
        <v>814</v>
      </c>
      <c r="M14" s="41">
        <v>1128.0619949806951</v>
      </c>
      <c r="N14" s="34">
        <v>0</v>
      </c>
      <c r="O14" s="35">
        <v>662.81</v>
      </c>
      <c r="P14" s="36">
        <v>662.81</v>
      </c>
      <c r="Q14" s="24">
        <v>1</v>
      </c>
      <c r="R14" s="37">
        <v>0</v>
      </c>
      <c r="S14" s="38">
        <v>2.7027027027027025E-2</v>
      </c>
      <c r="T14" s="39">
        <v>184.88030888030895</v>
      </c>
      <c r="U14" s="39">
        <v>59.652899999999995</v>
      </c>
      <c r="V14" s="40">
        <v>814</v>
      </c>
      <c r="W14" s="41">
        <v>1232.2767911196911</v>
      </c>
      <c r="X14" s="107">
        <v>28.74</v>
      </c>
      <c r="Y14" s="35">
        <v>607.42999999999995</v>
      </c>
      <c r="Z14" s="36">
        <v>578.68999999999994</v>
      </c>
      <c r="AA14" s="24">
        <v>0.95268590619495253</v>
      </c>
      <c r="AB14" s="37">
        <v>0</v>
      </c>
      <c r="AC14" s="100">
        <v>2.7027027027027025E-2</v>
      </c>
      <c r="AD14" s="39">
        <v>209.95930501930494</v>
      </c>
      <c r="AE14" s="39">
        <v>54.668699999999994</v>
      </c>
      <c r="AF14" s="40">
        <v>814</v>
      </c>
      <c r="AG14" s="108">
        <v>1128.0619949806951</v>
      </c>
      <c r="AH14" s="107">
        <v>370.95</v>
      </c>
      <c r="AI14" s="35">
        <v>355.9</v>
      </c>
      <c r="AJ14" s="36">
        <v>-15.050000000000011</v>
      </c>
      <c r="AK14" s="24">
        <v>-4.2287159314414194E-2</v>
      </c>
      <c r="AL14" s="37">
        <v>0</v>
      </c>
      <c r="AM14" s="100">
        <v>2.7027027027027025E-2</v>
      </c>
      <c r="AN14" s="39">
        <v>208.28285714285701</v>
      </c>
      <c r="AO14" s="39">
        <v>32.030999999999999</v>
      </c>
      <c r="AP14" s="40">
        <v>814</v>
      </c>
      <c r="AQ14" s="108">
        <v>558.636142857143</v>
      </c>
    </row>
    <row r="15" spans="3:43">
      <c r="C15" s="33" t="s">
        <v>121</v>
      </c>
      <c r="D15" s="34">
        <v>116.74</v>
      </c>
      <c r="E15" s="35">
        <v>1045.57</v>
      </c>
      <c r="F15" s="36">
        <v>928.82999999999993</v>
      </c>
      <c r="G15" s="24">
        <v>0.88834798244020008</v>
      </c>
      <c r="H15" s="37">
        <v>0</v>
      </c>
      <c r="I15" s="38">
        <v>2.7027027027027025E-2</v>
      </c>
      <c r="J15" s="39">
        <v>209.95930501930494</v>
      </c>
      <c r="K15" s="39">
        <v>94.101299999999995</v>
      </c>
      <c r="L15" s="40">
        <v>814</v>
      </c>
      <c r="M15" s="41">
        <v>1438.7693949806949</v>
      </c>
      <c r="N15" s="34">
        <v>0</v>
      </c>
      <c r="O15" s="35">
        <v>747.29000000000099</v>
      </c>
      <c r="P15" s="36">
        <v>747.29000000000099</v>
      </c>
      <c r="Q15" s="24">
        <v>1</v>
      </c>
      <c r="R15" s="37">
        <v>0</v>
      </c>
      <c r="S15" s="38">
        <v>2.7027027027027025E-2</v>
      </c>
      <c r="T15" s="39">
        <v>184.88030888030895</v>
      </c>
      <c r="U15" s="39">
        <v>67.256100000000089</v>
      </c>
      <c r="V15" s="40">
        <v>814</v>
      </c>
      <c r="W15" s="41">
        <v>1309.1535911196918</v>
      </c>
      <c r="X15" s="107">
        <v>116.74</v>
      </c>
      <c r="Y15" s="35">
        <v>1045.57</v>
      </c>
      <c r="Z15" s="36">
        <v>928.82999999999993</v>
      </c>
      <c r="AA15" s="24">
        <v>0.88834798244020008</v>
      </c>
      <c r="AB15" s="37">
        <v>0</v>
      </c>
      <c r="AC15" s="100">
        <v>2.7027027027027025E-2</v>
      </c>
      <c r="AD15" s="39">
        <v>209.95930501930494</v>
      </c>
      <c r="AE15" s="39">
        <v>94.101299999999995</v>
      </c>
      <c r="AF15" s="40">
        <v>814</v>
      </c>
      <c r="AG15" s="108">
        <v>1438.7693949806949</v>
      </c>
      <c r="AH15" s="107">
        <v>750.06</v>
      </c>
      <c r="AI15" s="35">
        <v>1240.73</v>
      </c>
      <c r="AJ15" s="36">
        <v>490.67000000000007</v>
      </c>
      <c r="AK15" s="24">
        <v>0.39546879659555267</v>
      </c>
      <c r="AL15" s="37">
        <v>0</v>
      </c>
      <c r="AM15" s="100">
        <v>2.7027027027027025E-2</v>
      </c>
      <c r="AN15" s="39">
        <v>208.28285714285701</v>
      </c>
      <c r="AO15" s="39">
        <v>111.6657</v>
      </c>
      <c r="AP15" s="40">
        <v>814</v>
      </c>
      <c r="AQ15" s="108">
        <v>984.72144285714307</v>
      </c>
    </row>
    <row r="16" spans="3:43">
      <c r="C16" s="33" t="s">
        <v>122</v>
      </c>
      <c r="D16" s="34">
        <v>78.37</v>
      </c>
      <c r="E16" s="35">
        <v>1900.53</v>
      </c>
      <c r="F16" s="36">
        <v>1822.1599999999999</v>
      </c>
      <c r="G16" s="24">
        <v>0.95876413421519258</v>
      </c>
      <c r="H16" s="37">
        <v>0</v>
      </c>
      <c r="I16" s="38">
        <v>2.7027027027027025E-2</v>
      </c>
      <c r="J16" s="39">
        <v>209.95930501930494</v>
      </c>
      <c r="K16" s="39">
        <v>171.04769999999999</v>
      </c>
      <c r="L16" s="40">
        <v>900</v>
      </c>
      <c r="M16" s="41">
        <v>2341.152994980695</v>
      </c>
      <c r="N16" s="34">
        <v>0</v>
      </c>
      <c r="O16" s="35">
        <v>1501.13</v>
      </c>
      <c r="P16" s="36">
        <v>1501.13</v>
      </c>
      <c r="Q16" s="24">
        <v>1</v>
      </c>
      <c r="R16" s="37">
        <v>0</v>
      </c>
      <c r="S16" s="38">
        <v>2.7027027027027025E-2</v>
      </c>
      <c r="T16" s="39">
        <v>184.88030888030895</v>
      </c>
      <c r="U16" s="39">
        <v>135.10169999999999</v>
      </c>
      <c r="V16" s="40">
        <v>900</v>
      </c>
      <c r="W16" s="41">
        <v>2081.1479911196911</v>
      </c>
      <c r="X16" s="107">
        <v>78.37</v>
      </c>
      <c r="Y16" s="35">
        <v>1900.53</v>
      </c>
      <c r="Z16" s="36">
        <v>1822.1599999999999</v>
      </c>
      <c r="AA16" s="24">
        <v>0.95876413421519258</v>
      </c>
      <c r="AB16" s="37">
        <v>0</v>
      </c>
      <c r="AC16" s="100">
        <v>2.7027027027027025E-2</v>
      </c>
      <c r="AD16" s="39">
        <v>209.95930501930494</v>
      </c>
      <c r="AE16" s="39">
        <v>171.04769999999999</v>
      </c>
      <c r="AF16" s="40">
        <v>900</v>
      </c>
      <c r="AG16" s="108">
        <v>2341.152994980695</v>
      </c>
      <c r="AH16" s="107">
        <v>983.29</v>
      </c>
      <c r="AI16" s="35">
        <v>1513.54</v>
      </c>
      <c r="AJ16" s="36">
        <v>530.25</v>
      </c>
      <c r="AK16" s="24">
        <v>0.35033761909166589</v>
      </c>
      <c r="AL16" s="37">
        <v>0</v>
      </c>
      <c r="AM16" s="100">
        <v>2.7027027027027025E-2</v>
      </c>
      <c r="AN16" s="39">
        <v>208.28285714285701</v>
      </c>
      <c r="AO16" s="39">
        <v>136.21859999999998</v>
      </c>
      <c r="AP16" s="40">
        <v>900</v>
      </c>
      <c r="AQ16" s="108">
        <v>1085.7485428571431</v>
      </c>
    </row>
    <row r="17" spans="3:43">
      <c r="C17" s="33" t="s">
        <v>123</v>
      </c>
      <c r="D17" s="34">
        <v>397.01</v>
      </c>
      <c r="E17" s="35">
        <v>2870.3999999999901</v>
      </c>
      <c r="F17" s="36">
        <v>2473.3899999999903</v>
      </c>
      <c r="G17" s="24">
        <v>0.86168826644370078</v>
      </c>
      <c r="H17" s="37">
        <v>0</v>
      </c>
      <c r="I17" s="38">
        <v>2.7027027027027025E-2</v>
      </c>
      <c r="J17" s="39">
        <v>209.95930501930494</v>
      </c>
      <c r="K17" s="39">
        <v>258.3359999999991</v>
      </c>
      <c r="L17" s="40">
        <v>824</v>
      </c>
      <c r="M17" s="41">
        <v>2829.0946949806862</v>
      </c>
      <c r="N17" s="34">
        <v>0</v>
      </c>
      <c r="O17" s="35">
        <v>2987.4199999999901</v>
      </c>
      <c r="P17" s="36">
        <v>2987.4199999999901</v>
      </c>
      <c r="Q17" s="24">
        <v>1</v>
      </c>
      <c r="R17" s="37">
        <v>0</v>
      </c>
      <c r="S17" s="38">
        <v>2.7027027027027025E-2</v>
      </c>
      <c r="T17" s="39">
        <v>184.88030888030895</v>
      </c>
      <c r="U17" s="39">
        <v>268.86779999999908</v>
      </c>
      <c r="V17" s="40">
        <v>824</v>
      </c>
      <c r="W17" s="41">
        <v>3357.6718911196822</v>
      </c>
      <c r="X17" s="107">
        <v>397.01</v>
      </c>
      <c r="Y17" s="35">
        <v>2870.3999999999901</v>
      </c>
      <c r="Z17" s="36">
        <v>2473.3899999999903</v>
      </c>
      <c r="AA17" s="24">
        <v>0.86168826644370078</v>
      </c>
      <c r="AB17" s="37">
        <v>0</v>
      </c>
      <c r="AC17" s="100">
        <v>2.7027027027027025E-2</v>
      </c>
      <c r="AD17" s="39">
        <v>209.95930501930494</v>
      </c>
      <c r="AE17" s="39">
        <v>258.3359999999991</v>
      </c>
      <c r="AF17" s="40">
        <v>824</v>
      </c>
      <c r="AG17" s="108">
        <v>2829.0946949806862</v>
      </c>
      <c r="AH17" s="107">
        <v>1765.05</v>
      </c>
      <c r="AI17" s="35">
        <v>2707.3999999999901</v>
      </c>
      <c r="AJ17" s="36">
        <v>942.34999999999013</v>
      </c>
      <c r="AK17" s="24">
        <v>0.34806456378813383</v>
      </c>
      <c r="AL17" s="37">
        <v>0</v>
      </c>
      <c r="AM17" s="100">
        <v>2.7027027027027025E-2</v>
      </c>
      <c r="AN17" s="39">
        <v>208.28285714285701</v>
      </c>
      <c r="AO17" s="39">
        <v>243.66599999999909</v>
      </c>
      <c r="AP17" s="40">
        <v>824</v>
      </c>
      <c r="AQ17" s="108">
        <v>1314.4011428571339</v>
      </c>
    </row>
    <row r="18" spans="3:43">
      <c r="C18" s="33" t="s">
        <v>124</v>
      </c>
      <c r="D18" s="34">
        <v>270.91000000000003</v>
      </c>
      <c r="E18" s="35">
        <v>2741.9499999999898</v>
      </c>
      <c r="F18" s="36">
        <v>2471.03999999999</v>
      </c>
      <c r="G18" s="24">
        <v>0.90119805248089835</v>
      </c>
      <c r="H18" s="37">
        <v>0</v>
      </c>
      <c r="I18" s="38">
        <v>2.7027027027027025E-2</v>
      </c>
      <c r="J18" s="39">
        <v>209.95930501930494</v>
      </c>
      <c r="K18" s="39">
        <v>246.77549999999908</v>
      </c>
      <c r="L18" s="40">
        <v>824</v>
      </c>
      <c r="M18" s="41">
        <v>2838.3051949806859</v>
      </c>
      <c r="N18" s="34">
        <v>0</v>
      </c>
      <c r="O18" s="35">
        <v>2757.6799999999898</v>
      </c>
      <c r="P18" s="36">
        <v>2757.6799999999898</v>
      </c>
      <c r="Q18" s="24">
        <v>1</v>
      </c>
      <c r="R18" s="37">
        <v>0</v>
      </c>
      <c r="S18" s="38">
        <v>2.7027027027027025E-2</v>
      </c>
      <c r="T18" s="39">
        <v>184.88030888030895</v>
      </c>
      <c r="U18" s="39">
        <v>248.19119999999907</v>
      </c>
      <c r="V18" s="40">
        <v>824</v>
      </c>
      <c r="W18" s="41">
        <v>3148.6084911196817</v>
      </c>
      <c r="X18" s="107">
        <v>270.91000000000003</v>
      </c>
      <c r="Y18" s="35">
        <v>2741.9499999999898</v>
      </c>
      <c r="Z18" s="36">
        <v>2471.03999999999</v>
      </c>
      <c r="AA18" s="24">
        <v>0.90119805248089835</v>
      </c>
      <c r="AB18" s="37">
        <v>0</v>
      </c>
      <c r="AC18" s="100">
        <v>2.7027027027027025E-2</v>
      </c>
      <c r="AD18" s="39">
        <v>209.95930501930494</v>
      </c>
      <c r="AE18" s="39">
        <v>246.77549999999908</v>
      </c>
      <c r="AF18" s="40">
        <v>824</v>
      </c>
      <c r="AG18" s="108">
        <v>2838.3051949806859</v>
      </c>
      <c r="AH18" s="107">
        <v>1303.8800000000001</v>
      </c>
      <c r="AI18" s="35">
        <v>2001.87</v>
      </c>
      <c r="AJ18" s="36">
        <v>697.98999999999978</v>
      </c>
      <c r="AK18" s="24">
        <v>0.3486689944901516</v>
      </c>
      <c r="AL18" s="37">
        <v>0</v>
      </c>
      <c r="AM18" s="100">
        <v>2.7027027027027025E-2</v>
      </c>
      <c r="AN18" s="39">
        <v>208.28285714285701</v>
      </c>
      <c r="AO18" s="39">
        <v>180.16829999999999</v>
      </c>
      <c r="AP18" s="40">
        <v>824</v>
      </c>
      <c r="AQ18" s="108">
        <v>1133.5388428571428</v>
      </c>
    </row>
    <row r="19" spans="3:43">
      <c r="C19" s="33" t="s">
        <v>125</v>
      </c>
      <c r="D19" s="34">
        <v>15.67</v>
      </c>
      <c r="E19" s="35">
        <v>350.34</v>
      </c>
      <c r="F19" s="36">
        <v>334.66999999999996</v>
      </c>
      <c r="G19" s="24">
        <v>0.95527202146486268</v>
      </c>
      <c r="H19" s="37">
        <v>0</v>
      </c>
      <c r="I19" s="38">
        <v>2.7027027027027025E-2</v>
      </c>
      <c r="J19" s="39">
        <v>209.95930501930494</v>
      </c>
      <c r="K19" s="39">
        <v>31.530599999999996</v>
      </c>
      <c r="L19" s="40">
        <v>840</v>
      </c>
      <c r="M19" s="41">
        <v>933.18009498069512</v>
      </c>
      <c r="N19" s="34">
        <v>0</v>
      </c>
      <c r="O19" s="35">
        <v>241.54</v>
      </c>
      <c r="P19" s="36">
        <v>241.54</v>
      </c>
      <c r="Q19" s="24">
        <v>1</v>
      </c>
      <c r="R19" s="37">
        <v>0</v>
      </c>
      <c r="S19" s="38">
        <v>2.7027027027027025E-2</v>
      </c>
      <c r="T19" s="39">
        <v>184.88030888030895</v>
      </c>
      <c r="U19" s="39">
        <v>21.738599999999998</v>
      </c>
      <c r="V19" s="40">
        <v>840</v>
      </c>
      <c r="W19" s="41">
        <v>874.92109111969103</v>
      </c>
      <c r="X19" s="107">
        <v>15.67</v>
      </c>
      <c r="Y19" s="35">
        <v>350.34</v>
      </c>
      <c r="Z19" s="36">
        <v>334.66999999999996</v>
      </c>
      <c r="AA19" s="24">
        <v>0.95527202146486268</v>
      </c>
      <c r="AB19" s="37">
        <v>0</v>
      </c>
      <c r="AC19" s="100">
        <v>2.7027027027027025E-2</v>
      </c>
      <c r="AD19" s="39">
        <v>209.95930501930494</v>
      </c>
      <c r="AE19" s="39">
        <v>31.530599999999996</v>
      </c>
      <c r="AF19" s="40">
        <v>840</v>
      </c>
      <c r="AG19" s="108">
        <v>933.18009498069512</v>
      </c>
      <c r="AH19" s="107">
        <v>255.29</v>
      </c>
      <c r="AI19" s="35">
        <v>257.3</v>
      </c>
      <c r="AJ19" s="36">
        <v>2.0100000000000193</v>
      </c>
      <c r="AK19" s="24">
        <v>7.8118927322192739E-3</v>
      </c>
      <c r="AL19" s="37">
        <v>0</v>
      </c>
      <c r="AM19" s="100">
        <v>2.7027027027027025E-2</v>
      </c>
      <c r="AN19" s="39">
        <v>208.28285714285701</v>
      </c>
      <c r="AO19" s="39">
        <v>23.157</v>
      </c>
      <c r="AP19" s="40">
        <v>840</v>
      </c>
      <c r="AQ19" s="108">
        <v>610.57014285714297</v>
      </c>
    </row>
    <row r="20" spans="3:43">
      <c r="C20" s="33" t="s">
        <v>126</v>
      </c>
      <c r="D20" s="34">
        <v>136.77000000000001</v>
      </c>
      <c r="E20" s="35">
        <v>1139.58</v>
      </c>
      <c r="F20" s="36">
        <v>1002.81</v>
      </c>
      <c r="G20" s="24">
        <v>0.87998209866793031</v>
      </c>
      <c r="H20" s="37">
        <v>0</v>
      </c>
      <c r="I20" s="38">
        <v>2.7027027027027025E-2</v>
      </c>
      <c r="J20" s="39">
        <v>209.95930501930494</v>
      </c>
      <c r="K20" s="39">
        <v>102.56219999999999</v>
      </c>
      <c r="L20" s="40">
        <v>840</v>
      </c>
      <c r="M20" s="41">
        <v>1530.2884949806951</v>
      </c>
      <c r="N20" s="34">
        <v>0</v>
      </c>
      <c r="O20" s="35">
        <v>690.41</v>
      </c>
      <c r="P20" s="36">
        <v>690.41</v>
      </c>
      <c r="Q20" s="24">
        <v>1</v>
      </c>
      <c r="R20" s="37">
        <v>0</v>
      </c>
      <c r="S20" s="38">
        <v>2.7027027027027025E-2</v>
      </c>
      <c r="T20" s="39">
        <v>184.88030888030895</v>
      </c>
      <c r="U20" s="39">
        <v>62.136899999999997</v>
      </c>
      <c r="V20" s="40">
        <v>840</v>
      </c>
      <c r="W20" s="41">
        <v>1283.3927911196909</v>
      </c>
      <c r="X20" s="107">
        <v>136.77000000000001</v>
      </c>
      <c r="Y20" s="35">
        <v>1139.58</v>
      </c>
      <c r="Z20" s="36">
        <v>1002.81</v>
      </c>
      <c r="AA20" s="24">
        <v>0.87998209866793031</v>
      </c>
      <c r="AB20" s="37">
        <v>0</v>
      </c>
      <c r="AC20" s="100">
        <v>2.7027027027027025E-2</v>
      </c>
      <c r="AD20" s="39">
        <v>209.95930501930494</v>
      </c>
      <c r="AE20" s="39">
        <v>102.56219999999999</v>
      </c>
      <c r="AF20" s="40">
        <v>840</v>
      </c>
      <c r="AG20" s="108">
        <v>1530.2884949806951</v>
      </c>
      <c r="AH20" s="107">
        <v>653.65</v>
      </c>
      <c r="AI20" s="35">
        <v>830.03</v>
      </c>
      <c r="AJ20" s="36">
        <v>176.38</v>
      </c>
      <c r="AK20" s="24">
        <v>0.21249834343336987</v>
      </c>
      <c r="AL20" s="37">
        <v>0</v>
      </c>
      <c r="AM20" s="100">
        <v>2.7027027027027025E-2</v>
      </c>
      <c r="AN20" s="39">
        <v>208.28285714285701</v>
      </c>
      <c r="AO20" s="39">
        <v>74.702699999999993</v>
      </c>
      <c r="AP20" s="40">
        <v>840</v>
      </c>
      <c r="AQ20" s="108">
        <v>733.39444285714296</v>
      </c>
    </row>
    <row r="21" spans="3:43">
      <c r="C21" s="33" t="s">
        <v>127</v>
      </c>
      <c r="D21" s="34">
        <v>148.47</v>
      </c>
      <c r="E21" s="35">
        <v>1956.73</v>
      </c>
      <c r="F21" s="36">
        <v>1808.26</v>
      </c>
      <c r="G21" s="24">
        <v>0.92412340997480491</v>
      </c>
      <c r="H21" s="37">
        <v>0</v>
      </c>
      <c r="I21" s="38">
        <v>2.7027027027027025E-2</v>
      </c>
      <c r="J21" s="39">
        <v>209.95930501930494</v>
      </c>
      <c r="K21" s="39">
        <v>176.10569999999998</v>
      </c>
      <c r="L21" s="40">
        <v>840</v>
      </c>
      <c r="M21" s="41">
        <v>2262.1949949806954</v>
      </c>
      <c r="N21" s="34">
        <v>0</v>
      </c>
      <c r="O21" s="35">
        <v>1392</v>
      </c>
      <c r="P21" s="36">
        <v>1392</v>
      </c>
      <c r="Q21" s="24">
        <v>1</v>
      </c>
      <c r="R21" s="37">
        <v>0</v>
      </c>
      <c r="S21" s="38">
        <v>2.7027027027027025E-2</v>
      </c>
      <c r="T21" s="39">
        <v>184.88030888030895</v>
      </c>
      <c r="U21" s="39">
        <v>125.28</v>
      </c>
      <c r="V21" s="40">
        <v>840</v>
      </c>
      <c r="W21" s="41">
        <v>1921.839691119691</v>
      </c>
      <c r="X21" s="107">
        <v>148.47</v>
      </c>
      <c r="Y21" s="35">
        <v>1956.73</v>
      </c>
      <c r="Z21" s="36">
        <v>1808.26</v>
      </c>
      <c r="AA21" s="24">
        <v>0.92412340997480491</v>
      </c>
      <c r="AB21" s="37">
        <v>0</v>
      </c>
      <c r="AC21" s="100">
        <v>2.7027027027027025E-2</v>
      </c>
      <c r="AD21" s="39">
        <v>209.95930501930494</v>
      </c>
      <c r="AE21" s="39">
        <v>176.10569999999998</v>
      </c>
      <c r="AF21" s="40">
        <v>840</v>
      </c>
      <c r="AG21" s="108">
        <v>2262.1949949806954</v>
      </c>
      <c r="AH21" s="107">
        <v>1042.24</v>
      </c>
      <c r="AI21" s="35">
        <v>1637.71</v>
      </c>
      <c r="AJ21" s="36">
        <v>595.47</v>
      </c>
      <c r="AK21" s="24">
        <v>0.36359917201458136</v>
      </c>
      <c r="AL21" s="37">
        <v>0</v>
      </c>
      <c r="AM21" s="100">
        <v>2.7027027027027025E-2</v>
      </c>
      <c r="AN21" s="39">
        <v>208.28285714285701</v>
      </c>
      <c r="AO21" s="39">
        <v>147.3939</v>
      </c>
      <c r="AP21" s="40">
        <v>840</v>
      </c>
      <c r="AQ21" s="108">
        <v>1079.793242857143</v>
      </c>
    </row>
    <row r="22" spans="3:43">
      <c r="C22" s="33" t="s">
        <v>128</v>
      </c>
      <c r="D22" s="34">
        <v>51.83</v>
      </c>
      <c r="E22" s="35">
        <v>1045.08</v>
      </c>
      <c r="F22" s="36">
        <v>993.24999999999989</v>
      </c>
      <c r="G22" s="24">
        <v>0.95040571056761203</v>
      </c>
      <c r="H22" s="37">
        <v>0</v>
      </c>
      <c r="I22" s="38">
        <v>2.7027027027027025E-2</v>
      </c>
      <c r="J22" s="39">
        <v>209.95930501930494</v>
      </c>
      <c r="K22" s="39">
        <v>94.057199999999995</v>
      </c>
      <c r="L22" s="40">
        <v>840</v>
      </c>
      <c r="M22" s="41">
        <v>1529.233494980695</v>
      </c>
      <c r="N22" s="34">
        <v>0</v>
      </c>
      <c r="O22" s="35">
        <v>888.33</v>
      </c>
      <c r="P22" s="36">
        <v>888.33</v>
      </c>
      <c r="Q22" s="24">
        <v>1</v>
      </c>
      <c r="R22" s="37">
        <v>0</v>
      </c>
      <c r="S22" s="38">
        <v>2.7027027027027025E-2</v>
      </c>
      <c r="T22" s="39">
        <v>184.88030888030895</v>
      </c>
      <c r="U22" s="39">
        <v>79.949700000000007</v>
      </c>
      <c r="V22" s="40">
        <v>840</v>
      </c>
      <c r="W22" s="41">
        <v>1463.499991119691</v>
      </c>
      <c r="X22" s="107">
        <v>51.83</v>
      </c>
      <c r="Y22" s="35">
        <v>1045.08</v>
      </c>
      <c r="Z22" s="36">
        <v>993.24999999999989</v>
      </c>
      <c r="AA22" s="24">
        <v>0.95040571056761203</v>
      </c>
      <c r="AB22" s="37">
        <v>0</v>
      </c>
      <c r="AC22" s="100">
        <v>2.7027027027027025E-2</v>
      </c>
      <c r="AD22" s="39">
        <v>209.95930501930494</v>
      </c>
      <c r="AE22" s="39">
        <v>94.057199999999995</v>
      </c>
      <c r="AF22" s="40">
        <v>840</v>
      </c>
      <c r="AG22" s="108">
        <v>1529.233494980695</v>
      </c>
      <c r="AH22" s="107">
        <v>603.87</v>
      </c>
      <c r="AI22" s="35">
        <v>820.99000000000103</v>
      </c>
      <c r="AJ22" s="36">
        <v>217.12000000000103</v>
      </c>
      <c r="AK22" s="24">
        <v>0.26446119928379241</v>
      </c>
      <c r="AL22" s="37">
        <v>0</v>
      </c>
      <c r="AM22" s="100">
        <v>2.7027027027027025E-2</v>
      </c>
      <c r="AN22" s="39">
        <v>208.28285714285701</v>
      </c>
      <c r="AO22" s="39">
        <v>73.889100000000084</v>
      </c>
      <c r="AP22" s="40">
        <v>840</v>
      </c>
      <c r="AQ22" s="108">
        <v>774.94804285714395</v>
      </c>
    </row>
    <row r="23" spans="3:43">
      <c r="C23" s="33" t="s">
        <v>129</v>
      </c>
      <c r="D23" s="34">
        <v>174.23</v>
      </c>
      <c r="E23" s="35">
        <v>2783.7999999999902</v>
      </c>
      <c r="F23" s="36">
        <v>2609.5699999999902</v>
      </c>
      <c r="G23" s="24">
        <v>0.93741288885695784</v>
      </c>
      <c r="H23" s="37">
        <v>0</v>
      </c>
      <c r="I23" s="38">
        <v>2.7027027027027025E-2</v>
      </c>
      <c r="J23" s="39">
        <v>209.95930501930494</v>
      </c>
      <c r="K23" s="39">
        <v>250.54199999999912</v>
      </c>
      <c r="L23" s="40">
        <v>600</v>
      </c>
      <c r="M23" s="41">
        <v>2749.0686949806859</v>
      </c>
      <c r="N23" s="34">
        <v>0</v>
      </c>
      <c r="O23" s="35">
        <v>2519.9</v>
      </c>
      <c r="P23" s="36">
        <v>2519.9</v>
      </c>
      <c r="Q23" s="24">
        <v>1</v>
      </c>
      <c r="R23" s="37">
        <v>0</v>
      </c>
      <c r="S23" s="38">
        <v>2.7027027027027025E-2</v>
      </c>
      <c r="T23" s="39">
        <v>184.88030888030895</v>
      </c>
      <c r="U23" s="39">
        <v>226.791</v>
      </c>
      <c r="V23" s="40">
        <v>600</v>
      </c>
      <c r="W23" s="41">
        <v>2708.2286911196911</v>
      </c>
      <c r="X23" s="107">
        <v>174.23</v>
      </c>
      <c r="Y23" s="35">
        <v>2783.7999999999902</v>
      </c>
      <c r="Z23" s="36">
        <v>2609.5699999999902</v>
      </c>
      <c r="AA23" s="24">
        <v>0.93741288885695784</v>
      </c>
      <c r="AB23" s="37">
        <v>0</v>
      </c>
      <c r="AC23" s="100">
        <v>2.7027027027027025E-2</v>
      </c>
      <c r="AD23" s="39">
        <v>209.95930501930494</v>
      </c>
      <c r="AE23" s="39">
        <v>250.54199999999912</v>
      </c>
      <c r="AF23" s="40">
        <v>600</v>
      </c>
      <c r="AG23" s="108">
        <v>2749.0686949806859</v>
      </c>
      <c r="AH23" s="107">
        <v>1601.91</v>
      </c>
      <c r="AI23" s="35">
        <v>2659.9199999999901</v>
      </c>
      <c r="AJ23" s="36">
        <v>1058.00999999999</v>
      </c>
      <c r="AK23" s="24">
        <v>0.39776008301001303</v>
      </c>
      <c r="AL23" s="37">
        <v>0</v>
      </c>
      <c r="AM23" s="100">
        <v>2.7027027027027025E-2</v>
      </c>
      <c r="AN23" s="39">
        <v>208.28285714285701</v>
      </c>
      <c r="AO23" s="39">
        <v>239.39279999999908</v>
      </c>
      <c r="AP23" s="40">
        <v>600</v>
      </c>
      <c r="AQ23" s="108">
        <v>1210.3343428571338</v>
      </c>
    </row>
    <row r="24" spans="3:43">
      <c r="C24" s="33" t="s">
        <v>130</v>
      </c>
      <c r="D24" s="34">
        <v>182.22</v>
      </c>
      <c r="E24" s="35">
        <v>2965.0699999999902</v>
      </c>
      <c r="F24" s="36">
        <v>2782.8499999999904</v>
      </c>
      <c r="G24" s="24">
        <v>0.93854445257616159</v>
      </c>
      <c r="H24" s="37">
        <v>0</v>
      </c>
      <c r="I24" s="38">
        <v>0</v>
      </c>
      <c r="J24" s="39">
        <v>0</v>
      </c>
      <c r="K24" s="39">
        <v>266.85629999999912</v>
      </c>
      <c r="L24" s="40">
        <v>900</v>
      </c>
      <c r="M24" s="41">
        <v>3415.9936999999913</v>
      </c>
      <c r="N24" s="34">
        <v>0</v>
      </c>
      <c r="O24" s="35">
        <v>0</v>
      </c>
      <c r="P24" s="36">
        <v>0</v>
      </c>
      <c r="Q24" s="24">
        <v>0</v>
      </c>
      <c r="R24" s="37">
        <v>0</v>
      </c>
      <c r="S24" s="38">
        <v>0</v>
      </c>
      <c r="T24" s="39">
        <v>0</v>
      </c>
      <c r="U24" s="39">
        <v>0</v>
      </c>
      <c r="V24" s="40">
        <v>900</v>
      </c>
      <c r="W24" s="41">
        <v>900</v>
      </c>
      <c r="X24" s="107">
        <v>182.22</v>
      </c>
      <c r="Y24" s="35">
        <v>2965.0699999999902</v>
      </c>
      <c r="Z24" s="36">
        <v>2782.8499999999904</v>
      </c>
      <c r="AA24" s="24">
        <v>0.93854445257616159</v>
      </c>
      <c r="AB24" s="37">
        <v>0</v>
      </c>
      <c r="AC24" s="100">
        <v>0</v>
      </c>
      <c r="AD24" s="39">
        <v>0</v>
      </c>
      <c r="AE24" s="39">
        <v>266.85629999999912</v>
      </c>
      <c r="AF24" s="40">
        <v>900</v>
      </c>
      <c r="AG24" s="108">
        <v>3415.9936999999913</v>
      </c>
      <c r="AH24" s="107">
        <v>1512.11</v>
      </c>
      <c r="AI24" s="35">
        <v>2392.23</v>
      </c>
      <c r="AJ24" s="36">
        <v>880.12000000000012</v>
      </c>
      <c r="AK24" s="24">
        <v>0.36790776806577968</v>
      </c>
      <c r="AL24" s="37">
        <v>0</v>
      </c>
      <c r="AM24" s="100">
        <v>0</v>
      </c>
      <c r="AN24" s="39">
        <v>0</v>
      </c>
      <c r="AO24" s="39">
        <v>215.30070000000001</v>
      </c>
      <c r="AP24" s="40">
        <v>900</v>
      </c>
      <c r="AQ24" s="108">
        <v>1564.8193000000001</v>
      </c>
    </row>
    <row r="25" spans="3:43">
      <c r="C25" s="33" t="s">
        <v>131</v>
      </c>
      <c r="D25" s="34">
        <v>0</v>
      </c>
      <c r="E25" s="35">
        <v>0</v>
      </c>
      <c r="F25" s="36">
        <v>0</v>
      </c>
      <c r="G25" s="24">
        <v>0</v>
      </c>
      <c r="H25" s="37">
        <v>0</v>
      </c>
      <c r="I25" s="38">
        <v>0</v>
      </c>
      <c r="J25" s="39">
        <v>0</v>
      </c>
      <c r="K25" s="39">
        <v>0</v>
      </c>
      <c r="L25" s="40">
        <v>350</v>
      </c>
      <c r="M25" s="41">
        <v>350</v>
      </c>
      <c r="N25" s="34">
        <v>0</v>
      </c>
      <c r="O25" s="35">
        <v>0</v>
      </c>
      <c r="P25" s="36">
        <v>0</v>
      </c>
      <c r="Q25" s="24">
        <v>0</v>
      </c>
      <c r="R25" s="37">
        <v>0</v>
      </c>
      <c r="S25" s="38">
        <v>0</v>
      </c>
      <c r="T25" s="39">
        <v>0</v>
      </c>
      <c r="U25" s="39">
        <v>0</v>
      </c>
      <c r="V25" s="40">
        <v>350</v>
      </c>
      <c r="W25" s="41">
        <v>350</v>
      </c>
      <c r="X25" s="107">
        <v>0</v>
      </c>
      <c r="Y25" s="35">
        <v>0</v>
      </c>
      <c r="Z25" s="36">
        <v>0</v>
      </c>
      <c r="AA25" s="24">
        <v>0</v>
      </c>
      <c r="AB25" s="37">
        <v>0</v>
      </c>
      <c r="AC25" s="100">
        <v>0</v>
      </c>
      <c r="AD25" s="39">
        <v>0</v>
      </c>
      <c r="AE25" s="39">
        <v>0</v>
      </c>
      <c r="AF25" s="40">
        <v>350</v>
      </c>
      <c r="AG25" s="108">
        <v>350</v>
      </c>
      <c r="AH25" s="107">
        <v>0</v>
      </c>
      <c r="AI25" s="35">
        <v>429.75</v>
      </c>
      <c r="AJ25" s="36">
        <v>429.75</v>
      </c>
      <c r="AK25" s="24">
        <v>1</v>
      </c>
      <c r="AL25" s="37">
        <v>0</v>
      </c>
      <c r="AM25" s="100">
        <v>0</v>
      </c>
      <c r="AN25" s="39">
        <v>0</v>
      </c>
      <c r="AO25" s="39">
        <v>38.677500000000002</v>
      </c>
      <c r="AP25" s="40">
        <v>350</v>
      </c>
      <c r="AQ25" s="108">
        <v>741.07249999999999</v>
      </c>
    </row>
    <row r="26" spans="3:43">
      <c r="C26" s="33" t="s">
        <v>132</v>
      </c>
      <c r="D26" s="34">
        <v>60.72</v>
      </c>
      <c r="E26" s="35">
        <v>1269.9000000000001</v>
      </c>
      <c r="F26" s="36">
        <v>1209.18</v>
      </c>
      <c r="G26" s="24">
        <v>0.95218521143397117</v>
      </c>
      <c r="H26" s="37">
        <v>0</v>
      </c>
      <c r="I26" s="38">
        <v>2.7027027027027025E-2</v>
      </c>
      <c r="J26" s="39">
        <v>209.95930501930494</v>
      </c>
      <c r="K26" s="39">
        <v>114.29100000000001</v>
      </c>
      <c r="L26" s="40">
        <v>730.41666666666663</v>
      </c>
      <c r="M26" s="41">
        <v>1615.3463616473618</v>
      </c>
      <c r="N26" s="34">
        <v>0</v>
      </c>
      <c r="O26" s="35">
        <v>1106.21</v>
      </c>
      <c r="P26" s="36">
        <v>1106.21</v>
      </c>
      <c r="Q26" s="24">
        <v>1</v>
      </c>
      <c r="R26" s="37">
        <v>0</v>
      </c>
      <c r="S26" s="38">
        <v>2.7027027027027025E-2</v>
      </c>
      <c r="T26" s="39">
        <v>184.88030888030895</v>
      </c>
      <c r="U26" s="39">
        <v>99.558899999999994</v>
      </c>
      <c r="V26" s="40">
        <v>730.41666666666663</v>
      </c>
      <c r="W26" s="41">
        <v>1552.1874577863578</v>
      </c>
      <c r="X26" s="107">
        <v>60.72</v>
      </c>
      <c r="Y26" s="35">
        <v>1269.9000000000001</v>
      </c>
      <c r="Z26" s="36">
        <v>1209.18</v>
      </c>
      <c r="AA26" s="24">
        <v>0.95218521143397117</v>
      </c>
      <c r="AB26" s="37">
        <v>0</v>
      </c>
      <c r="AC26" s="100">
        <v>2.7027027027027025E-2</v>
      </c>
      <c r="AD26" s="39">
        <v>209.95930501930494</v>
      </c>
      <c r="AE26" s="39">
        <v>114.29100000000001</v>
      </c>
      <c r="AF26" s="40">
        <v>730.41666666666663</v>
      </c>
      <c r="AG26" s="108">
        <v>1615.3463616473618</v>
      </c>
      <c r="AH26" s="107">
        <v>764.29</v>
      </c>
      <c r="AI26" s="35">
        <v>1103.27</v>
      </c>
      <c r="AJ26" s="36">
        <v>338.98</v>
      </c>
      <c r="AK26" s="24">
        <v>0.3072502651209586</v>
      </c>
      <c r="AL26" s="37">
        <v>0</v>
      </c>
      <c r="AM26" s="100">
        <v>2.7027027027027025E-2</v>
      </c>
      <c r="AN26" s="39">
        <v>208.28285714285701</v>
      </c>
      <c r="AO26" s="39">
        <v>99.294299999999993</v>
      </c>
      <c r="AP26" s="40">
        <v>730.41666666666663</v>
      </c>
      <c r="AQ26" s="108">
        <v>761.81950952380953</v>
      </c>
    </row>
    <row r="27" spans="3:43">
      <c r="C27" s="33" t="s">
        <v>133</v>
      </c>
      <c r="D27" s="34">
        <v>153.16999999999999</v>
      </c>
      <c r="E27" s="35">
        <v>2058.37</v>
      </c>
      <c r="F27" s="36">
        <v>1905.1999999999998</v>
      </c>
      <c r="G27" s="24">
        <v>0.92558675068136431</v>
      </c>
      <c r="H27" s="37">
        <v>0</v>
      </c>
      <c r="I27" s="38">
        <v>2.7027027027027025E-2</v>
      </c>
      <c r="J27" s="39">
        <v>209.95930501930494</v>
      </c>
      <c r="K27" s="39">
        <v>185.2533</v>
      </c>
      <c r="L27" s="40">
        <v>850</v>
      </c>
      <c r="M27" s="41">
        <v>2359.9873949806947</v>
      </c>
      <c r="N27" s="34">
        <v>0</v>
      </c>
      <c r="O27" s="35">
        <v>1625.03</v>
      </c>
      <c r="P27" s="36">
        <v>1625.03</v>
      </c>
      <c r="Q27" s="24">
        <v>1</v>
      </c>
      <c r="R27" s="37">
        <v>0</v>
      </c>
      <c r="S27" s="38">
        <v>2.7027027027027025E-2</v>
      </c>
      <c r="T27" s="39">
        <v>184.88030888030895</v>
      </c>
      <c r="U27" s="39">
        <v>146.2527</v>
      </c>
      <c r="V27" s="40">
        <v>850</v>
      </c>
      <c r="W27" s="41">
        <v>2143.8969911196909</v>
      </c>
      <c r="X27" s="107">
        <v>153.16999999999999</v>
      </c>
      <c r="Y27" s="35">
        <v>2058.37</v>
      </c>
      <c r="Z27" s="36">
        <v>1905.1999999999998</v>
      </c>
      <c r="AA27" s="24">
        <v>0.92558675068136431</v>
      </c>
      <c r="AB27" s="37">
        <v>0</v>
      </c>
      <c r="AC27" s="100">
        <v>2.7027027027027025E-2</v>
      </c>
      <c r="AD27" s="39">
        <v>209.95930501930494</v>
      </c>
      <c r="AE27" s="39">
        <v>185.2533</v>
      </c>
      <c r="AF27" s="40">
        <v>850</v>
      </c>
      <c r="AG27" s="108">
        <v>2359.9873949806947</v>
      </c>
      <c r="AH27" s="107">
        <v>1478.06</v>
      </c>
      <c r="AI27" s="35">
        <v>2146.39</v>
      </c>
      <c r="AJ27" s="36">
        <v>668.32999999999993</v>
      </c>
      <c r="AK27" s="24">
        <v>0.31137398142928358</v>
      </c>
      <c r="AL27" s="37">
        <v>0</v>
      </c>
      <c r="AM27" s="100">
        <v>2.7027027027027025E-2</v>
      </c>
      <c r="AN27" s="39">
        <v>208.28285714285701</v>
      </c>
      <c r="AO27" s="39">
        <v>193.17509999999999</v>
      </c>
      <c r="AP27" s="40">
        <v>850</v>
      </c>
      <c r="AQ27" s="108">
        <v>1116.8720428571428</v>
      </c>
    </row>
    <row r="28" spans="3:43">
      <c r="C28" s="33" t="s">
        <v>134</v>
      </c>
      <c r="D28" s="34">
        <v>152.76</v>
      </c>
      <c r="E28" s="35">
        <v>2199.0300000000002</v>
      </c>
      <c r="F28" s="36">
        <v>2046.2700000000002</v>
      </c>
      <c r="G28" s="24">
        <v>0.93053300773522873</v>
      </c>
      <c r="H28" s="37">
        <v>0</v>
      </c>
      <c r="I28" s="38">
        <v>2.7027027027027025E-2</v>
      </c>
      <c r="J28" s="39">
        <v>209.95930501930494</v>
      </c>
      <c r="K28" s="39">
        <v>197.9127</v>
      </c>
      <c r="L28" s="40">
        <v>850</v>
      </c>
      <c r="M28" s="41">
        <v>2488.3979949806953</v>
      </c>
      <c r="N28" s="34">
        <v>0</v>
      </c>
      <c r="O28" s="35">
        <v>1722.78</v>
      </c>
      <c r="P28" s="36">
        <v>1722.78</v>
      </c>
      <c r="Q28" s="24">
        <v>1</v>
      </c>
      <c r="R28" s="37">
        <v>0</v>
      </c>
      <c r="S28" s="38">
        <v>2.7027027027027025E-2</v>
      </c>
      <c r="T28" s="39">
        <v>184.88030888030895</v>
      </c>
      <c r="U28" s="39">
        <v>155.05019999999999</v>
      </c>
      <c r="V28" s="40">
        <v>850</v>
      </c>
      <c r="W28" s="41">
        <v>2232.8494911196908</v>
      </c>
      <c r="X28" s="107">
        <v>152.76</v>
      </c>
      <c r="Y28" s="35">
        <v>2199.0300000000002</v>
      </c>
      <c r="Z28" s="36">
        <v>2046.2700000000002</v>
      </c>
      <c r="AA28" s="24">
        <v>0.93053300773522873</v>
      </c>
      <c r="AB28" s="37">
        <v>0</v>
      </c>
      <c r="AC28" s="100">
        <v>2.7027027027027025E-2</v>
      </c>
      <c r="AD28" s="39">
        <v>209.95930501930494</v>
      </c>
      <c r="AE28" s="39">
        <v>197.9127</v>
      </c>
      <c r="AF28" s="40">
        <v>850</v>
      </c>
      <c r="AG28" s="108">
        <v>2488.3979949806953</v>
      </c>
      <c r="AH28" s="107">
        <v>1449.16</v>
      </c>
      <c r="AI28" s="35">
        <v>2164.7399999999998</v>
      </c>
      <c r="AJ28" s="36">
        <v>715.5799999999997</v>
      </c>
      <c r="AK28" s="24">
        <v>0.33056163788722887</v>
      </c>
      <c r="AL28" s="37">
        <v>0</v>
      </c>
      <c r="AM28" s="100">
        <v>2.7027027027027025E-2</v>
      </c>
      <c r="AN28" s="39">
        <v>208.28285714285701</v>
      </c>
      <c r="AO28" s="39">
        <v>194.82659999999998</v>
      </c>
      <c r="AP28" s="40">
        <v>850</v>
      </c>
      <c r="AQ28" s="108">
        <v>1162.4705428571428</v>
      </c>
    </row>
    <row r="29" spans="3:43">
      <c r="C29" s="33" t="s">
        <v>135</v>
      </c>
      <c r="D29" s="34">
        <v>24.19</v>
      </c>
      <c r="E29" s="35">
        <v>241.81</v>
      </c>
      <c r="F29" s="36">
        <v>217.62</v>
      </c>
      <c r="G29" s="24">
        <v>0.89996278069558744</v>
      </c>
      <c r="H29" s="37">
        <v>0</v>
      </c>
      <c r="I29" s="38">
        <v>2.7027027027027025E-2</v>
      </c>
      <c r="J29" s="39">
        <v>209.95930501930494</v>
      </c>
      <c r="K29" s="39">
        <v>21.762899999999998</v>
      </c>
      <c r="L29" s="40">
        <v>800</v>
      </c>
      <c r="M29" s="41">
        <v>785.89779498069504</v>
      </c>
      <c r="N29" s="34">
        <v>0</v>
      </c>
      <c r="O29" s="35">
        <v>323.47000000000003</v>
      </c>
      <c r="P29" s="36">
        <v>323.47000000000003</v>
      </c>
      <c r="Q29" s="24">
        <v>1</v>
      </c>
      <c r="R29" s="37">
        <v>0</v>
      </c>
      <c r="S29" s="38">
        <v>2.7027027027027025E-2</v>
      </c>
      <c r="T29" s="39">
        <v>184.88030888030895</v>
      </c>
      <c r="U29" s="39">
        <v>29.112300000000001</v>
      </c>
      <c r="V29" s="40">
        <v>800</v>
      </c>
      <c r="W29" s="41">
        <v>909.47739111969111</v>
      </c>
      <c r="X29" s="107">
        <v>24.19</v>
      </c>
      <c r="Y29" s="35">
        <v>241.81</v>
      </c>
      <c r="Z29" s="36">
        <v>217.62</v>
      </c>
      <c r="AA29" s="24">
        <v>0.89996278069558744</v>
      </c>
      <c r="AB29" s="37">
        <v>0</v>
      </c>
      <c r="AC29" s="100">
        <v>2.7027027027027025E-2</v>
      </c>
      <c r="AD29" s="39">
        <v>209.95930501930494</v>
      </c>
      <c r="AE29" s="39">
        <v>21.762899999999998</v>
      </c>
      <c r="AF29" s="40">
        <v>800</v>
      </c>
      <c r="AG29" s="108">
        <v>785.89779498069504</v>
      </c>
      <c r="AH29" s="107">
        <v>322.60000000000002</v>
      </c>
      <c r="AI29" s="35">
        <v>287.95999999999998</v>
      </c>
      <c r="AJ29" s="36">
        <v>-34.640000000000043</v>
      </c>
      <c r="AK29" s="24">
        <v>-0.120294485345187</v>
      </c>
      <c r="AL29" s="37">
        <v>0</v>
      </c>
      <c r="AM29" s="100">
        <v>2.7027027027027025E-2</v>
      </c>
      <c r="AN29" s="39">
        <v>208.28285714285701</v>
      </c>
      <c r="AO29" s="39">
        <v>25.916399999999996</v>
      </c>
      <c r="AP29" s="40">
        <v>800</v>
      </c>
      <c r="AQ29" s="108">
        <v>531.16074285714285</v>
      </c>
    </row>
    <row r="30" spans="3:43">
      <c r="C30" s="33" t="s">
        <v>136</v>
      </c>
      <c r="D30" s="34">
        <v>55.42</v>
      </c>
      <c r="E30" s="35">
        <v>1135.97</v>
      </c>
      <c r="F30" s="36">
        <v>1080.55</v>
      </c>
      <c r="G30" s="24">
        <v>0.95121350035652341</v>
      </c>
      <c r="H30" s="37">
        <v>0</v>
      </c>
      <c r="I30" s="38">
        <v>2.7027027027027025E-2</v>
      </c>
      <c r="J30" s="39">
        <v>209.95930501930494</v>
      </c>
      <c r="K30" s="39">
        <v>102.2373</v>
      </c>
      <c r="L30" s="40">
        <v>800</v>
      </c>
      <c r="M30" s="41">
        <v>1568.3533949806952</v>
      </c>
      <c r="N30" s="34">
        <v>0</v>
      </c>
      <c r="O30" s="35">
        <v>436.97</v>
      </c>
      <c r="P30" s="36">
        <v>436.97</v>
      </c>
      <c r="Q30" s="24">
        <v>1</v>
      </c>
      <c r="R30" s="37">
        <v>0</v>
      </c>
      <c r="S30" s="38">
        <v>2.7027027027027025E-2</v>
      </c>
      <c r="T30" s="39">
        <v>184.88030888030895</v>
      </c>
      <c r="U30" s="39">
        <v>39.327300000000001</v>
      </c>
      <c r="V30" s="40">
        <v>800</v>
      </c>
      <c r="W30" s="41">
        <v>1012.7623911196911</v>
      </c>
      <c r="X30" s="107">
        <v>55.42</v>
      </c>
      <c r="Y30" s="35">
        <v>1135.97</v>
      </c>
      <c r="Z30" s="36">
        <v>1080.55</v>
      </c>
      <c r="AA30" s="24">
        <v>0.95121350035652341</v>
      </c>
      <c r="AB30" s="37">
        <v>0</v>
      </c>
      <c r="AC30" s="100">
        <v>2.7027027027027025E-2</v>
      </c>
      <c r="AD30" s="39">
        <v>209.95930501930494</v>
      </c>
      <c r="AE30" s="39">
        <v>102.2373</v>
      </c>
      <c r="AF30" s="40">
        <v>800</v>
      </c>
      <c r="AG30" s="108">
        <v>1568.3533949806952</v>
      </c>
      <c r="AH30" s="107">
        <v>579.65</v>
      </c>
      <c r="AI30" s="35">
        <v>724.95</v>
      </c>
      <c r="AJ30" s="36">
        <v>145.30000000000007</v>
      </c>
      <c r="AK30" s="24">
        <v>0.2004276156976344</v>
      </c>
      <c r="AL30" s="37">
        <v>0</v>
      </c>
      <c r="AM30" s="100">
        <v>2.7027027027027025E-2</v>
      </c>
      <c r="AN30" s="39">
        <v>208.28285714285701</v>
      </c>
      <c r="AO30" s="39">
        <v>65.245500000000007</v>
      </c>
      <c r="AP30" s="40">
        <v>800</v>
      </c>
      <c r="AQ30" s="108">
        <v>671.77164285714298</v>
      </c>
    </row>
    <row r="31" spans="3:43">
      <c r="C31" s="33" t="s">
        <v>137</v>
      </c>
      <c r="D31" s="34">
        <v>18.12</v>
      </c>
      <c r="E31" s="35">
        <v>354.6</v>
      </c>
      <c r="F31" s="36">
        <v>336.48</v>
      </c>
      <c r="G31" s="24">
        <v>0.94890016920473774</v>
      </c>
      <c r="H31" s="37">
        <v>0</v>
      </c>
      <c r="I31" s="38">
        <v>2.7027027027027025E-2</v>
      </c>
      <c r="J31" s="39">
        <v>209.95930501930494</v>
      </c>
      <c r="K31" s="39">
        <v>31.914000000000001</v>
      </c>
      <c r="L31" s="40">
        <v>800</v>
      </c>
      <c r="M31" s="41">
        <v>894.60669498069501</v>
      </c>
      <c r="N31" s="34">
        <v>0</v>
      </c>
      <c r="O31" s="35">
        <v>469.74</v>
      </c>
      <c r="P31" s="36">
        <v>469.74</v>
      </c>
      <c r="Q31" s="24">
        <v>1</v>
      </c>
      <c r="R31" s="37">
        <v>0</v>
      </c>
      <c r="S31" s="38">
        <v>2.7027027027027025E-2</v>
      </c>
      <c r="T31" s="39">
        <v>184.88030888030895</v>
      </c>
      <c r="U31" s="39">
        <v>42.276600000000002</v>
      </c>
      <c r="V31" s="40">
        <v>800</v>
      </c>
      <c r="W31" s="41">
        <v>1042.5830911196911</v>
      </c>
      <c r="X31" s="107">
        <v>18.12</v>
      </c>
      <c r="Y31" s="35">
        <v>354.6</v>
      </c>
      <c r="Z31" s="36">
        <v>336.48</v>
      </c>
      <c r="AA31" s="24">
        <v>0.94890016920473774</v>
      </c>
      <c r="AB31" s="37">
        <v>0</v>
      </c>
      <c r="AC31" s="100">
        <v>2.7027027027027025E-2</v>
      </c>
      <c r="AD31" s="39">
        <v>209.95930501930494</v>
      </c>
      <c r="AE31" s="39">
        <v>31.914000000000001</v>
      </c>
      <c r="AF31" s="40">
        <v>800</v>
      </c>
      <c r="AG31" s="108">
        <v>894.60669498069501</v>
      </c>
      <c r="AH31" s="107">
        <v>292.47000000000003</v>
      </c>
      <c r="AI31" s="35">
        <v>326.25</v>
      </c>
      <c r="AJ31" s="36">
        <v>33.779999999999973</v>
      </c>
      <c r="AK31" s="24">
        <v>0.10354022988505739</v>
      </c>
      <c r="AL31" s="37">
        <v>0</v>
      </c>
      <c r="AM31" s="100">
        <v>2.7027027027027025E-2</v>
      </c>
      <c r="AN31" s="39">
        <v>208.28285714285701</v>
      </c>
      <c r="AO31" s="39">
        <v>29.362499999999997</v>
      </c>
      <c r="AP31" s="40">
        <v>800</v>
      </c>
      <c r="AQ31" s="108">
        <v>596.13464285714304</v>
      </c>
    </row>
    <row r="32" spans="3:43">
      <c r="C32" s="33" t="s">
        <v>138</v>
      </c>
      <c r="D32" s="34">
        <v>147.58000000000001</v>
      </c>
      <c r="E32" s="35">
        <v>2968.0299999999902</v>
      </c>
      <c r="F32" s="36">
        <v>2820.4499999999903</v>
      </c>
      <c r="G32" s="24">
        <v>0.95027678291661455</v>
      </c>
      <c r="H32" s="37">
        <v>0</v>
      </c>
      <c r="I32" s="38">
        <v>2.7027027027027025E-2</v>
      </c>
      <c r="J32" s="39">
        <v>209.95930501930494</v>
      </c>
      <c r="K32" s="39">
        <v>267.1226999999991</v>
      </c>
      <c r="L32" s="40">
        <v>824</v>
      </c>
      <c r="M32" s="41">
        <v>3167.3679949806865</v>
      </c>
      <c r="N32" s="34">
        <v>0</v>
      </c>
      <c r="O32" s="35">
        <v>2597.15</v>
      </c>
      <c r="P32" s="36">
        <v>2597.15</v>
      </c>
      <c r="Q32" s="24">
        <v>1</v>
      </c>
      <c r="R32" s="37">
        <v>0</v>
      </c>
      <c r="S32" s="38">
        <v>2.7027027027027025E-2</v>
      </c>
      <c r="T32" s="39">
        <v>184.88030888030895</v>
      </c>
      <c r="U32" s="39">
        <v>233.74350000000001</v>
      </c>
      <c r="V32" s="40">
        <v>824</v>
      </c>
      <c r="W32" s="41">
        <v>3002.5261911196912</v>
      </c>
      <c r="X32" s="107">
        <v>147.58000000000001</v>
      </c>
      <c r="Y32" s="35">
        <v>2968.0299999999902</v>
      </c>
      <c r="Z32" s="36">
        <v>2820.4499999999903</v>
      </c>
      <c r="AA32" s="24">
        <v>0.95027678291661455</v>
      </c>
      <c r="AB32" s="37">
        <v>0</v>
      </c>
      <c r="AC32" s="100">
        <v>2.7027027027027025E-2</v>
      </c>
      <c r="AD32" s="39">
        <v>209.95930501930494</v>
      </c>
      <c r="AE32" s="39">
        <v>267.1226999999991</v>
      </c>
      <c r="AF32" s="40">
        <v>824</v>
      </c>
      <c r="AG32" s="108">
        <v>3167.3679949806865</v>
      </c>
      <c r="AH32" s="107">
        <v>1787.72</v>
      </c>
      <c r="AI32" s="35">
        <v>2547.16</v>
      </c>
      <c r="AJ32" s="36">
        <v>759.43999999999983</v>
      </c>
      <c r="AK32" s="24">
        <v>0.29815166695456896</v>
      </c>
      <c r="AL32" s="37">
        <v>0</v>
      </c>
      <c r="AM32" s="100">
        <v>2.7027027027027025E-2</v>
      </c>
      <c r="AN32" s="39">
        <v>208.28285714285701</v>
      </c>
      <c r="AO32" s="39">
        <v>229.24439999999998</v>
      </c>
      <c r="AP32" s="40">
        <v>824</v>
      </c>
      <c r="AQ32" s="108">
        <v>1145.9127428571428</v>
      </c>
    </row>
    <row r="33" spans="3:43">
      <c r="C33" s="33" t="s">
        <v>139</v>
      </c>
      <c r="D33" s="34">
        <v>189.72</v>
      </c>
      <c r="E33" s="35">
        <v>1737.24</v>
      </c>
      <c r="F33" s="36">
        <v>1547.52</v>
      </c>
      <c r="G33" s="24">
        <v>0.8907922912205567</v>
      </c>
      <c r="H33" s="37">
        <v>0</v>
      </c>
      <c r="I33" s="38">
        <v>2.7027027027027025E-2</v>
      </c>
      <c r="J33" s="39">
        <v>209.95930501930494</v>
      </c>
      <c r="K33" s="39">
        <v>156.35159999999999</v>
      </c>
      <c r="L33" s="40">
        <v>721</v>
      </c>
      <c r="M33" s="41">
        <v>1902.209094980695</v>
      </c>
      <c r="N33" s="34">
        <v>0</v>
      </c>
      <c r="O33" s="35">
        <v>1476.18</v>
      </c>
      <c r="P33" s="36">
        <v>1476.18</v>
      </c>
      <c r="Q33" s="24">
        <v>1</v>
      </c>
      <c r="R33" s="37">
        <v>0</v>
      </c>
      <c r="S33" s="38">
        <v>2.7027027027027025E-2</v>
      </c>
      <c r="T33" s="39">
        <v>184.88030888030895</v>
      </c>
      <c r="U33" s="39">
        <v>132.8562</v>
      </c>
      <c r="V33" s="40">
        <v>721</v>
      </c>
      <c r="W33" s="41">
        <v>1879.4434911196913</v>
      </c>
      <c r="X33" s="107">
        <v>189.72</v>
      </c>
      <c r="Y33" s="35">
        <v>1737.24</v>
      </c>
      <c r="Z33" s="36">
        <v>1547.52</v>
      </c>
      <c r="AA33" s="24">
        <v>0.8907922912205567</v>
      </c>
      <c r="AB33" s="37">
        <v>0</v>
      </c>
      <c r="AC33" s="100">
        <v>2.7027027027027025E-2</v>
      </c>
      <c r="AD33" s="39">
        <v>209.95930501930494</v>
      </c>
      <c r="AE33" s="39">
        <v>156.35159999999999</v>
      </c>
      <c r="AF33" s="40">
        <v>721</v>
      </c>
      <c r="AG33" s="108">
        <v>1902.209094980695</v>
      </c>
      <c r="AH33" s="107">
        <v>972.32</v>
      </c>
      <c r="AI33" s="35">
        <v>1488.17</v>
      </c>
      <c r="AJ33" s="36">
        <v>515.85</v>
      </c>
      <c r="AK33" s="24">
        <v>0.34663378511863563</v>
      </c>
      <c r="AL33" s="37">
        <v>0</v>
      </c>
      <c r="AM33" s="100">
        <v>2.7027027027027025E-2</v>
      </c>
      <c r="AN33" s="39">
        <v>208.28285714285701</v>
      </c>
      <c r="AO33" s="39">
        <v>133.93530000000001</v>
      </c>
      <c r="AP33" s="40">
        <v>721</v>
      </c>
      <c r="AQ33" s="108">
        <v>894.63184285714283</v>
      </c>
    </row>
    <row r="34" spans="3:43">
      <c r="C34" s="33" t="s">
        <v>140</v>
      </c>
      <c r="D34" s="34">
        <v>27.49</v>
      </c>
      <c r="E34" s="35">
        <v>361.06</v>
      </c>
      <c r="F34" s="36">
        <v>333.57</v>
      </c>
      <c r="G34" s="24">
        <v>0.92386306984988642</v>
      </c>
      <c r="H34" s="37">
        <v>0</v>
      </c>
      <c r="I34" s="38">
        <v>2.7027027027027025E-2</v>
      </c>
      <c r="J34" s="39">
        <v>209.95930501930494</v>
      </c>
      <c r="K34" s="39">
        <v>32.495399999999997</v>
      </c>
      <c r="L34" s="40">
        <v>0</v>
      </c>
      <c r="M34" s="41">
        <v>91.115294980695069</v>
      </c>
      <c r="N34" s="34">
        <v>0</v>
      </c>
      <c r="O34" s="35">
        <v>410.23</v>
      </c>
      <c r="P34" s="36">
        <v>410.23</v>
      </c>
      <c r="Q34" s="24">
        <v>1</v>
      </c>
      <c r="R34" s="37">
        <v>0</v>
      </c>
      <c r="S34" s="38">
        <v>2.7027027027027025E-2</v>
      </c>
      <c r="T34" s="39">
        <v>184.88030888030895</v>
      </c>
      <c r="U34" s="39">
        <v>36.920700000000004</v>
      </c>
      <c r="V34" s="40">
        <v>0</v>
      </c>
      <c r="W34" s="41">
        <v>188.42899111969106</v>
      </c>
      <c r="X34" s="107">
        <v>27.49</v>
      </c>
      <c r="Y34" s="35">
        <v>361.06</v>
      </c>
      <c r="Z34" s="36">
        <v>333.57</v>
      </c>
      <c r="AA34" s="24">
        <v>0.92386306984988642</v>
      </c>
      <c r="AB34" s="37">
        <v>0</v>
      </c>
      <c r="AC34" s="100">
        <v>2.7027027027027025E-2</v>
      </c>
      <c r="AD34" s="39">
        <v>209.95930501930494</v>
      </c>
      <c r="AE34" s="39">
        <v>32.495399999999997</v>
      </c>
      <c r="AF34" s="40">
        <v>0</v>
      </c>
      <c r="AG34" s="108">
        <v>91.115294980695069</v>
      </c>
      <c r="AH34" s="107">
        <v>131.84</v>
      </c>
      <c r="AI34" s="35">
        <v>0</v>
      </c>
      <c r="AJ34" s="36">
        <v>-131.84</v>
      </c>
      <c r="AK34" s="24">
        <v>0</v>
      </c>
      <c r="AL34" s="37">
        <v>0</v>
      </c>
      <c r="AM34" s="100">
        <v>2.7027027027027025E-2</v>
      </c>
      <c r="AN34" s="39">
        <v>208.28285714285701</v>
      </c>
      <c r="AO34" s="39">
        <v>0</v>
      </c>
      <c r="AP34" s="40">
        <v>0</v>
      </c>
      <c r="AQ34" s="108">
        <v>-340.12285714285701</v>
      </c>
    </row>
    <row r="35" spans="3:43">
      <c r="C35" s="33" t="s">
        <v>141</v>
      </c>
      <c r="D35" s="34">
        <v>284.52999999999997</v>
      </c>
      <c r="E35" s="35">
        <v>3847.19</v>
      </c>
      <c r="F35" s="36">
        <v>3562.66</v>
      </c>
      <c r="G35" s="24">
        <v>0.9260421242517265</v>
      </c>
      <c r="H35" s="37">
        <v>0</v>
      </c>
      <c r="I35" s="38">
        <v>2.7027027027027025E-2</v>
      </c>
      <c r="J35" s="39">
        <v>209.95930501930494</v>
      </c>
      <c r="K35" s="39">
        <v>346.24709999999999</v>
      </c>
      <c r="L35" s="40">
        <v>824</v>
      </c>
      <c r="M35" s="41">
        <v>3830.453594980695</v>
      </c>
      <c r="N35" s="34">
        <v>0</v>
      </c>
      <c r="O35" s="35">
        <v>3777.9899999999602</v>
      </c>
      <c r="P35" s="36">
        <v>3777.9899999999602</v>
      </c>
      <c r="Q35" s="24">
        <v>1</v>
      </c>
      <c r="R35" s="37">
        <v>0</v>
      </c>
      <c r="S35" s="38">
        <v>2.7027027027027025E-2</v>
      </c>
      <c r="T35" s="39">
        <v>184.88030888030895</v>
      </c>
      <c r="U35" s="39">
        <v>340.0190999999964</v>
      </c>
      <c r="V35" s="40">
        <v>824</v>
      </c>
      <c r="W35" s="41">
        <v>4077.0905911196542</v>
      </c>
      <c r="X35" s="107">
        <v>284.52999999999997</v>
      </c>
      <c r="Y35" s="35">
        <v>3847.19</v>
      </c>
      <c r="Z35" s="36">
        <v>3562.66</v>
      </c>
      <c r="AA35" s="24">
        <v>0.9260421242517265</v>
      </c>
      <c r="AB35" s="37">
        <v>0</v>
      </c>
      <c r="AC35" s="100">
        <v>2.7027027027027025E-2</v>
      </c>
      <c r="AD35" s="39">
        <v>209.95930501930494</v>
      </c>
      <c r="AE35" s="39">
        <v>346.24709999999999</v>
      </c>
      <c r="AF35" s="40">
        <v>824</v>
      </c>
      <c r="AG35" s="108">
        <v>3830.453594980695</v>
      </c>
      <c r="AH35" s="107">
        <v>2344.89</v>
      </c>
      <c r="AI35" s="35">
        <v>3693.09</v>
      </c>
      <c r="AJ35" s="36">
        <v>1348.2000000000003</v>
      </c>
      <c r="AK35" s="24">
        <v>0.36506015288010857</v>
      </c>
      <c r="AL35" s="37">
        <v>0</v>
      </c>
      <c r="AM35" s="100">
        <v>2.7027027027027025E-2</v>
      </c>
      <c r="AN35" s="39">
        <v>208.28285714285701</v>
      </c>
      <c r="AO35" s="39">
        <v>332.37810000000002</v>
      </c>
      <c r="AP35" s="40">
        <v>824</v>
      </c>
      <c r="AQ35" s="108">
        <v>1631.5390428571432</v>
      </c>
    </row>
    <row r="36" spans="3:43">
      <c r="C36" s="33" t="s">
        <v>142</v>
      </c>
      <c r="D36" s="34">
        <v>52.97</v>
      </c>
      <c r="E36" s="35">
        <v>1178.92</v>
      </c>
      <c r="F36" s="36">
        <v>1125.95</v>
      </c>
      <c r="G36" s="24">
        <v>0.95506904624571642</v>
      </c>
      <c r="H36" s="37">
        <v>0</v>
      </c>
      <c r="I36" s="38">
        <v>2.7027027027027025E-2</v>
      </c>
      <c r="J36" s="39">
        <v>209.95930501930494</v>
      </c>
      <c r="K36" s="39">
        <v>106.1028</v>
      </c>
      <c r="L36" s="40">
        <v>824</v>
      </c>
      <c r="M36" s="41">
        <v>1633.8878949806951</v>
      </c>
      <c r="N36" s="34">
        <v>0</v>
      </c>
      <c r="O36" s="35">
        <v>1063.76</v>
      </c>
      <c r="P36" s="36">
        <v>1063.76</v>
      </c>
      <c r="Q36" s="24">
        <v>1</v>
      </c>
      <c r="R36" s="37">
        <v>0</v>
      </c>
      <c r="S36" s="38">
        <v>2.7027027027027025E-2</v>
      </c>
      <c r="T36" s="39">
        <v>184.88030888030895</v>
      </c>
      <c r="U36" s="39">
        <v>95.738399999999999</v>
      </c>
      <c r="V36" s="40">
        <v>824</v>
      </c>
      <c r="W36" s="41">
        <v>1607.141291119691</v>
      </c>
      <c r="X36" s="107">
        <v>52.97</v>
      </c>
      <c r="Y36" s="35">
        <v>1178.92</v>
      </c>
      <c r="Z36" s="36">
        <v>1125.95</v>
      </c>
      <c r="AA36" s="24">
        <v>0.95506904624571642</v>
      </c>
      <c r="AB36" s="37">
        <v>0</v>
      </c>
      <c r="AC36" s="100">
        <v>2.7027027027027025E-2</v>
      </c>
      <c r="AD36" s="39">
        <v>209.95930501930494</v>
      </c>
      <c r="AE36" s="39">
        <v>106.1028</v>
      </c>
      <c r="AF36" s="40">
        <v>824</v>
      </c>
      <c r="AG36" s="108">
        <v>1633.8878949806951</v>
      </c>
      <c r="AH36" s="107">
        <v>581.28</v>
      </c>
      <c r="AI36" s="35">
        <v>827.63000000000102</v>
      </c>
      <c r="AJ36" s="36">
        <v>246.35000000000105</v>
      </c>
      <c r="AK36" s="24">
        <v>0.29765716564165234</v>
      </c>
      <c r="AL36" s="37">
        <v>0</v>
      </c>
      <c r="AM36" s="100">
        <v>2.7027027027027025E-2</v>
      </c>
      <c r="AN36" s="39">
        <v>208.28285714285701</v>
      </c>
      <c r="AO36" s="39">
        <v>74.486700000000084</v>
      </c>
      <c r="AP36" s="40">
        <v>824</v>
      </c>
      <c r="AQ36" s="108">
        <v>787.58044285714391</v>
      </c>
    </row>
    <row r="37" spans="3:43">
      <c r="C37" s="33" t="s">
        <v>143</v>
      </c>
      <c r="D37" s="34">
        <v>1144.6600000000001</v>
      </c>
      <c r="E37" s="35">
        <v>16167.1800000002</v>
      </c>
      <c r="F37" s="36">
        <v>15022.520000000201</v>
      </c>
      <c r="G37" s="24">
        <v>0.92919853678872966</v>
      </c>
      <c r="H37" s="37">
        <v>0</v>
      </c>
      <c r="I37" s="38">
        <v>2.7027027027027025E-2</v>
      </c>
      <c r="J37" s="39">
        <v>209.95930501930494</v>
      </c>
      <c r="K37" s="39">
        <v>1455.046200000018</v>
      </c>
      <c r="L37" s="40">
        <v>900</v>
      </c>
      <c r="M37" s="41">
        <v>14257.514494980878</v>
      </c>
      <c r="N37" s="34">
        <v>0</v>
      </c>
      <c r="O37" s="35">
        <v>10458.440000000101</v>
      </c>
      <c r="P37" s="36">
        <v>10458.440000000101</v>
      </c>
      <c r="Q37" s="24">
        <v>1</v>
      </c>
      <c r="R37" s="37">
        <v>0</v>
      </c>
      <c r="S37" s="38">
        <v>2.7027027027027025E-2</v>
      </c>
      <c r="T37" s="39">
        <v>184.88030888030895</v>
      </c>
      <c r="U37" s="39">
        <v>941.25960000000896</v>
      </c>
      <c r="V37" s="40">
        <v>900</v>
      </c>
      <c r="W37" s="41">
        <v>10232.300091119783</v>
      </c>
      <c r="X37" s="107">
        <v>1144.6600000000001</v>
      </c>
      <c r="Y37" s="35">
        <v>16167.1800000002</v>
      </c>
      <c r="Z37" s="36">
        <v>15022.520000000201</v>
      </c>
      <c r="AA37" s="24">
        <v>0.92919853678872966</v>
      </c>
      <c r="AB37" s="37">
        <v>0</v>
      </c>
      <c r="AC37" s="100">
        <v>2.7027027027027025E-2</v>
      </c>
      <c r="AD37" s="39">
        <v>209.95930501930494</v>
      </c>
      <c r="AE37" s="39">
        <v>1455.046200000018</v>
      </c>
      <c r="AF37" s="40">
        <v>900</v>
      </c>
      <c r="AG37" s="108">
        <v>14257.514494980878</v>
      </c>
      <c r="AH37" s="107">
        <v>7627.26</v>
      </c>
      <c r="AI37" s="35">
        <v>14748.300000000199</v>
      </c>
      <c r="AJ37" s="36">
        <v>7121.0400000001991</v>
      </c>
      <c r="AK37" s="24">
        <v>0.4828380220093233</v>
      </c>
      <c r="AL37" s="37">
        <v>0</v>
      </c>
      <c r="AM37" s="100">
        <v>2.7027027027027025E-2</v>
      </c>
      <c r="AN37" s="39">
        <v>208.28285714285701</v>
      </c>
      <c r="AO37" s="39">
        <v>1327.3470000000179</v>
      </c>
      <c r="AP37" s="40">
        <v>900</v>
      </c>
      <c r="AQ37" s="108">
        <v>6485.410142857324</v>
      </c>
    </row>
    <row r="38" spans="3:43">
      <c r="C38" s="33" t="s">
        <v>144</v>
      </c>
      <c r="D38" s="34">
        <v>0</v>
      </c>
      <c r="E38" s="35">
        <v>0</v>
      </c>
      <c r="F38" s="36">
        <v>0</v>
      </c>
      <c r="G38" s="24">
        <v>0</v>
      </c>
      <c r="H38" s="37">
        <v>0</v>
      </c>
      <c r="I38" s="38">
        <v>0</v>
      </c>
      <c r="J38" s="39">
        <v>0</v>
      </c>
      <c r="K38" s="39">
        <v>0</v>
      </c>
      <c r="L38" s="40">
        <v>0</v>
      </c>
      <c r="M38" s="41">
        <v>0</v>
      </c>
      <c r="N38" s="34">
        <v>0</v>
      </c>
      <c r="O38" s="35">
        <v>0</v>
      </c>
      <c r="P38" s="36">
        <v>0</v>
      </c>
      <c r="Q38" s="24">
        <v>0</v>
      </c>
      <c r="R38" s="37">
        <v>0</v>
      </c>
      <c r="S38" s="38">
        <v>0</v>
      </c>
      <c r="T38" s="39">
        <v>0</v>
      </c>
      <c r="U38" s="39">
        <v>0</v>
      </c>
      <c r="V38" s="40">
        <v>0</v>
      </c>
      <c r="W38" s="41">
        <v>0</v>
      </c>
      <c r="X38" s="107">
        <v>0</v>
      </c>
      <c r="Y38" s="35">
        <v>0</v>
      </c>
      <c r="Z38" s="36">
        <v>0</v>
      </c>
      <c r="AA38" s="24">
        <v>0</v>
      </c>
      <c r="AB38" s="37">
        <v>0</v>
      </c>
      <c r="AC38" s="100">
        <v>0</v>
      </c>
      <c r="AD38" s="39">
        <v>0</v>
      </c>
      <c r="AE38" s="39">
        <v>0</v>
      </c>
      <c r="AF38" s="40">
        <v>0</v>
      </c>
      <c r="AG38" s="108">
        <v>0</v>
      </c>
      <c r="AH38" s="107">
        <v>1066.31</v>
      </c>
      <c r="AI38" s="35">
        <v>1016.58</v>
      </c>
      <c r="AJ38" s="36">
        <v>-49.729999999999905</v>
      </c>
      <c r="AK38" s="24">
        <v>-4.8918924236164299E-2</v>
      </c>
      <c r="AL38" s="37">
        <v>0</v>
      </c>
      <c r="AM38" s="100">
        <v>0</v>
      </c>
      <c r="AN38" s="39">
        <v>0</v>
      </c>
      <c r="AO38" s="39">
        <v>91.492199999999997</v>
      </c>
      <c r="AP38" s="40">
        <v>0</v>
      </c>
      <c r="AQ38" s="108">
        <v>-141.2221999999999</v>
      </c>
    </row>
    <row r="39" spans="3:43">
      <c r="C39" s="33" t="s">
        <v>145</v>
      </c>
      <c r="D39" s="34">
        <v>98.59</v>
      </c>
      <c r="E39" s="35">
        <v>1654.23</v>
      </c>
      <c r="F39" s="36">
        <v>1555.64</v>
      </c>
      <c r="G39" s="24">
        <v>0.94040127430889298</v>
      </c>
      <c r="H39" s="37">
        <v>0</v>
      </c>
      <c r="I39" s="38">
        <v>2.7027027027027025E-2</v>
      </c>
      <c r="J39" s="39">
        <v>209.95930501930494</v>
      </c>
      <c r="K39" s="39">
        <v>148.88069999999999</v>
      </c>
      <c r="L39" s="40">
        <v>824</v>
      </c>
      <c r="M39" s="41">
        <v>2020.7999949806954</v>
      </c>
      <c r="N39" s="34">
        <v>0</v>
      </c>
      <c r="O39" s="35">
        <v>1923.72</v>
      </c>
      <c r="P39" s="36">
        <v>1923.72</v>
      </c>
      <c r="Q39" s="24">
        <v>1</v>
      </c>
      <c r="R39" s="37">
        <v>0</v>
      </c>
      <c r="S39" s="38">
        <v>2.7027027027027025E-2</v>
      </c>
      <c r="T39" s="39">
        <v>184.88030888030895</v>
      </c>
      <c r="U39" s="39">
        <v>173.13479999999998</v>
      </c>
      <c r="V39" s="40">
        <v>824</v>
      </c>
      <c r="W39" s="41">
        <v>2389.7048911196912</v>
      </c>
      <c r="X39" s="107">
        <v>98.59</v>
      </c>
      <c r="Y39" s="35">
        <v>1654.23</v>
      </c>
      <c r="Z39" s="36">
        <v>1555.64</v>
      </c>
      <c r="AA39" s="24">
        <v>0.94040127430889298</v>
      </c>
      <c r="AB39" s="37">
        <v>0</v>
      </c>
      <c r="AC39" s="100">
        <v>2.7027027027027025E-2</v>
      </c>
      <c r="AD39" s="39">
        <v>209.95930501930494</v>
      </c>
      <c r="AE39" s="39">
        <v>148.88069999999999</v>
      </c>
      <c r="AF39" s="40">
        <v>824</v>
      </c>
      <c r="AG39" s="108">
        <v>2020.7999949806954</v>
      </c>
      <c r="AH39" s="107">
        <v>910.77</v>
      </c>
      <c r="AI39" s="35">
        <v>1082.98</v>
      </c>
      <c r="AJ39" s="36">
        <v>172.21000000000004</v>
      </c>
      <c r="AK39" s="24">
        <v>0.15901494025743784</v>
      </c>
      <c r="AL39" s="37">
        <v>0</v>
      </c>
      <c r="AM39" s="100">
        <v>2.7027027027027025E-2</v>
      </c>
      <c r="AN39" s="39">
        <v>208.28285714285701</v>
      </c>
      <c r="AO39" s="39">
        <v>97.468199999999996</v>
      </c>
      <c r="AP39" s="40">
        <v>824</v>
      </c>
      <c r="AQ39" s="108">
        <v>690.45894285714303</v>
      </c>
    </row>
    <row r="40" spans="3:43">
      <c r="C40" s="33" t="s">
        <v>146</v>
      </c>
      <c r="D40" s="34">
        <v>307.11</v>
      </c>
      <c r="E40" s="35">
        <v>4355.20999999999</v>
      </c>
      <c r="F40" s="36">
        <v>4048.0999999999899</v>
      </c>
      <c r="G40" s="24">
        <v>0.92948445654744527</v>
      </c>
      <c r="H40" s="37">
        <v>0</v>
      </c>
      <c r="I40" s="38">
        <v>2.7027027027027025E-2</v>
      </c>
      <c r="J40" s="39">
        <v>209.95930501930494</v>
      </c>
      <c r="K40" s="39">
        <v>391.96889999999911</v>
      </c>
      <c r="L40" s="40">
        <v>927</v>
      </c>
      <c r="M40" s="41">
        <v>4373.1717949806853</v>
      </c>
      <c r="N40" s="34">
        <v>0</v>
      </c>
      <c r="O40" s="35">
        <v>3526.2199999999798</v>
      </c>
      <c r="P40" s="36">
        <v>3526.2199999999798</v>
      </c>
      <c r="Q40" s="24">
        <v>1</v>
      </c>
      <c r="R40" s="37">
        <v>0</v>
      </c>
      <c r="S40" s="38">
        <v>2.7027027027027025E-2</v>
      </c>
      <c r="T40" s="39">
        <v>184.88030888030895</v>
      </c>
      <c r="U40" s="39">
        <v>317.35979999999819</v>
      </c>
      <c r="V40" s="40">
        <v>927</v>
      </c>
      <c r="W40" s="41">
        <v>3950.9798911196722</v>
      </c>
      <c r="X40" s="107">
        <v>307.11</v>
      </c>
      <c r="Y40" s="35">
        <v>4355.20999999999</v>
      </c>
      <c r="Z40" s="36">
        <v>4048.0999999999899</v>
      </c>
      <c r="AA40" s="24">
        <v>0.92948445654744527</v>
      </c>
      <c r="AB40" s="37">
        <v>0</v>
      </c>
      <c r="AC40" s="100">
        <v>2.7027027027027025E-2</v>
      </c>
      <c r="AD40" s="39">
        <v>209.95930501930494</v>
      </c>
      <c r="AE40" s="39">
        <v>391.96889999999911</v>
      </c>
      <c r="AF40" s="40">
        <v>927</v>
      </c>
      <c r="AG40" s="108">
        <v>4373.1717949806853</v>
      </c>
      <c r="AH40" s="107">
        <v>2519.04</v>
      </c>
      <c r="AI40" s="35">
        <v>3939.6699999999901</v>
      </c>
      <c r="AJ40" s="36">
        <v>1420.6299999999901</v>
      </c>
      <c r="AK40" s="24">
        <v>0.36059619206684662</v>
      </c>
      <c r="AL40" s="37">
        <v>0</v>
      </c>
      <c r="AM40" s="100">
        <v>2.7027027027027025E-2</v>
      </c>
      <c r="AN40" s="39">
        <v>208.28285714285701</v>
      </c>
      <c r="AO40" s="39">
        <v>354.57029999999907</v>
      </c>
      <c r="AP40" s="40">
        <v>927</v>
      </c>
      <c r="AQ40" s="108">
        <v>1784.7768428571339</v>
      </c>
    </row>
    <row r="41" spans="3:43">
      <c r="C41" s="33" t="s">
        <v>147</v>
      </c>
      <c r="D41" s="34">
        <v>213.75</v>
      </c>
      <c r="E41" s="35">
        <v>2058.2199999999998</v>
      </c>
      <c r="F41" s="36">
        <v>1844.4699999999998</v>
      </c>
      <c r="G41" s="24">
        <v>0.89614812799409194</v>
      </c>
      <c r="H41" s="37">
        <v>0</v>
      </c>
      <c r="I41" s="38">
        <v>2.7027027027027025E-2</v>
      </c>
      <c r="J41" s="39">
        <v>209.95930501930494</v>
      </c>
      <c r="K41" s="39">
        <v>185.23979999999997</v>
      </c>
      <c r="L41" s="40">
        <v>830</v>
      </c>
      <c r="M41" s="41">
        <v>2279.2708949806947</v>
      </c>
      <c r="N41" s="34">
        <v>0</v>
      </c>
      <c r="O41" s="35">
        <v>1812.49</v>
      </c>
      <c r="P41" s="36">
        <v>1812.49</v>
      </c>
      <c r="Q41" s="24">
        <v>1</v>
      </c>
      <c r="R41" s="37">
        <v>0</v>
      </c>
      <c r="S41" s="38">
        <v>2.7027027027027025E-2</v>
      </c>
      <c r="T41" s="39">
        <v>184.88030888030895</v>
      </c>
      <c r="U41" s="39">
        <v>163.1241</v>
      </c>
      <c r="V41" s="40">
        <v>830</v>
      </c>
      <c r="W41" s="41">
        <v>2294.485591119691</v>
      </c>
      <c r="X41" s="107">
        <v>213.75</v>
      </c>
      <c r="Y41" s="35">
        <v>2058.2199999999998</v>
      </c>
      <c r="Z41" s="36">
        <v>1844.4699999999998</v>
      </c>
      <c r="AA41" s="24">
        <v>0.89614812799409194</v>
      </c>
      <c r="AB41" s="37">
        <v>0</v>
      </c>
      <c r="AC41" s="100">
        <v>2.7027027027027025E-2</v>
      </c>
      <c r="AD41" s="39">
        <v>209.95930501930494</v>
      </c>
      <c r="AE41" s="39">
        <v>185.23979999999997</v>
      </c>
      <c r="AF41" s="40">
        <v>830</v>
      </c>
      <c r="AG41" s="108">
        <v>2279.2708949806947</v>
      </c>
      <c r="AH41" s="107">
        <v>1293.75</v>
      </c>
      <c r="AI41" s="35">
        <v>2126.58</v>
      </c>
      <c r="AJ41" s="36">
        <v>832.82999999999993</v>
      </c>
      <c r="AK41" s="24">
        <v>0.39162881245944192</v>
      </c>
      <c r="AL41" s="37">
        <v>0</v>
      </c>
      <c r="AM41" s="100">
        <v>2.7027027027027025E-2</v>
      </c>
      <c r="AN41" s="39">
        <v>208.28285714285701</v>
      </c>
      <c r="AO41" s="39">
        <v>191.39219999999997</v>
      </c>
      <c r="AP41" s="40">
        <v>830</v>
      </c>
      <c r="AQ41" s="108">
        <v>1263.1549428571429</v>
      </c>
    </row>
    <row r="42" spans="3:43">
      <c r="C42" s="33" t="s">
        <v>148</v>
      </c>
      <c r="D42" s="34">
        <v>36.5</v>
      </c>
      <c r="E42" s="35">
        <v>662.31</v>
      </c>
      <c r="F42" s="36">
        <v>625.80999999999995</v>
      </c>
      <c r="G42" s="24">
        <v>0.94488985520375657</v>
      </c>
      <c r="H42" s="37">
        <v>0</v>
      </c>
      <c r="I42" s="38">
        <v>2.7027027027027025E-2</v>
      </c>
      <c r="J42" s="39">
        <v>209.95930501930494</v>
      </c>
      <c r="K42" s="39">
        <v>59.607899999999994</v>
      </c>
      <c r="L42" s="40">
        <v>830</v>
      </c>
      <c r="M42" s="41">
        <v>1186.242794980695</v>
      </c>
      <c r="N42" s="34">
        <v>0</v>
      </c>
      <c r="O42" s="35">
        <v>11</v>
      </c>
      <c r="P42" s="36">
        <v>11</v>
      </c>
      <c r="Q42" s="24">
        <v>1</v>
      </c>
      <c r="R42" s="37">
        <v>0</v>
      </c>
      <c r="S42" s="38">
        <v>2.7027027027027025E-2</v>
      </c>
      <c r="T42" s="39">
        <v>184.88030888030895</v>
      </c>
      <c r="U42" s="39">
        <v>0.99</v>
      </c>
      <c r="V42" s="40">
        <v>830</v>
      </c>
      <c r="W42" s="41">
        <v>655.12969111969107</v>
      </c>
      <c r="X42" s="107">
        <v>36.5</v>
      </c>
      <c r="Y42" s="35">
        <v>662.31</v>
      </c>
      <c r="Z42" s="36">
        <v>625.80999999999995</v>
      </c>
      <c r="AA42" s="24">
        <v>0.94488985520375657</v>
      </c>
      <c r="AB42" s="37">
        <v>0</v>
      </c>
      <c r="AC42" s="100">
        <v>2.7027027027027025E-2</v>
      </c>
      <c r="AD42" s="39">
        <v>209.95930501930494</v>
      </c>
      <c r="AE42" s="39">
        <v>59.607899999999994</v>
      </c>
      <c r="AF42" s="40">
        <v>830</v>
      </c>
      <c r="AG42" s="108">
        <v>1186.242794980695</v>
      </c>
      <c r="AH42" s="107">
        <v>472.87</v>
      </c>
      <c r="AI42" s="35">
        <v>525.89</v>
      </c>
      <c r="AJ42" s="36">
        <v>53.019999999999982</v>
      </c>
      <c r="AK42" s="24">
        <v>0.1008195630264884</v>
      </c>
      <c r="AL42" s="37">
        <v>0</v>
      </c>
      <c r="AM42" s="100">
        <v>2.7027027027027025E-2</v>
      </c>
      <c r="AN42" s="39">
        <v>208.28285714285701</v>
      </c>
      <c r="AO42" s="39">
        <v>47.330099999999995</v>
      </c>
      <c r="AP42" s="40">
        <v>830</v>
      </c>
      <c r="AQ42" s="108">
        <v>627.40704285714298</v>
      </c>
    </row>
    <row r="43" spans="3:43">
      <c r="C43" s="33" t="s">
        <v>149</v>
      </c>
      <c r="D43" s="34">
        <v>42.31</v>
      </c>
      <c r="E43" s="35">
        <v>1096.23</v>
      </c>
      <c r="F43" s="36">
        <v>1053.92</v>
      </c>
      <c r="G43" s="24">
        <v>0.96140408490918883</v>
      </c>
      <c r="H43" s="37">
        <v>0</v>
      </c>
      <c r="I43" s="38">
        <v>2.7027027027027025E-2</v>
      </c>
      <c r="J43" s="39">
        <v>209.95930501930494</v>
      </c>
      <c r="K43" s="39">
        <v>98.660699999999991</v>
      </c>
      <c r="L43" s="40">
        <v>0</v>
      </c>
      <c r="M43" s="41">
        <v>745.29999498069515</v>
      </c>
      <c r="N43" s="34">
        <v>0</v>
      </c>
      <c r="O43" s="35">
        <v>855.71</v>
      </c>
      <c r="P43" s="36">
        <v>855.71</v>
      </c>
      <c r="Q43" s="24">
        <v>1</v>
      </c>
      <c r="R43" s="37">
        <v>0</v>
      </c>
      <c r="S43" s="38">
        <v>2.7027027027027025E-2</v>
      </c>
      <c r="T43" s="39">
        <v>184.88030888030895</v>
      </c>
      <c r="U43" s="39">
        <v>77.013900000000007</v>
      </c>
      <c r="V43" s="40">
        <v>0</v>
      </c>
      <c r="W43" s="41">
        <v>593.81579111969108</v>
      </c>
      <c r="X43" s="107">
        <v>42.31</v>
      </c>
      <c r="Y43" s="35">
        <v>1096.23</v>
      </c>
      <c r="Z43" s="36">
        <v>1053.92</v>
      </c>
      <c r="AA43" s="24">
        <v>0.96140408490918883</v>
      </c>
      <c r="AB43" s="37">
        <v>0</v>
      </c>
      <c r="AC43" s="100">
        <v>2.7027027027027025E-2</v>
      </c>
      <c r="AD43" s="39">
        <v>209.95930501930494</v>
      </c>
      <c r="AE43" s="39">
        <v>98.660699999999991</v>
      </c>
      <c r="AF43" s="40">
        <v>0</v>
      </c>
      <c r="AG43" s="108">
        <v>745.29999498069515</v>
      </c>
      <c r="AH43" s="107">
        <v>246.44</v>
      </c>
      <c r="AI43" s="35">
        <v>346.03</v>
      </c>
      <c r="AJ43" s="36">
        <v>99.589999999999975</v>
      </c>
      <c r="AK43" s="24">
        <v>0.28780741554200495</v>
      </c>
      <c r="AL43" s="37">
        <v>0</v>
      </c>
      <c r="AM43" s="100">
        <v>2.7027027027027025E-2</v>
      </c>
      <c r="AN43" s="39">
        <v>208.28285714285701</v>
      </c>
      <c r="AO43" s="39">
        <v>31.142699999999998</v>
      </c>
      <c r="AP43" s="40">
        <v>0</v>
      </c>
      <c r="AQ43" s="108">
        <v>-139.83555714285703</v>
      </c>
    </row>
    <row r="44" spans="3:43">
      <c r="C44" s="33" t="s">
        <v>150</v>
      </c>
      <c r="D44" s="34">
        <v>27.43</v>
      </c>
      <c r="E44" s="35">
        <v>501.34</v>
      </c>
      <c r="F44" s="36">
        <v>473.90999999999997</v>
      </c>
      <c r="G44" s="24">
        <v>0.94528663182670447</v>
      </c>
      <c r="H44" s="37">
        <v>0</v>
      </c>
      <c r="I44" s="38">
        <v>2.7027027027027025E-2</v>
      </c>
      <c r="J44" s="39">
        <v>209.95930501930494</v>
      </c>
      <c r="K44" s="39">
        <v>45.120599999999996</v>
      </c>
      <c r="L44" s="40">
        <v>669.5</v>
      </c>
      <c r="M44" s="41">
        <v>888.33009498069487</v>
      </c>
      <c r="N44" s="34">
        <v>0</v>
      </c>
      <c r="O44" s="35">
        <v>299.45999999999998</v>
      </c>
      <c r="P44" s="36">
        <v>299.45999999999998</v>
      </c>
      <c r="Q44" s="24">
        <v>1</v>
      </c>
      <c r="R44" s="37">
        <v>0</v>
      </c>
      <c r="S44" s="38">
        <v>2.7027027027027025E-2</v>
      </c>
      <c r="T44" s="39">
        <v>184.88030888030895</v>
      </c>
      <c r="U44" s="39">
        <v>26.951399999999996</v>
      </c>
      <c r="V44" s="40">
        <v>669.5</v>
      </c>
      <c r="W44" s="41">
        <v>757.12829111969108</v>
      </c>
      <c r="X44" s="107">
        <v>27.43</v>
      </c>
      <c r="Y44" s="35">
        <v>501.34</v>
      </c>
      <c r="Z44" s="36">
        <v>473.90999999999997</v>
      </c>
      <c r="AA44" s="24">
        <v>0.94528663182670447</v>
      </c>
      <c r="AB44" s="37">
        <v>0</v>
      </c>
      <c r="AC44" s="100">
        <v>2.7027027027027025E-2</v>
      </c>
      <c r="AD44" s="39">
        <v>209.95930501930494</v>
      </c>
      <c r="AE44" s="39">
        <v>45.120599999999996</v>
      </c>
      <c r="AF44" s="40">
        <v>669.5</v>
      </c>
      <c r="AG44" s="108">
        <v>888.33009498069487</v>
      </c>
      <c r="AH44" s="107">
        <v>385.07</v>
      </c>
      <c r="AI44" s="35">
        <v>479.94</v>
      </c>
      <c r="AJ44" s="36">
        <v>94.87</v>
      </c>
      <c r="AK44" s="24">
        <v>0.19767054215110222</v>
      </c>
      <c r="AL44" s="37">
        <v>0</v>
      </c>
      <c r="AM44" s="100">
        <v>2.7027027027027025E-2</v>
      </c>
      <c r="AN44" s="39">
        <v>208.28285714285701</v>
      </c>
      <c r="AO44" s="39">
        <v>43.194600000000001</v>
      </c>
      <c r="AP44" s="40">
        <v>669.5</v>
      </c>
      <c r="AQ44" s="108">
        <v>512.89254285714298</v>
      </c>
    </row>
    <row r="45" spans="3:43">
      <c r="C45" s="33" t="s">
        <v>151</v>
      </c>
      <c r="D45" s="34">
        <v>256.08</v>
      </c>
      <c r="E45" s="35">
        <v>4767.8100000000004</v>
      </c>
      <c r="F45" s="36">
        <v>4511.7300000000005</v>
      </c>
      <c r="G45" s="24">
        <v>0.94628980601156509</v>
      </c>
      <c r="H45" s="37">
        <v>0</v>
      </c>
      <c r="I45" s="38">
        <v>2.7027027027027025E-2</v>
      </c>
      <c r="J45" s="39">
        <v>209.95930501930494</v>
      </c>
      <c r="K45" s="39">
        <v>429.10290000000003</v>
      </c>
      <c r="L45" s="40">
        <v>925</v>
      </c>
      <c r="M45" s="41">
        <v>4797.6677949806954</v>
      </c>
      <c r="N45" s="34">
        <v>0</v>
      </c>
      <c r="O45" s="35">
        <v>8.89</v>
      </c>
      <c r="P45" s="36">
        <v>8.89</v>
      </c>
      <c r="Q45" s="24">
        <v>1</v>
      </c>
      <c r="R45" s="37">
        <v>0</v>
      </c>
      <c r="S45" s="38">
        <v>2.7027027027027025E-2</v>
      </c>
      <c r="T45" s="39">
        <v>184.88030888030895</v>
      </c>
      <c r="U45" s="39">
        <v>0.80010000000000003</v>
      </c>
      <c r="V45" s="40">
        <v>925</v>
      </c>
      <c r="W45" s="41">
        <v>748.20959111969103</v>
      </c>
      <c r="X45" s="107">
        <v>256.08</v>
      </c>
      <c r="Y45" s="35">
        <v>4767.8100000000004</v>
      </c>
      <c r="Z45" s="36">
        <v>4511.7300000000005</v>
      </c>
      <c r="AA45" s="24">
        <v>0.94628980601156509</v>
      </c>
      <c r="AB45" s="37">
        <v>0</v>
      </c>
      <c r="AC45" s="100">
        <v>2.7027027027027025E-2</v>
      </c>
      <c r="AD45" s="39">
        <v>209.95930501930494</v>
      </c>
      <c r="AE45" s="39">
        <v>429.10290000000003</v>
      </c>
      <c r="AF45" s="40">
        <v>925</v>
      </c>
      <c r="AG45" s="108">
        <v>4797.6677949806954</v>
      </c>
      <c r="AH45" s="107">
        <v>2827.95</v>
      </c>
      <c r="AI45" s="35">
        <v>4383.4399999999896</v>
      </c>
      <c r="AJ45" s="36">
        <v>1555.4899999999898</v>
      </c>
      <c r="AK45" s="24">
        <v>0.35485600350409574</v>
      </c>
      <c r="AL45" s="37">
        <v>0</v>
      </c>
      <c r="AM45" s="100">
        <v>2.7027027027027025E-2</v>
      </c>
      <c r="AN45" s="39">
        <v>208.28285714285701</v>
      </c>
      <c r="AO45" s="39">
        <v>394.50959999999907</v>
      </c>
      <c r="AP45" s="40">
        <v>925</v>
      </c>
      <c r="AQ45" s="108">
        <v>1877.6975428571336</v>
      </c>
    </row>
    <row r="46" spans="3:43">
      <c r="C46" s="42" t="s">
        <v>152</v>
      </c>
      <c r="D46" s="43">
        <f>SUM(D5:D45)</f>
        <v>5649.9599999999991</v>
      </c>
      <c r="E46" s="43">
        <f>SUM(E5:E45)</f>
        <v>78512.620000000112</v>
      </c>
      <c r="F46" s="44">
        <f t="shared" ref="F46" si="0">E46-D46</f>
        <v>72862.66000000012</v>
      </c>
      <c r="G46" s="45">
        <f>F46/E46</f>
        <v>0.92803755625528761</v>
      </c>
      <c r="H46" s="43">
        <f t="shared" ref="H46:O46" si="1">SUM(H5:H45)</f>
        <v>0</v>
      </c>
      <c r="I46" s="46">
        <f t="shared" si="1"/>
        <v>0.999999999999999</v>
      </c>
      <c r="J46" s="43">
        <f t="shared" si="1"/>
        <v>7768.4942857142869</v>
      </c>
      <c r="K46" s="43">
        <f t="shared" si="1"/>
        <v>7066.1358000000118</v>
      </c>
      <c r="L46" s="43">
        <f t="shared" si="1"/>
        <v>30387.833333333332</v>
      </c>
      <c r="M46" s="43">
        <f t="shared" si="1"/>
        <v>88415.863247619171</v>
      </c>
      <c r="N46" s="43">
        <f t="shared" si="1"/>
        <v>0</v>
      </c>
      <c r="O46" s="43">
        <f t="shared" si="1"/>
        <v>57281.280000000013</v>
      </c>
      <c r="P46" s="44">
        <f t="shared" ref="P46" si="2">O46-N46</f>
        <v>57281.280000000013</v>
      </c>
      <c r="Q46" s="45">
        <f>P46/O46</f>
        <v>1</v>
      </c>
      <c r="R46" s="43">
        <f t="shared" ref="R46:Y46" si="3">SUM(R5:R45)</f>
        <v>0</v>
      </c>
      <c r="S46" s="46">
        <f t="shared" si="3"/>
        <v>0.999999999999999</v>
      </c>
      <c r="T46" s="43">
        <f t="shared" si="3"/>
        <v>6840.5714285714284</v>
      </c>
      <c r="U46" s="43">
        <f t="shared" si="3"/>
        <v>5155.3152000000018</v>
      </c>
      <c r="V46" s="43">
        <f t="shared" si="3"/>
        <v>30387.833333333332</v>
      </c>
      <c r="W46" s="116">
        <f t="shared" si="3"/>
        <v>75673.226704761895</v>
      </c>
      <c r="X46" s="109">
        <f t="shared" si="3"/>
        <v>5649.9599999999991</v>
      </c>
      <c r="Y46" s="110">
        <f t="shared" si="3"/>
        <v>78512.620000000112</v>
      </c>
      <c r="Z46" s="111">
        <f t="shared" ref="Z46" si="4">Y46-X46</f>
        <v>72862.66000000012</v>
      </c>
      <c r="AA46" s="112">
        <f>Z46/Y46</f>
        <v>0.92803755625528761</v>
      </c>
      <c r="AB46" s="110">
        <f t="shared" ref="AB46:AI46" si="5">SUM(AB5:AB45)</f>
        <v>0</v>
      </c>
      <c r="AC46" s="113">
        <f>SUM(AC5:AC45)</f>
        <v>0.999999999999999</v>
      </c>
      <c r="AD46" s="110">
        <f t="shared" si="5"/>
        <v>7768.4942857142869</v>
      </c>
      <c r="AE46" s="110">
        <f>SUM(AE5:AE45)</f>
        <v>7066.1358000000118</v>
      </c>
      <c r="AF46" s="110">
        <f t="shared" si="5"/>
        <v>30387.833333333332</v>
      </c>
      <c r="AG46" s="114">
        <f t="shared" si="5"/>
        <v>88415.863247619171</v>
      </c>
      <c r="AH46" s="109">
        <f t="shared" si="5"/>
        <v>45721.15</v>
      </c>
      <c r="AI46" s="110">
        <f t="shared" si="5"/>
        <v>70600.690000000162</v>
      </c>
      <c r="AJ46" s="111">
        <f t="shared" ref="AJ46" si="6">AI46-AH46</f>
        <v>24879.540000000161</v>
      </c>
      <c r="AK46" s="112">
        <f>AJ46/AI46</f>
        <v>0.35239797231443637</v>
      </c>
      <c r="AL46" s="110">
        <f t="shared" ref="AL46" si="7">SUM(AL5:AL45)</f>
        <v>0</v>
      </c>
      <c r="AM46" s="113">
        <f>SUM(AM5:AM45)</f>
        <v>0.999999999999999</v>
      </c>
      <c r="AN46" s="110">
        <f t="shared" ref="AN46" si="8">SUM(AN5:AN45)</f>
        <v>7706.465714285715</v>
      </c>
      <c r="AO46" s="110">
        <f>SUM(AO5:AO45)</f>
        <v>6354.0621000000156</v>
      </c>
      <c r="AP46" s="110">
        <f>SUM(AP5:AP45)</f>
        <v>30387.833333333332</v>
      </c>
      <c r="AQ46" s="114">
        <f t="shared" ref="AQ46" si="9">SUM(AQ5:AQ45)</f>
        <v>41206.845519047783</v>
      </c>
    </row>
    <row r="47" spans="3:43">
      <c r="W47" s="117">
        <f>W46/37</f>
        <v>2045.2223433719432</v>
      </c>
      <c r="AD47" s="192">
        <f>AD46/Y46</f>
        <v>9.8945803690085432E-2</v>
      </c>
      <c r="AF47" s="117"/>
      <c r="AG47" s="117">
        <f>AG46/37</f>
        <v>2389.6179256113292</v>
      </c>
      <c r="AN47" s="192">
        <f>AN46/AI46</f>
        <v>0.10915567134380269</v>
      </c>
      <c r="AQ47" s="117">
        <f>AQ46/37</f>
        <v>1113.6985275418319</v>
      </c>
    </row>
    <row r="48" spans="3:43">
      <c r="W48" s="117"/>
      <c r="Y48" s="184"/>
    </row>
    <row r="49" spans="2:33">
      <c r="B49" t="s">
        <v>153</v>
      </c>
      <c r="AG49" s="117"/>
    </row>
    <row r="51" spans="2:33">
      <c r="B51">
        <v>1</v>
      </c>
      <c r="C51" t="s">
        <v>154</v>
      </c>
    </row>
  </sheetData>
  <mergeCells count="4">
    <mergeCell ref="D3:M3"/>
    <mergeCell ref="N3:W3"/>
    <mergeCell ref="X3:AG3"/>
    <mergeCell ref="AH3:AQ3"/>
  </mergeCells>
  <conditionalFormatting sqref="F5:F4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{7AA63E65-F342-42B9-8A64-600C35FE1BEE}</x14:id>
        </ext>
      </extLst>
    </cfRule>
  </conditionalFormatting>
  <conditionalFormatting sqref="G5:H4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{67A03BE0-BDC4-42AA-A9C6-EA8ED160205D}</x14:id>
        </ext>
      </extLst>
    </cfRule>
  </conditionalFormatting>
  <conditionalFormatting sqref="M5:M4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{A15E0C95-CD84-49F2-824F-3DE8FD2F871D}</x14:id>
        </ext>
      </extLst>
    </cfRule>
  </conditionalFormatting>
  <conditionalFormatting sqref="P5:P4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{033CFB83-36A2-4DAC-9441-42292D7D2EC6}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{6B0258AA-F29D-4DD1-B847-69AEBD56597D}</x14:id>
        </ext>
      </extLst>
    </cfRule>
  </conditionalFormatting>
  <conditionalFormatting sqref="Q5:R4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{DA6D7011-87D7-42AD-9120-8921904ADCB0}</x14:id>
        </ext>
      </extLst>
    </cfRule>
  </conditionalFormatting>
  <conditionalFormatting sqref="W5:W4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{89E9C854-95CF-4168-9F18-0F5CC6C4F8AD}</x14:id>
        </ext>
      </extLst>
    </cfRule>
  </conditionalFormatting>
  <conditionalFormatting sqref="Z5:Z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{B36FD6E6-EAA7-42E3-BC40-5DC75A26EAAA}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{FF69A821-1DE9-4AD4-9856-CB5360DE48A0}</x14:id>
        </ext>
      </extLst>
    </cfRule>
  </conditionalFormatting>
  <conditionalFormatting sqref="AA5:AB4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{E2EEAD24-3569-4CE3-BD2C-C45763D7BE12}</x14:id>
        </ext>
      </extLst>
    </cfRule>
  </conditionalFormatting>
  <conditionalFormatting sqref="AG5:AG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{45194CC7-90DF-48F8-9D19-44FE18B4F774}</x14:id>
        </ext>
      </extLst>
    </cfRule>
  </conditionalFormatting>
  <conditionalFormatting sqref="AJ5:AJ4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{E663F923-6AAE-4716-8B3B-525E3A2235E0}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{2CB3A1EE-1E03-4F7F-A756-6C36993E471F}</x14:id>
        </ext>
      </extLst>
    </cfRule>
  </conditionalFormatting>
  <conditionalFormatting sqref="AK5:AL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{14C82CBA-F731-4FFA-A35D-2A20CE417400}</x14:id>
        </ext>
      </extLst>
    </cfRule>
  </conditionalFormatting>
  <conditionalFormatting sqref="AQ5:AQ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{1686431C-B682-4A79-A478-E635FEF81A1D}</x14:id>
        </ext>
      </extLst>
    </cfRule>
  </conditionalFormatting>
  <dataValidations count="1">
    <dataValidation type="list" allowBlank="1" showInputMessage="1" showErrorMessage="1" sqref="D3:AQ3" xr:uid="{CB812BB3-E43B-4BE2-B6DE-08C74E13DB6D}">
      <formula1>MonthAndYearList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A63E65-F342-42B9-8A64-600C35FE1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F5:F45</xm:sqref>
        </x14:conditionalFormatting>
        <x14:conditionalFormatting xmlns:xm="http://schemas.microsoft.com/office/excel/2006/main">
          <x14:cfRule type="dataBar" id="{67A03BE0-BDC4-42AA-A9C6-EA8ED1602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G5:H45</xm:sqref>
        </x14:conditionalFormatting>
        <x14:conditionalFormatting xmlns:xm="http://schemas.microsoft.com/office/excel/2006/main">
          <x14:cfRule type="dataBar" id="{A15E0C95-CD84-49F2-824F-3DE8FD2F8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M5:M45</xm:sqref>
        </x14:conditionalFormatting>
        <x14:conditionalFormatting xmlns:xm="http://schemas.microsoft.com/office/excel/2006/main">
          <x14:cfRule type="dataBar" id="{033CFB83-36A2-4DAC-9441-42292D7D2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0258AA-F29D-4DD1-B847-69AEBD565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P5:P45</xm:sqref>
        </x14:conditionalFormatting>
        <x14:conditionalFormatting xmlns:xm="http://schemas.microsoft.com/office/excel/2006/main">
          <x14:cfRule type="dataBar" id="{DA6D7011-87D7-42AD-9120-8921904AD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Q5:R45</xm:sqref>
        </x14:conditionalFormatting>
        <x14:conditionalFormatting xmlns:xm="http://schemas.microsoft.com/office/excel/2006/main">
          <x14:cfRule type="dataBar" id="{89E9C854-95CF-4168-9F18-0F5CC6C4F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W5:W45</xm:sqref>
        </x14:conditionalFormatting>
        <x14:conditionalFormatting xmlns:xm="http://schemas.microsoft.com/office/excel/2006/main">
          <x14:cfRule type="dataBar" id="{B36FD6E6-EAA7-42E3-BC40-5DC75A26E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9A821-1DE9-4AD4-9856-CB5360DE4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Z5:Z45</xm:sqref>
        </x14:conditionalFormatting>
        <x14:conditionalFormatting xmlns:xm="http://schemas.microsoft.com/office/excel/2006/main">
          <x14:cfRule type="dataBar" id="{E2EEAD24-3569-4CE3-BD2C-C45763D7B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AA5:AB45</xm:sqref>
        </x14:conditionalFormatting>
        <x14:conditionalFormatting xmlns:xm="http://schemas.microsoft.com/office/excel/2006/main">
          <x14:cfRule type="dataBar" id="{45194CC7-90DF-48F8-9D19-44FE18B4F7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AG5:AG45</xm:sqref>
        </x14:conditionalFormatting>
        <x14:conditionalFormatting xmlns:xm="http://schemas.microsoft.com/office/excel/2006/main">
          <x14:cfRule type="dataBar" id="{E663F923-6AAE-4716-8B3B-525E3A223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3A1EE-1E03-4F7F-A756-6C36993E4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AJ5:AJ45</xm:sqref>
        </x14:conditionalFormatting>
        <x14:conditionalFormatting xmlns:xm="http://schemas.microsoft.com/office/excel/2006/main">
          <x14:cfRule type="dataBar" id="{14C82CBA-F731-4FFA-A35D-2A20CE417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AK5:AL45</xm:sqref>
        </x14:conditionalFormatting>
        <x14:conditionalFormatting xmlns:xm="http://schemas.microsoft.com/office/excel/2006/main">
          <x14:cfRule type="dataBar" id="{1686431C-B682-4A79-A478-E635FEF81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AQ5:AQ45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903C-65B2-4529-A2DB-56C950582988}">
  <sheetPr codeName="Sheet5"/>
  <dimension ref="C3:AM27"/>
  <sheetViews>
    <sheetView showGridLines="0" zoomScale="130" zoomScaleNormal="130" workbookViewId="0">
      <pane xSplit="3" ySplit="4" topLeftCell="D5" activePane="bottomRight" state="frozen"/>
      <selection pane="bottomRight" activeCell="F16" sqref="F16"/>
      <selection pane="bottomLeft"/>
      <selection pane="topRight"/>
    </sheetView>
  </sheetViews>
  <sheetFormatPr defaultColWidth="8.69921875" defaultRowHeight="18.95"/>
  <cols>
    <col min="1" max="1" width="4.59765625" customWidth="1"/>
    <col min="2" max="2" width="3" customWidth="1"/>
    <col min="3" max="3" width="11.69921875" bestFit="1" customWidth="1"/>
    <col min="4" max="4" width="9.296875" customWidth="1"/>
    <col min="5" max="5" width="9.3984375" bestFit="1" customWidth="1"/>
    <col min="6" max="6" width="10.59765625" customWidth="1"/>
    <col min="7" max="7" width="9.3984375" bestFit="1" customWidth="1"/>
    <col min="8" max="8" width="17" bestFit="1" customWidth="1"/>
    <col min="9" max="9" width="10.69921875" customWidth="1"/>
    <col min="22" max="22" width="14.296875" customWidth="1"/>
    <col min="32" max="32" width="7.8984375" customWidth="1"/>
  </cols>
  <sheetData>
    <row r="3" spans="3:39">
      <c r="D3" s="224" t="s">
        <v>155</v>
      </c>
      <c r="E3" s="225"/>
      <c r="F3" s="225"/>
      <c r="G3" s="225"/>
      <c r="H3" s="225"/>
      <c r="I3" s="225"/>
      <c r="J3" s="226" t="s">
        <v>104</v>
      </c>
      <c r="K3" s="227"/>
      <c r="L3" s="227"/>
      <c r="M3" s="227"/>
      <c r="N3" s="227"/>
      <c r="O3" s="228"/>
      <c r="P3" s="229" t="s">
        <v>104</v>
      </c>
      <c r="Q3" s="230"/>
      <c r="R3" s="230"/>
      <c r="S3" s="230"/>
      <c r="T3" s="230"/>
      <c r="U3" s="231"/>
      <c r="V3" s="232" t="s">
        <v>156</v>
      </c>
      <c r="W3" s="233"/>
      <c r="X3" s="233"/>
      <c r="Y3" s="233"/>
      <c r="Z3" s="233"/>
      <c r="AA3" s="234"/>
      <c r="AB3" s="224" t="s">
        <v>102</v>
      </c>
      <c r="AC3" s="225"/>
      <c r="AD3" s="225"/>
      <c r="AE3" s="225"/>
      <c r="AF3" s="225"/>
      <c r="AG3" s="235"/>
      <c r="AH3" s="221" t="s">
        <v>104</v>
      </c>
      <c r="AI3" s="222"/>
      <c r="AJ3" s="222"/>
      <c r="AK3" s="222"/>
      <c r="AL3" s="222"/>
      <c r="AM3" s="223"/>
    </row>
    <row r="4" spans="3:39">
      <c r="C4" s="133" t="s">
        <v>157</v>
      </c>
      <c r="D4" s="128" t="s">
        <v>33</v>
      </c>
      <c r="E4" s="22" t="s">
        <v>29</v>
      </c>
      <c r="F4" s="22" t="s">
        <v>105</v>
      </c>
      <c r="G4" s="22" t="s">
        <v>106</v>
      </c>
      <c r="H4" s="22" t="s">
        <v>6</v>
      </c>
      <c r="I4" s="130" t="s">
        <v>66</v>
      </c>
      <c r="J4" s="119" t="s">
        <v>33</v>
      </c>
      <c r="K4" s="22" t="s">
        <v>29</v>
      </c>
      <c r="L4" s="22" t="s">
        <v>105</v>
      </c>
      <c r="M4" s="22" t="s">
        <v>106</v>
      </c>
      <c r="N4" s="22" t="s">
        <v>6</v>
      </c>
      <c r="O4" s="120" t="s">
        <v>66</v>
      </c>
      <c r="P4" s="119" t="s">
        <v>33</v>
      </c>
      <c r="Q4" s="22" t="s">
        <v>29</v>
      </c>
      <c r="R4" s="22" t="s">
        <v>105</v>
      </c>
      <c r="S4" s="22" t="s">
        <v>106</v>
      </c>
      <c r="T4" s="22" t="s">
        <v>6</v>
      </c>
      <c r="U4" s="120" t="s">
        <v>66</v>
      </c>
      <c r="V4" s="119" t="s">
        <v>33</v>
      </c>
      <c r="W4" s="22" t="s">
        <v>29</v>
      </c>
      <c r="X4" s="22" t="s">
        <v>105</v>
      </c>
      <c r="Y4" s="22" t="s">
        <v>106</v>
      </c>
      <c r="Z4" s="22" t="s">
        <v>6</v>
      </c>
      <c r="AA4" s="120" t="s">
        <v>66</v>
      </c>
      <c r="AB4" s="119" t="s">
        <v>33</v>
      </c>
      <c r="AC4" s="22" t="s">
        <v>29</v>
      </c>
      <c r="AD4" s="22" t="s">
        <v>105</v>
      </c>
      <c r="AE4" s="22" t="s">
        <v>106</v>
      </c>
      <c r="AF4" s="22" t="s">
        <v>6</v>
      </c>
      <c r="AG4" s="120" t="s">
        <v>66</v>
      </c>
      <c r="AH4" s="119" t="s">
        <v>33</v>
      </c>
      <c r="AI4" s="22" t="s">
        <v>29</v>
      </c>
      <c r="AJ4" s="22" t="s">
        <v>105</v>
      </c>
      <c r="AK4" s="22" t="s">
        <v>106</v>
      </c>
      <c r="AL4" s="22" t="s">
        <v>6</v>
      </c>
      <c r="AM4" s="120" t="s">
        <v>66</v>
      </c>
    </row>
    <row r="5" spans="3:39">
      <c r="C5" s="134" t="s">
        <v>158</v>
      </c>
      <c r="D5" s="129" cm="1">
        <f t="array" ref="D5:I23">MonthlyBySupplierAnalysis($C$5:$C$23, D3)</f>
        <v>1670.25</v>
      </c>
      <c r="E5" s="23">
        <v>1839.5999999999899</v>
      </c>
      <c r="F5" s="23">
        <v>169.3499999999899</v>
      </c>
      <c r="G5" s="24">
        <v>9.2058056099147009E-2</v>
      </c>
      <c r="H5" s="23">
        <v>29.3</v>
      </c>
      <c r="I5" s="131">
        <v>140.04999999998989</v>
      </c>
      <c r="J5" s="121" cm="1">
        <f t="array" ref="J5:O23">MonthlyBySupplierAnalysis($C$5:$C$23, J3)</f>
        <v>2793.95</v>
      </c>
      <c r="K5" s="23">
        <v>3994.2000000000298</v>
      </c>
      <c r="L5" s="23">
        <v>1200.25000000003</v>
      </c>
      <c r="M5" s="24">
        <v>0.30049822242251789</v>
      </c>
      <c r="N5" s="23">
        <v>63.6</v>
      </c>
      <c r="O5" s="122">
        <v>1136.6500000000301</v>
      </c>
      <c r="P5" s="121" cm="1">
        <f t="array" ref="P5:U23">MonthlyBySupplierAnalysis($C$5:$C$23, P3)</f>
        <v>2793.95</v>
      </c>
      <c r="Q5" s="23">
        <v>3994.2000000000298</v>
      </c>
      <c r="R5" s="23">
        <v>1200.25000000003</v>
      </c>
      <c r="S5" s="24">
        <v>0.30049822242251789</v>
      </c>
      <c r="T5" s="23">
        <v>63.6</v>
      </c>
      <c r="U5" s="122">
        <v>1136.6500000000301</v>
      </c>
      <c r="V5" s="121" cm="1">
        <f t="array" ref="V5:AA23">MonthlyBySupplierAnalysis($C$5:$C$23, V3)</f>
        <v>0</v>
      </c>
      <c r="W5" s="23">
        <v>2847.6</v>
      </c>
      <c r="X5" s="23">
        <v>2847.6</v>
      </c>
      <c r="Y5" s="24">
        <v>1</v>
      </c>
      <c r="Z5" s="23">
        <v>45.2</v>
      </c>
      <c r="AA5" s="122">
        <v>2802.4</v>
      </c>
      <c r="AB5" s="121" cm="1">
        <f t="array" ref="AB5:AG23">MonthlyBySupplierAnalysis($C$5:$C$23, AB3)</f>
        <v>303</v>
      </c>
      <c r="AC5" s="23">
        <v>4378.50000000004</v>
      </c>
      <c r="AD5" s="23">
        <v>4075.50000000004</v>
      </c>
      <c r="AE5" s="24">
        <v>0.93079821856800338</v>
      </c>
      <c r="AF5" s="23">
        <v>69.600000000000009</v>
      </c>
      <c r="AG5" s="122">
        <v>4005.9000000000401</v>
      </c>
      <c r="AH5" s="185" cm="1">
        <f t="array" ref="AH5:AM23">MonthlyBySupplierAnalysis($C$5:$C$23, AH3)</f>
        <v>2793.95</v>
      </c>
      <c r="AI5" s="186">
        <v>3994.2000000000298</v>
      </c>
      <c r="AJ5" s="186">
        <v>1200.25000000003</v>
      </c>
      <c r="AK5" s="187">
        <v>0.30049822242251789</v>
      </c>
      <c r="AL5" s="186">
        <v>63.6</v>
      </c>
      <c r="AM5" s="188">
        <v>1136.6500000000301</v>
      </c>
    </row>
    <row r="6" spans="3:39">
      <c r="C6" s="134" t="s">
        <v>159</v>
      </c>
      <c r="D6" s="129">
        <v>0</v>
      </c>
      <c r="E6" s="23">
        <v>0</v>
      </c>
      <c r="F6" s="23">
        <v>0</v>
      </c>
      <c r="G6" s="24">
        <v>0</v>
      </c>
      <c r="H6" s="23">
        <v>0</v>
      </c>
      <c r="I6" s="131">
        <v>0</v>
      </c>
      <c r="J6" s="121">
        <v>0</v>
      </c>
      <c r="K6" s="23">
        <v>0</v>
      </c>
      <c r="L6" s="23">
        <v>0</v>
      </c>
      <c r="M6" s="24">
        <v>0</v>
      </c>
      <c r="N6" s="23">
        <v>0</v>
      </c>
      <c r="O6" s="122">
        <v>0</v>
      </c>
      <c r="P6" s="121">
        <v>0</v>
      </c>
      <c r="Q6" s="23">
        <v>0</v>
      </c>
      <c r="R6" s="23">
        <v>0</v>
      </c>
      <c r="S6" s="24">
        <v>0</v>
      </c>
      <c r="T6" s="23">
        <v>0</v>
      </c>
      <c r="U6" s="122">
        <v>0</v>
      </c>
      <c r="V6" s="121">
        <v>0</v>
      </c>
      <c r="W6" s="23">
        <v>29.7</v>
      </c>
      <c r="X6" s="23">
        <v>29.7</v>
      </c>
      <c r="Y6" s="24">
        <v>1</v>
      </c>
      <c r="Z6" s="23">
        <v>0.60000000000000009</v>
      </c>
      <c r="AA6" s="122">
        <v>29.099999999999998</v>
      </c>
      <c r="AB6" s="121">
        <v>0</v>
      </c>
      <c r="AC6" s="23">
        <v>0</v>
      </c>
      <c r="AD6" s="23">
        <v>0</v>
      </c>
      <c r="AE6" s="24">
        <v>0</v>
      </c>
      <c r="AF6" s="23">
        <v>0</v>
      </c>
      <c r="AG6" s="122">
        <v>0</v>
      </c>
      <c r="AH6" s="185">
        <v>0</v>
      </c>
      <c r="AI6" s="186">
        <v>0</v>
      </c>
      <c r="AJ6" s="186">
        <v>0</v>
      </c>
      <c r="AK6" s="187">
        <v>0</v>
      </c>
      <c r="AL6" s="186">
        <v>0</v>
      </c>
      <c r="AM6" s="188">
        <v>0</v>
      </c>
    </row>
    <row r="7" spans="3:39">
      <c r="C7" s="134" t="s">
        <v>160</v>
      </c>
      <c r="D7" s="129">
        <v>21848.03</v>
      </c>
      <c r="E7" s="23">
        <v>27696.060000000602</v>
      </c>
      <c r="F7" s="23">
        <v>5848.0300000006027</v>
      </c>
      <c r="G7" s="24">
        <v>0.21115025025221912</v>
      </c>
      <c r="H7" s="23">
        <v>384.1</v>
      </c>
      <c r="I7" s="131">
        <v>5463.9300000006024</v>
      </c>
      <c r="J7" s="121">
        <v>18827.38</v>
      </c>
      <c r="K7" s="23">
        <v>27827.260000001399</v>
      </c>
      <c r="L7" s="23">
        <v>8999.880000001398</v>
      </c>
      <c r="M7" s="24">
        <v>0.3234195533444883</v>
      </c>
      <c r="N7" s="23">
        <v>387.3</v>
      </c>
      <c r="O7" s="122">
        <v>8612.5800000013987</v>
      </c>
      <c r="P7" s="121">
        <v>18827.38</v>
      </c>
      <c r="Q7" s="23">
        <v>27827.260000001399</v>
      </c>
      <c r="R7" s="23">
        <v>8999.880000001398</v>
      </c>
      <c r="S7" s="24">
        <v>0.3234195533444883</v>
      </c>
      <c r="T7" s="23">
        <v>387.3</v>
      </c>
      <c r="U7" s="122">
        <v>8612.5800000013987</v>
      </c>
      <c r="V7" s="121">
        <v>0</v>
      </c>
      <c r="W7" s="23">
        <v>27402.440000000999</v>
      </c>
      <c r="X7" s="23">
        <v>27402.440000000999</v>
      </c>
      <c r="Y7" s="24">
        <v>1</v>
      </c>
      <c r="Z7" s="23">
        <v>383.90000000000003</v>
      </c>
      <c r="AA7" s="122">
        <v>27018.540000000998</v>
      </c>
      <c r="AB7" s="121">
        <v>2028.28</v>
      </c>
      <c r="AC7" s="23">
        <v>31415.4600000016</v>
      </c>
      <c r="AD7" s="23">
        <v>29387.180000001601</v>
      </c>
      <c r="AE7" s="24">
        <v>0.93543688362354405</v>
      </c>
      <c r="AF7" s="23">
        <v>437</v>
      </c>
      <c r="AG7" s="122">
        <v>28950.180000001601</v>
      </c>
      <c r="AH7" s="185">
        <v>18827.38</v>
      </c>
      <c r="AI7" s="186">
        <v>27827.260000001399</v>
      </c>
      <c r="AJ7" s="186">
        <v>8999.880000001398</v>
      </c>
      <c r="AK7" s="187">
        <v>0.3234195533444883</v>
      </c>
      <c r="AL7" s="186">
        <v>387.3</v>
      </c>
      <c r="AM7" s="188">
        <v>8612.5800000013987</v>
      </c>
    </row>
    <row r="8" spans="3:39">
      <c r="C8" s="134" t="s">
        <v>161</v>
      </c>
      <c r="D8" s="129">
        <v>2932.32</v>
      </c>
      <c r="E8" s="23">
        <v>3512.75</v>
      </c>
      <c r="F8" s="23">
        <v>580.42999999999984</v>
      </c>
      <c r="G8" s="24">
        <v>0.16523521457547502</v>
      </c>
      <c r="H8" s="23">
        <v>37</v>
      </c>
      <c r="I8" s="131">
        <v>543.42999999999984</v>
      </c>
      <c r="J8" s="121">
        <v>1852.91</v>
      </c>
      <c r="K8" s="23">
        <v>2086.67</v>
      </c>
      <c r="L8" s="23">
        <v>233.76</v>
      </c>
      <c r="M8" s="24">
        <v>0.11202538015114991</v>
      </c>
      <c r="N8" s="23">
        <v>21.900000000000002</v>
      </c>
      <c r="O8" s="122">
        <v>211.85999999999999</v>
      </c>
      <c r="P8" s="121">
        <v>1852.91</v>
      </c>
      <c r="Q8" s="23">
        <v>2086.67</v>
      </c>
      <c r="R8" s="23">
        <v>233.76</v>
      </c>
      <c r="S8" s="24">
        <v>0.11202538015114991</v>
      </c>
      <c r="T8" s="23">
        <v>21.900000000000002</v>
      </c>
      <c r="U8" s="122">
        <v>211.85999999999999</v>
      </c>
      <c r="V8" s="121">
        <v>0</v>
      </c>
      <c r="W8" s="23">
        <v>1549.4</v>
      </c>
      <c r="X8" s="23">
        <v>1549.4</v>
      </c>
      <c r="Y8" s="24">
        <v>1</v>
      </c>
      <c r="Z8" s="23">
        <v>16.400000000000002</v>
      </c>
      <c r="AA8" s="122">
        <v>1533</v>
      </c>
      <c r="AB8" s="121">
        <v>139.66999999999999</v>
      </c>
      <c r="AC8" s="23">
        <v>2074.08</v>
      </c>
      <c r="AD8" s="23">
        <v>1934.4099999999999</v>
      </c>
      <c r="AE8" s="24">
        <v>0.93265929954485838</v>
      </c>
      <c r="AF8" s="23">
        <v>21.900000000000002</v>
      </c>
      <c r="AG8" s="122">
        <v>1912.5099999999998</v>
      </c>
      <c r="AH8" s="185">
        <v>1852.91</v>
      </c>
      <c r="AI8" s="186">
        <v>2086.67</v>
      </c>
      <c r="AJ8" s="186">
        <v>233.76</v>
      </c>
      <c r="AK8" s="187">
        <v>0.11202538015114991</v>
      </c>
      <c r="AL8" s="186">
        <v>21.900000000000002</v>
      </c>
      <c r="AM8" s="188">
        <v>211.85999999999999</v>
      </c>
    </row>
    <row r="9" spans="3:39">
      <c r="C9" s="134" t="s">
        <v>162</v>
      </c>
      <c r="D9" s="129">
        <v>0</v>
      </c>
      <c r="E9" s="23">
        <v>0</v>
      </c>
      <c r="F9" s="23">
        <v>0</v>
      </c>
      <c r="G9" s="24">
        <v>0</v>
      </c>
      <c r="H9" s="23">
        <v>0</v>
      </c>
      <c r="I9" s="131">
        <v>0</v>
      </c>
      <c r="J9" s="121">
        <v>8.8000000000000007</v>
      </c>
      <c r="K9" s="23">
        <v>0</v>
      </c>
      <c r="L9" s="23">
        <v>-8.8000000000000007</v>
      </c>
      <c r="M9" s="24">
        <v>0</v>
      </c>
      <c r="N9" s="23">
        <v>0</v>
      </c>
      <c r="O9" s="122">
        <v>-8.8000000000000007</v>
      </c>
      <c r="P9" s="121">
        <v>8.8000000000000007</v>
      </c>
      <c r="Q9" s="23">
        <v>0</v>
      </c>
      <c r="R9" s="23">
        <v>-8.8000000000000007</v>
      </c>
      <c r="S9" s="24">
        <v>0</v>
      </c>
      <c r="T9" s="23">
        <v>0</v>
      </c>
      <c r="U9" s="122">
        <v>-8.8000000000000007</v>
      </c>
      <c r="V9" s="121">
        <v>0</v>
      </c>
      <c r="W9" s="23">
        <v>802.74999999999898</v>
      </c>
      <c r="X9" s="23">
        <v>802.74999999999898</v>
      </c>
      <c r="Y9" s="24">
        <v>1</v>
      </c>
      <c r="Z9" s="23">
        <v>17</v>
      </c>
      <c r="AA9" s="122">
        <v>785.74999999999898</v>
      </c>
      <c r="AB9" s="121">
        <v>25.08</v>
      </c>
      <c r="AC9" s="23">
        <v>589</v>
      </c>
      <c r="AD9" s="23">
        <v>563.91999999999996</v>
      </c>
      <c r="AE9" s="24">
        <v>0.95741935483870966</v>
      </c>
      <c r="AF9" s="23">
        <v>12.4</v>
      </c>
      <c r="AG9" s="122">
        <v>551.52</v>
      </c>
      <c r="AH9" s="185">
        <v>8.8000000000000007</v>
      </c>
      <c r="AI9" s="186">
        <v>0</v>
      </c>
      <c r="AJ9" s="186">
        <v>-8.8000000000000007</v>
      </c>
      <c r="AK9" s="187">
        <v>0</v>
      </c>
      <c r="AL9" s="186">
        <v>0</v>
      </c>
      <c r="AM9" s="188">
        <v>-8.8000000000000007</v>
      </c>
    </row>
    <row r="10" spans="3:39">
      <c r="C10" s="134" t="s">
        <v>163</v>
      </c>
      <c r="D10" s="129">
        <v>1258.1199999999999</v>
      </c>
      <c r="E10" s="23">
        <v>1805.1000000000099</v>
      </c>
      <c r="F10" s="23">
        <v>546.98000000001002</v>
      </c>
      <c r="G10" s="24">
        <v>0.30301922331173176</v>
      </c>
      <c r="H10" s="23">
        <v>84.5</v>
      </c>
      <c r="I10" s="131">
        <v>462.48000000001002</v>
      </c>
      <c r="J10" s="121">
        <v>1234.9000000000001</v>
      </c>
      <c r="K10" s="23">
        <v>2237.4000000000201</v>
      </c>
      <c r="L10" s="23">
        <v>1002.50000000002</v>
      </c>
      <c r="M10" s="24">
        <v>0.44806471797622732</v>
      </c>
      <c r="N10" s="23">
        <v>105.10000000000001</v>
      </c>
      <c r="O10" s="122">
        <v>897.40000000001999</v>
      </c>
      <c r="P10" s="121">
        <v>1234.9000000000001</v>
      </c>
      <c r="Q10" s="23">
        <v>2237.4000000000201</v>
      </c>
      <c r="R10" s="23">
        <v>1002.50000000002</v>
      </c>
      <c r="S10" s="24">
        <v>0.44806471797622732</v>
      </c>
      <c r="T10" s="23">
        <v>105.10000000000001</v>
      </c>
      <c r="U10" s="122">
        <v>897.40000000001999</v>
      </c>
      <c r="V10" s="121">
        <v>0</v>
      </c>
      <c r="W10" s="23">
        <v>1555.5</v>
      </c>
      <c r="X10" s="23">
        <v>1555.5</v>
      </c>
      <c r="Y10" s="24">
        <v>1</v>
      </c>
      <c r="Z10" s="23">
        <v>77.2</v>
      </c>
      <c r="AA10" s="122">
        <v>1478.3</v>
      </c>
      <c r="AB10" s="121">
        <v>221.14</v>
      </c>
      <c r="AC10" s="23">
        <v>2100</v>
      </c>
      <c r="AD10" s="23">
        <v>1878.8600000000001</v>
      </c>
      <c r="AE10" s="24">
        <v>0.89469523809523821</v>
      </c>
      <c r="AF10" s="23">
        <v>104.4</v>
      </c>
      <c r="AG10" s="122">
        <v>1774.46</v>
      </c>
      <c r="AH10" s="185">
        <v>1234.9000000000001</v>
      </c>
      <c r="AI10" s="186">
        <v>2237.4000000000201</v>
      </c>
      <c r="AJ10" s="186">
        <v>1002.50000000002</v>
      </c>
      <c r="AK10" s="187">
        <v>0.44806471797622732</v>
      </c>
      <c r="AL10" s="186">
        <v>105.10000000000001</v>
      </c>
      <c r="AM10" s="188">
        <v>897.40000000001999</v>
      </c>
    </row>
    <row r="11" spans="3:39">
      <c r="C11" s="134" t="s">
        <v>164</v>
      </c>
      <c r="D11" s="129">
        <v>0</v>
      </c>
      <c r="E11" s="23">
        <v>15</v>
      </c>
      <c r="F11" s="23">
        <v>15</v>
      </c>
      <c r="G11" s="24">
        <v>1</v>
      </c>
      <c r="H11" s="23">
        <v>0.4</v>
      </c>
      <c r="I11" s="131">
        <v>14.6</v>
      </c>
      <c r="J11" s="121">
        <v>0</v>
      </c>
      <c r="K11" s="23">
        <v>7.5</v>
      </c>
      <c r="L11" s="23">
        <v>7.5</v>
      </c>
      <c r="M11" s="24">
        <v>1</v>
      </c>
      <c r="N11" s="23">
        <v>0.2</v>
      </c>
      <c r="O11" s="122">
        <v>7.3</v>
      </c>
      <c r="P11" s="121">
        <v>0</v>
      </c>
      <c r="Q11" s="23">
        <v>7.5</v>
      </c>
      <c r="R11" s="23">
        <v>7.5</v>
      </c>
      <c r="S11" s="24">
        <v>1</v>
      </c>
      <c r="T11" s="23">
        <v>0.2</v>
      </c>
      <c r="U11" s="122">
        <v>7.3</v>
      </c>
      <c r="V11" s="121">
        <v>0</v>
      </c>
      <c r="W11" s="23">
        <v>75</v>
      </c>
      <c r="X11" s="23">
        <v>75</v>
      </c>
      <c r="Y11" s="24">
        <v>1</v>
      </c>
      <c r="Z11" s="23">
        <v>2</v>
      </c>
      <c r="AA11" s="122">
        <v>73</v>
      </c>
      <c r="AB11" s="121">
        <v>0</v>
      </c>
      <c r="AC11" s="23">
        <v>22.5</v>
      </c>
      <c r="AD11" s="23">
        <v>22.5</v>
      </c>
      <c r="AE11" s="24">
        <v>1</v>
      </c>
      <c r="AF11" s="23">
        <v>0.60000000000000009</v>
      </c>
      <c r="AG11" s="122">
        <v>21.9</v>
      </c>
      <c r="AH11" s="185">
        <v>0</v>
      </c>
      <c r="AI11" s="186">
        <v>7.5</v>
      </c>
      <c r="AJ11" s="186">
        <v>7.5</v>
      </c>
      <c r="AK11" s="187">
        <v>1</v>
      </c>
      <c r="AL11" s="186">
        <v>0.2</v>
      </c>
      <c r="AM11" s="188">
        <v>7.3</v>
      </c>
    </row>
    <row r="12" spans="3:39">
      <c r="C12" s="134" t="s">
        <v>165</v>
      </c>
      <c r="D12" s="129">
        <v>875.01</v>
      </c>
      <c r="E12" s="23">
        <v>1148.26</v>
      </c>
      <c r="F12" s="23">
        <v>273.25</v>
      </c>
      <c r="G12" s="24">
        <v>0.23796875272150908</v>
      </c>
      <c r="H12" s="23">
        <v>12.8</v>
      </c>
      <c r="I12" s="131">
        <v>260.45</v>
      </c>
      <c r="J12" s="121">
        <v>686.01</v>
      </c>
      <c r="K12" s="23">
        <v>1250.3</v>
      </c>
      <c r="L12" s="23">
        <v>564.29</v>
      </c>
      <c r="M12" s="24">
        <v>0.45132368231624409</v>
      </c>
      <c r="N12" s="23">
        <v>13.9</v>
      </c>
      <c r="O12" s="122">
        <v>550.39</v>
      </c>
      <c r="P12" s="121">
        <v>686.01</v>
      </c>
      <c r="Q12" s="23">
        <v>1250.3</v>
      </c>
      <c r="R12" s="23">
        <v>564.29</v>
      </c>
      <c r="S12" s="24">
        <v>0.45132368231624409</v>
      </c>
      <c r="T12" s="23">
        <v>13.9</v>
      </c>
      <c r="U12" s="122">
        <v>550.39</v>
      </c>
      <c r="V12" s="121">
        <v>0</v>
      </c>
      <c r="W12" s="23">
        <v>1444.43</v>
      </c>
      <c r="X12" s="23">
        <v>1444.43</v>
      </c>
      <c r="Y12" s="24">
        <v>1</v>
      </c>
      <c r="Z12" s="23">
        <v>16</v>
      </c>
      <c r="AA12" s="122">
        <v>1428.43</v>
      </c>
      <c r="AB12" s="121">
        <v>73.03</v>
      </c>
      <c r="AC12" s="23">
        <v>1315.19</v>
      </c>
      <c r="AD12" s="23">
        <v>1242.1600000000001</v>
      </c>
      <c r="AE12" s="24">
        <v>0.94447190139827708</v>
      </c>
      <c r="AF12" s="23">
        <v>14.600000000000001</v>
      </c>
      <c r="AG12" s="122">
        <v>1227.5600000000002</v>
      </c>
      <c r="AH12" s="185">
        <v>686.01</v>
      </c>
      <c r="AI12" s="186">
        <v>1250.3</v>
      </c>
      <c r="AJ12" s="186">
        <v>564.29</v>
      </c>
      <c r="AK12" s="187">
        <v>0.45132368231624409</v>
      </c>
      <c r="AL12" s="186">
        <v>13.9</v>
      </c>
      <c r="AM12" s="188">
        <v>550.39</v>
      </c>
    </row>
    <row r="13" spans="3:39">
      <c r="C13" s="134" t="s">
        <v>166</v>
      </c>
      <c r="D13" s="129">
        <v>0</v>
      </c>
      <c r="E13" s="23">
        <v>0</v>
      </c>
      <c r="F13" s="23">
        <v>0</v>
      </c>
      <c r="G13" s="24">
        <v>0</v>
      </c>
      <c r="H13" s="23">
        <v>0</v>
      </c>
      <c r="I13" s="131">
        <v>0</v>
      </c>
      <c r="J13" s="121">
        <v>0</v>
      </c>
      <c r="K13" s="23">
        <v>0</v>
      </c>
      <c r="L13" s="23">
        <v>0</v>
      </c>
      <c r="M13" s="24">
        <v>0</v>
      </c>
      <c r="N13" s="23">
        <v>0</v>
      </c>
      <c r="O13" s="122">
        <v>0</v>
      </c>
      <c r="P13" s="121">
        <v>0</v>
      </c>
      <c r="Q13" s="23">
        <v>0</v>
      </c>
      <c r="R13" s="23">
        <v>0</v>
      </c>
      <c r="S13" s="24">
        <v>0</v>
      </c>
      <c r="T13" s="23">
        <v>0</v>
      </c>
      <c r="U13" s="122">
        <v>0</v>
      </c>
      <c r="V13" s="121">
        <v>0</v>
      </c>
      <c r="W13" s="23">
        <v>0</v>
      </c>
      <c r="X13" s="23">
        <v>0</v>
      </c>
      <c r="Y13" s="24">
        <v>0</v>
      </c>
      <c r="Z13" s="23">
        <v>0</v>
      </c>
      <c r="AA13" s="122">
        <v>0</v>
      </c>
      <c r="AB13" s="121">
        <v>0</v>
      </c>
      <c r="AC13" s="23">
        <v>0</v>
      </c>
      <c r="AD13" s="23">
        <v>0</v>
      </c>
      <c r="AE13" s="24">
        <v>0</v>
      </c>
      <c r="AF13" s="23">
        <v>0</v>
      </c>
      <c r="AG13" s="122">
        <v>0</v>
      </c>
      <c r="AH13" s="185">
        <v>0</v>
      </c>
      <c r="AI13" s="186">
        <v>0</v>
      </c>
      <c r="AJ13" s="186">
        <v>0</v>
      </c>
      <c r="AK13" s="187">
        <v>0</v>
      </c>
      <c r="AL13" s="186">
        <v>0</v>
      </c>
      <c r="AM13" s="188">
        <v>0</v>
      </c>
    </row>
    <row r="14" spans="3:39">
      <c r="C14" s="134" t="s">
        <v>167</v>
      </c>
      <c r="D14" s="129">
        <v>561.20000000000005</v>
      </c>
      <c r="E14" s="23">
        <v>809</v>
      </c>
      <c r="F14" s="23">
        <v>247.79999999999995</v>
      </c>
      <c r="G14" s="24">
        <v>0.30630407911001228</v>
      </c>
      <c r="H14" s="23">
        <v>8.3000000000000007</v>
      </c>
      <c r="I14" s="131">
        <v>239.49999999999994</v>
      </c>
      <c r="J14" s="121">
        <v>0</v>
      </c>
      <c r="K14" s="23">
        <v>0</v>
      </c>
      <c r="L14" s="23">
        <v>0</v>
      </c>
      <c r="M14" s="24">
        <v>0</v>
      </c>
      <c r="N14" s="23">
        <v>0</v>
      </c>
      <c r="O14" s="122">
        <v>0</v>
      </c>
      <c r="P14" s="121">
        <v>0</v>
      </c>
      <c r="Q14" s="23">
        <v>0</v>
      </c>
      <c r="R14" s="23">
        <v>0</v>
      </c>
      <c r="S14" s="24">
        <v>0</v>
      </c>
      <c r="T14" s="23">
        <v>0</v>
      </c>
      <c r="U14" s="122">
        <v>0</v>
      </c>
      <c r="V14" s="121">
        <v>0</v>
      </c>
      <c r="W14" s="23">
        <v>0</v>
      </c>
      <c r="X14" s="23">
        <v>0</v>
      </c>
      <c r="Y14" s="24">
        <v>0</v>
      </c>
      <c r="Z14" s="23">
        <v>0</v>
      </c>
      <c r="AA14" s="122">
        <v>0</v>
      </c>
      <c r="AB14" s="121">
        <v>0</v>
      </c>
      <c r="AC14" s="23">
        <v>801.89999999999895</v>
      </c>
      <c r="AD14" s="23">
        <v>801.89999999999895</v>
      </c>
      <c r="AE14" s="24">
        <v>1</v>
      </c>
      <c r="AF14" s="23">
        <v>8.1</v>
      </c>
      <c r="AG14" s="122">
        <v>793.79999999999893</v>
      </c>
      <c r="AH14" s="185">
        <v>0</v>
      </c>
      <c r="AI14" s="186">
        <v>0</v>
      </c>
      <c r="AJ14" s="186">
        <v>0</v>
      </c>
      <c r="AK14" s="187">
        <v>0</v>
      </c>
      <c r="AL14" s="186">
        <v>0</v>
      </c>
      <c r="AM14" s="188">
        <v>0</v>
      </c>
    </row>
    <row r="15" spans="3:39">
      <c r="C15" s="134" t="s">
        <v>168</v>
      </c>
      <c r="D15" s="129">
        <v>361.01</v>
      </c>
      <c r="E15" s="23">
        <v>109.28</v>
      </c>
      <c r="F15" s="23">
        <v>-251.73</v>
      </c>
      <c r="G15" s="24">
        <v>-2.3035322108345535</v>
      </c>
      <c r="H15" s="23">
        <v>5.2</v>
      </c>
      <c r="I15" s="131">
        <v>-256.93</v>
      </c>
      <c r="J15" s="121">
        <v>2118.5100000000002</v>
      </c>
      <c r="K15" s="23">
        <v>3729.1299999999901</v>
      </c>
      <c r="L15" s="23">
        <v>1610.6199999999899</v>
      </c>
      <c r="M15" s="24">
        <v>0.43190234719626136</v>
      </c>
      <c r="N15" s="23">
        <v>157.5</v>
      </c>
      <c r="O15" s="122">
        <v>1453.1199999999899</v>
      </c>
      <c r="P15" s="121">
        <v>2118.5100000000002</v>
      </c>
      <c r="Q15" s="23">
        <v>3729.1299999999901</v>
      </c>
      <c r="R15" s="23">
        <v>1610.6199999999899</v>
      </c>
      <c r="S15" s="24">
        <v>0.43190234719626136</v>
      </c>
      <c r="T15" s="23">
        <v>157.5</v>
      </c>
      <c r="U15" s="122">
        <v>1453.1199999999899</v>
      </c>
      <c r="V15" s="121">
        <v>0</v>
      </c>
      <c r="W15" s="23">
        <v>2548.38</v>
      </c>
      <c r="X15" s="23">
        <v>2548.38</v>
      </c>
      <c r="Y15" s="24">
        <v>1</v>
      </c>
      <c r="Z15" s="23">
        <v>121.10000000000001</v>
      </c>
      <c r="AA15" s="122">
        <v>2427.2800000000002</v>
      </c>
      <c r="AB15" s="121">
        <v>340.09</v>
      </c>
      <c r="AC15" s="23">
        <v>3632.0599999999899</v>
      </c>
      <c r="AD15" s="23">
        <v>3291.9699999999898</v>
      </c>
      <c r="AE15" s="24">
        <v>0.90636443230563346</v>
      </c>
      <c r="AF15" s="23">
        <v>160.60000000000002</v>
      </c>
      <c r="AG15" s="122">
        <v>3131.3699999999899</v>
      </c>
      <c r="AH15" s="185">
        <v>2118.5100000000002</v>
      </c>
      <c r="AI15" s="186">
        <v>3729.1299999999901</v>
      </c>
      <c r="AJ15" s="186">
        <v>1610.6199999999899</v>
      </c>
      <c r="AK15" s="187">
        <v>0.43190234719626136</v>
      </c>
      <c r="AL15" s="186">
        <v>157.5</v>
      </c>
      <c r="AM15" s="188">
        <v>1453.1199999999899</v>
      </c>
    </row>
    <row r="16" spans="3:39">
      <c r="C16" s="134" t="s">
        <v>169</v>
      </c>
      <c r="D16" s="129">
        <v>7183.45</v>
      </c>
      <c r="E16" s="23">
        <v>10890.869999999901</v>
      </c>
      <c r="F16" s="23">
        <v>3707.4199999999009</v>
      </c>
      <c r="G16" s="24">
        <v>0.34041541217551352</v>
      </c>
      <c r="H16" s="23">
        <v>422.20000000000005</v>
      </c>
      <c r="I16" s="131">
        <v>3285.2199999999011</v>
      </c>
      <c r="J16" s="121">
        <v>7668.27</v>
      </c>
      <c r="K16" s="23">
        <v>12732.7699999996</v>
      </c>
      <c r="L16" s="23">
        <v>5064.4999999995998</v>
      </c>
      <c r="M16" s="24">
        <v>0.39775319902894335</v>
      </c>
      <c r="N16" s="23">
        <v>489.40000000000003</v>
      </c>
      <c r="O16" s="122">
        <v>4575.0999999996002</v>
      </c>
      <c r="P16" s="121">
        <v>7668.27</v>
      </c>
      <c r="Q16" s="23">
        <v>12732.7699999996</v>
      </c>
      <c r="R16" s="23">
        <v>5064.4999999995998</v>
      </c>
      <c r="S16" s="24">
        <v>0.39775319902894335</v>
      </c>
      <c r="T16" s="23">
        <v>489.40000000000003</v>
      </c>
      <c r="U16" s="122">
        <v>4575.0999999996002</v>
      </c>
      <c r="V16" s="121">
        <v>0</v>
      </c>
      <c r="W16" s="23">
        <v>13704.6699999994</v>
      </c>
      <c r="X16" s="23">
        <v>13704.6699999994</v>
      </c>
      <c r="Y16" s="24">
        <v>1</v>
      </c>
      <c r="Z16" s="23">
        <v>486.70000000000005</v>
      </c>
      <c r="AA16" s="122">
        <v>13217.969999999399</v>
      </c>
      <c r="AB16" s="121">
        <v>1296.02</v>
      </c>
      <c r="AC16" s="23">
        <v>15384.6699999992</v>
      </c>
      <c r="AD16" s="23">
        <v>14088.649999999199</v>
      </c>
      <c r="AE16" s="24">
        <v>0.91575899905554892</v>
      </c>
      <c r="AF16" s="23">
        <v>576.20000000000005</v>
      </c>
      <c r="AG16" s="122">
        <v>13512.449999999199</v>
      </c>
      <c r="AH16" s="185">
        <v>7668.27</v>
      </c>
      <c r="AI16" s="186">
        <v>12732.7699999996</v>
      </c>
      <c r="AJ16" s="186">
        <v>5064.4999999995998</v>
      </c>
      <c r="AK16" s="187">
        <v>0.39775319902894335</v>
      </c>
      <c r="AL16" s="186">
        <v>489.40000000000003</v>
      </c>
      <c r="AM16" s="188">
        <v>4575.0999999996002</v>
      </c>
    </row>
    <row r="17" spans="3:39">
      <c r="C17" s="134" t="s">
        <v>170</v>
      </c>
      <c r="D17" s="129">
        <v>73.709999999999994</v>
      </c>
      <c r="E17" s="23">
        <v>104.4</v>
      </c>
      <c r="F17" s="23">
        <v>30.690000000000012</v>
      </c>
      <c r="G17" s="24">
        <v>0.29396551724137943</v>
      </c>
      <c r="H17" s="23">
        <v>2.9000000000000004</v>
      </c>
      <c r="I17" s="131">
        <v>27.790000000000013</v>
      </c>
      <c r="J17" s="121">
        <v>218.57</v>
      </c>
      <c r="K17" s="23">
        <v>504.900000000001</v>
      </c>
      <c r="L17" s="23">
        <v>286.33000000000101</v>
      </c>
      <c r="M17" s="24">
        <v>0.56710239651416205</v>
      </c>
      <c r="N17" s="23">
        <v>14</v>
      </c>
      <c r="O17" s="122">
        <v>272.33000000000101</v>
      </c>
      <c r="P17" s="121">
        <v>218.57</v>
      </c>
      <c r="Q17" s="23">
        <v>504.900000000001</v>
      </c>
      <c r="R17" s="23">
        <v>286.33000000000101</v>
      </c>
      <c r="S17" s="24">
        <v>0.56710239651416205</v>
      </c>
      <c r="T17" s="23">
        <v>14</v>
      </c>
      <c r="U17" s="122">
        <v>272.33000000000101</v>
      </c>
      <c r="V17" s="121">
        <v>0</v>
      </c>
      <c r="W17" s="23">
        <v>198</v>
      </c>
      <c r="X17" s="23">
        <v>198</v>
      </c>
      <c r="Y17" s="24">
        <v>1</v>
      </c>
      <c r="Z17" s="23">
        <v>5.6000000000000005</v>
      </c>
      <c r="AA17" s="122">
        <v>192.4</v>
      </c>
      <c r="AB17" s="121">
        <v>39.71</v>
      </c>
      <c r="AC17" s="23">
        <v>688.50000000000205</v>
      </c>
      <c r="AD17" s="23">
        <v>648.79000000000201</v>
      </c>
      <c r="AE17" s="24">
        <v>0.94232389251997106</v>
      </c>
      <c r="AF17" s="23">
        <v>19.100000000000001</v>
      </c>
      <c r="AG17" s="122">
        <v>629.69000000000199</v>
      </c>
      <c r="AH17" s="185">
        <v>218.57</v>
      </c>
      <c r="AI17" s="186">
        <v>504.900000000001</v>
      </c>
      <c r="AJ17" s="186">
        <v>286.33000000000101</v>
      </c>
      <c r="AK17" s="187">
        <v>0.56710239651416205</v>
      </c>
      <c r="AL17" s="186">
        <v>14</v>
      </c>
      <c r="AM17" s="188">
        <v>272.33000000000101</v>
      </c>
    </row>
    <row r="18" spans="3:39">
      <c r="C18" s="134" t="s">
        <v>171</v>
      </c>
      <c r="D18" s="129">
        <v>2372.0500000000002</v>
      </c>
      <c r="E18" s="23">
        <v>2835.96</v>
      </c>
      <c r="F18" s="23">
        <v>463.90999999999985</v>
      </c>
      <c r="G18" s="24">
        <v>0.16358129169663882</v>
      </c>
      <c r="H18" s="23">
        <v>37.200000000000003</v>
      </c>
      <c r="I18" s="131">
        <v>426.70999999999987</v>
      </c>
      <c r="J18" s="121">
        <v>2027.58</v>
      </c>
      <c r="K18" s="23">
        <v>3042.95</v>
      </c>
      <c r="L18" s="23">
        <v>1015.3699999999999</v>
      </c>
      <c r="M18" s="24">
        <v>0.33367948865410207</v>
      </c>
      <c r="N18" s="23">
        <v>41.400000000000006</v>
      </c>
      <c r="O18" s="122">
        <v>973.96999999999991</v>
      </c>
      <c r="P18" s="121">
        <v>2027.58</v>
      </c>
      <c r="Q18" s="23">
        <v>3042.95</v>
      </c>
      <c r="R18" s="23">
        <v>1015.3699999999999</v>
      </c>
      <c r="S18" s="24">
        <v>0.33367948865410207</v>
      </c>
      <c r="T18" s="23">
        <v>41.400000000000006</v>
      </c>
      <c r="U18" s="122">
        <v>973.96999999999991</v>
      </c>
      <c r="V18" s="121">
        <v>0</v>
      </c>
      <c r="W18" s="23">
        <v>5008.1199999999699</v>
      </c>
      <c r="X18" s="23">
        <v>5008.1199999999699</v>
      </c>
      <c r="Y18" s="24">
        <v>1</v>
      </c>
      <c r="Z18" s="23">
        <v>66.5</v>
      </c>
      <c r="AA18" s="122">
        <v>4941.6199999999699</v>
      </c>
      <c r="AB18" s="121">
        <v>364.27</v>
      </c>
      <c r="AC18" s="23">
        <v>4220.8099999999804</v>
      </c>
      <c r="AD18" s="23">
        <v>3856.5399999999804</v>
      </c>
      <c r="AE18" s="24">
        <v>0.9136966601197396</v>
      </c>
      <c r="AF18" s="23">
        <v>57</v>
      </c>
      <c r="AG18" s="122">
        <v>3799.5399999999804</v>
      </c>
      <c r="AH18" s="185">
        <v>2027.58</v>
      </c>
      <c r="AI18" s="186">
        <v>3042.95</v>
      </c>
      <c r="AJ18" s="186">
        <v>1015.3699999999999</v>
      </c>
      <c r="AK18" s="187">
        <v>0.33367948865410207</v>
      </c>
      <c r="AL18" s="186">
        <v>41.400000000000006</v>
      </c>
      <c r="AM18" s="188">
        <v>973.96999999999991</v>
      </c>
    </row>
    <row r="19" spans="3:39">
      <c r="C19" s="134" t="s">
        <v>172</v>
      </c>
      <c r="D19" s="129">
        <v>85.57</v>
      </c>
      <c r="E19" s="23">
        <v>33.5</v>
      </c>
      <c r="F19" s="23">
        <v>-52.069999999999993</v>
      </c>
      <c r="G19" s="24">
        <v>-1.5543283582089551</v>
      </c>
      <c r="H19" s="23">
        <v>1</v>
      </c>
      <c r="I19" s="131">
        <v>-53.069999999999993</v>
      </c>
      <c r="J19" s="121">
        <v>146.69</v>
      </c>
      <c r="K19" s="23">
        <v>239.35</v>
      </c>
      <c r="L19" s="23">
        <v>92.66</v>
      </c>
      <c r="M19" s="24">
        <v>0.38713181533319407</v>
      </c>
      <c r="N19" s="23">
        <v>7.1000000000000005</v>
      </c>
      <c r="O19" s="122">
        <v>85.56</v>
      </c>
      <c r="P19" s="121">
        <v>146.69</v>
      </c>
      <c r="Q19" s="23">
        <v>239.35</v>
      </c>
      <c r="R19" s="23">
        <v>92.66</v>
      </c>
      <c r="S19" s="24">
        <v>0.38713181533319407</v>
      </c>
      <c r="T19" s="23">
        <v>7.1000000000000005</v>
      </c>
      <c r="U19" s="122">
        <v>85.56</v>
      </c>
      <c r="V19" s="121">
        <v>0</v>
      </c>
      <c r="W19" s="23">
        <v>308.79999999999899</v>
      </c>
      <c r="X19" s="23">
        <v>308.79999999999899</v>
      </c>
      <c r="Y19" s="24">
        <v>1</v>
      </c>
      <c r="Z19" s="23">
        <v>9.6000000000000014</v>
      </c>
      <c r="AA19" s="122">
        <v>299.19999999999897</v>
      </c>
      <c r="AB19" s="121">
        <v>12.51</v>
      </c>
      <c r="AC19" s="23">
        <v>302.39999999999998</v>
      </c>
      <c r="AD19" s="23">
        <v>289.89</v>
      </c>
      <c r="AE19" s="24">
        <v>0.95863095238095242</v>
      </c>
      <c r="AF19" s="23">
        <v>9.4</v>
      </c>
      <c r="AG19" s="122">
        <v>280.49</v>
      </c>
      <c r="AH19" s="185">
        <v>146.69</v>
      </c>
      <c r="AI19" s="186">
        <v>239.35</v>
      </c>
      <c r="AJ19" s="186">
        <v>92.66</v>
      </c>
      <c r="AK19" s="187">
        <v>0.38713181533319407</v>
      </c>
      <c r="AL19" s="186">
        <v>7.1000000000000005</v>
      </c>
      <c r="AM19" s="188">
        <v>85.56</v>
      </c>
    </row>
    <row r="20" spans="3:39">
      <c r="C20" s="134" t="s">
        <v>173</v>
      </c>
      <c r="D20" s="129">
        <v>2774.44</v>
      </c>
      <c r="E20" s="23">
        <v>4102.8999999999496</v>
      </c>
      <c r="F20" s="23">
        <v>1328.4599999999496</v>
      </c>
      <c r="G20" s="24">
        <v>0.32378561505275921</v>
      </c>
      <c r="H20" s="23">
        <v>81.2</v>
      </c>
      <c r="I20" s="131">
        <v>1247.2599999999495</v>
      </c>
      <c r="J20" s="121">
        <v>3641.31</v>
      </c>
      <c r="K20" s="23">
        <v>5506.5799999998999</v>
      </c>
      <c r="L20" s="23">
        <v>1865.2699999998999</v>
      </c>
      <c r="M20" s="24">
        <v>0.33873475006264031</v>
      </c>
      <c r="N20" s="23">
        <v>108.60000000000001</v>
      </c>
      <c r="O20" s="122">
        <v>1756.6699999999</v>
      </c>
      <c r="P20" s="121">
        <v>3641.31</v>
      </c>
      <c r="Q20" s="23">
        <v>5506.5799999998999</v>
      </c>
      <c r="R20" s="23">
        <v>1865.2699999998999</v>
      </c>
      <c r="S20" s="24">
        <v>0.33873475006264031</v>
      </c>
      <c r="T20" s="23">
        <v>108.60000000000001</v>
      </c>
      <c r="U20" s="122">
        <v>1756.6699999999</v>
      </c>
      <c r="V20" s="121">
        <v>0</v>
      </c>
      <c r="W20" s="23">
        <v>4221.3899999999503</v>
      </c>
      <c r="X20" s="23">
        <v>4221.3899999999503</v>
      </c>
      <c r="Y20" s="24">
        <v>1</v>
      </c>
      <c r="Z20" s="23">
        <v>82.7</v>
      </c>
      <c r="AA20" s="122">
        <v>4138.6899999999505</v>
      </c>
      <c r="AB20" s="121">
        <v>510.05</v>
      </c>
      <c r="AC20" s="23">
        <v>5861.95999999989</v>
      </c>
      <c r="AD20" s="23">
        <v>5351.9099999998898</v>
      </c>
      <c r="AE20" s="24">
        <v>0.9129898532231524</v>
      </c>
      <c r="AF20" s="23">
        <v>115</v>
      </c>
      <c r="AG20" s="122">
        <v>5236.9099999998898</v>
      </c>
      <c r="AH20" s="185">
        <v>3641.31</v>
      </c>
      <c r="AI20" s="186">
        <v>5506.5799999998999</v>
      </c>
      <c r="AJ20" s="186">
        <v>1865.2699999998999</v>
      </c>
      <c r="AK20" s="187">
        <v>0.33873475006264031</v>
      </c>
      <c r="AL20" s="186">
        <v>108.60000000000001</v>
      </c>
      <c r="AM20" s="188">
        <v>1756.6699999999</v>
      </c>
    </row>
    <row r="21" spans="3:39">
      <c r="C21" s="134" t="s">
        <v>174</v>
      </c>
      <c r="D21" s="129">
        <v>1235.8399999999999</v>
      </c>
      <c r="E21" s="23">
        <v>1328.29</v>
      </c>
      <c r="F21" s="23">
        <v>92.450000000000045</v>
      </c>
      <c r="G21" s="24">
        <v>6.96007648932086E-2</v>
      </c>
      <c r="H21" s="23">
        <v>16.5</v>
      </c>
      <c r="I21" s="131">
        <v>75.950000000000045</v>
      </c>
      <c r="J21" s="121">
        <v>3377.48</v>
      </c>
      <c r="K21" s="23">
        <v>4682.4199999999901</v>
      </c>
      <c r="L21" s="23">
        <v>1304.9399999999901</v>
      </c>
      <c r="M21" s="24">
        <v>0.27868922480255781</v>
      </c>
      <c r="N21" s="23">
        <v>60.800000000000004</v>
      </c>
      <c r="O21" s="122">
        <v>1244.1399999999901</v>
      </c>
      <c r="P21" s="121">
        <v>3377.48</v>
      </c>
      <c r="Q21" s="23">
        <v>4682.4199999999901</v>
      </c>
      <c r="R21" s="23">
        <v>1304.9399999999901</v>
      </c>
      <c r="S21" s="24">
        <v>0.27868922480255781</v>
      </c>
      <c r="T21" s="23">
        <v>60.800000000000004</v>
      </c>
      <c r="U21" s="122">
        <v>1244.1399999999901</v>
      </c>
      <c r="V21" s="121">
        <v>0</v>
      </c>
      <c r="W21" s="23">
        <v>3161.38</v>
      </c>
      <c r="X21" s="23">
        <v>3161.38</v>
      </c>
      <c r="Y21" s="24">
        <v>1</v>
      </c>
      <c r="Z21" s="23">
        <v>42.1</v>
      </c>
      <c r="AA21" s="122">
        <v>3119.28</v>
      </c>
      <c r="AB21" s="121">
        <v>242.03</v>
      </c>
      <c r="AC21" s="23">
        <v>4525.5599999999804</v>
      </c>
      <c r="AD21" s="23">
        <v>4283.5299999999806</v>
      </c>
      <c r="AE21" s="24">
        <v>0.94651932578509601</v>
      </c>
      <c r="AF21" s="23">
        <v>60.300000000000004</v>
      </c>
      <c r="AG21" s="122">
        <v>4223.2299999999805</v>
      </c>
      <c r="AH21" s="185">
        <v>3377.48</v>
      </c>
      <c r="AI21" s="186">
        <v>4682.4199999999901</v>
      </c>
      <c r="AJ21" s="186">
        <v>1304.9399999999901</v>
      </c>
      <c r="AK21" s="187">
        <v>0.27868922480255781</v>
      </c>
      <c r="AL21" s="186">
        <v>60.800000000000004</v>
      </c>
      <c r="AM21" s="188">
        <v>1244.1399999999901</v>
      </c>
    </row>
    <row r="22" spans="3:39">
      <c r="C22" s="134" t="s">
        <v>175</v>
      </c>
      <c r="D22" s="129">
        <v>0</v>
      </c>
      <c r="E22" s="23">
        <v>0</v>
      </c>
      <c r="F22" s="23">
        <v>0</v>
      </c>
      <c r="G22" s="24">
        <v>0</v>
      </c>
      <c r="H22" s="23">
        <v>0</v>
      </c>
      <c r="I22" s="131">
        <v>0</v>
      </c>
      <c r="J22" s="121">
        <v>0</v>
      </c>
      <c r="K22" s="23">
        <v>0</v>
      </c>
      <c r="L22" s="23">
        <v>0</v>
      </c>
      <c r="M22" s="24">
        <v>0</v>
      </c>
      <c r="N22" s="23">
        <v>0</v>
      </c>
      <c r="O22" s="122">
        <v>0</v>
      </c>
      <c r="P22" s="121">
        <v>0</v>
      </c>
      <c r="Q22" s="23">
        <v>0</v>
      </c>
      <c r="R22" s="23">
        <v>0</v>
      </c>
      <c r="S22" s="24">
        <v>0</v>
      </c>
      <c r="T22" s="23">
        <v>0</v>
      </c>
      <c r="U22" s="122">
        <v>0</v>
      </c>
      <c r="V22" s="121">
        <v>0</v>
      </c>
      <c r="W22" s="23">
        <v>412.45</v>
      </c>
      <c r="X22" s="23">
        <v>412.45</v>
      </c>
      <c r="Y22" s="24">
        <v>1</v>
      </c>
      <c r="Z22" s="23">
        <v>11.600000000000001</v>
      </c>
      <c r="AA22" s="122">
        <v>400.84999999999997</v>
      </c>
      <c r="AB22" s="121">
        <v>0</v>
      </c>
      <c r="AC22" s="23">
        <v>0</v>
      </c>
      <c r="AD22" s="23">
        <v>0</v>
      </c>
      <c r="AE22" s="24">
        <v>0</v>
      </c>
      <c r="AF22" s="23">
        <v>0</v>
      </c>
      <c r="AG22" s="122">
        <v>0</v>
      </c>
      <c r="AH22" s="185">
        <v>0</v>
      </c>
      <c r="AI22" s="186">
        <v>0</v>
      </c>
      <c r="AJ22" s="186">
        <v>0</v>
      </c>
      <c r="AK22" s="187">
        <v>0</v>
      </c>
      <c r="AL22" s="186">
        <v>0</v>
      </c>
      <c r="AM22" s="188">
        <v>0</v>
      </c>
    </row>
    <row r="23" spans="3:39">
      <c r="C23" s="134" t="s">
        <v>176</v>
      </c>
      <c r="D23" s="129">
        <v>458.4</v>
      </c>
      <c r="E23" s="23">
        <v>785.64000000000101</v>
      </c>
      <c r="F23" s="23">
        <v>327.24000000000103</v>
      </c>
      <c r="G23" s="24">
        <v>0.41652665342905226</v>
      </c>
      <c r="H23" s="23">
        <v>34.9</v>
      </c>
      <c r="I23" s="131">
        <v>292.34000000000106</v>
      </c>
      <c r="J23" s="121">
        <v>622.82000000000005</v>
      </c>
      <c r="K23" s="23">
        <v>1090.3599999999999</v>
      </c>
      <c r="L23" s="23">
        <v>467.53999999999985</v>
      </c>
      <c r="M23" s="24">
        <v>0.42879415972706253</v>
      </c>
      <c r="N23" s="23">
        <v>48</v>
      </c>
      <c r="O23" s="122">
        <v>419.53999999999985</v>
      </c>
      <c r="P23" s="121">
        <v>622.82000000000005</v>
      </c>
      <c r="Q23" s="23">
        <v>1090.3599999999999</v>
      </c>
      <c r="R23" s="23">
        <v>467.53999999999985</v>
      </c>
      <c r="S23" s="24">
        <v>0.42879415972706253</v>
      </c>
      <c r="T23" s="23">
        <v>48</v>
      </c>
      <c r="U23" s="122">
        <v>419.53999999999985</v>
      </c>
      <c r="V23" s="121">
        <v>0</v>
      </c>
      <c r="W23" s="23">
        <v>948.97000000000196</v>
      </c>
      <c r="X23" s="23">
        <v>948.97000000000196</v>
      </c>
      <c r="Y23" s="24">
        <v>1</v>
      </c>
      <c r="Z23" s="23">
        <v>42.300000000000004</v>
      </c>
      <c r="AA23" s="122">
        <v>906.67000000000201</v>
      </c>
      <c r="AB23" s="121">
        <v>53.98</v>
      </c>
      <c r="AC23" s="23">
        <v>937.43000000000097</v>
      </c>
      <c r="AD23" s="23">
        <v>883.45000000000095</v>
      </c>
      <c r="AE23" s="24">
        <v>0.94241703380519082</v>
      </c>
      <c r="AF23" s="23">
        <v>41.800000000000004</v>
      </c>
      <c r="AG23" s="122">
        <v>841.650000000001</v>
      </c>
      <c r="AH23" s="185">
        <v>622.82000000000005</v>
      </c>
      <c r="AI23" s="186">
        <v>1090.3599999999999</v>
      </c>
      <c r="AJ23" s="186">
        <v>467.53999999999985</v>
      </c>
      <c r="AK23" s="187">
        <v>0.42879415972706253</v>
      </c>
      <c r="AL23" s="186">
        <v>48</v>
      </c>
      <c r="AM23" s="188">
        <v>419.53999999999985</v>
      </c>
    </row>
    <row r="24" spans="3:39">
      <c r="C24" s="135" t="s">
        <v>38</v>
      </c>
      <c r="D24" s="136">
        <f>SUM(D5:D23)</f>
        <v>43689.399999999994</v>
      </c>
      <c r="E24" s="124">
        <f>SUM(E5:E23)</f>
        <v>57016.610000000459</v>
      </c>
      <c r="F24" s="124">
        <f>SUM(F5:F23)</f>
        <v>13327.210000000458</v>
      </c>
      <c r="G24" s="125">
        <f t="shared" ref="G24" si="0">IF(E24&gt;0,(F24/E24),"")</f>
        <v>0.23374258834399925</v>
      </c>
      <c r="H24" s="126">
        <f>SUM(H5:H23)</f>
        <v>1157.5000000000002</v>
      </c>
      <c r="I24" s="132">
        <f>SUM(I5:I23)</f>
        <v>12169.710000000458</v>
      </c>
      <c r="J24" s="123">
        <f>SUM(J5:J23)</f>
        <v>45225.18</v>
      </c>
      <c r="K24" s="124">
        <f>SUM(K5:K23)</f>
        <v>68931.790000000925</v>
      </c>
      <c r="L24" s="124">
        <f>SUM(L5:L23)</f>
        <v>23706.610000000932</v>
      </c>
      <c r="M24" s="125">
        <f t="shared" ref="M24" si="1">IF(K24&gt;0,(L24/K24),"")</f>
        <v>0.34391403443898111</v>
      </c>
      <c r="N24" s="126">
        <f>SUM(N5:N23)</f>
        <v>1518.8</v>
      </c>
      <c r="O24" s="127">
        <f>SUM(O5:O23)</f>
        <v>22187.810000000933</v>
      </c>
      <c r="P24" s="123">
        <f>SUM(P5:P23)</f>
        <v>45225.18</v>
      </c>
      <c r="Q24" s="124">
        <f>SUM(Q5:Q23)</f>
        <v>68931.790000000925</v>
      </c>
      <c r="R24" s="124">
        <f>SUM(R5:R23)</f>
        <v>23706.610000000932</v>
      </c>
      <c r="S24" s="125">
        <f t="shared" ref="S24" si="2">IF(Q24&gt;0,(R24/Q24),"")</f>
        <v>0.34391403443898111</v>
      </c>
      <c r="T24" s="126">
        <f>SUM(T5:T23)</f>
        <v>1518.8</v>
      </c>
      <c r="U24" s="127">
        <f>SUM(U5:U23)</f>
        <v>22187.810000000933</v>
      </c>
      <c r="V24" s="123">
        <f>SUM(V5:V23)</f>
        <v>0</v>
      </c>
      <c r="W24" s="124">
        <f>SUM(W5:W23)</f>
        <v>66218.980000000316</v>
      </c>
      <c r="X24" s="124">
        <f>SUM(X5:X23)</f>
        <v>66218.980000000316</v>
      </c>
      <c r="Y24" s="125">
        <f t="shared" ref="Y24" si="3">IF(W24&gt;0,(X24/W24),"")</f>
        <v>1</v>
      </c>
      <c r="Z24" s="126">
        <f>SUM(Z5:Z23)</f>
        <v>1426.4999999999998</v>
      </c>
      <c r="AA24" s="127">
        <f>SUM(AA5:AA23)</f>
        <v>64792.480000000323</v>
      </c>
      <c r="AB24" s="123">
        <f>SUM(AB5:AB23)</f>
        <v>5648.8599999999988</v>
      </c>
      <c r="AC24" s="124">
        <f>SUM(AC5:AC23)</f>
        <v>78250.020000000688</v>
      </c>
      <c r="AD24" s="124">
        <f>SUM(AD5:AD23)</f>
        <v>72601.160000000687</v>
      </c>
      <c r="AE24" s="125">
        <f t="shared" ref="AE24" si="4">IF(AC24&gt;0,(AD24/AC24),"")</f>
        <v>0.92781011429773497</v>
      </c>
      <c r="AF24" s="126">
        <f>SUM(AF5:AF23)</f>
        <v>1708</v>
      </c>
      <c r="AG24" s="127">
        <f>SUM(AG5:AG23)</f>
        <v>70893.160000000658</v>
      </c>
      <c r="AH24" s="123">
        <f>SUM(AH5:AH23)</f>
        <v>45225.18</v>
      </c>
      <c r="AI24" s="124">
        <f>SUM(AI5:AI23)</f>
        <v>68931.790000000925</v>
      </c>
      <c r="AJ24" s="124">
        <f>SUM(AJ5:AJ23)</f>
        <v>23706.610000000932</v>
      </c>
      <c r="AK24" s="189">
        <f t="shared" ref="AK24" si="5">IF(AI24&gt;0,(AJ24/AI24),"")</f>
        <v>0.34391403443898111</v>
      </c>
      <c r="AL24" s="126">
        <f>SUM(AL5:AL23)</f>
        <v>1518.8</v>
      </c>
      <c r="AM24" s="127">
        <f>SUM(AM5:AM23)</f>
        <v>22187.810000000933</v>
      </c>
    </row>
    <row r="27" spans="3:39">
      <c r="C27" t="s">
        <v>153</v>
      </c>
    </row>
  </sheetData>
  <mergeCells count="6">
    <mergeCell ref="AH3:AM3"/>
    <mergeCell ref="D3:I3"/>
    <mergeCell ref="J3:O3"/>
    <mergeCell ref="P3:U3"/>
    <mergeCell ref="V3:AA3"/>
    <mergeCell ref="AB3:AG3"/>
  </mergeCells>
  <conditionalFormatting sqref="F5:F2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{ABE69DED-0AC7-4906-B2EF-6619A131C826}</x14:id>
        </ext>
      </extLst>
    </cfRule>
  </conditionalFormatting>
  <conditionalFormatting sqref="G5:G2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{F71609AF-1534-4515-9A22-2681AFD93422}</x14:id>
        </ext>
      </extLst>
    </cfRule>
  </conditionalFormatting>
  <conditionalFormatting sqref="G2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{695B0820-98E5-4820-AD43-E78028285E62}</x14:id>
        </ext>
      </extLst>
    </cfRule>
  </conditionalFormatting>
  <conditionalFormatting sqref="I5:I2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{2F435A34-FD72-4E3D-A964-1BC656B2AF73}</x14:id>
        </ext>
      </extLst>
    </cfRule>
  </conditionalFormatting>
  <conditionalFormatting sqref="L5:L23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{32943079-10D5-4EEF-AFB4-BF59F1C08C32}</x14:id>
        </ext>
      </extLst>
    </cfRule>
  </conditionalFormatting>
  <conditionalFormatting sqref="M5:M2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{2C51D259-BA10-4AF0-A76E-AD6CA034126F}</x14:id>
        </ext>
      </extLst>
    </cfRule>
  </conditionalFormatting>
  <conditionalFormatting sqref="M24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{4289BF02-9B15-4108-A86E-0DFE2CA90906}</x14:id>
        </ext>
      </extLst>
    </cfRule>
  </conditionalFormatting>
  <conditionalFormatting sqref="O5:O2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{AA20EFFD-54C9-4E6E-B8BB-6325BB3466D1}</x14:id>
        </ext>
      </extLst>
    </cfRule>
  </conditionalFormatting>
  <conditionalFormatting sqref="R5:R2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{AE9EC685-B5B6-1E4A-B977-4401E5B91DCC}</x14:id>
        </ext>
      </extLst>
    </cfRule>
  </conditionalFormatting>
  <conditionalFormatting sqref="S5:S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{9D765FC3-2440-7E43-B954-241EA2F23B20}</x14:id>
        </ext>
      </extLst>
    </cfRule>
  </conditionalFormatting>
  <conditionalFormatting sqref="S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{6C959C30-C6AE-0348-805B-54ED858192CB}</x14:id>
        </ext>
      </extLst>
    </cfRule>
  </conditionalFormatting>
  <conditionalFormatting sqref="U5:U2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{2075A507-FA60-8B46-B49E-6C9943B214C8}</x14:id>
        </ext>
      </extLst>
    </cfRule>
  </conditionalFormatting>
  <conditionalFormatting sqref="X5:X2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{D0A750AE-87F4-E648-ABA7-0E5EAA942404}</x14:id>
        </ext>
      </extLst>
    </cfRule>
  </conditionalFormatting>
  <conditionalFormatting sqref="Y5:Y2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{D51D1B64-C42F-434E-81AC-01278C8ADFFC}</x14:id>
        </ext>
      </extLst>
    </cfRule>
  </conditionalFormatting>
  <conditionalFormatting sqref="Y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{6C91867C-84AF-6446-83FF-0B5BC89D50F1}</x14:id>
        </ext>
      </extLst>
    </cfRule>
  </conditionalFormatting>
  <conditionalFormatting sqref="AA5:AA2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{08B6060A-CABA-EB4C-A9DA-89A1CB35A4B9}</x14:id>
        </ext>
      </extLst>
    </cfRule>
  </conditionalFormatting>
  <conditionalFormatting sqref="AD5:AD2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{13F61F9D-404C-40E1-8FBD-55D73F3A4DC3}</x14:id>
        </ext>
      </extLst>
    </cfRule>
  </conditionalFormatting>
  <conditionalFormatting sqref="AE5:AE2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{59316403-3999-4067-8271-8C187CE80193}</x14:id>
        </ext>
      </extLst>
    </cfRule>
  </conditionalFormatting>
  <conditionalFormatting sqref="AE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{3F84CA43-DC50-4E1B-BB73-137204C987BA}</x14:id>
        </ext>
      </extLst>
    </cfRule>
  </conditionalFormatting>
  <conditionalFormatting sqref="AG5:AG2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{68C36861-CEDE-4829-8DF7-D75D469E688A}</x14:id>
        </ext>
      </extLst>
    </cfRule>
  </conditionalFormatting>
  <conditionalFormatting sqref="AJ5:AJ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{C3A1039B-478B-40DE-846B-74BD9DAF9CA0}</x14:id>
        </ext>
      </extLst>
    </cfRule>
  </conditionalFormatting>
  <conditionalFormatting sqref="AK5:AK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{13810DF2-9096-4069-84B5-A3CA316076F7}</x14:id>
        </ext>
      </extLst>
    </cfRule>
  </conditionalFormatting>
  <conditionalFormatting sqref="AM5:AM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{1172832E-DD89-402A-B633-2802899E6554}</x14:id>
        </ext>
      </extLst>
    </cfRule>
  </conditionalFormatting>
  <dataValidations count="1">
    <dataValidation type="list" allowBlank="1" showInputMessage="1" showErrorMessage="1" sqref="AB3:AG3 D3:AA3" xr:uid="{99A0AC47-85F0-4160-84E8-829DEF61F5DD}">
      <formula1>MonthAndYearList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E69DED-0AC7-4906-B2EF-6619A131C8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F5:F23</xm:sqref>
        </x14:conditionalFormatting>
        <x14:conditionalFormatting xmlns:xm="http://schemas.microsoft.com/office/excel/2006/main">
          <x14:cfRule type="dataBar" id="{F71609AF-1534-4515-9A22-2681AFD934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G5:G23</xm:sqref>
        </x14:conditionalFormatting>
        <x14:conditionalFormatting xmlns:xm="http://schemas.microsoft.com/office/excel/2006/main">
          <x14:cfRule type="dataBar" id="{695B0820-98E5-4820-AD43-E78028285E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</xm:sqref>
        </x14:conditionalFormatting>
        <x14:conditionalFormatting xmlns:xm="http://schemas.microsoft.com/office/excel/2006/main">
          <x14:cfRule type="dataBar" id="{2F435A34-FD72-4E3D-A964-1BC656B2A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I5:I23</xm:sqref>
        </x14:conditionalFormatting>
        <x14:conditionalFormatting xmlns:xm="http://schemas.microsoft.com/office/excel/2006/main">
          <x14:cfRule type="dataBar" id="{32943079-10D5-4EEF-AFB4-BF59F1C08C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L5:L23</xm:sqref>
        </x14:conditionalFormatting>
        <x14:conditionalFormatting xmlns:xm="http://schemas.microsoft.com/office/excel/2006/main">
          <x14:cfRule type="dataBar" id="{2C51D259-BA10-4AF0-A76E-AD6CA0341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M5:M23</xm:sqref>
        </x14:conditionalFormatting>
        <x14:conditionalFormatting xmlns:xm="http://schemas.microsoft.com/office/excel/2006/main">
          <x14:cfRule type="dataBar" id="{4289BF02-9B15-4108-A86E-0DFE2CA90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AA20EFFD-54C9-4E6E-B8BB-6325BB346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O5:O23</xm:sqref>
        </x14:conditionalFormatting>
        <x14:conditionalFormatting xmlns:xm="http://schemas.microsoft.com/office/excel/2006/main">
          <x14:cfRule type="dataBar" id="{AE9EC685-B5B6-1E4A-B977-4401E5B91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R5:R23</xm:sqref>
        </x14:conditionalFormatting>
        <x14:conditionalFormatting xmlns:xm="http://schemas.microsoft.com/office/excel/2006/main">
          <x14:cfRule type="dataBar" id="{9D765FC3-2440-7E43-B954-241EA2F23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S5:S23</xm:sqref>
        </x14:conditionalFormatting>
        <x14:conditionalFormatting xmlns:xm="http://schemas.microsoft.com/office/excel/2006/main">
          <x14:cfRule type="dataBar" id="{6C959C30-C6AE-0348-805B-54ED85819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S24</xm:sqref>
        </x14:conditionalFormatting>
        <x14:conditionalFormatting xmlns:xm="http://schemas.microsoft.com/office/excel/2006/main">
          <x14:cfRule type="dataBar" id="{2075A507-FA60-8B46-B49E-6C9943B21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U5:U23</xm:sqref>
        </x14:conditionalFormatting>
        <x14:conditionalFormatting xmlns:xm="http://schemas.microsoft.com/office/excel/2006/main">
          <x14:cfRule type="dataBar" id="{D0A750AE-87F4-E648-ABA7-0E5EAA942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X5:X23</xm:sqref>
        </x14:conditionalFormatting>
        <x14:conditionalFormatting xmlns:xm="http://schemas.microsoft.com/office/excel/2006/main">
          <x14:cfRule type="dataBar" id="{D51D1B64-C42F-434E-81AC-01278C8AD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Y5:Y23</xm:sqref>
        </x14:conditionalFormatting>
        <x14:conditionalFormatting xmlns:xm="http://schemas.microsoft.com/office/excel/2006/main">
          <x14:cfRule type="dataBar" id="{6C91867C-84AF-6446-83FF-0B5BC89D50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Y24</xm:sqref>
        </x14:conditionalFormatting>
        <x14:conditionalFormatting xmlns:xm="http://schemas.microsoft.com/office/excel/2006/main">
          <x14:cfRule type="dataBar" id="{08B6060A-CABA-EB4C-A9DA-89A1CB35A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AA5:AA23</xm:sqref>
        </x14:conditionalFormatting>
        <x14:conditionalFormatting xmlns:xm="http://schemas.microsoft.com/office/excel/2006/main">
          <x14:cfRule type="dataBar" id="{13F61F9D-404C-40E1-8FBD-55D73F3A4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AD5:AD23</xm:sqref>
        </x14:conditionalFormatting>
        <x14:conditionalFormatting xmlns:xm="http://schemas.microsoft.com/office/excel/2006/main">
          <x14:cfRule type="dataBar" id="{59316403-3999-4067-8271-8C187CE80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AE5:AE23</xm:sqref>
        </x14:conditionalFormatting>
        <x14:conditionalFormatting xmlns:xm="http://schemas.microsoft.com/office/excel/2006/main">
          <x14:cfRule type="dataBar" id="{3F84CA43-DC50-4E1B-BB73-137204C987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AE24</xm:sqref>
        </x14:conditionalFormatting>
        <x14:conditionalFormatting xmlns:xm="http://schemas.microsoft.com/office/excel/2006/main">
          <x14:cfRule type="dataBar" id="{68C36861-CEDE-4829-8DF7-D75D469E6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AG5:AG23</xm:sqref>
        </x14:conditionalFormatting>
        <x14:conditionalFormatting xmlns:xm="http://schemas.microsoft.com/office/excel/2006/main">
          <x14:cfRule type="dataBar" id="{C3A1039B-478B-40DE-846B-74BD9DAF9C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AJ5:AJ23</xm:sqref>
        </x14:conditionalFormatting>
        <x14:conditionalFormatting xmlns:xm="http://schemas.microsoft.com/office/excel/2006/main">
          <x14:cfRule type="dataBar" id="{13810DF2-9096-4069-84B5-A3CA31607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AK5:AK23</xm:sqref>
        </x14:conditionalFormatting>
        <x14:conditionalFormatting xmlns:xm="http://schemas.microsoft.com/office/excel/2006/main">
          <x14:cfRule type="dataBar" id="{1172832E-DD89-402A-B633-2802899E65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2717-9279-47C0-AF63-0421F60456CC}">
  <sheetPr codeName="Sheet6"/>
  <dimension ref="B2:AA18"/>
  <sheetViews>
    <sheetView showGridLines="0" topLeftCell="B1" workbookViewId="0">
      <selection activeCell="G8" sqref="G8"/>
    </sheetView>
  </sheetViews>
  <sheetFormatPr defaultColWidth="8.69921875" defaultRowHeight="18.95"/>
  <cols>
    <col min="3" max="3" width="19.8984375" bestFit="1" customWidth="1"/>
    <col min="4" max="4" width="9" bestFit="1" customWidth="1"/>
    <col min="5" max="5" width="9.3984375" customWidth="1"/>
    <col min="6" max="6" width="10.69921875" bestFit="1" customWidth="1"/>
    <col min="7" max="7" width="9" customWidth="1"/>
    <col min="8" max="8" width="11.8984375" customWidth="1"/>
    <col min="9" max="12" width="9.3984375" bestFit="1" customWidth="1"/>
    <col min="16" max="18" width="9.3984375" bestFit="1" customWidth="1"/>
    <col min="22" max="24" width="9.3984375" bestFit="1" customWidth="1"/>
  </cols>
  <sheetData>
    <row r="2" spans="3:27">
      <c r="D2" s="207" t="s">
        <v>155</v>
      </c>
      <c r="E2" s="207"/>
      <c r="F2" s="207"/>
      <c r="G2" s="207"/>
      <c r="H2" s="207"/>
      <c r="I2" s="207"/>
      <c r="J2" s="236" t="s">
        <v>104</v>
      </c>
      <c r="K2" s="236"/>
      <c r="L2" s="236"/>
      <c r="M2" s="236"/>
      <c r="N2" s="236"/>
      <c r="O2" s="236"/>
      <c r="P2" s="207" t="s">
        <v>102</v>
      </c>
      <c r="Q2" s="207"/>
      <c r="R2" s="207"/>
      <c r="S2" s="207"/>
      <c r="T2" s="207"/>
      <c r="U2" s="207"/>
      <c r="V2" s="236" t="s">
        <v>104</v>
      </c>
      <c r="W2" s="236"/>
      <c r="X2" s="236"/>
      <c r="Y2" s="236"/>
      <c r="Z2" s="236"/>
      <c r="AA2" s="236"/>
    </row>
    <row r="3" spans="3:27">
      <c r="C3" s="19" t="s">
        <v>177</v>
      </c>
      <c r="D3" s="22" t="s">
        <v>33</v>
      </c>
      <c r="E3" s="22" t="s">
        <v>29</v>
      </c>
      <c r="F3" s="22" t="s">
        <v>105</v>
      </c>
      <c r="G3" s="22" t="s">
        <v>106</v>
      </c>
      <c r="H3" s="22" t="s">
        <v>6</v>
      </c>
      <c r="I3" s="22" t="s">
        <v>66</v>
      </c>
      <c r="J3" s="22" t="s">
        <v>33</v>
      </c>
      <c r="K3" s="22" t="s">
        <v>29</v>
      </c>
      <c r="L3" s="22" t="s">
        <v>105</v>
      </c>
      <c r="M3" s="22" t="s">
        <v>106</v>
      </c>
      <c r="N3" s="22" t="s">
        <v>6</v>
      </c>
      <c r="O3" s="22" t="s">
        <v>66</v>
      </c>
      <c r="P3" s="22" t="s">
        <v>33</v>
      </c>
      <c r="Q3" s="22" t="s">
        <v>29</v>
      </c>
      <c r="R3" s="22" t="s">
        <v>105</v>
      </c>
      <c r="S3" s="22" t="s">
        <v>106</v>
      </c>
      <c r="T3" s="22" t="s">
        <v>6</v>
      </c>
      <c r="U3" s="22" t="s">
        <v>66</v>
      </c>
      <c r="V3" s="22" t="s">
        <v>33</v>
      </c>
      <c r="W3" s="22" t="s">
        <v>29</v>
      </c>
      <c r="X3" s="22" t="s">
        <v>105</v>
      </c>
      <c r="Y3" s="22" t="s">
        <v>106</v>
      </c>
      <c r="Z3" s="22" t="s">
        <v>6</v>
      </c>
      <c r="AA3" s="22" t="s">
        <v>66</v>
      </c>
    </row>
    <row r="4" spans="3:27">
      <c r="C4" s="20" t="s">
        <v>178</v>
      </c>
      <c r="D4" s="23" cm="1">
        <f t="array" ref="D4:I12">MonthlyByCategoryAnalysis($C$4:$C$12, D2)</f>
        <v>10112.5</v>
      </c>
      <c r="E4" s="23">
        <v>12081.64</v>
      </c>
      <c r="F4" s="23">
        <v>1969.1399999999994</v>
      </c>
      <c r="G4" s="24">
        <v>0.1629861508868001</v>
      </c>
      <c r="H4" s="23">
        <v>122.2</v>
      </c>
      <c r="I4" s="23">
        <v>1846.9399999999994</v>
      </c>
      <c r="J4" s="23" cm="1">
        <f t="array" ref="J4:O12">MonthlyByCategoryAnalysis($C$4:$C$12, J2)</f>
        <v>8975.7099999999991</v>
      </c>
      <c r="K4" s="23">
        <v>13036.379999999899</v>
      </c>
      <c r="L4" s="23">
        <v>4060.6699999999</v>
      </c>
      <c r="M4" s="24">
        <v>0.31148754485523827</v>
      </c>
      <c r="N4" s="23">
        <v>132.5</v>
      </c>
      <c r="O4" s="23">
        <v>3928.1699999999</v>
      </c>
      <c r="P4" s="23" cm="1">
        <f t="array" ref="P4:U12">MonthlyByCategoryAnalysis($C$4:$C$12, P2)</f>
        <v>915.51</v>
      </c>
      <c r="Q4" s="23">
        <v>14441.9199999999</v>
      </c>
      <c r="R4" s="23">
        <v>13526.4099999999</v>
      </c>
      <c r="S4" s="24">
        <v>0.93660745939598011</v>
      </c>
      <c r="T4" s="23">
        <v>147.5</v>
      </c>
      <c r="U4" s="23">
        <v>13378.9099999999</v>
      </c>
      <c r="V4" s="23" cm="1">
        <f t="array" ref="V4:AA12">MonthlyByCategoryAnalysis($C$4:$C$12, V2)</f>
        <v>8975.7099999999991</v>
      </c>
      <c r="W4" s="23">
        <v>13036.379999999899</v>
      </c>
      <c r="X4" s="23">
        <v>4060.6699999999</v>
      </c>
      <c r="Y4" s="24">
        <v>0.31148754485523827</v>
      </c>
      <c r="Z4" s="23">
        <v>132.5</v>
      </c>
      <c r="AA4" s="23">
        <v>3928.1699999999</v>
      </c>
    </row>
    <row r="5" spans="3:27">
      <c r="C5" s="20" t="s">
        <v>179</v>
      </c>
      <c r="D5" s="23">
        <v>13405.78</v>
      </c>
      <c r="E5" s="23">
        <v>17454.0199999998</v>
      </c>
      <c r="F5" s="23">
        <v>4048.2399999997997</v>
      </c>
      <c r="G5" s="24">
        <v>0.23193739894877202</v>
      </c>
      <c r="H5" s="23">
        <v>291.2</v>
      </c>
      <c r="I5" s="23">
        <v>3757.0399999997999</v>
      </c>
      <c r="J5" s="23">
        <v>13208.74</v>
      </c>
      <c r="K5" s="23">
        <v>19367.629999999899</v>
      </c>
      <c r="L5" s="23">
        <v>6158.8899999998994</v>
      </c>
      <c r="M5" s="24">
        <v>0.31799915632423437</v>
      </c>
      <c r="N5" s="23">
        <v>323.60000000000002</v>
      </c>
      <c r="O5" s="23">
        <v>5835.289999999899</v>
      </c>
      <c r="P5" s="23">
        <v>1415.77</v>
      </c>
      <c r="Q5" s="23">
        <v>21601.940000000301</v>
      </c>
      <c r="R5" s="23">
        <v>20186.1700000003</v>
      </c>
      <c r="S5" s="24">
        <v>0.9344609789676307</v>
      </c>
      <c r="T5" s="23">
        <v>361.20000000000005</v>
      </c>
      <c r="U5" s="23">
        <v>19824.970000000299</v>
      </c>
      <c r="V5" s="23">
        <v>13208.74</v>
      </c>
      <c r="W5" s="23">
        <v>19367.629999999899</v>
      </c>
      <c r="X5" s="23">
        <v>6158.8899999998994</v>
      </c>
      <c r="Y5" s="24">
        <v>0.31799915632423437</v>
      </c>
      <c r="Z5" s="23">
        <v>323.60000000000002</v>
      </c>
      <c r="AA5" s="23">
        <v>5835.289999999899</v>
      </c>
    </row>
    <row r="6" spans="3:27">
      <c r="C6" s="21" t="s">
        <v>180</v>
      </c>
      <c r="D6" s="23">
        <v>875.01</v>
      </c>
      <c r="E6" s="23">
        <v>1148.26</v>
      </c>
      <c r="F6" s="26">
        <v>273.25</v>
      </c>
      <c r="G6" s="24">
        <v>0.23796875272150908</v>
      </c>
      <c r="H6" s="23">
        <v>12.8</v>
      </c>
      <c r="I6" s="23">
        <v>260.45</v>
      </c>
      <c r="J6" s="23">
        <v>686.01</v>
      </c>
      <c r="K6" s="23">
        <v>1250.3</v>
      </c>
      <c r="L6" s="26">
        <v>564.29</v>
      </c>
      <c r="M6" s="24">
        <v>0.45132368231624409</v>
      </c>
      <c r="N6" s="23">
        <v>13.9</v>
      </c>
      <c r="O6" s="23">
        <v>550.39</v>
      </c>
      <c r="P6" s="23">
        <v>73.03</v>
      </c>
      <c r="Q6" s="23">
        <v>1315.19</v>
      </c>
      <c r="R6" s="26">
        <v>1242.1600000000001</v>
      </c>
      <c r="S6" s="24">
        <v>0.94447190139827708</v>
      </c>
      <c r="T6" s="23">
        <v>14.600000000000001</v>
      </c>
      <c r="U6" s="23">
        <v>1227.5600000000002</v>
      </c>
      <c r="V6" s="23">
        <v>686.01</v>
      </c>
      <c r="W6" s="23">
        <v>1250.3</v>
      </c>
      <c r="X6" s="26">
        <v>564.29</v>
      </c>
      <c r="Y6" s="24">
        <v>0.45132368231624409</v>
      </c>
      <c r="Z6" s="23">
        <v>13.9</v>
      </c>
      <c r="AA6" s="23">
        <v>550.39</v>
      </c>
    </row>
    <row r="7" spans="3:27">
      <c r="C7" s="20" t="s">
        <v>181</v>
      </c>
      <c r="D7" s="23">
        <v>7101.41</v>
      </c>
      <c r="E7" s="23">
        <v>8485.99999999996</v>
      </c>
      <c r="F7" s="23">
        <v>1384.5899999999601</v>
      </c>
      <c r="G7" s="24">
        <v>0.16316167805797391</v>
      </c>
      <c r="H7" s="23">
        <v>99</v>
      </c>
      <c r="I7" s="23">
        <v>1285.5899999999601</v>
      </c>
      <c r="J7" s="23">
        <v>6971.35</v>
      </c>
      <c r="K7" s="23">
        <v>10012.6899999999</v>
      </c>
      <c r="L7" s="23">
        <v>3041.3399999999001</v>
      </c>
      <c r="M7" s="24">
        <v>0.30374854309880067</v>
      </c>
      <c r="N7" s="23">
        <v>128.20000000000002</v>
      </c>
      <c r="O7" s="23">
        <v>2913.1399999999003</v>
      </c>
      <c r="P7" s="23">
        <v>745.98</v>
      </c>
      <c r="Q7" s="23">
        <v>11622.35</v>
      </c>
      <c r="R7" s="23">
        <v>10876.37</v>
      </c>
      <c r="S7" s="24">
        <v>0.93581504601048848</v>
      </c>
      <c r="T7" s="23">
        <v>147.30000000000001</v>
      </c>
      <c r="U7" s="23">
        <v>10729.070000000002</v>
      </c>
      <c r="V7" s="23">
        <v>6971.35</v>
      </c>
      <c r="W7" s="23">
        <v>10012.6899999999</v>
      </c>
      <c r="X7" s="23">
        <v>3041.3399999999001</v>
      </c>
      <c r="Y7" s="24">
        <v>0.30374854309880067</v>
      </c>
      <c r="Z7" s="23">
        <v>128.20000000000002</v>
      </c>
      <c r="AA7" s="23">
        <v>2913.1399999999003</v>
      </c>
    </row>
    <row r="8" spans="3:27">
      <c r="C8" s="20" t="s">
        <v>182</v>
      </c>
      <c r="D8" s="23">
        <v>7183.45</v>
      </c>
      <c r="E8" s="23">
        <v>10890.869999999901</v>
      </c>
      <c r="F8" s="23">
        <v>3707.4199999999009</v>
      </c>
      <c r="G8" s="24">
        <v>0.34041541217551352</v>
      </c>
      <c r="H8" s="23">
        <v>422.20000000000005</v>
      </c>
      <c r="I8" s="23">
        <v>3285.2199999999011</v>
      </c>
      <c r="J8" s="23">
        <v>7668.27</v>
      </c>
      <c r="K8" s="23">
        <v>12732.7699999996</v>
      </c>
      <c r="L8" s="23">
        <v>5064.4999999995998</v>
      </c>
      <c r="M8" s="24">
        <v>0.39775319902894335</v>
      </c>
      <c r="N8" s="23">
        <v>489.40000000000003</v>
      </c>
      <c r="O8" s="23">
        <v>4575.0999999996002</v>
      </c>
      <c r="P8" s="23">
        <v>1296.02</v>
      </c>
      <c r="Q8" s="23">
        <v>15384.6699999992</v>
      </c>
      <c r="R8" s="23">
        <v>14088.649999999199</v>
      </c>
      <c r="S8" s="24">
        <v>0.91575899905554892</v>
      </c>
      <c r="T8" s="23">
        <v>576.20000000000005</v>
      </c>
      <c r="U8" s="23">
        <v>13512.449999999199</v>
      </c>
      <c r="V8" s="23">
        <v>7668.27</v>
      </c>
      <c r="W8" s="23">
        <v>12732.7699999996</v>
      </c>
      <c r="X8" s="23">
        <v>5064.4999999995998</v>
      </c>
      <c r="Y8" s="24">
        <v>0.39775319902894335</v>
      </c>
      <c r="Z8" s="23">
        <v>489.40000000000003</v>
      </c>
      <c r="AA8" s="23">
        <v>4575.0999999996002</v>
      </c>
    </row>
    <row r="9" spans="3:27">
      <c r="C9" s="20" t="s">
        <v>183</v>
      </c>
      <c r="D9" s="23">
        <v>2140.92</v>
      </c>
      <c r="E9" s="23">
        <v>3262.6299999999701</v>
      </c>
      <c r="F9" s="23">
        <v>1121.70999999997</v>
      </c>
      <c r="G9" s="24">
        <v>0.34380545756030573</v>
      </c>
      <c r="H9" s="23">
        <v>147.80000000000001</v>
      </c>
      <c r="I9" s="23">
        <v>973.90999999997007</v>
      </c>
      <c r="J9" s="23">
        <v>2225.64</v>
      </c>
      <c r="K9" s="23">
        <v>3996.3599999999601</v>
      </c>
      <c r="L9" s="23">
        <v>1770.7199999999602</v>
      </c>
      <c r="M9" s="24">
        <v>0.44308320571719712</v>
      </c>
      <c r="N9" s="23">
        <v>174.4</v>
      </c>
      <c r="O9" s="23">
        <v>1596.3199999999601</v>
      </c>
      <c r="P9" s="23">
        <v>314.83999999999997</v>
      </c>
      <c r="Q9" s="23">
        <v>3748.4299999999798</v>
      </c>
      <c r="R9" s="23">
        <v>3433.5899999999797</v>
      </c>
      <c r="S9" s="24">
        <v>0.91600750180742285</v>
      </c>
      <c r="T9" s="23">
        <v>165.9</v>
      </c>
      <c r="U9" s="23">
        <v>3267.6899999999796</v>
      </c>
      <c r="V9" s="23">
        <v>2225.64</v>
      </c>
      <c r="W9" s="23">
        <v>3996.3599999999601</v>
      </c>
      <c r="X9" s="23">
        <v>1770.7199999999602</v>
      </c>
      <c r="Y9" s="24">
        <v>0.44308320571719712</v>
      </c>
      <c r="Z9" s="23">
        <v>174.4</v>
      </c>
      <c r="AA9" s="23">
        <v>1596.3199999999601</v>
      </c>
    </row>
    <row r="10" spans="3:27">
      <c r="C10" s="20" t="s">
        <v>184</v>
      </c>
      <c r="D10" s="23">
        <v>2737.93</v>
      </c>
      <c r="E10" s="23">
        <v>3530.85</v>
      </c>
      <c r="F10" s="23">
        <v>792.92000000000007</v>
      </c>
      <c r="G10" s="24">
        <v>0.22456915473611172</v>
      </c>
      <c r="H10" s="23">
        <v>156.10000000000002</v>
      </c>
      <c r="I10" s="23">
        <v>636.82000000000005</v>
      </c>
      <c r="J10" s="23">
        <v>2274.44</v>
      </c>
      <c r="K10" s="23">
        <v>4067.5299999999902</v>
      </c>
      <c r="L10" s="23">
        <v>1793.0899999999901</v>
      </c>
      <c r="M10" s="24">
        <v>0.4408301844116686</v>
      </c>
      <c r="N10" s="23">
        <v>169.60000000000002</v>
      </c>
      <c r="O10" s="23">
        <v>1623.4899999999902</v>
      </c>
      <c r="P10" s="23">
        <v>378.79</v>
      </c>
      <c r="Q10" s="23">
        <v>4542.45999999995</v>
      </c>
      <c r="R10" s="23">
        <v>4163.6699999999501</v>
      </c>
      <c r="S10" s="24">
        <v>0.91661126350039313</v>
      </c>
      <c r="T10" s="23">
        <v>184.4</v>
      </c>
      <c r="U10" s="23">
        <v>3979.26999999995</v>
      </c>
      <c r="V10" s="23">
        <v>2274.44</v>
      </c>
      <c r="W10" s="23">
        <v>4067.5299999999902</v>
      </c>
      <c r="X10" s="23">
        <v>1793.0899999999901</v>
      </c>
      <c r="Y10" s="24">
        <v>0.4408301844116686</v>
      </c>
      <c r="Z10" s="23">
        <v>169.60000000000002</v>
      </c>
      <c r="AA10" s="23">
        <v>1623.4899999999902</v>
      </c>
    </row>
    <row r="11" spans="3:27">
      <c r="C11" s="20" t="s">
        <v>185</v>
      </c>
      <c r="D11" s="23">
        <v>2774.44</v>
      </c>
      <c r="E11" s="23">
        <v>4102.8999999999496</v>
      </c>
      <c r="F11" s="23">
        <v>1328.4599999999496</v>
      </c>
      <c r="G11" s="24">
        <v>0.32378561505275921</v>
      </c>
      <c r="H11" s="23">
        <v>81.2</v>
      </c>
      <c r="I11" s="23">
        <v>1247.2599999999495</v>
      </c>
      <c r="J11" s="23">
        <v>3641.31</v>
      </c>
      <c r="K11" s="23">
        <v>5506.5799999998999</v>
      </c>
      <c r="L11" s="23">
        <v>1865.2699999998999</v>
      </c>
      <c r="M11" s="24">
        <v>0.33873475006264031</v>
      </c>
      <c r="N11" s="23">
        <v>108.60000000000001</v>
      </c>
      <c r="O11" s="23">
        <v>1756.6699999999</v>
      </c>
      <c r="P11" s="23">
        <v>510.05</v>
      </c>
      <c r="Q11" s="23">
        <v>5861.95999999989</v>
      </c>
      <c r="R11" s="23">
        <v>5351.9099999998898</v>
      </c>
      <c r="S11" s="24">
        <v>0.9129898532231524</v>
      </c>
      <c r="T11" s="23">
        <v>115</v>
      </c>
      <c r="U11" s="23">
        <v>5236.9099999998898</v>
      </c>
      <c r="V11" s="23">
        <v>3641.31</v>
      </c>
      <c r="W11" s="23">
        <v>5506.5799999998999</v>
      </c>
      <c r="X11" s="23">
        <v>1865.2699999998999</v>
      </c>
      <c r="Y11" s="24">
        <v>0.33873475006264031</v>
      </c>
      <c r="Z11" s="23">
        <v>108.60000000000001</v>
      </c>
      <c r="AA11" s="23">
        <v>1756.6699999999</v>
      </c>
    </row>
    <row r="12" spans="3:27">
      <c r="C12" s="20" t="s">
        <v>186</v>
      </c>
      <c r="D12" s="23">
        <v>0</v>
      </c>
      <c r="E12" s="23">
        <v>0</v>
      </c>
      <c r="F12" s="23">
        <v>0</v>
      </c>
      <c r="G12" s="24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4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4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4">
        <v>0</v>
      </c>
      <c r="Z12" s="23">
        <v>0</v>
      </c>
      <c r="AA12" s="23">
        <v>0</v>
      </c>
    </row>
    <row r="13" spans="3:27">
      <c r="C13" s="20" t="s">
        <v>187</v>
      </c>
      <c r="D13" s="23"/>
      <c r="E13" s="23"/>
      <c r="F13" s="23"/>
      <c r="G13" s="24"/>
      <c r="H13" s="23"/>
      <c r="I13" s="23"/>
      <c r="J13" s="23"/>
      <c r="K13" s="23"/>
      <c r="L13" s="23"/>
      <c r="M13" s="24"/>
      <c r="N13" s="23"/>
      <c r="O13" s="23"/>
      <c r="P13" s="23"/>
      <c r="Q13" s="23"/>
      <c r="R13" s="23"/>
      <c r="S13" s="24"/>
      <c r="T13" s="23"/>
      <c r="U13" s="23"/>
      <c r="V13" s="23"/>
      <c r="W13" s="23"/>
      <c r="X13" s="23"/>
      <c r="Y13" s="24"/>
      <c r="Z13" s="23"/>
      <c r="AA13" s="23"/>
    </row>
    <row r="14" spans="3:27">
      <c r="C14" s="18" t="s">
        <v>38</v>
      </c>
      <c r="D14" s="92">
        <f>SUM(D4:D12)</f>
        <v>46331.439999999995</v>
      </c>
      <c r="E14" s="92">
        <f>SUM(E4:E12)</f>
        <v>60957.169999999576</v>
      </c>
      <c r="F14" s="92">
        <f>SUM(F4:F12)</f>
        <v>14625.729999999581</v>
      </c>
      <c r="G14" s="25">
        <f t="shared" ref="G14" si="0">IF(E14&gt;0,(F14/E14),"")</f>
        <v>0.23993453108140819</v>
      </c>
      <c r="H14" s="93">
        <f>SUM(H4:H12)</f>
        <v>1332.5000000000002</v>
      </c>
      <c r="I14" s="94">
        <f>SUM(I4:I12)</f>
        <v>13293.229999999579</v>
      </c>
      <c r="J14" s="94">
        <f>SUM(J4:J12)</f>
        <v>45651.47</v>
      </c>
      <c r="K14" s="94">
        <f>SUM(K4:K12)</f>
        <v>69970.239999999147</v>
      </c>
      <c r="L14" s="94">
        <f>SUM(L4:L12)</f>
        <v>24318.769999999146</v>
      </c>
      <c r="M14" s="25">
        <f t="shared" ref="M14" si="1">IF(K14&gt;0,(L14/K14),"")</f>
        <v>0.34755876212514697</v>
      </c>
      <c r="N14" s="93">
        <f>SUM(N4:N12)</f>
        <v>1540.2000000000003</v>
      </c>
      <c r="O14" s="94">
        <f>SUM(O4:O12)</f>
        <v>22778.569999999148</v>
      </c>
      <c r="P14" s="94">
        <f>SUM(P4:P12)</f>
        <v>5649.99</v>
      </c>
      <c r="Q14" s="94">
        <f>SUM(Q4:Q12)</f>
        <v>78518.919999999227</v>
      </c>
      <c r="R14" s="94">
        <f>SUM(R4:R12)</f>
        <v>72868.929999999222</v>
      </c>
      <c r="S14" s="25">
        <f t="shared" ref="S14" si="2">IF(Q14&gt;0,(R14/Q14),"")</f>
        <v>0.9280429481200192</v>
      </c>
      <c r="T14" s="93">
        <f>SUM(T4:T12)</f>
        <v>1712.1000000000004</v>
      </c>
      <c r="U14" s="94">
        <f>SUM(U4:U12)</f>
        <v>71156.829999999216</v>
      </c>
      <c r="V14" s="94">
        <f>SUM(V4:V12)</f>
        <v>45651.47</v>
      </c>
      <c r="W14" s="94">
        <f>SUM(W4:W12)</f>
        <v>69970.239999999147</v>
      </c>
      <c r="X14" s="94">
        <f>SUM(X4:X12)</f>
        <v>24318.769999999146</v>
      </c>
      <c r="Y14" s="25">
        <f t="shared" ref="Y14" si="3">IF(W14&gt;0,(X14/W14),"")</f>
        <v>0.34755876212514697</v>
      </c>
      <c r="Z14" s="93">
        <f>SUM(Z4:Z12)</f>
        <v>1540.2000000000003</v>
      </c>
      <c r="AA14" s="94">
        <f>SUM(AA4:AA12)</f>
        <v>22778.569999999148</v>
      </c>
    </row>
    <row r="18" spans="2:2">
      <c r="B18" t="s">
        <v>153</v>
      </c>
    </row>
  </sheetData>
  <mergeCells count="4">
    <mergeCell ref="D2:I2"/>
    <mergeCell ref="J2:O2"/>
    <mergeCell ref="P2:U2"/>
    <mergeCell ref="V2:AA2"/>
  </mergeCells>
  <conditionalFormatting sqref="F4:F1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{182C7B73-D203-4C15-A603-C69422EC7C0B}</x14:id>
        </ext>
      </extLst>
    </cfRule>
  </conditionalFormatting>
  <conditionalFormatting sqref="G4:G1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{3D9511CB-8755-4D52-BB48-748D5B9991F2}</x14:id>
        </ext>
      </extLst>
    </cfRule>
  </conditionalFormatting>
  <conditionalFormatting sqref="G1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{0E49F6E9-9D8E-4352-9E7A-034A3466AEAE}</x14:id>
        </ext>
      </extLst>
    </cfRule>
  </conditionalFormatting>
  <conditionalFormatting sqref="I4:I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{34F14D5D-19E3-4066-B47F-1EDBCBA809F3}</x14:id>
        </ext>
      </extLst>
    </cfRule>
  </conditionalFormatting>
  <conditionalFormatting sqref="L4:L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{8635051A-2A20-4BFE-893C-EF23674D2F14}</x14:id>
        </ext>
      </extLst>
    </cfRule>
  </conditionalFormatting>
  <conditionalFormatting sqref="M4:M1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{B18C9B32-3D3D-41F2-AFB2-AAC29ACCD813}</x14:id>
        </ext>
      </extLst>
    </cfRule>
  </conditionalFormatting>
  <conditionalFormatting sqref="M1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{B6F91631-C1C4-4CAA-A959-1FD6496A1393}</x14:id>
        </ext>
      </extLst>
    </cfRule>
  </conditionalFormatting>
  <conditionalFormatting sqref="O4:O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{6E3B2C91-9B53-442C-806E-E94276F62166}</x14:id>
        </ext>
      </extLst>
    </cfRule>
  </conditionalFormatting>
  <conditionalFormatting sqref="R4:R1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{1AE30D35-20C5-3E4E-9266-65730C72D71A}</x14:id>
        </ext>
      </extLst>
    </cfRule>
  </conditionalFormatting>
  <conditionalFormatting sqref="S4:S1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{5C96A60D-7F07-9B44-AED7-1EA4166515E9}</x14:id>
        </ext>
      </extLst>
    </cfRule>
  </conditionalFormatting>
  <conditionalFormatting sqref="S1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{EF47F45B-C33F-3644-A2E8-15308715B06C}</x14:id>
        </ext>
      </extLst>
    </cfRule>
  </conditionalFormatting>
  <conditionalFormatting sqref="U4:U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{78E101C8-872D-074E-A824-7D1593C7A79B}</x14:id>
        </ext>
      </extLst>
    </cfRule>
  </conditionalFormatting>
  <conditionalFormatting sqref="X4:X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{5DBACACF-F889-4B49-A5A1-BABA80E2E698}</x14:id>
        </ext>
      </extLst>
    </cfRule>
  </conditionalFormatting>
  <conditionalFormatting sqref="Y4:Y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{02604AEF-70E6-654C-8483-16142CC258CB}</x14:id>
        </ext>
      </extLst>
    </cfRule>
  </conditionalFormatting>
  <conditionalFormatting sqref="Y1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{B1AA92E8-092C-0443-9181-616BF5BA5500}</x14:id>
        </ext>
      </extLst>
    </cfRule>
  </conditionalFormatting>
  <conditionalFormatting sqref="AA4:AA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{456CF37A-100A-3744-B556-A94FA12B6709}</x14:id>
        </ext>
      </extLst>
    </cfRule>
  </conditionalFormatting>
  <dataValidations count="1">
    <dataValidation type="list" allowBlank="1" showInputMessage="1" showErrorMessage="1" sqref="D2:AA2" xr:uid="{2864F824-3BFF-4B3D-A406-B85B566CD9F1}">
      <formula1>MonthAndYearList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2C7B73-D203-4C15-A603-C69422EC7C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F4:F13</xm:sqref>
        </x14:conditionalFormatting>
        <x14:conditionalFormatting xmlns:xm="http://schemas.microsoft.com/office/excel/2006/main">
          <x14:cfRule type="dataBar" id="{3D9511CB-8755-4D52-BB48-748D5B999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G4:G13</xm:sqref>
        </x14:conditionalFormatting>
        <x14:conditionalFormatting xmlns:xm="http://schemas.microsoft.com/office/excel/2006/main">
          <x14:cfRule type="dataBar" id="{0E49F6E9-9D8E-4352-9E7A-034A3466A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34F14D5D-19E3-4066-B47F-1EDBCBA80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I4:I13</xm:sqref>
        </x14:conditionalFormatting>
        <x14:conditionalFormatting xmlns:xm="http://schemas.microsoft.com/office/excel/2006/main">
          <x14:cfRule type="dataBar" id="{8635051A-2A20-4BFE-893C-EF23674D2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L4:L13</xm:sqref>
        </x14:conditionalFormatting>
        <x14:conditionalFormatting xmlns:xm="http://schemas.microsoft.com/office/excel/2006/main">
          <x14:cfRule type="dataBar" id="{B18C9B32-3D3D-41F2-AFB2-AAC29ACCD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M4:M13</xm:sqref>
        </x14:conditionalFormatting>
        <x14:conditionalFormatting xmlns:xm="http://schemas.microsoft.com/office/excel/2006/main">
          <x14:cfRule type="dataBar" id="{B6F91631-C1C4-4CAA-A959-1FD6496A13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E3B2C91-9B53-442C-806E-E94276F62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O4:O13</xm:sqref>
        </x14:conditionalFormatting>
        <x14:conditionalFormatting xmlns:xm="http://schemas.microsoft.com/office/excel/2006/main">
          <x14:cfRule type="dataBar" id="{1AE30D35-20C5-3E4E-9266-65730C72D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R4:R13</xm:sqref>
        </x14:conditionalFormatting>
        <x14:conditionalFormatting xmlns:xm="http://schemas.microsoft.com/office/excel/2006/main">
          <x14:cfRule type="dataBar" id="{5C96A60D-7F07-9B44-AED7-1EA4166515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S4:S13</xm:sqref>
        </x14:conditionalFormatting>
        <x14:conditionalFormatting xmlns:xm="http://schemas.microsoft.com/office/excel/2006/main">
          <x14:cfRule type="dataBar" id="{EF47F45B-C33F-3644-A2E8-15308715B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S14</xm:sqref>
        </x14:conditionalFormatting>
        <x14:conditionalFormatting xmlns:xm="http://schemas.microsoft.com/office/excel/2006/main">
          <x14:cfRule type="dataBar" id="{78E101C8-872D-074E-A824-7D1593C7A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U4:U13</xm:sqref>
        </x14:conditionalFormatting>
        <x14:conditionalFormatting xmlns:xm="http://schemas.microsoft.com/office/excel/2006/main">
          <x14:cfRule type="dataBar" id="{5DBACACF-F889-4B49-A5A1-BABA80E2E6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X4:X13</xm:sqref>
        </x14:conditionalFormatting>
        <x14:conditionalFormatting xmlns:xm="http://schemas.microsoft.com/office/excel/2006/main">
          <x14:cfRule type="dataBar" id="{02604AEF-70E6-654C-8483-16142CC25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Y4:Y13</xm:sqref>
        </x14:conditionalFormatting>
        <x14:conditionalFormatting xmlns:xm="http://schemas.microsoft.com/office/excel/2006/main">
          <x14:cfRule type="dataBar" id="{B1AA92E8-092C-0443-9181-616BF5BA5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Y14</xm:sqref>
        </x14:conditionalFormatting>
        <x14:conditionalFormatting xmlns:xm="http://schemas.microsoft.com/office/excel/2006/main">
          <x14:cfRule type="dataBar" id="{456CF37A-100A-3744-B556-A94FA12B6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AA4:AA13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C033-41CF-49C4-A0C6-03E836219013}">
  <sheetPr codeName="Sheet1"/>
  <dimension ref="B1:AD16886"/>
  <sheetViews>
    <sheetView showGridLines="0" topLeftCell="C1" workbookViewId="0">
      <selection activeCell="X36" sqref="X36"/>
    </sheetView>
  </sheetViews>
  <sheetFormatPr defaultColWidth="8.69921875" defaultRowHeight="18.95"/>
  <cols>
    <col min="2" max="2" width="10" bestFit="1" customWidth="1"/>
    <col min="3" max="3" width="20.59765625" customWidth="1"/>
    <col min="4" max="4" width="27.3984375" bestFit="1" customWidth="1"/>
    <col min="5" max="5" width="17.3984375" bestFit="1" customWidth="1"/>
    <col min="7" max="7" width="10" bestFit="1" customWidth="1"/>
    <col min="8" max="8" width="14.69921875" customWidth="1"/>
    <col min="9" max="9" width="20.59765625" bestFit="1" customWidth="1"/>
    <col min="10" max="10" width="17.3984375" bestFit="1" customWidth="1"/>
    <col min="11" max="11" width="9.69921875" bestFit="1" customWidth="1"/>
    <col min="12" max="12" width="10" bestFit="1" customWidth="1"/>
    <col min="13" max="13" width="12.69921875" customWidth="1"/>
    <col min="14" max="14" width="12.69921875" style="6" customWidth="1"/>
    <col min="15" max="15" width="17.3984375" bestFit="1" customWidth="1"/>
    <col min="16" max="16" width="9.69921875" bestFit="1" customWidth="1"/>
    <col min="17" max="17" width="13.296875" bestFit="1" customWidth="1"/>
    <col min="18" max="18" width="13.296875" customWidth="1"/>
    <col min="19" max="19" width="13" style="6" bestFit="1" customWidth="1"/>
    <col min="20" max="20" width="17.3984375" bestFit="1" customWidth="1"/>
    <col min="21" max="21" width="9.69921875" bestFit="1" customWidth="1"/>
    <col min="22" max="22" width="13.296875" bestFit="1" customWidth="1"/>
    <col min="23" max="23" width="13.296875" customWidth="1"/>
    <col min="24" max="24" width="20.59765625" style="6" bestFit="1" customWidth="1"/>
    <col min="25" max="25" width="17.3984375" bestFit="1" customWidth="1"/>
    <col min="27" max="27" width="13.296875" bestFit="1" customWidth="1"/>
    <col min="28" max="28" width="13.296875" customWidth="1"/>
    <col min="29" max="29" width="15.59765625" bestFit="1" customWidth="1"/>
    <col min="30" max="30" width="21.8984375" customWidth="1"/>
  </cols>
  <sheetData>
    <row r="1" spans="2:30" ht="20.100000000000001" thickBot="1"/>
    <row r="2" spans="2:30" ht="20.100000000000001" thickBot="1">
      <c r="B2" s="4" t="s">
        <v>188</v>
      </c>
      <c r="C2" s="137" t="s">
        <v>189</v>
      </c>
      <c r="D2" s="237" t="s">
        <v>190</v>
      </c>
      <c r="E2" s="237"/>
      <c r="F2" s="237"/>
      <c r="G2" s="238"/>
      <c r="N2"/>
      <c r="S2"/>
      <c r="X2"/>
    </row>
    <row r="3" spans="2:30" ht="18.75" customHeight="1">
      <c r="N3"/>
      <c r="S3"/>
      <c r="X3"/>
    </row>
    <row r="4" spans="2:30">
      <c r="B4" s="207" t="s">
        <v>191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Q4" s="207" t="s">
        <v>192</v>
      </c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</row>
    <row r="5" spans="2:30">
      <c r="N5"/>
      <c r="S5"/>
      <c r="X5"/>
    </row>
    <row r="6" spans="2:30">
      <c r="B6" t="s">
        <v>17</v>
      </c>
      <c r="C6" t="s">
        <v>193</v>
      </c>
      <c r="D6" t="s">
        <v>31</v>
      </c>
      <c r="E6" t="s">
        <v>194</v>
      </c>
      <c r="G6" t="s">
        <v>17</v>
      </c>
      <c r="H6" t="s">
        <v>193</v>
      </c>
      <c r="I6" t="s">
        <v>195</v>
      </c>
      <c r="J6" t="s">
        <v>194</v>
      </c>
      <c r="L6" t="s">
        <v>17</v>
      </c>
      <c r="M6" t="s">
        <v>193</v>
      </c>
      <c r="N6" t="s">
        <v>36</v>
      </c>
      <c r="O6" t="s">
        <v>194</v>
      </c>
      <c r="Q6" t="s">
        <v>69</v>
      </c>
      <c r="R6" t="s">
        <v>196</v>
      </c>
      <c r="S6" t="s">
        <v>31</v>
      </c>
      <c r="T6" t="s">
        <v>197</v>
      </c>
      <c r="V6" t="s">
        <v>69</v>
      </c>
      <c r="W6" t="s">
        <v>196</v>
      </c>
      <c r="X6" t="s">
        <v>157</v>
      </c>
      <c r="Y6" t="s">
        <v>197</v>
      </c>
      <c r="AA6" t="s">
        <v>69</v>
      </c>
      <c r="AB6" t="s">
        <v>196</v>
      </c>
      <c r="AC6" t="s">
        <v>36</v>
      </c>
      <c r="AD6" t="s">
        <v>197</v>
      </c>
    </row>
    <row r="7" spans="2:30" ht="18.75">
      <c r="B7">
        <v>13</v>
      </c>
      <c r="C7" s="5">
        <v>46104</v>
      </c>
      <c r="D7" t="s">
        <v>151</v>
      </c>
      <c r="E7">
        <v>97.27</v>
      </c>
      <c r="G7">
        <v>13</v>
      </c>
      <c r="H7" s="5">
        <v>46104</v>
      </c>
      <c r="I7" t="s">
        <v>198</v>
      </c>
      <c r="J7">
        <v>17.760000000000002</v>
      </c>
      <c r="L7">
        <v>13</v>
      </c>
      <c r="M7" s="5">
        <v>46104</v>
      </c>
      <c r="N7" t="s">
        <v>181</v>
      </c>
      <c r="O7">
        <v>295.49</v>
      </c>
      <c r="Q7" t="s">
        <v>199</v>
      </c>
      <c r="R7" s="5">
        <v>46082</v>
      </c>
      <c r="S7" t="s">
        <v>151</v>
      </c>
      <c r="T7">
        <v>256.08</v>
      </c>
      <c r="V7" t="s">
        <v>199</v>
      </c>
      <c r="W7" s="5">
        <v>46082</v>
      </c>
      <c r="X7" t="s">
        <v>198</v>
      </c>
      <c r="Y7">
        <v>139.66999999999999</v>
      </c>
      <c r="AA7" t="s">
        <v>199</v>
      </c>
      <c r="AB7" s="5">
        <v>46082</v>
      </c>
      <c r="AC7" t="s">
        <v>181</v>
      </c>
      <c r="AD7">
        <v>745.98</v>
      </c>
    </row>
    <row r="8" spans="2:30" ht="18.75">
      <c r="B8">
        <v>13</v>
      </c>
      <c r="C8" s="5">
        <v>46104</v>
      </c>
      <c r="D8" t="s">
        <v>114</v>
      </c>
      <c r="E8">
        <v>31.28</v>
      </c>
      <c r="G8">
        <v>13</v>
      </c>
      <c r="H8" s="5">
        <v>46104</v>
      </c>
      <c r="I8" t="s">
        <v>171</v>
      </c>
      <c r="J8">
        <v>156.47999999999999</v>
      </c>
      <c r="L8">
        <v>13</v>
      </c>
      <c r="M8" s="5">
        <v>46104</v>
      </c>
      <c r="N8" t="s">
        <v>182</v>
      </c>
      <c r="O8">
        <v>714.37</v>
      </c>
      <c r="Q8" t="s">
        <v>199</v>
      </c>
      <c r="R8" s="5">
        <v>46082</v>
      </c>
      <c r="S8" t="s">
        <v>114</v>
      </c>
      <c r="T8">
        <v>109.46</v>
      </c>
      <c r="V8" t="s">
        <v>199</v>
      </c>
      <c r="W8" s="5">
        <v>46082</v>
      </c>
      <c r="X8" t="s">
        <v>171</v>
      </c>
      <c r="Y8">
        <v>364.27</v>
      </c>
      <c r="AA8" t="s">
        <v>199</v>
      </c>
      <c r="AB8" s="5">
        <v>46082</v>
      </c>
      <c r="AC8" t="s">
        <v>182</v>
      </c>
      <c r="AD8">
        <v>1296.02</v>
      </c>
    </row>
    <row r="9" spans="2:30" ht="18.75">
      <c r="B9">
        <v>13</v>
      </c>
      <c r="C9" s="5">
        <v>46104</v>
      </c>
      <c r="D9" t="s">
        <v>129</v>
      </c>
      <c r="E9">
        <v>64.22</v>
      </c>
      <c r="G9">
        <v>13</v>
      </c>
      <c r="H9" s="5">
        <v>46104</v>
      </c>
      <c r="I9" t="s">
        <v>174</v>
      </c>
      <c r="J9">
        <v>121.25</v>
      </c>
      <c r="L9">
        <v>13</v>
      </c>
      <c r="M9" s="5">
        <v>46104</v>
      </c>
      <c r="N9" t="s">
        <v>183</v>
      </c>
      <c r="O9">
        <v>156.4</v>
      </c>
      <c r="Q9" t="s">
        <v>199</v>
      </c>
      <c r="R9" s="5">
        <v>46082</v>
      </c>
      <c r="S9" t="s">
        <v>129</v>
      </c>
      <c r="T9">
        <v>174.23</v>
      </c>
      <c r="V9" t="s">
        <v>199</v>
      </c>
      <c r="W9" s="5">
        <v>46082</v>
      </c>
      <c r="X9" t="s">
        <v>174</v>
      </c>
      <c r="Y9">
        <v>242.03</v>
      </c>
      <c r="AA9" t="s">
        <v>199</v>
      </c>
      <c r="AB9" s="5">
        <v>46082</v>
      </c>
      <c r="AC9" t="s">
        <v>183</v>
      </c>
      <c r="AD9">
        <v>314.83999999999997</v>
      </c>
    </row>
    <row r="10" spans="2:30" ht="18.75">
      <c r="B10">
        <v>13</v>
      </c>
      <c r="C10" s="5">
        <v>46104</v>
      </c>
      <c r="D10" t="s">
        <v>133</v>
      </c>
      <c r="E10">
        <v>49.2</v>
      </c>
      <c r="G10">
        <v>13</v>
      </c>
      <c r="H10" s="5">
        <v>46104</v>
      </c>
      <c r="I10" t="s">
        <v>169</v>
      </c>
      <c r="J10">
        <v>714.37</v>
      </c>
      <c r="L10">
        <v>13</v>
      </c>
      <c r="M10" s="5">
        <v>46104</v>
      </c>
      <c r="N10" t="s">
        <v>184</v>
      </c>
      <c r="O10">
        <v>212.14</v>
      </c>
      <c r="Q10" t="s">
        <v>199</v>
      </c>
      <c r="R10" s="5">
        <v>46082</v>
      </c>
      <c r="S10" t="s">
        <v>133</v>
      </c>
      <c r="T10">
        <v>153.16999999999999</v>
      </c>
      <c r="V10" t="s">
        <v>199</v>
      </c>
      <c r="W10" s="5">
        <v>46082</v>
      </c>
      <c r="X10" t="s">
        <v>169</v>
      </c>
      <c r="Y10">
        <v>1296.02</v>
      </c>
      <c r="AA10" t="s">
        <v>199</v>
      </c>
      <c r="AB10" s="5">
        <v>46082</v>
      </c>
      <c r="AC10" t="s">
        <v>184</v>
      </c>
      <c r="AD10">
        <v>378.79</v>
      </c>
    </row>
    <row r="11" spans="2:30" ht="18.75">
      <c r="B11">
        <v>13</v>
      </c>
      <c r="C11" s="5">
        <v>46104</v>
      </c>
      <c r="D11" t="s">
        <v>134</v>
      </c>
      <c r="E11">
        <v>47.18</v>
      </c>
      <c r="G11">
        <v>13</v>
      </c>
      <c r="H11" s="5">
        <v>46104</v>
      </c>
      <c r="I11" t="s">
        <v>170</v>
      </c>
      <c r="J11">
        <v>22</v>
      </c>
      <c r="L11">
        <v>13</v>
      </c>
      <c r="M11" s="5">
        <v>46104</v>
      </c>
      <c r="N11" t="s">
        <v>185</v>
      </c>
      <c r="O11">
        <v>288.35000000000002</v>
      </c>
      <c r="Q11" t="s">
        <v>199</v>
      </c>
      <c r="R11" s="5">
        <v>46082</v>
      </c>
      <c r="S11" t="s">
        <v>134</v>
      </c>
      <c r="T11">
        <v>152.76</v>
      </c>
      <c r="V11" t="s">
        <v>199</v>
      </c>
      <c r="W11" s="5">
        <v>46082</v>
      </c>
      <c r="X11" t="s">
        <v>170</v>
      </c>
      <c r="Y11">
        <v>39.71</v>
      </c>
      <c r="AA11" t="s">
        <v>199</v>
      </c>
      <c r="AB11" s="5">
        <v>46082</v>
      </c>
      <c r="AC11" t="s">
        <v>185</v>
      </c>
      <c r="AD11">
        <v>510.05</v>
      </c>
    </row>
    <row r="12" spans="2:30" ht="18.75">
      <c r="B12">
        <v>13</v>
      </c>
      <c r="C12" s="5">
        <v>46104</v>
      </c>
      <c r="D12" t="s">
        <v>143</v>
      </c>
      <c r="E12">
        <v>654.11</v>
      </c>
      <c r="G12">
        <v>13</v>
      </c>
      <c r="H12" s="5">
        <v>46104</v>
      </c>
      <c r="I12" t="s">
        <v>163</v>
      </c>
      <c r="J12">
        <v>129</v>
      </c>
      <c r="L12">
        <v>14</v>
      </c>
      <c r="M12" s="5">
        <v>46111</v>
      </c>
      <c r="N12" t="s">
        <v>178</v>
      </c>
      <c r="O12">
        <v>2475.4</v>
      </c>
      <c r="Q12" t="s">
        <v>199</v>
      </c>
      <c r="R12" s="5">
        <v>46082</v>
      </c>
      <c r="S12" t="s">
        <v>143</v>
      </c>
      <c r="T12">
        <v>1144.6600000000001</v>
      </c>
      <c r="V12" t="s">
        <v>199</v>
      </c>
      <c r="W12" s="5">
        <v>46082</v>
      </c>
      <c r="X12" t="s">
        <v>163</v>
      </c>
      <c r="Y12">
        <v>221.14</v>
      </c>
      <c r="AA12" t="s">
        <v>199</v>
      </c>
      <c r="AB12" s="5">
        <v>46082</v>
      </c>
      <c r="AC12" t="s">
        <v>178</v>
      </c>
      <c r="AD12">
        <v>915.51</v>
      </c>
    </row>
    <row r="13" spans="2:30" ht="18.75">
      <c r="B13">
        <v>13</v>
      </c>
      <c r="C13" s="5">
        <v>46104</v>
      </c>
      <c r="D13" t="s">
        <v>145</v>
      </c>
      <c r="E13">
        <v>27.67</v>
      </c>
      <c r="G13">
        <v>13</v>
      </c>
      <c r="H13" s="5">
        <v>46104</v>
      </c>
      <c r="I13" t="s">
        <v>168</v>
      </c>
      <c r="J13">
        <v>189.65</v>
      </c>
      <c r="L13">
        <v>14</v>
      </c>
      <c r="M13" s="5">
        <v>46111</v>
      </c>
      <c r="N13" t="s">
        <v>179</v>
      </c>
      <c r="O13">
        <v>3269.56</v>
      </c>
      <c r="Q13" t="s">
        <v>199</v>
      </c>
      <c r="R13" s="5">
        <v>46082</v>
      </c>
      <c r="S13" t="s">
        <v>145</v>
      </c>
      <c r="T13">
        <v>98.59</v>
      </c>
      <c r="V13" t="s">
        <v>199</v>
      </c>
      <c r="W13" s="5">
        <v>46082</v>
      </c>
      <c r="X13" t="s">
        <v>168</v>
      </c>
      <c r="Y13">
        <v>340.09</v>
      </c>
      <c r="AA13" t="s">
        <v>200</v>
      </c>
      <c r="AB13" s="5">
        <v>46113</v>
      </c>
      <c r="AC13" t="s">
        <v>178</v>
      </c>
      <c r="AD13">
        <v>8975.7099999999991</v>
      </c>
    </row>
    <row r="14" spans="2:30" ht="18.75">
      <c r="B14">
        <v>13</v>
      </c>
      <c r="C14" s="5">
        <v>46104</v>
      </c>
      <c r="D14" t="s">
        <v>146</v>
      </c>
      <c r="E14">
        <v>133.31</v>
      </c>
      <c r="G14">
        <v>13</v>
      </c>
      <c r="H14" s="5">
        <v>46104</v>
      </c>
      <c r="I14" t="s">
        <v>201</v>
      </c>
      <c r="J14">
        <v>21.56</v>
      </c>
      <c r="L14">
        <v>14</v>
      </c>
      <c r="M14" s="5">
        <v>46111</v>
      </c>
      <c r="N14" t="s">
        <v>180</v>
      </c>
      <c r="O14">
        <v>214.3</v>
      </c>
      <c r="Q14" t="s">
        <v>199</v>
      </c>
      <c r="R14" s="5">
        <v>46082</v>
      </c>
      <c r="S14" t="s">
        <v>146</v>
      </c>
      <c r="T14">
        <v>307.11</v>
      </c>
      <c r="V14" t="s">
        <v>199</v>
      </c>
      <c r="W14" s="5">
        <v>46082</v>
      </c>
      <c r="X14" t="s">
        <v>201</v>
      </c>
      <c r="Y14">
        <v>25.08</v>
      </c>
      <c r="AA14" t="s">
        <v>199</v>
      </c>
      <c r="AB14" s="5">
        <v>46082</v>
      </c>
      <c r="AC14" t="s">
        <v>179</v>
      </c>
      <c r="AD14">
        <v>1415.77</v>
      </c>
    </row>
    <row r="15" spans="2:30" ht="18.75">
      <c r="B15">
        <v>13</v>
      </c>
      <c r="C15" s="5">
        <v>46104</v>
      </c>
      <c r="D15" t="s">
        <v>117</v>
      </c>
      <c r="E15">
        <v>22.27</v>
      </c>
      <c r="G15">
        <v>13</v>
      </c>
      <c r="H15" s="5">
        <v>46104</v>
      </c>
      <c r="I15" t="s">
        <v>173</v>
      </c>
      <c r="J15">
        <v>288.35000000000002</v>
      </c>
      <c r="L15">
        <v>14</v>
      </c>
      <c r="M15" s="5">
        <v>46111</v>
      </c>
      <c r="N15" t="s">
        <v>181</v>
      </c>
      <c r="O15">
        <v>1576.7</v>
      </c>
      <c r="Q15" t="s">
        <v>199</v>
      </c>
      <c r="R15" s="5">
        <v>46082</v>
      </c>
      <c r="S15" t="s">
        <v>117</v>
      </c>
      <c r="T15">
        <v>110.76</v>
      </c>
      <c r="V15" t="s">
        <v>199</v>
      </c>
      <c r="W15" s="5">
        <v>46082</v>
      </c>
      <c r="X15" t="s">
        <v>173</v>
      </c>
      <c r="Y15">
        <v>510.05</v>
      </c>
      <c r="AA15" t="s">
        <v>200</v>
      </c>
      <c r="AB15" s="5">
        <v>46113</v>
      </c>
      <c r="AC15" t="s">
        <v>179</v>
      </c>
      <c r="AD15">
        <v>13208.74</v>
      </c>
    </row>
    <row r="16" spans="2:30" ht="18.75">
      <c r="B16">
        <v>13</v>
      </c>
      <c r="C16" s="5">
        <v>46104</v>
      </c>
      <c r="D16" t="s">
        <v>141</v>
      </c>
      <c r="E16">
        <v>128.37</v>
      </c>
      <c r="G16">
        <v>14</v>
      </c>
      <c r="H16" s="5">
        <v>46111</v>
      </c>
      <c r="I16" t="s">
        <v>160</v>
      </c>
      <c r="J16">
        <v>5066.24</v>
      </c>
      <c r="L16">
        <v>14</v>
      </c>
      <c r="M16" s="5">
        <v>46111</v>
      </c>
      <c r="N16" t="s">
        <v>182</v>
      </c>
      <c r="O16">
        <v>2035.77</v>
      </c>
      <c r="Q16" t="s">
        <v>199</v>
      </c>
      <c r="R16" s="5">
        <v>46082</v>
      </c>
      <c r="S16" t="s">
        <v>141</v>
      </c>
      <c r="T16">
        <v>284.52999999999997</v>
      </c>
      <c r="V16" t="s">
        <v>199</v>
      </c>
      <c r="W16" s="5">
        <v>46082</v>
      </c>
      <c r="X16" t="s">
        <v>160</v>
      </c>
      <c r="Y16">
        <v>2028.28</v>
      </c>
      <c r="AA16" t="s">
        <v>199</v>
      </c>
      <c r="AB16" s="5">
        <v>46082</v>
      </c>
      <c r="AC16" t="s">
        <v>180</v>
      </c>
      <c r="AD16">
        <v>73.03</v>
      </c>
    </row>
    <row r="17" spans="2:30" ht="18.75">
      <c r="B17">
        <v>13</v>
      </c>
      <c r="C17" s="5">
        <v>46104</v>
      </c>
      <c r="D17" t="s">
        <v>119</v>
      </c>
      <c r="E17">
        <v>53.17</v>
      </c>
      <c r="G17">
        <v>14</v>
      </c>
      <c r="H17" s="5">
        <v>46111</v>
      </c>
      <c r="I17" t="s">
        <v>158</v>
      </c>
      <c r="J17">
        <v>678.72</v>
      </c>
      <c r="L17">
        <v>14</v>
      </c>
      <c r="M17" s="5">
        <v>46111</v>
      </c>
      <c r="N17" t="s">
        <v>183</v>
      </c>
      <c r="O17">
        <v>554.54</v>
      </c>
      <c r="Q17" t="s">
        <v>199</v>
      </c>
      <c r="R17" s="5">
        <v>46082</v>
      </c>
      <c r="S17" t="s">
        <v>119</v>
      </c>
      <c r="T17">
        <v>177.46</v>
      </c>
      <c r="V17" t="s">
        <v>200</v>
      </c>
      <c r="W17" s="5">
        <v>46113</v>
      </c>
      <c r="X17" t="s">
        <v>160</v>
      </c>
      <c r="Y17">
        <v>18827.38</v>
      </c>
      <c r="AA17" t="s">
        <v>200</v>
      </c>
      <c r="AB17" s="5">
        <v>46113</v>
      </c>
      <c r="AC17" t="s">
        <v>180</v>
      </c>
      <c r="AD17">
        <v>686.01</v>
      </c>
    </row>
    <row r="18" spans="2:30" ht="18.75">
      <c r="B18">
        <v>13</v>
      </c>
      <c r="C18" s="5">
        <v>46104</v>
      </c>
      <c r="D18" t="s">
        <v>130</v>
      </c>
      <c r="E18">
        <v>57.37</v>
      </c>
      <c r="G18">
        <v>14</v>
      </c>
      <c r="H18" s="5">
        <v>46111</v>
      </c>
      <c r="I18" t="s">
        <v>165</v>
      </c>
      <c r="J18">
        <v>214.3</v>
      </c>
      <c r="L18">
        <v>14</v>
      </c>
      <c r="M18" s="5">
        <v>46111</v>
      </c>
      <c r="N18" t="s">
        <v>184</v>
      </c>
      <c r="O18">
        <v>583.27</v>
      </c>
      <c r="Q18" t="s">
        <v>199</v>
      </c>
      <c r="R18" s="5">
        <v>46082</v>
      </c>
      <c r="S18" t="s">
        <v>130</v>
      </c>
      <c r="T18">
        <v>182.22</v>
      </c>
      <c r="V18" t="s">
        <v>199</v>
      </c>
      <c r="W18" s="5">
        <v>46082</v>
      </c>
      <c r="X18" t="s">
        <v>158</v>
      </c>
      <c r="Y18">
        <v>303</v>
      </c>
      <c r="AA18" t="s">
        <v>200</v>
      </c>
      <c r="AB18" s="5">
        <v>46113</v>
      </c>
      <c r="AC18" t="s">
        <v>181</v>
      </c>
      <c r="AD18">
        <v>6971.35</v>
      </c>
    </row>
    <row r="19" spans="2:30" ht="18.75">
      <c r="B19">
        <v>13</v>
      </c>
      <c r="C19" s="5">
        <v>46104</v>
      </c>
      <c r="D19" t="s">
        <v>138</v>
      </c>
      <c r="E19">
        <v>19.36</v>
      </c>
      <c r="G19">
        <v>14</v>
      </c>
      <c r="H19" s="5">
        <v>46111</v>
      </c>
      <c r="I19" t="s">
        <v>174</v>
      </c>
      <c r="J19">
        <v>422.73</v>
      </c>
      <c r="L19">
        <v>14</v>
      </c>
      <c r="M19" s="5">
        <v>46111</v>
      </c>
      <c r="N19" t="s">
        <v>185</v>
      </c>
      <c r="O19">
        <v>775.95</v>
      </c>
      <c r="Q19" t="s">
        <v>199</v>
      </c>
      <c r="R19" s="5">
        <v>46082</v>
      </c>
      <c r="S19" t="s">
        <v>138</v>
      </c>
      <c r="T19">
        <v>147.58000000000001</v>
      </c>
      <c r="V19" t="s">
        <v>200</v>
      </c>
      <c r="W19" s="5">
        <v>46113</v>
      </c>
      <c r="X19" t="s">
        <v>158</v>
      </c>
      <c r="Y19">
        <v>2793.95</v>
      </c>
      <c r="AA19" t="s">
        <v>200</v>
      </c>
      <c r="AB19" s="5">
        <v>46113</v>
      </c>
      <c r="AC19" t="s">
        <v>182</v>
      </c>
      <c r="AD19">
        <v>7668.27</v>
      </c>
    </row>
    <row r="20" spans="2:30" ht="18.75">
      <c r="B20">
        <v>13</v>
      </c>
      <c r="C20" s="5">
        <v>46104</v>
      </c>
      <c r="D20" t="s">
        <v>111</v>
      </c>
      <c r="E20">
        <v>17.53</v>
      </c>
      <c r="G20">
        <v>14</v>
      </c>
      <c r="H20" s="5">
        <v>46111</v>
      </c>
      <c r="I20" t="s">
        <v>198</v>
      </c>
      <c r="J20">
        <v>426.69</v>
      </c>
      <c r="L20">
        <v>15</v>
      </c>
      <c r="M20" s="5">
        <v>46118</v>
      </c>
      <c r="N20" t="s">
        <v>178</v>
      </c>
      <c r="O20">
        <v>1779.05</v>
      </c>
      <c r="Q20" t="s">
        <v>199</v>
      </c>
      <c r="R20" s="5">
        <v>46082</v>
      </c>
      <c r="S20" t="s">
        <v>111</v>
      </c>
      <c r="T20">
        <v>74.680000000000007</v>
      </c>
      <c r="V20" t="s">
        <v>199</v>
      </c>
      <c r="W20" s="5">
        <v>46082</v>
      </c>
      <c r="X20" t="s">
        <v>165</v>
      </c>
      <c r="Y20">
        <v>73.03</v>
      </c>
      <c r="AA20" t="s">
        <v>200</v>
      </c>
      <c r="AB20" s="5">
        <v>46113</v>
      </c>
      <c r="AC20" t="s">
        <v>183</v>
      </c>
      <c r="AD20">
        <v>2225.64</v>
      </c>
    </row>
    <row r="21" spans="2:30" ht="18.75">
      <c r="B21">
        <v>14</v>
      </c>
      <c r="C21" s="5">
        <v>46111</v>
      </c>
      <c r="D21" t="s">
        <v>111</v>
      </c>
      <c r="E21">
        <v>200.02</v>
      </c>
      <c r="G21">
        <v>14</v>
      </c>
      <c r="H21" s="5">
        <v>46111</v>
      </c>
      <c r="I21" t="s">
        <v>171</v>
      </c>
      <c r="J21">
        <v>727.28</v>
      </c>
      <c r="L21">
        <v>15</v>
      </c>
      <c r="M21" s="5">
        <v>46118</v>
      </c>
      <c r="N21" t="s">
        <v>179</v>
      </c>
      <c r="O21">
        <v>2592.0300000000002</v>
      </c>
      <c r="Q21" t="s">
        <v>200</v>
      </c>
      <c r="R21" s="5">
        <v>46113</v>
      </c>
      <c r="S21" t="s">
        <v>111</v>
      </c>
      <c r="T21">
        <v>680.54</v>
      </c>
      <c r="V21" t="s">
        <v>200</v>
      </c>
      <c r="W21" s="5">
        <v>46113</v>
      </c>
      <c r="X21" t="s">
        <v>165</v>
      </c>
      <c r="Y21">
        <v>686.01</v>
      </c>
      <c r="AA21" t="s">
        <v>200</v>
      </c>
      <c r="AB21" s="5">
        <v>46113</v>
      </c>
      <c r="AC21" t="s">
        <v>184</v>
      </c>
      <c r="AD21">
        <v>2274.44</v>
      </c>
    </row>
    <row r="22" spans="2:30" ht="18.75">
      <c r="B22">
        <v>14</v>
      </c>
      <c r="C22" s="5">
        <v>46111</v>
      </c>
      <c r="D22" t="s">
        <v>114</v>
      </c>
      <c r="E22">
        <v>273.62</v>
      </c>
      <c r="G22">
        <v>14</v>
      </c>
      <c r="H22" s="5">
        <v>46111</v>
      </c>
      <c r="I22" t="s">
        <v>169</v>
      </c>
      <c r="J22">
        <v>2035.77</v>
      </c>
      <c r="L22">
        <v>15</v>
      </c>
      <c r="M22" s="5">
        <v>46118</v>
      </c>
      <c r="N22" t="s">
        <v>180</v>
      </c>
      <c r="O22">
        <v>203.2</v>
      </c>
      <c r="Q22" t="s">
        <v>200</v>
      </c>
      <c r="R22" s="5">
        <v>46113</v>
      </c>
      <c r="S22" t="s">
        <v>114</v>
      </c>
      <c r="T22">
        <v>1295.44</v>
      </c>
      <c r="V22" t="s">
        <v>200</v>
      </c>
      <c r="W22" s="5">
        <v>46113</v>
      </c>
      <c r="X22" t="s">
        <v>174</v>
      </c>
      <c r="Y22">
        <v>3377.48</v>
      </c>
      <c r="AA22" t="s">
        <v>200</v>
      </c>
      <c r="AB22" s="5">
        <v>46113</v>
      </c>
      <c r="AC22" t="s">
        <v>185</v>
      </c>
      <c r="AD22">
        <v>3641.31</v>
      </c>
    </row>
    <row r="23" spans="2:30" ht="18.75">
      <c r="B23">
        <v>14</v>
      </c>
      <c r="C23" s="5">
        <v>46111</v>
      </c>
      <c r="D23" t="s">
        <v>117</v>
      </c>
      <c r="E23">
        <v>309.73</v>
      </c>
      <c r="G23">
        <v>14</v>
      </c>
      <c r="H23" s="5">
        <v>46111</v>
      </c>
      <c r="I23" t="s">
        <v>176</v>
      </c>
      <c r="J23">
        <v>170.04</v>
      </c>
      <c r="L23">
        <v>15</v>
      </c>
      <c r="M23" s="5">
        <v>46118</v>
      </c>
      <c r="N23" t="s">
        <v>181</v>
      </c>
      <c r="O23">
        <v>1358.42</v>
      </c>
      <c r="Q23" t="s">
        <v>200</v>
      </c>
      <c r="R23" s="5">
        <v>46113</v>
      </c>
      <c r="S23" t="s">
        <v>117</v>
      </c>
      <c r="T23">
        <v>985.02</v>
      </c>
      <c r="V23" t="s">
        <v>200</v>
      </c>
      <c r="W23" s="5">
        <v>46113</v>
      </c>
      <c r="X23" t="s">
        <v>198</v>
      </c>
      <c r="Y23">
        <v>1852.91</v>
      </c>
      <c r="AA23" t="s">
        <v>200</v>
      </c>
      <c r="AB23" s="5">
        <v>46113</v>
      </c>
      <c r="AC23" t="s">
        <v>202</v>
      </c>
      <c r="AD23">
        <v>184.05</v>
      </c>
    </row>
    <row r="24" spans="2:30" ht="18.75">
      <c r="B24">
        <v>14</v>
      </c>
      <c r="C24" s="5">
        <v>46111</v>
      </c>
      <c r="D24" t="s">
        <v>119</v>
      </c>
      <c r="E24">
        <v>435.01</v>
      </c>
      <c r="G24">
        <v>14</v>
      </c>
      <c r="H24" s="5">
        <v>46111</v>
      </c>
      <c r="I24" t="s">
        <v>170</v>
      </c>
      <c r="J24">
        <v>62</v>
      </c>
      <c r="L24">
        <v>15</v>
      </c>
      <c r="M24" s="5">
        <v>46118</v>
      </c>
      <c r="N24" t="s">
        <v>182</v>
      </c>
      <c r="O24">
        <v>1405.89</v>
      </c>
      <c r="Q24" t="s">
        <v>200</v>
      </c>
      <c r="R24" s="5">
        <v>46113</v>
      </c>
      <c r="S24" t="s">
        <v>119</v>
      </c>
      <c r="T24">
        <v>1485.63</v>
      </c>
      <c r="V24" t="s">
        <v>200</v>
      </c>
      <c r="W24" s="5">
        <v>46113</v>
      </c>
      <c r="X24" t="s">
        <v>171</v>
      </c>
      <c r="Y24">
        <v>2027.58</v>
      </c>
      <c r="AA24" t="s">
        <v>203</v>
      </c>
      <c r="AB24" s="5">
        <v>46143</v>
      </c>
      <c r="AC24" t="s">
        <v>178</v>
      </c>
      <c r="AD24">
        <v>10112.5</v>
      </c>
    </row>
    <row r="25" spans="2:30" ht="18.75">
      <c r="B25">
        <v>14</v>
      </c>
      <c r="C25" s="5">
        <v>46111</v>
      </c>
      <c r="D25" t="s">
        <v>130</v>
      </c>
      <c r="E25">
        <v>436.99</v>
      </c>
      <c r="G25">
        <v>14</v>
      </c>
      <c r="H25" s="5">
        <v>46111</v>
      </c>
      <c r="I25" t="s">
        <v>163</v>
      </c>
      <c r="J25">
        <v>322.5</v>
      </c>
      <c r="L25">
        <v>15</v>
      </c>
      <c r="M25" s="5">
        <v>46118</v>
      </c>
      <c r="N25" t="s">
        <v>183</v>
      </c>
      <c r="O25">
        <v>325.64999999999998</v>
      </c>
      <c r="Q25" t="s">
        <v>200</v>
      </c>
      <c r="R25" s="5">
        <v>46113</v>
      </c>
      <c r="S25" t="s">
        <v>130</v>
      </c>
      <c r="T25">
        <v>1512.11</v>
      </c>
      <c r="V25" t="s">
        <v>200</v>
      </c>
      <c r="W25" s="5">
        <v>46113</v>
      </c>
      <c r="X25" t="s">
        <v>169</v>
      </c>
      <c r="Y25">
        <v>7668.27</v>
      </c>
      <c r="AA25" t="s">
        <v>203</v>
      </c>
      <c r="AB25" s="5">
        <v>46143</v>
      </c>
      <c r="AC25" t="s">
        <v>179</v>
      </c>
      <c r="AD25">
        <v>13405.78</v>
      </c>
    </row>
    <row r="26" spans="2:30" ht="18.75">
      <c r="B26">
        <v>14</v>
      </c>
      <c r="C26" s="5">
        <v>46111</v>
      </c>
      <c r="D26" t="s">
        <v>133</v>
      </c>
      <c r="E26">
        <v>363.91</v>
      </c>
      <c r="G26">
        <v>14</v>
      </c>
      <c r="H26" s="5">
        <v>46111</v>
      </c>
      <c r="I26" t="s">
        <v>168</v>
      </c>
      <c r="J26">
        <v>526.54999999999995</v>
      </c>
      <c r="L26">
        <v>15</v>
      </c>
      <c r="M26" s="5">
        <v>46118</v>
      </c>
      <c r="N26" t="s">
        <v>184</v>
      </c>
      <c r="O26">
        <v>345.83</v>
      </c>
      <c r="Q26" t="s">
        <v>200</v>
      </c>
      <c r="R26" s="5">
        <v>46113</v>
      </c>
      <c r="S26" t="s">
        <v>133</v>
      </c>
      <c r="T26">
        <v>1478.06</v>
      </c>
      <c r="V26" t="s">
        <v>199</v>
      </c>
      <c r="W26" s="5">
        <v>46082</v>
      </c>
      <c r="X26" t="s">
        <v>176</v>
      </c>
      <c r="Y26">
        <v>53.98</v>
      </c>
      <c r="AA26" t="s">
        <v>203</v>
      </c>
      <c r="AB26" s="5">
        <v>46143</v>
      </c>
      <c r="AC26" t="s">
        <v>180</v>
      </c>
      <c r="AD26">
        <v>875.01</v>
      </c>
    </row>
    <row r="27" spans="2:30" ht="18.75">
      <c r="B27">
        <v>14</v>
      </c>
      <c r="C27" s="5">
        <v>46111</v>
      </c>
      <c r="D27" t="s">
        <v>134</v>
      </c>
      <c r="E27">
        <v>369.54</v>
      </c>
      <c r="G27">
        <v>14</v>
      </c>
      <c r="H27" s="5">
        <v>46111</v>
      </c>
      <c r="I27" t="s">
        <v>172</v>
      </c>
      <c r="J27">
        <v>43.78</v>
      </c>
      <c r="L27">
        <v>15</v>
      </c>
      <c r="M27" s="5">
        <v>46118</v>
      </c>
      <c r="N27" t="s">
        <v>185</v>
      </c>
      <c r="O27">
        <v>845.7</v>
      </c>
      <c r="Q27" t="s">
        <v>200</v>
      </c>
      <c r="R27" s="5">
        <v>46113</v>
      </c>
      <c r="S27" t="s">
        <v>134</v>
      </c>
      <c r="T27">
        <v>1449.16</v>
      </c>
      <c r="V27" t="s">
        <v>200</v>
      </c>
      <c r="W27" s="5">
        <v>46113</v>
      </c>
      <c r="X27" t="s">
        <v>176</v>
      </c>
      <c r="Y27">
        <v>622.82000000000005</v>
      </c>
      <c r="AA27" t="s">
        <v>203</v>
      </c>
      <c r="AB27" s="5">
        <v>46143</v>
      </c>
      <c r="AC27" t="s">
        <v>181</v>
      </c>
      <c r="AD27">
        <v>7101.41</v>
      </c>
    </row>
    <row r="28" spans="2:30" ht="18.75">
      <c r="B28">
        <v>14</v>
      </c>
      <c r="C28" s="5">
        <v>46111</v>
      </c>
      <c r="D28" t="s">
        <v>138</v>
      </c>
      <c r="E28">
        <v>448.77</v>
      </c>
      <c r="G28">
        <v>14</v>
      </c>
      <c r="H28" s="5">
        <v>46111</v>
      </c>
      <c r="I28" t="s">
        <v>173</v>
      </c>
      <c r="J28">
        <v>775.95</v>
      </c>
      <c r="L28">
        <v>16</v>
      </c>
      <c r="M28" s="5">
        <v>46125</v>
      </c>
      <c r="N28" t="s">
        <v>178</v>
      </c>
      <c r="O28">
        <v>1887.17</v>
      </c>
      <c r="Q28" t="s">
        <v>200</v>
      </c>
      <c r="R28" s="5">
        <v>46113</v>
      </c>
      <c r="S28" t="s">
        <v>138</v>
      </c>
      <c r="T28">
        <v>1787.72</v>
      </c>
      <c r="V28" t="s">
        <v>200</v>
      </c>
      <c r="W28" s="5">
        <v>46113</v>
      </c>
      <c r="X28" t="s">
        <v>170</v>
      </c>
      <c r="Y28">
        <v>218.57</v>
      </c>
      <c r="AA28" t="s">
        <v>203</v>
      </c>
      <c r="AB28" s="5">
        <v>46143</v>
      </c>
      <c r="AC28" t="s">
        <v>182</v>
      </c>
      <c r="AD28">
        <v>7183.45</v>
      </c>
    </row>
    <row r="29" spans="2:30" ht="18.75">
      <c r="B29">
        <v>14</v>
      </c>
      <c r="C29" s="5">
        <v>46111</v>
      </c>
      <c r="D29" t="s">
        <v>141</v>
      </c>
      <c r="E29">
        <v>546.54999999999995</v>
      </c>
      <c r="G29">
        <v>14</v>
      </c>
      <c r="H29" s="5">
        <v>46111</v>
      </c>
      <c r="I29" t="s">
        <v>204</v>
      </c>
      <c r="J29">
        <v>0.62</v>
      </c>
      <c r="L29">
        <v>16</v>
      </c>
      <c r="M29" s="5">
        <v>46125</v>
      </c>
      <c r="N29" t="s">
        <v>179</v>
      </c>
      <c r="O29">
        <v>3057.45</v>
      </c>
      <c r="Q29" t="s">
        <v>200</v>
      </c>
      <c r="R29" s="5">
        <v>46113</v>
      </c>
      <c r="S29" t="s">
        <v>141</v>
      </c>
      <c r="T29">
        <v>2344.89</v>
      </c>
      <c r="V29" t="s">
        <v>200</v>
      </c>
      <c r="W29" s="5">
        <v>46113</v>
      </c>
      <c r="X29" t="s">
        <v>163</v>
      </c>
      <c r="Y29">
        <v>1234.9000000000001</v>
      </c>
      <c r="AA29" t="s">
        <v>203</v>
      </c>
      <c r="AB29" s="5">
        <v>46143</v>
      </c>
      <c r="AC29" t="s">
        <v>183</v>
      </c>
      <c r="AD29">
        <v>2140.92</v>
      </c>
    </row>
    <row r="30" spans="2:30" ht="18.75">
      <c r="B30">
        <v>14</v>
      </c>
      <c r="C30" s="5">
        <v>46111</v>
      </c>
      <c r="D30" t="s">
        <v>143</v>
      </c>
      <c r="E30">
        <v>1716.93</v>
      </c>
      <c r="G30">
        <v>15</v>
      </c>
      <c r="H30" s="5">
        <v>46118</v>
      </c>
      <c r="I30" t="s">
        <v>160</v>
      </c>
      <c r="J30">
        <v>3821.64</v>
      </c>
      <c r="L30">
        <v>16</v>
      </c>
      <c r="M30" s="5">
        <v>46125</v>
      </c>
      <c r="N30" t="s">
        <v>180</v>
      </c>
      <c r="O30">
        <v>141.6</v>
      </c>
      <c r="Q30" t="s">
        <v>200</v>
      </c>
      <c r="R30" s="5">
        <v>46113</v>
      </c>
      <c r="S30" t="s">
        <v>143</v>
      </c>
      <c r="T30">
        <v>7627.26</v>
      </c>
      <c r="V30" t="s">
        <v>200</v>
      </c>
      <c r="W30" s="5">
        <v>46113</v>
      </c>
      <c r="X30" t="s">
        <v>168</v>
      </c>
      <c r="Y30">
        <v>2118.5100000000002</v>
      </c>
      <c r="AA30" t="s">
        <v>203</v>
      </c>
      <c r="AB30" s="5">
        <v>46143</v>
      </c>
      <c r="AC30" t="s">
        <v>184</v>
      </c>
      <c r="AD30">
        <v>2737.93</v>
      </c>
    </row>
    <row r="31" spans="2:30" ht="18.75">
      <c r="B31">
        <v>14</v>
      </c>
      <c r="C31" s="5">
        <v>46111</v>
      </c>
      <c r="D31" t="s">
        <v>145</v>
      </c>
      <c r="E31">
        <v>248.22</v>
      </c>
      <c r="G31">
        <v>15</v>
      </c>
      <c r="H31" s="5">
        <v>46118</v>
      </c>
      <c r="I31" t="s">
        <v>158</v>
      </c>
      <c r="J31">
        <v>549.44000000000005</v>
      </c>
      <c r="L31">
        <v>16</v>
      </c>
      <c r="M31" s="5">
        <v>46125</v>
      </c>
      <c r="N31" t="s">
        <v>181</v>
      </c>
      <c r="O31">
        <v>1602.25</v>
      </c>
      <c r="Q31" t="s">
        <v>200</v>
      </c>
      <c r="R31" s="5">
        <v>46113</v>
      </c>
      <c r="S31" t="s">
        <v>145</v>
      </c>
      <c r="T31">
        <v>910.77</v>
      </c>
      <c r="V31" t="s">
        <v>199</v>
      </c>
      <c r="W31" s="5">
        <v>46082</v>
      </c>
      <c r="X31" t="s">
        <v>172</v>
      </c>
      <c r="Y31">
        <v>12.51</v>
      </c>
      <c r="AA31" t="s">
        <v>203</v>
      </c>
      <c r="AB31" s="5">
        <v>46143</v>
      </c>
      <c r="AC31" t="s">
        <v>185</v>
      </c>
      <c r="AD31">
        <v>2774.44</v>
      </c>
    </row>
    <row r="32" spans="2:30" ht="18.75">
      <c r="B32">
        <v>14</v>
      </c>
      <c r="C32" s="5">
        <v>46111</v>
      </c>
      <c r="D32" t="s">
        <v>146</v>
      </c>
      <c r="E32">
        <v>608.29</v>
      </c>
      <c r="G32">
        <v>15</v>
      </c>
      <c r="H32" s="5">
        <v>46118</v>
      </c>
      <c r="I32" t="s">
        <v>165</v>
      </c>
      <c r="J32">
        <v>203.2</v>
      </c>
      <c r="L32">
        <v>16</v>
      </c>
      <c r="M32" s="5">
        <v>46125</v>
      </c>
      <c r="N32" t="s">
        <v>182</v>
      </c>
      <c r="O32">
        <v>1878.44</v>
      </c>
      <c r="Q32" t="s">
        <v>200</v>
      </c>
      <c r="R32" s="5">
        <v>46113</v>
      </c>
      <c r="S32" t="s">
        <v>146</v>
      </c>
      <c r="T32">
        <v>2519.04</v>
      </c>
      <c r="V32" t="s">
        <v>200</v>
      </c>
      <c r="W32" s="5">
        <v>46113</v>
      </c>
      <c r="X32" t="s">
        <v>172</v>
      </c>
      <c r="Y32">
        <v>146.69</v>
      </c>
      <c r="AA32" t="s">
        <v>203</v>
      </c>
      <c r="AB32" s="5">
        <v>46143</v>
      </c>
      <c r="AC32" t="s">
        <v>202</v>
      </c>
      <c r="AD32">
        <v>1107.24</v>
      </c>
    </row>
    <row r="33" spans="2:30" ht="18.75">
      <c r="B33">
        <v>14</v>
      </c>
      <c r="C33" s="5">
        <v>46111</v>
      </c>
      <c r="D33" t="s">
        <v>151</v>
      </c>
      <c r="E33">
        <v>555.85</v>
      </c>
      <c r="G33">
        <v>15</v>
      </c>
      <c r="H33" s="5">
        <v>46118</v>
      </c>
      <c r="I33" t="s">
        <v>174</v>
      </c>
      <c r="J33">
        <v>849.44</v>
      </c>
      <c r="L33">
        <v>16</v>
      </c>
      <c r="M33" s="5">
        <v>46125</v>
      </c>
      <c r="N33" t="s">
        <v>183</v>
      </c>
      <c r="O33">
        <v>388.65</v>
      </c>
      <c r="Q33" t="s">
        <v>200</v>
      </c>
      <c r="R33" s="5">
        <v>46113</v>
      </c>
      <c r="S33" t="s">
        <v>151</v>
      </c>
      <c r="T33">
        <v>2827.95</v>
      </c>
      <c r="V33" t="s">
        <v>200</v>
      </c>
      <c r="W33" s="5">
        <v>46113</v>
      </c>
      <c r="X33" t="s">
        <v>173</v>
      </c>
      <c r="Y33">
        <v>3641.31</v>
      </c>
      <c r="AA33" t="s">
        <v>205</v>
      </c>
      <c r="AB33" s="5">
        <v>46174</v>
      </c>
      <c r="AC33" t="s">
        <v>178</v>
      </c>
      <c r="AD33">
        <v>10335.35</v>
      </c>
    </row>
    <row r="34" spans="2:30" ht="18.75">
      <c r="B34">
        <v>14</v>
      </c>
      <c r="C34" s="5">
        <v>46111</v>
      </c>
      <c r="D34" t="s">
        <v>129</v>
      </c>
      <c r="E34">
        <v>385.04</v>
      </c>
      <c r="G34">
        <v>15</v>
      </c>
      <c r="H34" s="5">
        <v>46118</v>
      </c>
      <c r="I34" t="s">
        <v>198</v>
      </c>
      <c r="J34">
        <v>355.41</v>
      </c>
      <c r="L34">
        <v>16</v>
      </c>
      <c r="M34" s="5">
        <v>46125</v>
      </c>
      <c r="N34" t="s">
        <v>184</v>
      </c>
      <c r="O34">
        <v>503.17</v>
      </c>
      <c r="Q34" t="s">
        <v>200</v>
      </c>
      <c r="R34" s="5">
        <v>46113</v>
      </c>
      <c r="S34" t="s">
        <v>129</v>
      </c>
      <c r="T34">
        <v>1601.91</v>
      </c>
      <c r="V34" t="s">
        <v>199</v>
      </c>
      <c r="W34" s="5">
        <v>46082</v>
      </c>
      <c r="X34" t="s">
        <v>204</v>
      </c>
      <c r="Y34">
        <v>1.1100000000000001</v>
      </c>
      <c r="AA34" t="s">
        <v>205</v>
      </c>
      <c r="AB34" s="5">
        <v>46174</v>
      </c>
      <c r="AC34" t="s">
        <v>179</v>
      </c>
      <c r="AD34">
        <v>14498.17</v>
      </c>
    </row>
    <row r="35" spans="2:30" ht="18.75">
      <c r="B35">
        <v>14</v>
      </c>
      <c r="C35" s="5">
        <v>46111</v>
      </c>
      <c r="D35" t="s">
        <v>126</v>
      </c>
      <c r="E35">
        <v>327.78</v>
      </c>
      <c r="G35">
        <v>15</v>
      </c>
      <c r="H35" s="5">
        <v>46118</v>
      </c>
      <c r="I35" t="s">
        <v>169</v>
      </c>
      <c r="J35">
        <v>1405.89</v>
      </c>
      <c r="L35">
        <v>16</v>
      </c>
      <c r="M35" s="5">
        <v>46125</v>
      </c>
      <c r="N35" t="s">
        <v>185</v>
      </c>
      <c r="O35">
        <v>858.85</v>
      </c>
      <c r="Q35" t="s">
        <v>199</v>
      </c>
      <c r="R35" s="5">
        <v>46082</v>
      </c>
      <c r="S35" t="s">
        <v>126</v>
      </c>
      <c r="T35">
        <v>136.77000000000001</v>
      </c>
      <c r="V35" t="s">
        <v>200</v>
      </c>
      <c r="W35" s="5">
        <v>46113</v>
      </c>
      <c r="X35" t="s">
        <v>204</v>
      </c>
      <c r="Y35">
        <v>0.44</v>
      </c>
      <c r="AA35" t="s">
        <v>205</v>
      </c>
      <c r="AB35" s="5">
        <v>46174</v>
      </c>
      <c r="AC35" t="s">
        <v>180</v>
      </c>
      <c r="AD35">
        <v>867.11</v>
      </c>
    </row>
    <row r="36" spans="2:30" ht="18.75">
      <c r="B36">
        <v>14</v>
      </c>
      <c r="C36" s="5">
        <v>46111</v>
      </c>
      <c r="D36" t="s">
        <v>113</v>
      </c>
      <c r="E36">
        <v>207.99</v>
      </c>
      <c r="G36">
        <v>15</v>
      </c>
      <c r="H36" s="5">
        <v>46118</v>
      </c>
      <c r="I36" t="s">
        <v>176</v>
      </c>
      <c r="J36">
        <v>109.44</v>
      </c>
      <c r="L36">
        <v>17</v>
      </c>
      <c r="M36" s="5">
        <v>46132</v>
      </c>
      <c r="N36" t="s">
        <v>178</v>
      </c>
      <c r="O36">
        <v>2460.15</v>
      </c>
      <c r="Q36" t="s">
        <v>200</v>
      </c>
      <c r="R36" s="5">
        <v>46113</v>
      </c>
      <c r="S36" t="s">
        <v>126</v>
      </c>
      <c r="T36">
        <v>653.65</v>
      </c>
      <c r="V36" t="s">
        <v>200</v>
      </c>
      <c r="W36" s="5">
        <v>46113</v>
      </c>
      <c r="X36" t="s">
        <v>201</v>
      </c>
      <c r="Y36">
        <v>8.8000000000000007</v>
      </c>
      <c r="AA36" t="s">
        <v>205</v>
      </c>
      <c r="AB36" s="5">
        <v>46174</v>
      </c>
      <c r="AC36" t="s">
        <v>181</v>
      </c>
      <c r="AD36">
        <v>6919.08</v>
      </c>
    </row>
    <row r="37" spans="2:30" ht="18.75">
      <c r="B37">
        <v>14</v>
      </c>
      <c r="C37" s="5">
        <v>46111</v>
      </c>
      <c r="D37" t="s">
        <v>118</v>
      </c>
      <c r="E37">
        <v>181.13</v>
      </c>
      <c r="G37">
        <v>15</v>
      </c>
      <c r="H37" s="5">
        <v>46118</v>
      </c>
      <c r="I37" t="s">
        <v>170</v>
      </c>
      <c r="J37">
        <v>24</v>
      </c>
      <c r="L37">
        <v>17</v>
      </c>
      <c r="M37" s="5">
        <v>46132</v>
      </c>
      <c r="N37" t="s">
        <v>179</v>
      </c>
      <c r="O37">
        <v>3471.96</v>
      </c>
      <c r="Q37" t="s">
        <v>199</v>
      </c>
      <c r="R37" s="5">
        <v>46082</v>
      </c>
      <c r="S37" t="s">
        <v>113</v>
      </c>
      <c r="T37">
        <v>128.22</v>
      </c>
      <c r="V37" t="s">
        <v>200</v>
      </c>
      <c r="W37" s="5">
        <v>46113</v>
      </c>
      <c r="X37" t="s">
        <v>206</v>
      </c>
      <c r="Y37">
        <v>184.05</v>
      </c>
      <c r="AA37" t="s">
        <v>205</v>
      </c>
      <c r="AB37" s="5">
        <v>46174</v>
      </c>
      <c r="AC37" t="s">
        <v>182</v>
      </c>
      <c r="AD37">
        <v>7986.33</v>
      </c>
    </row>
    <row r="38" spans="2:30" ht="18.75">
      <c r="B38">
        <v>14</v>
      </c>
      <c r="C38" s="5">
        <v>46111</v>
      </c>
      <c r="D38" t="s">
        <v>123</v>
      </c>
      <c r="E38">
        <v>486.06</v>
      </c>
      <c r="G38">
        <v>15</v>
      </c>
      <c r="H38" s="5">
        <v>46118</v>
      </c>
      <c r="I38" t="s">
        <v>163</v>
      </c>
      <c r="J38">
        <v>192.21</v>
      </c>
      <c r="L38">
        <v>17</v>
      </c>
      <c r="M38" s="5">
        <v>46132</v>
      </c>
      <c r="N38" t="s">
        <v>180</v>
      </c>
      <c r="O38">
        <v>84</v>
      </c>
      <c r="Q38" t="s">
        <v>200</v>
      </c>
      <c r="R38" s="5">
        <v>46113</v>
      </c>
      <c r="S38" t="s">
        <v>113</v>
      </c>
      <c r="T38">
        <v>830.72</v>
      </c>
      <c r="V38" t="s">
        <v>200</v>
      </c>
      <c r="W38" s="5">
        <v>46113</v>
      </c>
      <c r="X38" t="s">
        <v>207</v>
      </c>
      <c r="Y38">
        <v>276.5</v>
      </c>
      <c r="AA38" t="s">
        <v>205</v>
      </c>
      <c r="AB38" s="5">
        <v>46174</v>
      </c>
      <c r="AC38" t="s">
        <v>183</v>
      </c>
      <c r="AD38">
        <v>2075.6799999999998</v>
      </c>
    </row>
    <row r="39" spans="2:30" ht="18.75">
      <c r="B39">
        <v>14</v>
      </c>
      <c r="C39" s="5">
        <v>46111</v>
      </c>
      <c r="D39" t="s">
        <v>124</v>
      </c>
      <c r="E39">
        <v>350.6</v>
      </c>
      <c r="G39">
        <v>15</v>
      </c>
      <c r="H39" s="5">
        <v>46118</v>
      </c>
      <c r="I39" t="s">
        <v>168</v>
      </c>
      <c r="J39">
        <v>325.93</v>
      </c>
      <c r="L39">
        <v>17</v>
      </c>
      <c r="M39" s="5">
        <v>46132</v>
      </c>
      <c r="N39" t="s">
        <v>181</v>
      </c>
      <c r="O39">
        <v>1954.98</v>
      </c>
      <c r="Q39" t="s">
        <v>199</v>
      </c>
      <c r="R39" s="5">
        <v>46082</v>
      </c>
      <c r="S39" t="s">
        <v>118</v>
      </c>
      <c r="T39">
        <v>106.85</v>
      </c>
      <c r="V39" t="s">
        <v>203</v>
      </c>
      <c r="W39" s="5">
        <v>46143</v>
      </c>
      <c r="X39" t="s">
        <v>160</v>
      </c>
      <c r="Y39">
        <v>21848.03</v>
      </c>
      <c r="AA39" t="s">
        <v>205</v>
      </c>
      <c r="AB39" s="5">
        <v>46174</v>
      </c>
      <c r="AC39" t="s">
        <v>184</v>
      </c>
      <c r="AD39">
        <v>2128.63</v>
      </c>
    </row>
    <row r="40" spans="2:30" ht="18.75">
      <c r="B40">
        <v>14</v>
      </c>
      <c r="C40" s="5">
        <v>46111</v>
      </c>
      <c r="D40" t="s">
        <v>147</v>
      </c>
      <c r="E40">
        <v>376.73</v>
      </c>
      <c r="G40">
        <v>15</v>
      </c>
      <c r="H40" s="5">
        <v>46118</v>
      </c>
      <c r="I40" t="s">
        <v>173</v>
      </c>
      <c r="J40">
        <v>845.7</v>
      </c>
      <c r="L40">
        <v>17</v>
      </c>
      <c r="M40" s="5">
        <v>46132</v>
      </c>
      <c r="N40" t="s">
        <v>182</v>
      </c>
      <c r="O40">
        <v>2028.45</v>
      </c>
      <c r="Q40" t="s">
        <v>200</v>
      </c>
      <c r="R40" s="5">
        <v>46113</v>
      </c>
      <c r="S40" t="s">
        <v>118</v>
      </c>
      <c r="T40">
        <v>660.42</v>
      </c>
      <c r="V40" t="s">
        <v>203</v>
      </c>
      <c r="W40" s="5">
        <v>46143</v>
      </c>
      <c r="X40" t="s">
        <v>158</v>
      </c>
      <c r="Y40">
        <v>1670.25</v>
      </c>
      <c r="AA40" t="s">
        <v>205</v>
      </c>
      <c r="AB40" s="5">
        <v>46174</v>
      </c>
      <c r="AC40" t="s">
        <v>185</v>
      </c>
      <c r="AD40">
        <v>3796.56</v>
      </c>
    </row>
    <row r="41" spans="2:30" ht="18.75">
      <c r="B41">
        <v>14</v>
      </c>
      <c r="C41" s="5">
        <v>46111</v>
      </c>
      <c r="D41" t="s">
        <v>121</v>
      </c>
      <c r="E41">
        <v>180.43</v>
      </c>
      <c r="G41">
        <v>15</v>
      </c>
      <c r="H41" s="5">
        <v>46118</v>
      </c>
      <c r="I41" t="s">
        <v>172</v>
      </c>
      <c r="J41">
        <v>19.899999999999999</v>
      </c>
      <c r="L41">
        <v>17</v>
      </c>
      <c r="M41" s="5">
        <v>46132</v>
      </c>
      <c r="N41" t="s">
        <v>183</v>
      </c>
      <c r="O41">
        <v>589.15</v>
      </c>
      <c r="Q41" t="s">
        <v>199</v>
      </c>
      <c r="R41" s="5">
        <v>46082</v>
      </c>
      <c r="S41" t="s">
        <v>123</v>
      </c>
      <c r="T41">
        <v>397.01</v>
      </c>
      <c r="V41" t="s">
        <v>203</v>
      </c>
      <c r="W41" s="5">
        <v>46143</v>
      </c>
      <c r="X41" t="s">
        <v>165</v>
      </c>
      <c r="Y41">
        <v>875.01</v>
      </c>
      <c r="AA41" t="s">
        <v>205</v>
      </c>
      <c r="AB41" s="5">
        <v>46174</v>
      </c>
      <c r="AC41" t="s">
        <v>202</v>
      </c>
      <c r="AD41">
        <v>1595.65</v>
      </c>
    </row>
    <row r="42" spans="2:30" ht="18.75">
      <c r="B42">
        <v>14</v>
      </c>
      <c r="C42" s="5">
        <v>46111</v>
      </c>
      <c r="D42" t="s">
        <v>139</v>
      </c>
      <c r="E42">
        <v>291.89999999999998</v>
      </c>
      <c r="G42">
        <v>14</v>
      </c>
      <c r="H42" s="5">
        <v>46111</v>
      </c>
      <c r="I42" t="s">
        <v>201</v>
      </c>
      <c r="J42">
        <v>12.32</v>
      </c>
      <c r="L42">
        <v>17</v>
      </c>
      <c r="M42" s="5">
        <v>46132</v>
      </c>
      <c r="N42" t="s">
        <v>184</v>
      </c>
      <c r="O42">
        <v>552.08000000000004</v>
      </c>
      <c r="Q42" t="s">
        <v>200</v>
      </c>
      <c r="R42" s="5">
        <v>46113</v>
      </c>
      <c r="S42" t="s">
        <v>123</v>
      </c>
      <c r="T42">
        <v>1765.05</v>
      </c>
      <c r="V42" t="s">
        <v>203</v>
      </c>
      <c r="W42" s="5">
        <v>46143</v>
      </c>
      <c r="X42" t="s">
        <v>174</v>
      </c>
      <c r="Y42">
        <v>1235.8399999999999</v>
      </c>
      <c r="AA42" t="s">
        <v>208</v>
      </c>
      <c r="AB42" s="5">
        <v>46204</v>
      </c>
      <c r="AC42" t="s">
        <v>178</v>
      </c>
      <c r="AD42">
        <v>1045.5</v>
      </c>
    </row>
    <row r="43" spans="2:30" ht="18.75">
      <c r="B43">
        <v>14</v>
      </c>
      <c r="C43" s="5">
        <v>46111</v>
      </c>
      <c r="D43" t="s">
        <v>127</v>
      </c>
      <c r="E43">
        <v>195.57</v>
      </c>
      <c r="G43">
        <v>16</v>
      </c>
      <c r="H43" s="5">
        <v>46125</v>
      </c>
      <c r="I43" t="s">
        <v>160</v>
      </c>
      <c r="J43">
        <v>3999.48</v>
      </c>
      <c r="L43">
        <v>17</v>
      </c>
      <c r="M43" s="5">
        <v>46132</v>
      </c>
      <c r="N43" t="s">
        <v>185</v>
      </c>
      <c r="O43">
        <v>991.65</v>
      </c>
      <c r="Q43" t="s">
        <v>199</v>
      </c>
      <c r="R43" s="5">
        <v>46082</v>
      </c>
      <c r="S43" t="s">
        <v>124</v>
      </c>
      <c r="T43">
        <v>270.91000000000003</v>
      </c>
      <c r="V43" t="s">
        <v>203</v>
      </c>
      <c r="W43" s="5">
        <v>46143</v>
      </c>
      <c r="X43" t="s">
        <v>171</v>
      </c>
      <c r="Y43">
        <v>2372.0500000000002</v>
      </c>
      <c r="AA43" t="s">
        <v>208</v>
      </c>
      <c r="AB43" s="5">
        <v>46204</v>
      </c>
      <c r="AC43" t="s">
        <v>179</v>
      </c>
      <c r="AD43">
        <v>1563.12</v>
      </c>
    </row>
    <row r="44" spans="2:30" ht="18.75">
      <c r="B44">
        <v>15</v>
      </c>
      <c r="C44" s="5">
        <v>46118</v>
      </c>
      <c r="D44" t="s">
        <v>143</v>
      </c>
      <c r="E44">
        <v>1662.09</v>
      </c>
      <c r="G44">
        <v>16</v>
      </c>
      <c r="H44" s="5">
        <v>46125</v>
      </c>
      <c r="I44" t="s">
        <v>198</v>
      </c>
      <c r="J44">
        <v>524.62</v>
      </c>
      <c r="L44">
        <v>17</v>
      </c>
      <c r="M44" s="5">
        <v>46132</v>
      </c>
      <c r="N44" t="s">
        <v>202</v>
      </c>
      <c r="O44">
        <v>184.05</v>
      </c>
      <c r="Q44" t="s">
        <v>200</v>
      </c>
      <c r="R44" s="5">
        <v>46113</v>
      </c>
      <c r="S44" t="s">
        <v>124</v>
      </c>
      <c r="T44">
        <v>1303.8800000000001</v>
      </c>
      <c r="V44" t="s">
        <v>203</v>
      </c>
      <c r="W44" s="5">
        <v>46143</v>
      </c>
      <c r="X44" t="s">
        <v>198</v>
      </c>
      <c r="Y44">
        <v>2932.32</v>
      </c>
      <c r="AA44" t="s">
        <v>208</v>
      </c>
      <c r="AB44" s="5">
        <v>46204</v>
      </c>
      <c r="AC44" t="s">
        <v>180</v>
      </c>
      <c r="AD44">
        <v>34.64</v>
      </c>
    </row>
    <row r="45" spans="2:30" ht="18.75">
      <c r="B45">
        <v>15</v>
      </c>
      <c r="C45" s="5">
        <v>46118</v>
      </c>
      <c r="D45" t="s">
        <v>111</v>
      </c>
      <c r="E45">
        <v>104.85</v>
      </c>
      <c r="G45">
        <v>16</v>
      </c>
      <c r="H45" s="5">
        <v>46125</v>
      </c>
      <c r="I45" t="s">
        <v>158</v>
      </c>
      <c r="J45">
        <v>658.52</v>
      </c>
      <c r="L45">
        <v>18</v>
      </c>
      <c r="M45" s="5">
        <v>46139</v>
      </c>
      <c r="N45" t="s">
        <v>178</v>
      </c>
      <c r="O45">
        <v>1892.1</v>
      </c>
      <c r="Q45" t="s">
        <v>199</v>
      </c>
      <c r="R45" s="5">
        <v>46082</v>
      </c>
      <c r="S45" t="s">
        <v>147</v>
      </c>
      <c r="T45">
        <v>213.75</v>
      </c>
      <c r="V45" t="s">
        <v>203</v>
      </c>
      <c r="W45" s="5">
        <v>46143</v>
      </c>
      <c r="X45" t="s">
        <v>169</v>
      </c>
      <c r="Y45">
        <v>7183.45</v>
      </c>
      <c r="AA45" t="s">
        <v>208</v>
      </c>
      <c r="AB45" s="5">
        <v>46204</v>
      </c>
      <c r="AC45" t="s">
        <v>181</v>
      </c>
      <c r="AD45">
        <v>923.22</v>
      </c>
    </row>
    <row r="46" spans="2:30" ht="18.75">
      <c r="B46">
        <v>15</v>
      </c>
      <c r="C46" s="5">
        <v>46118</v>
      </c>
      <c r="D46" t="s">
        <v>112</v>
      </c>
      <c r="E46">
        <v>67.48</v>
      </c>
      <c r="G46">
        <v>16</v>
      </c>
      <c r="H46" s="5">
        <v>46125</v>
      </c>
      <c r="I46" t="s">
        <v>165</v>
      </c>
      <c r="J46">
        <v>141.6</v>
      </c>
      <c r="L46">
        <v>18</v>
      </c>
      <c r="M46" s="5">
        <v>46139</v>
      </c>
      <c r="N46" t="s">
        <v>179</v>
      </c>
      <c r="O46">
        <v>3065.82</v>
      </c>
      <c r="Q46" t="s">
        <v>200</v>
      </c>
      <c r="R46" s="5">
        <v>46113</v>
      </c>
      <c r="S46" t="s">
        <v>147</v>
      </c>
      <c r="T46">
        <v>1293.75</v>
      </c>
      <c r="V46" t="s">
        <v>203</v>
      </c>
      <c r="W46" s="5">
        <v>46143</v>
      </c>
      <c r="X46" t="s">
        <v>176</v>
      </c>
      <c r="Y46">
        <v>458.4</v>
      </c>
      <c r="AA46" t="s">
        <v>208</v>
      </c>
      <c r="AB46" s="5">
        <v>46204</v>
      </c>
      <c r="AC46" t="s">
        <v>182</v>
      </c>
      <c r="AD46">
        <v>806.94</v>
      </c>
    </row>
    <row r="47" spans="2:30" ht="18.75">
      <c r="B47">
        <v>15</v>
      </c>
      <c r="C47" s="5">
        <v>46118</v>
      </c>
      <c r="D47" t="s">
        <v>113</v>
      </c>
      <c r="E47">
        <v>131.47</v>
      </c>
      <c r="G47">
        <v>16</v>
      </c>
      <c r="H47" s="5">
        <v>46125</v>
      </c>
      <c r="I47" t="s">
        <v>171</v>
      </c>
      <c r="J47">
        <v>893.52</v>
      </c>
      <c r="L47">
        <v>18</v>
      </c>
      <c r="M47" s="5">
        <v>46139</v>
      </c>
      <c r="N47" t="s">
        <v>180</v>
      </c>
      <c r="O47">
        <v>182.25</v>
      </c>
      <c r="Q47" t="s">
        <v>199</v>
      </c>
      <c r="R47" s="5">
        <v>46082</v>
      </c>
      <c r="S47" t="s">
        <v>121</v>
      </c>
      <c r="T47">
        <v>116.74</v>
      </c>
      <c r="V47" t="s">
        <v>200</v>
      </c>
      <c r="W47" s="5">
        <v>46113</v>
      </c>
      <c r="X47" t="s">
        <v>209</v>
      </c>
      <c r="Y47">
        <v>149.35</v>
      </c>
      <c r="AA47" t="s">
        <v>208</v>
      </c>
      <c r="AB47" s="5">
        <v>46204</v>
      </c>
      <c r="AC47" t="s">
        <v>183</v>
      </c>
      <c r="AD47">
        <v>163.82</v>
      </c>
    </row>
    <row r="48" spans="2:30" ht="18.75">
      <c r="B48">
        <v>15</v>
      </c>
      <c r="C48" s="5">
        <v>46118</v>
      </c>
      <c r="D48" t="s">
        <v>114</v>
      </c>
      <c r="E48">
        <v>300.5</v>
      </c>
      <c r="G48">
        <v>16</v>
      </c>
      <c r="H48" s="5">
        <v>46125</v>
      </c>
      <c r="I48" t="s">
        <v>174</v>
      </c>
      <c r="J48">
        <v>470.73</v>
      </c>
      <c r="L48">
        <v>18</v>
      </c>
      <c r="M48" s="5">
        <v>46139</v>
      </c>
      <c r="N48" t="s">
        <v>181</v>
      </c>
      <c r="O48">
        <v>1626.6</v>
      </c>
      <c r="Q48" t="s">
        <v>200</v>
      </c>
      <c r="R48" s="5">
        <v>46113</v>
      </c>
      <c r="S48" t="s">
        <v>121</v>
      </c>
      <c r="T48">
        <v>750.06</v>
      </c>
      <c r="V48" t="s">
        <v>203</v>
      </c>
      <c r="W48" s="5">
        <v>46143</v>
      </c>
      <c r="X48" t="s">
        <v>209</v>
      </c>
      <c r="Y48">
        <v>350.69</v>
      </c>
      <c r="AA48" t="s">
        <v>208</v>
      </c>
      <c r="AB48" s="5">
        <v>46204</v>
      </c>
      <c r="AC48" t="s">
        <v>184</v>
      </c>
      <c r="AD48">
        <v>204.5</v>
      </c>
    </row>
    <row r="49" spans="2:30" ht="18.75">
      <c r="B49">
        <v>15</v>
      </c>
      <c r="C49" s="5">
        <v>46118</v>
      </c>
      <c r="D49" t="s">
        <v>117</v>
      </c>
      <c r="E49">
        <v>224.53</v>
      </c>
      <c r="G49">
        <v>16</v>
      </c>
      <c r="H49" s="5">
        <v>46125</v>
      </c>
      <c r="I49" t="s">
        <v>169</v>
      </c>
      <c r="J49">
        <v>1878.44</v>
      </c>
      <c r="L49">
        <v>18</v>
      </c>
      <c r="M49" s="5">
        <v>46139</v>
      </c>
      <c r="N49" t="s">
        <v>182</v>
      </c>
      <c r="O49">
        <v>1577.4</v>
      </c>
      <c r="Q49" t="s">
        <v>199</v>
      </c>
      <c r="R49" s="5">
        <v>46082</v>
      </c>
      <c r="S49" t="s">
        <v>139</v>
      </c>
      <c r="T49">
        <v>189.72</v>
      </c>
      <c r="V49" t="s">
        <v>203</v>
      </c>
      <c r="W49" s="5">
        <v>46143</v>
      </c>
      <c r="X49" t="s">
        <v>170</v>
      </c>
      <c r="Y49">
        <v>73.709999999999994</v>
      </c>
      <c r="AA49" t="s">
        <v>208</v>
      </c>
      <c r="AB49" s="5">
        <v>46204</v>
      </c>
      <c r="AC49" t="s">
        <v>185</v>
      </c>
      <c r="AD49">
        <v>424.29</v>
      </c>
    </row>
    <row r="50" spans="2:30" ht="18.75">
      <c r="B50">
        <v>15</v>
      </c>
      <c r="C50" s="5">
        <v>46118</v>
      </c>
      <c r="D50" t="s">
        <v>121</v>
      </c>
      <c r="E50">
        <v>97.07</v>
      </c>
      <c r="G50">
        <v>16</v>
      </c>
      <c r="H50" s="5">
        <v>46125</v>
      </c>
      <c r="I50" t="s">
        <v>176</v>
      </c>
      <c r="J50">
        <v>103.68</v>
      </c>
      <c r="L50">
        <v>18</v>
      </c>
      <c r="M50" s="5">
        <v>46139</v>
      </c>
      <c r="N50" t="s">
        <v>183</v>
      </c>
      <c r="O50">
        <v>920.65</v>
      </c>
      <c r="Q50" t="s">
        <v>200</v>
      </c>
      <c r="R50" s="5">
        <v>46113</v>
      </c>
      <c r="S50" t="s">
        <v>139</v>
      </c>
      <c r="T50">
        <v>972.32</v>
      </c>
      <c r="V50" t="s">
        <v>203</v>
      </c>
      <c r="W50" s="5">
        <v>46143</v>
      </c>
      <c r="X50" t="s">
        <v>163</v>
      </c>
      <c r="Y50">
        <v>1258.1199999999999</v>
      </c>
      <c r="AA50" t="s">
        <v>208</v>
      </c>
      <c r="AB50" s="5">
        <v>46204</v>
      </c>
      <c r="AC50" t="s">
        <v>202</v>
      </c>
      <c r="AD50">
        <v>153.82</v>
      </c>
    </row>
    <row r="51" spans="2:30" ht="18.75">
      <c r="B51">
        <v>15</v>
      </c>
      <c r="C51" s="5">
        <v>46118</v>
      </c>
      <c r="D51" t="s">
        <v>122</v>
      </c>
      <c r="E51">
        <v>191.57</v>
      </c>
      <c r="G51">
        <v>16</v>
      </c>
      <c r="H51" s="5">
        <v>46125</v>
      </c>
      <c r="I51" t="s">
        <v>170</v>
      </c>
      <c r="J51">
        <v>36</v>
      </c>
      <c r="L51">
        <v>18</v>
      </c>
      <c r="M51" s="5">
        <v>46139</v>
      </c>
      <c r="N51" t="s">
        <v>184</v>
      </c>
      <c r="O51">
        <v>799.3</v>
      </c>
      <c r="Q51" t="s">
        <v>199</v>
      </c>
      <c r="R51" s="5">
        <v>46082</v>
      </c>
      <c r="S51" t="s">
        <v>127</v>
      </c>
      <c r="T51">
        <v>148.47</v>
      </c>
      <c r="V51" t="s">
        <v>203</v>
      </c>
      <c r="W51" s="5">
        <v>46143</v>
      </c>
      <c r="X51" t="s">
        <v>168</v>
      </c>
      <c r="Y51">
        <v>361.01</v>
      </c>
      <c r="AA51" t="s">
        <v>199</v>
      </c>
      <c r="AB51" s="5">
        <v>46082</v>
      </c>
      <c r="AC51" t="s">
        <v>181</v>
      </c>
      <c r="AD51">
        <v>745.98</v>
      </c>
    </row>
    <row r="52" spans="2:30" ht="18.75">
      <c r="B52">
        <v>15</v>
      </c>
      <c r="C52" s="5">
        <v>46118</v>
      </c>
      <c r="D52" t="s">
        <v>125</v>
      </c>
      <c r="E52">
        <v>68.73</v>
      </c>
      <c r="G52">
        <v>16</v>
      </c>
      <c r="H52" s="5">
        <v>46125</v>
      </c>
      <c r="I52" t="s">
        <v>163</v>
      </c>
      <c r="J52">
        <v>248.97</v>
      </c>
      <c r="L52">
        <v>18</v>
      </c>
      <c r="M52" s="5">
        <v>46139</v>
      </c>
      <c r="N52" t="s">
        <v>185</v>
      </c>
      <c r="O52">
        <v>684</v>
      </c>
      <c r="Q52" t="s">
        <v>200</v>
      </c>
      <c r="R52" s="5">
        <v>46113</v>
      </c>
      <c r="S52" t="s">
        <v>127</v>
      </c>
      <c r="T52">
        <v>1042.24</v>
      </c>
      <c r="V52" t="s">
        <v>203</v>
      </c>
      <c r="W52" s="5">
        <v>46143</v>
      </c>
      <c r="X52" t="s">
        <v>173</v>
      </c>
      <c r="Y52">
        <v>2774.44</v>
      </c>
      <c r="AA52" t="s">
        <v>199</v>
      </c>
      <c r="AB52" s="5">
        <v>46082</v>
      </c>
      <c r="AC52" t="s">
        <v>182</v>
      </c>
      <c r="AD52">
        <v>1296.02</v>
      </c>
    </row>
    <row r="53" spans="2:30" ht="18.75">
      <c r="B53">
        <v>15</v>
      </c>
      <c r="C53" s="5">
        <v>46118</v>
      </c>
      <c r="D53" t="s">
        <v>126</v>
      </c>
      <c r="E53">
        <v>63.83</v>
      </c>
      <c r="G53">
        <v>16</v>
      </c>
      <c r="H53" s="5">
        <v>46125</v>
      </c>
      <c r="I53" t="s">
        <v>168</v>
      </c>
      <c r="J53">
        <v>435.51</v>
      </c>
      <c r="L53">
        <v>19</v>
      </c>
      <c r="M53" s="5">
        <v>46146</v>
      </c>
      <c r="N53" t="s">
        <v>178</v>
      </c>
      <c r="O53">
        <v>2153.9</v>
      </c>
      <c r="Q53" t="s">
        <v>200</v>
      </c>
      <c r="R53" s="5">
        <v>46113</v>
      </c>
      <c r="S53" t="s">
        <v>112</v>
      </c>
      <c r="T53">
        <v>285.70999999999998</v>
      </c>
      <c r="V53" t="s">
        <v>203</v>
      </c>
      <c r="W53" s="5">
        <v>46143</v>
      </c>
      <c r="X53" t="s">
        <v>204</v>
      </c>
      <c r="Y53">
        <v>2291.35</v>
      </c>
      <c r="AA53" t="s">
        <v>199</v>
      </c>
      <c r="AB53" s="5">
        <v>46082</v>
      </c>
      <c r="AC53" t="s">
        <v>183</v>
      </c>
      <c r="AD53">
        <v>314.83999999999997</v>
      </c>
    </row>
    <row r="54" spans="2:30" ht="18.75">
      <c r="B54">
        <v>15</v>
      </c>
      <c r="C54" s="5">
        <v>46118</v>
      </c>
      <c r="D54" t="s">
        <v>129</v>
      </c>
      <c r="E54">
        <v>319.93</v>
      </c>
      <c r="G54">
        <v>16</v>
      </c>
      <c r="H54" s="5">
        <v>46125</v>
      </c>
      <c r="I54" t="s">
        <v>172</v>
      </c>
      <c r="J54">
        <v>67.66</v>
      </c>
      <c r="L54">
        <v>19</v>
      </c>
      <c r="M54" s="5">
        <v>46146</v>
      </c>
      <c r="N54" t="s">
        <v>179</v>
      </c>
      <c r="O54">
        <v>3374.2</v>
      </c>
      <c r="Q54" t="s">
        <v>200</v>
      </c>
      <c r="R54" s="5">
        <v>46113</v>
      </c>
      <c r="S54" t="s">
        <v>122</v>
      </c>
      <c r="T54">
        <v>983.29</v>
      </c>
      <c r="V54" t="s">
        <v>203</v>
      </c>
      <c r="W54" s="5">
        <v>46143</v>
      </c>
      <c r="X54" t="s">
        <v>172</v>
      </c>
      <c r="Y54">
        <v>85.57</v>
      </c>
      <c r="AA54" t="s">
        <v>199</v>
      </c>
      <c r="AB54" s="5">
        <v>46082</v>
      </c>
      <c r="AC54" t="s">
        <v>184</v>
      </c>
      <c r="AD54">
        <v>378.79</v>
      </c>
    </row>
    <row r="55" spans="2:30" ht="18.75">
      <c r="B55">
        <v>15</v>
      </c>
      <c r="C55" s="5">
        <v>46118</v>
      </c>
      <c r="D55" t="s">
        <v>130</v>
      </c>
      <c r="E55">
        <v>342.58</v>
      </c>
      <c r="G55">
        <v>16</v>
      </c>
      <c r="H55" s="5">
        <v>46125</v>
      </c>
      <c r="I55" t="s">
        <v>173</v>
      </c>
      <c r="J55">
        <v>858.85</v>
      </c>
      <c r="L55">
        <v>19</v>
      </c>
      <c r="M55" s="5">
        <v>46146</v>
      </c>
      <c r="N55" t="s">
        <v>180</v>
      </c>
      <c r="O55">
        <v>171.45</v>
      </c>
      <c r="Q55" t="s">
        <v>200</v>
      </c>
      <c r="R55" s="5">
        <v>46113</v>
      </c>
      <c r="S55" t="s">
        <v>125</v>
      </c>
      <c r="T55">
        <v>255.29</v>
      </c>
      <c r="V55" t="s">
        <v>203</v>
      </c>
      <c r="W55" s="5">
        <v>46143</v>
      </c>
      <c r="X55" t="s">
        <v>206</v>
      </c>
      <c r="Y55">
        <v>1107.24</v>
      </c>
      <c r="AA55" t="s">
        <v>199</v>
      </c>
      <c r="AB55" s="5">
        <v>46082</v>
      </c>
      <c r="AC55" t="s">
        <v>185</v>
      </c>
      <c r="AD55">
        <v>510.05</v>
      </c>
    </row>
    <row r="56" spans="2:30" ht="18.75">
      <c r="B56">
        <v>15</v>
      </c>
      <c r="C56" s="5">
        <v>46118</v>
      </c>
      <c r="D56" t="s">
        <v>132</v>
      </c>
      <c r="E56">
        <v>147.46</v>
      </c>
      <c r="G56">
        <v>15</v>
      </c>
      <c r="H56" s="5">
        <v>46118</v>
      </c>
      <c r="I56" t="s">
        <v>171</v>
      </c>
      <c r="J56">
        <v>153.57</v>
      </c>
      <c r="L56">
        <v>19</v>
      </c>
      <c r="M56" s="5">
        <v>46146</v>
      </c>
      <c r="N56" t="s">
        <v>181</v>
      </c>
      <c r="O56">
        <v>1808.16</v>
      </c>
      <c r="Q56" t="s">
        <v>200</v>
      </c>
      <c r="R56" s="5">
        <v>46113</v>
      </c>
      <c r="S56" t="s">
        <v>132</v>
      </c>
      <c r="T56">
        <v>764.29</v>
      </c>
      <c r="V56" t="s">
        <v>203</v>
      </c>
      <c r="W56" s="5">
        <v>46143</v>
      </c>
      <c r="X56" t="s">
        <v>167</v>
      </c>
      <c r="Y56">
        <v>561.20000000000005</v>
      </c>
      <c r="AA56" t="s">
        <v>199</v>
      </c>
      <c r="AB56" s="5">
        <v>46082</v>
      </c>
      <c r="AC56" t="s">
        <v>178</v>
      </c>
      <c r="AD56">
        <v>915.51</v>
      </c>
    </row>
    <row r="57" spans="2:30" ht="18.75">
      <c r="B57">
        <v>15</v>
      </c>
      <c r="C57" s="5">
        <v>46118</v>
      </c>
      <c r="D57" t="s">
        <v>133</v>
      </c>
      <c r="E57">
        <v>336.8</v>
      </c>
      <c r="G57">
        <v>17</v>
      </c>
      <c r="H57" s="5">
        <v>46132</v>
      </c>
      <c r="I57" t="s">
        <v>160</v>
      </c>
      <c r="J57">
        <v>4896.09</v>
      </c>
      <c r="L57">
        <v>19</v>
      </c>
      <c r="M57" s="5">
        <v>46146</v>
      </c>
      <c r="N57" t="s">
        <v>182</v>
      </c>
      <c r="O57">
        <v>1630.87</v>
      </c>
      <c r="Q57" t="s">
        <v>200</v>
      </c>
      <c r="R57" s="5">
        <v>46113</v>
      </c>
      <c r="S57" t="s">
        <v>142</v>
      </c>
      <c r="T57">
        <v>581.28</v>
      </c>
      <c r="V57" t="s">
        <v>205</v>
      </c>
      <c r="W57" s="5">
        <v>46174</v>
      </c>
      <c r="X57" t="s">
        <v>160</v>
      </c>
      <c r="Y57">
        <v>24113.119999999999</v>
      </c>
      <c r="AA57" t="s">
        <v>200</v>
      </c>
      <c r="AB57" s="5">
        <v>46113</v>
      </c>
      <c r="AC57" t="s">
        <v>178</v>
      </c>
      <c r="AD57">
        <v>8975.7099999999991</v>
      </c>
    </row>
    <row r="58" spans="2:30" ht="18.75">
      <c r="B58">
        <v>15</v>
      </c>
      <c r="C58" s="5">
        <v>46118</v>
      </c>
      <c r="D58" t="s">
        <v>134</v>
      </c>
      <c r="E58">
        <v>342.42</v>
      </c>
      <c r="G58">
        <v>17</v>
      </c>
      <c r="H58" s="5">
        <v>46132</v>
      </c>
      <c r="I58" t="s">
        <v>158</v>
      </c>
      <c r="J58">
        <v>759.52</v>
      </c>
      <c r="L58">
        <v>19</v>
      </c>
      <c r="M58" s="5">
        <v>46146</v>
      </c>
      <c r="N58" t="s">
        <v>183</v>
      </c>
      <c r="O58">
        <v>379.44</v>
      </c>
      <c r="Q58" t="s">
        <v>200</v>
      </c>
      <c r="R58" s="5">
        <v>46113</v>
      </c>
      <c r="S58" t="s">
        <v>120</v>
      </c>
      <c r="T58">
        <v>370.95</v>
      </c>
      <c r="V58" t="s">
        <v>205</v>
      </c>
      <c r="W58" s="5">
        <v>46174</v>
      </c>
      <c r="X58" t="s">
        <v>165</v>
      </c>
      <c r="Y58">
        <v>867.11</v>
      </c>
      <c r="AA58" t="s">
        <v>199</v>
      </c>
      <c r="AB58" s="5">
        <v>46082</v>
      </c>
      <c r="AC58" t="s">
        <v>179</v>
      </c>
      <c r="AD58">
        <v>1415.77</v>
      </c>
    </row>
    <row r="59" spans="2:30" ht="18.75">
      <c r="B59">
        <v>15</v>
      </c>
      <c r="C59" s="5">
        <v>46118</v>
      </c>
      <c r="D59" t="s">
        <v>138</v>
      </c>
      <c r="E59">
        <v>392.17</v>
      </c>
      <c r="G59">
        <v>17</v>
      </c>
      <c r="H59" s="5">
        <v>46132</v>
      </c>
      <c r="I59" t="s">
        <v>165</v>
      </c>
      <c r="J59">
        <v>84</v>
      </c>
      <c r="L59">
        <v>19</v>
      </c>
      <c r="M59" s="5">
        <v>46146</v>
      </c>
      <c r="N59" t="s">
        <v>184</v>
      </c>
      <c r="O59">
        <v>661.06</v>
      </c>
      <c r="Q59" t="s">
        <v>200</v>
      </c>
      <c r="R59" s="5">
        <v>46113</v>
      </c>
      <c r="S59" t="s">
        <v>128</v>
      </c>
      <c r="T59">
        <v>603.87</v>
      </c>
      <c r="V59" t="s">
        <v>205</v>
      </c>
      <c r="W59" s="5">
        <v>46174</v>
      </c>
      <c r="X59" t="s">
        <v>174</v>
      </c>
      <c r="Y59">
        <v>1644.89</v>
      </c>
      <c r="AA59" t="s">
        <v>200</v>
      </c>
      <c r="AB59" s="5">
        <v>46113</v>
      </c>
      <c r="AC59" t="s">
        <v>179</v>
      </c>
      <c r="AD59">
        <v>13208.74</v>
      </c>
    </row>
    <row r="60" spans="2:30" ht="18.75">
      <c r="B60">
        <v>15</v>
      </c>
      <c r="C60" s="5">
        <v>46118</v>
      </c>
      <c r="D60" t="s">
        <v>141</v>
      </c>
      <c r="E60">
        <v>513.05999999999995</v>
      </c>
      <c r="G60">
        <v>17</v>
      </c>
      <c r="H60" s="5">
        <v>46132</v>
      </c>
      <c r="I60" t="s">
        <v>198</v>
      </c>
      <c r="J60">
        <v>464.1</v>
      </c>
      <c r="L60">
        <v>19</v>
      </c>
      <c r="M60" s="5">
        <v>46146</v>
      </c>
      <c r="N60" t="s">
        <v>185</v>
      </c>
      <c r="O60">
        <v>615</v>
      </c>
      <c r="Q60" t="s">
        <v>200</v>
      </c>
      <c r="R60" s="5">
        <v>46113</v>
      </c>
      <c r="S60" t="s">
        <v>135</v>
      </c>
      <c r="T60">
        <v>322.60000000000002</v>
      </c>
      <c r="V60" t="s">
        <v>205</v>
      </c>
      <c r="W60" s="5">
        <v>46174</v>
      </c>
      <c r="X60" t="s">
        <v>198</v>
      </c>
      <c r="Y60">
        <v>2100.29</v>
      </c>
      <c r="AA60" t="s">
        <v>199</v>
      </c>
      <c r="AB60" s="5">
        <v>46082</v>
      </c>
      <c r="AC60" t="s">
        <v>180</v>
      </c>
      <c r="AD60">
        <v>73.03</v>
      </c>
    </row>
    <row r="61" spans="2:30" ht="18.75">
      <c r="B61">
        <v>15</v>
      </c>
      <c r="C61" s="5">
        <v>46118</v>
      </c>
      <c r="D61" t="s">
        <v>142</v>
      </c>
      <c r="E61">
        <v>94.6</v>
      </c>
      <c r="G61">
        <v>17</v>
      </c>
      <c r="H61" s="5">
        <v>46132</v>
      </c>
      <c r="I61" t="s">
        <v>174</v>
      </c>
      <c r="J61">
        <v>1490.88</v>
      </c>
      <c r="L61">
        <v>13</v>
      </c>
      <c r="M61" s="5">
        <v>46104</v>
      </c>
      <c r="N61" t="s">
        <v>178</v>
      </c>
      <c r="O61">
        <v>208.25</v>
      </c>
      <c r="Q61" t="s">
        <v>200</v>
      </c>
      <c r="R61" s="5">
        <v>46113</v>
      </c>
      <c r="S61" t="s">
        <v>136</v>
      </c>
      <c r="T61">
        <v>579.65</v>
      </c>
      <c r="V61" t="s">
        <v>205</v>
      </c>
      <c r="W61" s="5">
        <v>46174</v>
      </c>
      <c r="X61" t="s">
        <v>167</v>
      </c>
      <c r="Y61">
        <v>1556.64</v>
      </c>
      <c r="AA61" t="s">
        <v>200</v>
      </c>
      <c r="AB61" s="5">
        <v>46113</v>
      </c>
      <c r="AC61" t="s">
        <v>180</v>
      </c>
      <c r="AD61">
        <v>686.01</v>
      </c>
    </row>
    <row r="62" spans="2:30" ht="18.75">
      <c r="B62">
        <v>15</v>
      </c>
      <c r="C62" s="5">
        <v>46118</v>
      </c>
      <c r="D62" t="s">
        <v>139</v>
      </c>
      <c r="E62">
        <v>78.39</v>
      </c>
      <c r="G62">
        <v>17</v>
      </c>
      <c r="H62" s="5">
        <v>46132</v>
      </c>
      <c r="I62" t="s">
        <v>169</v>
      </c>
      <c r="J62">
        <v>2028.45</v>
      </c>
      <c r="L62">
        <v>13</v>
      </c>
      <c r="M62" s="5">
        <v>46104</v>
      </c>
      <c r="N62" t="s">
        <v>179</v>
      </c>
      <c r="O62">
        <v>481.61</v>
      </c>
      <c r="Q62" t="s">
        <v>200</v>
      </c>
      <c r="R62" s="5">
        <v>46113</v>
      </c>
      <c r="S62" t="s">
        <v>137</v>
      </c>
      <c r="T62">
        <v>292.47000000000003</v>
      </c>
      <c r="V62" t="s">
        <v>205</v>
      </c>
      <c r="W62" s="5">
        <v>46174</v>
      </c>
      <c r="X62" t="s">
        <v>169</v>
      </c>
      <c r="Y62">
        <v>7944.51</v>
      </c>
      <c r="AA62" t="s">
        <v>200</v>
      </c>
      <c r="AB62" s="5">
        <v>46113</v>
      </c>
      <c r="AC62" t="s">
        <v>181</v>
      </c>
      <c r="AD62">
        <v>6971.35</v>
      </c>
    </row>
    <row r="63" spans="2:30" ht="18.75">
      <c r="B63">
        <v>15</v>
      </c>
      <c r="C63" s="5">
        <v>46118</v>
      </c>
      <c r="D63" t="s">
        <v>145</v>
      </c>
      <c r="E63">
        <v>216.23</v>
      </c>
      <c r="G63">
        <v>17</v>
      </c>
      <c r="H63" s="5">
        <v>46132</v>
      </c>
      <c r="I63" t="s">
        <v>176</v>
      </c>
      <c r="J63">
        <v>160.08000000000001</v>
      </c>
      <c r="L63">
        <v>13</v>
      </c>
      <c r="M63" s="5">
        <v>46104</v>
      </c>
      <c r="N63" t="s">
        <v>180</v>
      </c>
      <c r="O63">
        <v>11.8</v>
      </c>
      <c r="Q63" t="s">
        <v>200</v>
      </c>
      <c r="R63" s="5">
        <v>46113</v>
      </c>
      <c r="S63" t="s">
        <v>148</v>
      </c>
      <c r="T63">
        <v>472.87</v>
      </c>
      <c r="V63" t="s">
        <v>205</v>
      </c>
      <c r="W63" s="5">
        <v>46174</v>
      </c>
      <c r="X63" t="s">
        <v>209</v>
      </c>
      <c r="Y63">
        <v>339.74</v>
      </c>
      <c r="AA63" t="s">
        <v>200</v>
      </c>
      <c r="AB63" s="5">
        <v>46113</v>
      </c>
      <c r="AC63" t="s">
        <v>182</v>
      </c>
      <c r="AD63">
        <v>7668.27</v>
      </c>
    </row>
    <row r="64" spans="2:30" ht="18.75">
      <c r="B64">
        <v>15</v>
      </c>
      <c r="C64" s="5">
        <v>46118</v>
      </c>
      <c r="D64" t="s">
        <v>146</v>
      </c>
      <c r="E64">
        <v>555.52</v>
      </c>
      <c r="G64">
        <v>17</v>
      </c>
      <c r="H64" s="5">
        <v>46132</v>
      </c>
      <c r="I64" t="s">
        <v>170</v>
      </c>
      <c r="J64">
        <v>64</v>
      </c>
      <c r="L64">
        <v>20</v>
      </c>
      <c r="M64" s="5">
        <v>46153</v>
      </c>
      <c r="N64" t="s">
        <v>178</v>
      </c>
      <c r="O64">
        <v>2302.65</v>
      </c>
      <c r="Q64" t="s">
        <v>200</v>
      </c>
      <c r="R64" s="5">
        <v>46113</v>
      </c>
      <c r="S64" t="s">
        <v>150</v>
      </c>
      <c r="T64">
        <v>385.07</v>
      </c>
      <c r="V64" t="s">
        <v>205</v>
      </c>
      <c r="W64" s="5">
        <v>46174</v>
      </c>
      <c r="X64" t="s">
        <v>176</v>
      </c>
      <c r="Y64">
        <v>576.6</v>
      </c>
      <c r="AA64" t="s">
        <v>200</v>
      </c>
      <c r="AB64" s="5">
        <v>46113</v>
      </c>
      <c r="AC64" t="s">
        <v>183</v>
      </c>
      <c r="AD64">
        <v>2225.64</v>
      </c>
    </row>
    <row r="65" spans="2:30" ht="18.75">
      <c r="B65">
        <v>15</v>
      </c>
      <c r="C65" s="5">
        <v>46118</v>
      </c>
      <c r="D65" t="s">
        <v>147</v>
      </c>
      <c r="E65">
        <v>139.63999999999999</v>
      </c>
      <c r="G65">
        <v>17</v>
      </c>
      <c r="H65" s="5">
        <v>46132</v>
      </c>
      <c r="I65" t="s">
        <v>163</v>
      </c>
      <c r="J65">
        <v>365.07</v>
      </c>
      <c r="L65">
        <v>20</v>
      </c>
      <c r="M65" s="5">
        <v>46153</v>
      </c>
      <c r="N65" t="s">
        <v>179</v>
      </c>
      <c r="O65">
        <v>2861.62</v>
      </c>
      <c r="Q65" t="s">
        <v>200</v>
      </c>
      <c r="R65" s="5">
        <v>46113</v>
      </c>
      <c r="S65" t="s">
        <v>116</v>
      </c>
      <c r="T65">
        <v>415.11</v>
      </c>
      <c r="V65" t="s">
        <v>205</v>
      </c>
      <c r="W65" s="5">
        <v>46174</v>
      </c>
      <c r="X65" t="s">
        <v>163</v>
      </c>
      <c r="Y65">
        <v>1159.3399999999999</v>
      </c>
      <c r="AA65" t="s">
        <v>200</v>
      </c>
      <c r="AB65" s="5">
        <v>46113</v>
      </c>
      <c r="AC65" t="s">
        <v>184</v>
      </c>
      <c r="AD65">
        <v>2274.44</v>
      </c>
    </row>
    <row r="66" spans="2:30" ht="18.75">
      <c r="B66">
        <v>15</v>
      </c>
      <c r="C66" s="5">
        <v>46118</v>
      </c>
      <c r="D66" t="s">
        <v>151</v>
      </c>
      <c r="E66">
        <v>690.79</v>
      </c>
      <c r="G66">
        <v>17</v>
      </c>
      <c r="H66" s="5">
        <v>46132</v>
      </c>
      <c r="I66" t="s">
        <v>168</v>
      </c>
      <c r="J66">
        <v>524.22</v>
      </c>
      <c r="L66">
        <v>20</v>
      </c>
      <c r="M66" s="5">
        <v>46153</v>
      </c>
      <c r="N66" t="s">
        <v>180</v>
      </c>
      <c r="O66">
        <v>263.2</v>
      </c>
      <c r="Q66" t="s">
        <v>200</v>
      </c>
      <c r="R66" s="5">
        <v>46113</v>
      </c>
      <c r="S66" t="s">
        <v>140</v>
      </c>
      <c r="T66">
        <v>131.84</v>
      </c>
      <c r="V66" t="s">
        <v>205</v>
      </c>
      <c r="W66" s="5">
        <v>46174</v>
      </c>
      <c r="X66" t="s">
        <v>204</v>
      </c>
      <c r="Y66">
        <v>2128.63</v>
      </c>
      <c r="AA66" t="s">
        <v>200</v>
      </c>
      <c r="AB66" s="5">
        <v>46113</v>
      </c>
      <c r="AC66" t="s">
        <v>185</v>
      </c>
      <c r="AD66">
        <v>3641.31</v>
      </c>
    </row>
    <row r="67" spans="2:30" ht="18.75">
      <c r="B67">
        <v>15</v>
      </c>
      <c r="C67" s="5">
        <v>46118</v>
      </c>
      <c r="D67" t="s">
        <v>119</v>
      </c>
      <c r="E67">
        <v>297.7</v>
      </c>
      <c r="G67">
        <v>17</v>
      </c>
      <c r="H67" s="5">
        <v>46132</v>
      </c>
      <c r="I67" t="s">
        <v>172</v>
      </c>
      <c r="J67">
        <v>27.86</v>
      </c>
      <c r="L67">
        <v>20</v>
      </c>
      <c r="M67" s="5">
        <v>46153</v>
      </c>
      <c r="N67" t="s">
        <v>181</v>
      </c>
      <c r="O67">
        <v>1456.86</v>
      </c>
      <c r="Q67" t="s">
        <v>200</v>
      </c>
      <c r="R67" s="5">
        <v>46113</v>
      </c>
      <c r="S67" t="s">
        <v>149</v>
      </c>
      <c r="T67">
        <v>246.44</v>
      </c>
      <c r="V67" t="s">
        <v>205</v>
      </c>
      <c r="W67" s="5">
        <v>46174</v>
      </c>
      <c r="X67" t="s">
        <v>173</v>
      </c>
      <c r="Y67">
        <v>3796.56</v>
      </c>
      <c r="AA67" t="s">
        <v>200</v>
      </c>
      <c r="AB67" s="5">
        <v>46113</v>
      </c>
      <c r="AC67" t="s">
        <v>202</v>
      </c>
      <c r="AD67">
        <v>184.05</v>
      </c>
    </row>
    <row r="68" spans="2:30" ht="18.75">
      <c r="B68">
        <v>15</v>
      </c>
      <c r="C68" s="5">
        <v>46118</v>
      </c>
      <c r="D68" t="s">
        <v>120</v>
      </c>
      <c r="E68">
        <v>95.37</v>
      </c>
      <c r="G68">
        <v>17</v>
      </c>
      <c r="H68" s="5">
        <v>46132</v>
      </c>
      <c r="I68" t="s">
        <v>173</v>
      </c>
      <c r="J68">
        <v>991.65</v>
      </c>
      <c r="L68">
        <v>20</v>
      </c>
      <c r="M68" s="5">
        <v>46153</v>
      </c>
      <c r="N68" t="s">
        <v>182</v>
      </c>
      <c r="O68">
        <v>1659.2</v>
      </c>
      <c r="Q68" t="s">
        <v>199</v>
      </c>
      <c r="R68" s="5">
        <v>46082</v>
      </c>
      <c r="S68" t="s">
        <v>112</v>
      </c>
      <c r="T68">
        <v>19.84</v>
      </c>
      <c r="V68" t="s">
        <v>205</v>
      </c>
      <c r="W68" s="5">
        <v>46174</v>
      </c>
      <c r="X68" t="s">
        <v>206</v>
      </c>
      <c r="Y68">
        <v>1595.65</v>
      </c>
      <c r="AA68" t="s">
        <v>203</v>
      </c>
      <c r="AB68" s="5">
        <v>46143</v>
      </c>
      <c r="AC68" t="s">
        <v>178</v>
      </c>
      <c r="AD68">
        <v>10112.5</v>
      </c>
    </row>
    <row r="69" spans="2:30" ht="18.75">
      <c r="B69">
        <v>15</v>
      </c>
      <c r="C69" s="5">
        <v>46118</v>
      </c>
      <c r="D69" t="s">
        <v>123</v>
      </c>
      <c r="E69">
        <v>194.83</v>
      </c>
      <c r="G69">
        <v>17</v>
      </c>
      <c r="H69" s="5">
        <v>46132</v>
      </c>
      <c r="I69" t="s">
        <v>206</v>
      </c>
      <c r="J69">
        <v>184.05</v>
      </c>
      <c r="L69">
        <v>20</v>
      </c>
      <c r="M69" s="5">
        <v>46153</v>
      </c>
      <c r="N69" t="s">
        <v>183</v>
      </c>
      <c r="O69">
        <v>445.26</v>
      </c>
      <c r="Q69" t="s">
        <v>199</v>
      </c>
      <c r="R69" s="5">
        <v>46082</v>
      </c>
      <c r="S69" t="s">
        <v>120</v>
      </c>
      <c r="T69">
        <v>28.74</v>
      </c>
      <c r="V69" t="s">
        <v>205</v>
      </c>
      <c r="W69" s="5">
        <v>46174</v>
      </c>
      <c r="X69" t="s">
        <v>171</v>
      </c>
      <c r="Y69">
        <v>1633.88</v>
      </c>
      <c r="AA69" t="s">
        <v>203</v>
      </c>
      <c r="AB69" s="5">
        <v>46143</v>
      </c>
      <c r="AC69" t="s">
        <v>179</v>
      </c>
      <c r="AD69">
        <v>13405.78</v>
      </c>
    </row>
    <row r="70" spans="2:30" ht="18.75">
      <c r="B70">
        <v>15</v>
      </c>
      <c r="C70" s="5">
        <v>46118</v>
      </c>
      <c r="D70" t="s">
        <v>128</v>
      </c>
      <c r="E70">
        <v>96.03</v>
      </c>
      <c r="G70">
        <v>17</v>
      </c>
      <c r="H70" s="5">
        <v>46132</v>
      </c>
      <c r="I70" t="s">
        <v>207</v>
      </c>
      <c r="J70">
        <v>276.5</v>
      </c>
      <c r="L70">
        <v>20</v>
      </c>
      <c r="M70" s="5">
        <v>46153</v>
      </c>
      <c r="N70" t="s">
        <v>184</v>
      </c>
      <c r="O70">
        <v>509.22</v>
      </c>
      <c r="Q70" t="s">
        <v>199</v>
      </c>
      <c r="R70" s="5">
        <v>46082</v>
      </c>
      <c r="S70" t="s">
        <v>122</v>
      </c>
      <c r="T70">
        <v>78.37</v>
      </c>
      <c r="V70" t="s">
        <v>205</v>
      </c>
      <c r="W70" s="5">
        <v>46174</v>
      </c>
      <c r="X70" t="s">
        <v>158</v>
      </c>
      <c r="Y70">
        <v>745.6</v>
      </c>
      <c r="AA70" t="s">
        <v>203</v>
      </c>
      <c r="AB70" s="5">
        <v>46143</v>
      </c>
      <c r="AC70" t="s">
        <v>180</v>
      </c>
      <c r="AD70">
        <v>875.01</v>
      </c>
    </row>
    <row r="71" spans="2:30" ht="18.75">
      <c r="B71">
        <v>15</v>
      </c>
      <c r="C71" s="5">
        <v>46118</v>
      </c>
      <c r="D71" t="s">
        <v>135</v>
      </c>
      <c r="E71">
        <v>68.06</v>
      </c>
      <c r="G71">
        <v>18</v>
      </c>
      <c r="H71" s="5">
        <v>46139</v>
      </c>
      <c r="I71" t="s">
        <v>160</v>
      </c>
      <c r="J71">
        <v>4360</v>
      </c>
      <c r="L71">
        <v>20</v>
      </c>
      <c r="M71" s="5">
        <v>46153</v>
      </c>
      <c r="N71" t="s">
        <v>185</v>
      </c>
      <c r="O71">
        <v>954.05</v>
      </c>
      <c r="Q71" t="s">
        <v>199</v>
      </c>
      <c r="R71" s="5">
        <v>46082</v>
      </c>
      <c r="S71" t="s">
        <v>125</v>
      </c>
      <c r="T71">
        <v>15.67</v>
      </c>
      <c r="V71" t="s">
        <v>208</v>
      </c>
      <c r="W71" s="5">
        <v>46204</v>
      </c>
      <c r="X71" t="s">
        <v>160</v>
      </c>
      <c r="Y71">
        <v>2608.62</v>
      </c>
      <c r="AA71" t="s">
        <v>203</v>
      </c>
      <c r="AB71" s="5">
        <v>46143</v>
      </c>
      <c r="AC71" t="s">
        <v>181</v>
      </c>
      <c r="AD71">
        <v>7101.41</v>
      </c>
    </row>
    <row r="72" spans="2:30" ht="18.75">
      <c r="B72">
        <v>15</v>
      </c>
      <c r="C72" s="5">
        <v>46118</v>
      </c>
      <c r="D72" t="s">
        <v>136</v>
      </c>
      <c r="E72">
        <v>122.45</v>
      </c>
      <c r="G72">
        <v>18</v>
      </c>
      <c r="H72" s="5">
        <v>46139</v>
      </c>
      <c r="I72" t="s">
        <v>158</v>
      </c>
      <c r="J72">
        <v>597.91999999999996</v>
      </c>
      <c r="L72">
        <v>20</v>
      </c>
      <c r="M72" s="5">
        <v>46153</v>
      </c>
      <c r="N72" t="s">
        <v>202</v>
      </c>
      <c r="O72">
        <v>513.29999999999995</v>
      </c>
      <c r="Q72" t="s">
        <v>199</v>
      </c>
      <c r="R72" s="5">
        <v>46082</v>
      </c>
      <c r="S72" t="s">
        <v>128</v>
      </c>
      <c r="T72">
        <v>51.83</v>
      </c>
      <c r="V72" t="s">
        <v>208</v>
      </c>
      <c r="W72" s="5">
        <v>46204</v>
      </c>
      <c r="X72" t="s">
        <v>165</v>
      </c>
      <c r="Y72">
        <v>34.64</v>
      </c>
      <c r="AA72" t="s">
        <v>203</v>
      </c>
      <c r="AB72" s="5">
        <v>46143</v>
      </c>
      <c r="AC72" t="s">
        <v>182</v>
      </c>
      <c r="AD72">
        <v>7183.45</v>
      </c>
    </row>
    <row r="73" spans="2:30" ht="18.75">
      <c r="B73">
        <v>15</v>
      </c>
      <c r="C73" s="5">
        <v>46118</v>
      </c>
      <c r="D73" t="s">
        <v>137</v>
      </c>
      <c r="E73">
        <v>54.05</v>
      </c>
      <c r="G73">
        <v>18</v>
      </c>
      <c r="H73" s="5">
        <v>46139</v>
      </c>
      <c r="I73" t="s">
        <v>165</v>
      </c>
      <c r="J73">
        <v>182.25</v>
      </c>
      <c r="L73">
        <v>21</v>
      </c>
      <c r="M73" s="5">
        <v>46160</v>
      </c>
      <c r="N73" t="s">
        <v>178</v>
      </c>
      <c r="O73">
        <v>2518.6</v>
      </c>
      <c r="Q73" t="s">
        <v>199</v>
      </c>
      <c r="R73" s="5">
        <v>46082</v>
      </c>
      <c r="S73" t="s">
        <v>132</v>
      </c>
      <c r="T73">
        <v>60.72</v>
      </c>
      <c r="V73" t="s">
        <v>208</v>
      </c>
      <c r="W73" s="5">
        <v>46204</v>
      </c>
      <c r="X73" t="s">
        <v>174</v>
      </c>
      <c r="Y73">
        <v>368.51</v>
      </c>
      <c r="AA73" t="s">
        <v>203</v>
      </c>
      <c r="AB73" s="5">
        <v>46143</v>
      </c>
      <c r="AC73" t="s">
        <v>183</v>
      </c>
      <c r="AD73">
        <v>2140.92</v>
      </c>
    </row>
    <row r="74" spans="2:30" ht="18.75">
      <c r="B74">
        <v>15</v>
      </c>
      <c r="C74" s="5">
        <v>46118</v>
      </c>
      <c r="D74" t="s">
        <v>148</v>
      </c>
      <c r="E74">
        <v>92.3</v>
      </c>
      <c r="G74">
        <v>18</v>
      </c>
      <c r="H74" s="5">
        <v>46139</v>
      </c>
      <c r="I74" t="s">
        <v>174</v>
      </c>
      <c r="J74">
        <v>462.84</v>
      </c>
      <c r="L74">
        <v>21</v>
      </c>
      <c r="M74" s="5">
        <v>46160</v>
      </c>
      <c r="N74" t="s">
        <v>179</v>
      </c>
      <c r="O74">
        <v>3013.63</v>
      </c>
      <c r="Q74" t="s">
        <v>199</v>
      </c>
      <c r="R74" s="5">
        <v>46082</v>
      </c>
      <c r="S74" t="s">
        <v>135</v>
      </c>
      <c r="T74">
        <v>24.19</v>
      </c>
      <c r="V74" t="s">
        <v>208</v>
      </c>
      <c r="W74" s="5">
        <v>46204</v>
      </c>
      <c r="X74" t="s">
        <v>198</v>
      </c>
      <c r="Y74">
        <v>289</v>
      </c>
      <c r="AA74" t="s">
        <v>203</v>
      </c>
      <c r="AB74" s="5">
        <v>46143</v>
      </c>
      <c r="AC74" t="s">
        <v>184</v>
      </c>
      <c r="AD74">
        <v>2737.93</v>
      </c>
    </row>
    <row r="75" spans="2:30" ht="18.75">
      <c r="B75">
        <v>15</v>
      </c>
      <c r="C75" s="5">
        <v>46118</v>
      </c>
      <c r="D75" t="s">
        <v>150</v>
      </c>
      <c r="E75">
        <v>94.53</v>
      </c>
      <c r="G75">
        <v>18</v>
      </c>
      <c r="H75" s="5">
        <v>46139</v>
      </c>
      <c r="I75" t="s">
        <v>171</v>
      </c>
      <c r="J75">
        <v>806.76</v>
      </c>
      <c r="L75">
        <v>21</v>
      </c>
      <c r="M75" s="5">
        <v>46160</v>
      </c>
      <c r="N75" t="s">
        <v>180</v>
      </c>
      <c r="O75">
        <v>134.55000000000001</v>
      </c>
      <c r="Q75" t="s">
        <v>199</v>
      </c>
      <c r="R75" s="5">
        <v>46082</v>
      </c>
      <c r="S75" t="s">
        <v>136</v>
      </c>
      <c r="T75">
        <v>55.42</v>
      </c>
      <c r="V75" t="s">
        <v>208</v>
      </c>
      <c r="W75" s="5">
        <v>46204</v>
      </c>
      <c r="X75" t="s">
        <v>167</v>
      </c>
      <c r="Y75">
        <v>307.26</v>
      </c>
      <c r="AA75" t="s">
        <v>203</v>
      </c>
      <c r="AB75" s="5">
        <v>46143</v>
      </c>
      <c r="AC75" t="s">
        <v>185</v>
      </c>
      <c r="AD75">
        <v>2774.44</v>
      </c>
    </row>
    <row r="76" spans="2:30" ht="18.75">
      <c r="B76">
        <v>15</v>
      </c>
      <c r="C76" s="5">
        <v>46118</v>
      </c>
      <c r="D76" t="s">
        <v>116</v>
      </c>
      <c r="E76">
        <v>102.6</v>
      </c>
      <c r="G76">
        <v>18</v>
      </c>
      <c r="H76" s="5">
        <v>46139</v>
      </c>
      <c r="I76" t="s">
        <v>198</v>
      </c>
      <c r="J76">
        <v>357</v>
      </c>
      <c r="L76">
        <v>21</v>
      </c>
      <c r="M76" s="5">
        <v>46160</v>
      </c>
      <c r="N76" t="s">
        <v>181</v>
      </c>
      <c r="O76">
        <v>1830.18</v>
      </c>
      <c r="Q76" t="s">
        <v>199</v>
      </c>
      <c r="R76" s="5">
        <v>46082</v>
      </c>
      <c r="S76" t="s">
        <v>137</v>
      </c>
      <c r="T76">
        <v>18.12</v>
      </c>
      <c r="V76" t="s">
        <v>208</v>
      </c>
      <c r="W76" s="5">
        <v>46204</v>
      </c>
      <c r="X76" t="s">
        <v>169</v>
      </c>
      <c r="Y76">
        <v>765.39</v>
      </c>
      <c r="AA76" t="s">
        <v>203</v>
      </c>
      <c r="AB76" s="5">
        <v>46143</v>
      </c>
      <c r="AC76" t="s">
        <v>202</v>
      </c>
      <c r="AD76">
        <v>1107.24</v>
      </c>
    </row>
    <row r="77" spans="2:30" ht="18.75">
      <c r="B77">
        <v>15</v>
      </c>
      <c r="C77" s="5">
        <v>46118</v>
      </c>
      <c r="D77" t="s">
        <v>118</v>
      </c>
      <c r="E77">
        <v>87.94</v>
      </c>
      <c r="G77">
        <v>18</v>
      </c>
      <c r="H77" s="5">
        <v>46139</v>
      </c>
      <c r="I77" t="s">
        <v>169</v>
      </c>
      <c r="J77">
        <v>1577.4</v>
      </c>
      <c r="L77">
        <v>21</v>
      </c>
      <c r="M77" s="5">
        <v>46160</v>
      </c>
      <c r="N77" t="s">
        <v>182</v>
      </c>
      <c r="O77">
        <v>1637.35</v>
      </c>
      <c r="Q77" t="s">
        <v>199</v>
      </c>
      <c r="R77" s="5">
        <v>46082</v>
      </c>
      <c r="S77" t="s">
        <v>140</v>
      </c>
      <c r="T77">
        <v>27.49</v>
      </c>
      <c r="V77" t="s">
        <v>208</v>
      </c>
      <c r="W77" s="5">
        <v>46204</v>
      </c>
      <c r="X77" t="s">
        <v>209</v>
      </c>
      <c r="Y77">
        <v>23.14</v>
      </c>
      <c r="AA77" t="s">
        <v>205</v>
      </c>
      <c r="AB77" s="5">
        <v>46174</v>
      </c>
      <c r="AC77" t="s">
        <v>178</v>
      </c>
      <c r="AD77">
        <v>6606.1</v>
      </c>
    </row>
    <row r="78" spans="2:30" ht="18.75">
      <c r="B78">
        <v>15</v>
      </c>
      <c r="C78" s="5">
        <v>46118</v>
      </c>
      <c r="D78" t="s">
        <v>127</v>
      </c>
      <c r="E78">
        <v>167.09</v>
      </c>
      <c r="G78">
        <v>18</v>
      </c>
      <c r="H78" s="5">
        <v>46139</v>
      </c>
      <c r="I78" t="s">
        <v>176</v>
      </c>
      <c r="J78">
        <v>224.28</v>
      </c>
      <c r="L78">
        <v>21</v>
      </c>
      <c r="M78" s="5">
        <v>46160</v>
      </c>
      <c r="N78" t="s">
        <v>183</v>
      </c>
      <c r="O78">
        <v>353.37</v>
      </c>
      <c r="Q78" t="s">
        <v>199</v>
      </c>
      <c r="R78" s="5">
        <v>46082</v>
      </c>
      <c r="S78" t="s">
        <v>142</v>
      </c>
      <c r="T78">
        <v>52.97</v>
      </c>
      <c r="V78" t="s">
        <v>208</v>
      </c>
      <c r="W78" s="5">
        <v>46204</v>
      </c>
      <c r="X78" t="s">
        <v>176</v>
      </c>
      <c r="Y78">
        <v>64.2</v>
      </c>
      <c r="AA78" t="s">
        <v>205</v>
      </c>
      <c r="AB78" s="5">
        <v>46174</v>
      </c>
      <c r="AC78" t="s">
        <v>179</v>
      </c>
      <c r="AD78">
        <v>8844.18</v>
      </c>
    </row>
    <row r="79" spans="2:30" ht="18.75">
      <c r="B79">
        <v>15</v>
      </c>
      <c r="C79" s="5">
        <v>46118</v>
      </c>
      <c r="D79" t="s">
        <v>124</v>
      </c>
      <c r="E79">
        <v>177.55</v>
      </c>
      <c r="G79">
        <v>18</v>
      </c>
      <c r="H79" s="5">
        <v>46139</v>
      </c>
      <c r="I79" t="s">
        <v>209</v>
      </c>
      <c r="J79">
        <v>261.36</v>
      </c>
      <c r="L79">
        <v>21</v>
      </c>
      <c r="M79" s="5">
        <v>46160</v>
      </c>
      <c r="N79" t="s">
        <v>184</v>
      </c>
      <c r="O79">
        <v>354.19</v>
      </c>
      <c r="Q79" t="s">
        <v>199</v>
      </c>
      <c r="R79" s="5">
        <v>46082</v>
      </c>
      <c r="S79" t="s">
        <v>148</v>
      </c>
      <c r="T79">
        <v>36.5</v>
      </c>
      <c r="V79" t="s">
        <v>208</v>
      </c>
      <c r="W79" s="5">
        <v>46204</v>
      </c>
      <c r="X79" t="s">
        <v>163</v>
      </c>
      <c r="Y79">
        <v>76.48</v>
      </c>
      <c r="AA79" t="s">
        <v>205</v>
      </c>
      <c r="AB79" s="5">
        <v>46174</v>
      </c>
      <c r="AC79" t="s">
        <v>180</v>
      </c>
      <c r="AD79">
        <v>387.65</v>
      </c>
    </row>
    <row r="80" spans="2:30" ht="18.75">
      <c r="B80">
        <v>15</v>
      </c>
      <c r="C80" s="5">
        <v>46118</v>
      </c>
      <c r="D80" t="s">
        <v>140</v>
      </c>
      <c r="E80">
        <v>47.61</v>
      </c>
      <c r="G80">
        <v>18</v>
      </c>
      <c r="H80" s="5">
        <v>46139</v>
      </c>
      <c r="I80" t="s">
        <v>170</v>
      </c>
      <c r="J80">
        <v>88</v>
      </c>
      <c r="L80">
        <v>21</v>
      </c>
      <c r="M80" s="5">
        <v>46160</v>
      </c>
      <c r="N80" t="s">
        <v>185</v>
      </c>
      <c r="O80">
        <v>627.25</v>
      </c>
      <c r="Q80" t="s">
        <v>199</v>
      </c>
      <c r="R80" s="5">
        <v>46082</v>
      </c>
      <c r="S80" t="s">
        <v>150</v>
      </c>
      <c r="T80">
        <v>27.43</v>
      </c>
      <c r="V80" t="s">
        <v>208</v>
      </c>
      <c r="W80" s="5">
        <v>46204</v>
      </c>
      <c r="X80" t="s">
        <v>204</v>
      </c>
      <c r="Y80">
        <v>204.5</v>
      </c>
      <c r="AA80" t="s">
        <v>205</v>
      </c>
      <c r="AB80" s="5">
        <v>46174</v>
      </c>
      <c r="AC80" t="s">
        <v>181</v>
      </c>
      <c r="AD80">
        <v>4733.83</v>
      </c>
    </row>
    <row r="81" spans="2:30" ht="18.75">
      <c r="B81">
        <v>15</v>
      </c>
      <c r="C81" s="5">
        <v>46118</v>
      </c>
      <c r="D81" t="s">
        <v>149</v>
      </c>
      <c r="E81">
        <v>75.95</v>
      </c>
      <c r="G81">
        <v>18</v>
      </c>
      <c r="H81" s="5">
        <v>46139</v>
      </c>
      <c r="I81" t="s">
        <v>163</v>
      </c>
      <c r="J81">
        <v>347.01</v>
      </c>
      <c r="L81">
        <v>21</v>
      </c>
      <c r="M81" s="5">
        <v>46160</v>
      </c>
      <c r="N81" t="s">
        <v>202</v>
      </c>
      <c r="O81">
        <v>308.33999999999997</v>
      </c>
      <c r="Q81" t="s">
        <v>199</v>
      </c>
      <c r="R81" s="5">
        <v>46082</v>
      </c>
      <c r="S81" t="s">
        <v>149</v>
      </c>
      <c r="T81">
        <v>42.31</v>
      </c>
      <c r="V81" t="s">
        <v>208</v>
      </c>
      <c r="W81" s="5">
        <v>46204</v>
      </c>
      <c r="X81" t="s">
        <v>173</v>
      </c>
      <c r="Y81">
        <v>424.29</v>
      </c>
      <c r="AA81" t="s">
        <v>205</v>
      </c>
      <c r="AB81" s="5">
        <v>46174</v>
      </c>
      <c r="AC81" t="s">
        <v>182</v>
      </c>
      <c r="AD81">
        <v>5083.25</v>
      </c>
    </row>
    <row r="82" spans="2:30" ht="18.75">
      <c r="B82">
        <v>14</v>
      </c>
      <c r="C82" s="5">
        <v>46111</v>
      </c>
      <c r="D82" t="s">
        <v>112</v>
      </c>
      <c r="E82">
        <v>69.44</v>
      </c>
      <c r="G82">
        <v>18</v>
      </c>
      <c r="H82" s="5">
        <v>46139</v>
      </c>
      <c r="I82" t="s">
        <v>168</v>
      </c>
      <c r="J82">
        <v>799.3</v>
      </c>
      <c r="L82">
        <v>22</v>
      </c>
      <c r="M82" s="5">
        <v>46167</v>
      </c>
      <c r="N82" t="s">
        <v>178</v>
      </c>
      <c r="O82">
        <v>2326.4499999999998</v>
      </c>
      <c r="Q82" t="s">
        <v>199</v>
      </c>
      <c r="R82" s="5">
        <v>46082</v>
      </c>
      <c r="S82" t="s">
        <v>116</v>
      </c>
      <c r="T82">
        <v>28.63</v>
      </c>
      <c r="V82" t="s">
        <v>208</v>
      </c>
      <c r="W82" s="5">
        <v>46204</v>
      </c>
      <c r="X82" t="s">
        <v>206</v>
      </c>
      <c r="Y82">
        <v>153.82</v>
      </c>
      <c r="AA82" t="s">
        <v>205</v>
      </c>
      <c r="AB82" s="5">
        <v>46174</v>
      </c>
      <c r="AC82" t="s">
        <v>183</v>
      </c>
      <c r="AD82">
        <v>1188.6300000000001</v>
      </c>
    </row>
    <row r="83" spans="2:30" ht="18.75">
      <c r="B83">
        <v>14</v>
      </c>
      <c r="C83" s="5">
        <v>46111</v>
      </c>
      <c r="D83" t="s">
        <v>120</v>
      </c>
      <c r="E83">
        <v>100.6</v>
      </c>
      <c r="G83">
        <v>18</v>
      </c>
      <c r="H83" s="5">
        <v>46139</v>
      </c>
      <c r="I83" t="s">
        <v>173</v>
      </c>
      <c r="J83">
        <v>684</v>
      </c>
      <c r="L83">
        <v>22</v>
      </c>
      <c r="M83" s="5">
        <v>46167</v>
      </c>
      <c r="N83" t="s">
        <v>179</v>
      </c>
      <c r="O83">
        <v>2842.41</v>
      </c>
      <c r="Q83" t="s">
        <v>200</v>
      </c>
      <c r="R83" s="5">
        <v>46113</v>
      </c>
      <c r="S83" t="s">
        <v>144</v>
      </c>
      <c r="T83">
        <v>1066.31</v>
      </c>
      <c r="V83" t="s">
        <v>199</v>
      </c>
      <c r="W83" s="5">
        <v>46082</v>
      </c>
      <c r="X83" t="s">
        <v>198</v>
      </c>
      <c r="Y83">
        <v>139.66999999999999</v>
      </c>
      <c r="AA83" t="s">
        <v>205</v>
      </c>
      <c r="AB83" s="5">
        <v>46174</v>
      </c>
      <c r="AC83" t="s">
        <v>184</v>
      </c>
      <c r="AD83">
        <v>1208.0999999999999</v>
      </c>
    </row>
    <row r="84" spans="2:30" ht="18.75">
      <c r="B84">
        <v>14</v>
      </c>
      <c r="C84" s="5">
        <v>46111</v>
      </c>
      <c r="D84" t="s">
        <v>122</v>
      </c>
      <c r="E84">
        <v>274.31</v>
      </c>
      <c r="G84">
        <v>19</v>
      </c>
      <c r="H84" s="5">
        <v>46146</v>
      </c>
      <c r="I84" t="s">
        <v>160</v>
      </c>
      <c r="J84">
        <v>4752.42</v>
      </c>
      <c r="L84">
        <v>22</v>
      </c>
      <c r="M84" s="5">
        <v>46167</v>
      </c>
      <c r="N84" t="s">
        <v>180</v>
      </c>
      <c r="O84">
        <v>227.7</v>
      </c>
      <c r="Q84" t="s">
        <v>200</v>
      </c>
      <c r="R84" s="5">
        <v>46113</v>
      </c>
      <c r="S84" t="s">
        <v>115</v>
      </c>
      <c r="T84">
        <v>186.52</v>
      </c>
      <c r="V84" t="s">
        <v>199</v>
      </c>
      <c r="W84" s="5">
        <v>46082</v>
      </c>
      <c r="X84" t="s">
        <v>171</v>
      </c>
      <c r="Y84">
        <v>364.27</v>
      </c>
      <c r="AA84" t="s">
        <v>205</v>
      </c>
      <c r="AB84" s="5">
        <v>46174</v>
      </c>
      <c r="AC84" t="s">
        <v>185</v>
      </c>
      <c r="AD84">
        <v>2481.9499999999998</v>
      </c>
    </row>
    <row r="85" spans="2:30" ht="18.75">
      <c r="B85">
        <v>14</v>
      </c>
      <c r="C85" s="5">
        <v>46111</v>
      </c>
      <c r="D85" t="s">
        <v>125</v>
      </c>
      <c r="E85">
        <v>54.84</v>
      </c>
      <c r="G85">
        <v>19</v>
      </c>
      <c r="H85" s="5">
        <v>46146</v>
      </c>
      <c r="I85" t="s">
        <v>158</v>
      </c>
      <c r="J85">
        <v>775.68</v>
      </c>
      <c r="L85">
        <v>22</v>
      </c>
      <c r="M85" s="5">
        <v>46167</v>
      </c>
      <c r="N85" t="s">
        <v>181</v>
      </c>
      <c r="O85">
        <v>1309.0999999999999</v>
      </c>
      <c r="Q85" t="s">
        <v>203</v>
      </c>
      <c r="R85" s="5">
        <v>46143</v>
      </c>
      <c r="S85" t="s">
        <v>112</v>
      </c>
      <c r="T85">
        <v>354.87</v>
      </c>
      <c r="V85" t="s">
        <v>199</v>
      </c>
      <c r="W85" s="5">
        <v>46082</v>
      </c>
      <c r="X85" t="s">
        <v>174</v>
      </c>
      <c r="Y85">
        <v>242.03</v>
      </c>
      <c r="AA85" t="s">
        <v>205</v>
      </c>
      <c r="AB85" s="5">
        <v>46174</v>
      </c>
      <c r="AC85" t="s">
        <v>202</v>
      </c>
      <c r="AD85">
        <v>892.92</v>
      </c>
    </row>
    <row r="86" spans="2:30" ht="18.75">
      <c r="B86">
        <v>14</v>
      </c>
      <c r="C86" s="5">
        <v>46111</v>
      </c>
      <c r="D86" t="s">
        <v>128</v>
      </c>
      <c r="E86">
        <v>181.42</v>
      </c>
      <c r="G86">
        <v>19</v>
      </c>
      <c r="H86" s="5">
        <v>46146</v>
      </c>
      <c r="I86" t="s">
        <v>165</v>
      </c>
      <c r="J86">
        <v>171.45</v>
      </c>
      <c r="L86">
        <v>22</v>
      </c>
      <c r="M86" s="5">
        <v>46167</v>
      </c>
      <c r="N86" t="s">
        <v>182</v>
      </c>
      <c r="O86">
        <v>1580</v>
      </c>
      <c r="Q86" t="s">
        <v>203</v>
      </c>
      <c r="R86" s="5">
        <v>46143</v>
      </c>
      <c r="S86" t="s">
        <v>114</v>
      </c>
      <c r="T86">
        <v>1603.66</v>
      </c>
      <c r="V86" t="s">
        <v>199</v>
      </c>
      <c r="W86" s="5">
        <v>46082</v>
      </c>
      <c r="X86" t="s">
        <v>169</v>
      </c>
      <c r="Y86">
        <v>1296.02</v>
      </c>
      <c r="AA86" t="s">
        <v>210</v>
      </c>
      <c r="AB86" s="5">
        <v>45931</v>
      </c>
      <c r="AC86" t="s">
        <v>179</v>
      </c>
      <c r="AD86">
        <v>4667.82</v>
      </c>
    </row>
    <row r="87" spans="2:30" ht="18.75">
      <c r="B87">
        <v>14</v>
      </c>
      <c r="C87" s="5">
        <v>46111</v>
      </c>
      <c r="D87" t="s">
        <v>132</v>
      </c>
      <c r="E87">
        <v>212.52</v>
      </c>
      <c r="G87">
        <v>19</v>
      </c>
      <c r="H87" s="5">
        <v>46146</v>
      </c>
      <c r="I87" t="s">
        <v>171</v>
      </c>
      <c r="J87">
        <v>323.83999999999997</v>
      </c>
      <c r="L87">
        <v>22</v>
      </c>
      <c r="M87" s="5">
        <v>46167</v>
      </c>
      <c r="N87" t="s">
        <v>183</v>
      </c>
      <c r="O87">
        <v>568.29</v>
      </c>
      <c r="Q87" t="s">
        <v>203</v>
      </c>
      <c r="R87" s="5">
        <v>46143</v>
      </c>
      <c r="S87" t="s">
        <v>117</v>
      </c>
      <c r="T87">
        <v>880.95</v>
      </c>
      <c r="V87" t="s">
        <v>199</v>
      </c>
      <c r="W87" s="5">
        <v>46082</v>
      </c>
      <c r="X87" t="s">
        <v>170</v>
      </c>
      <c r="Y87">
        <v>39.71</v>
      </c>
      <c r="AA87" t="s">
        <v>210</v>
      </c>
      <c r="AB87" s="5">
        <v>45931</v>
      </c>
      <c r="AC87" t="s">
        <v>180</v>
      </c>
      <c r="AD87">
        <v>540.13</v>
      </c>
    </row>
    <row r="88" spans="2:30" ht="18.75">
      <c r="B88">
        <v>14</v>
      </c>
      <c r="C88" s="5">
        <v>46111</v>
      </c>
      <c r="D88" t="s">
        <v>135</v>
      </c>
      <c r="E88">
        <v>84.67</v>
      </c>
      <c r="G88">
        <v>19</v>
      </c>
      <c r="H88" s="5">
        <v>46146</v>
      </c>
      <c r="I88" t="s">
        <v>198</v>
      </c>
      <c r="J88">
        <v>1484.32</v>
      </c>
      <c r="L88">
        <v>22</v>
      </c>
      <c r="M88" s="5">
        <v>46167</v>
      </c>
      <c r="N88" t="s">
        <v>184</v>
      </c>
      <c r="O88">
        <v>870.9</v>
      </c>
      <c r="Q88" t="s">
        <v>203</v>
      </c>
      <c r="R88" s="5">
        <v>46143</v>
      </c>
      <c r="S88" t="s">
        <v>119</v>
      </c>
      <c r="T88">
        <v>1447</v>
      </c>
      <c r="V88" t="s">
        <v>199</v>
      </c>
      <c r="W88" s="5">
        <v>46082</v>
      </c>
      <c r="X88" t="s">
        <v>163</v>
      </c>
      <c r="Y88">
        <v>221.14</v>
      </c>
      <c r="AA88" t="s">
        <v>210</v>
      </c>
      <c r="AB88" s="5">
        <v>45931</v>
      </c>
      <c r="AC88" t="s">
        <v>181</v>
      </c>
      <c r="AD88">
        <v>2396.2199999999998</v>
      </c>
    </row>
    <row r="89" spans="2:30" ht="18.75">
      <c r="B89">
        <v>14</v>
      </c>
      <c r="C89" s="5">
        <v>46111</v>
      </c>
      <c r="D89" t="s">
        <v>136</v>
      </c>
      <c r="E89">
        <v>193.97</v>
      </c>
      <c r="G89">
        <v>19</v>
      </c>
      <c r="H89" s="5">
        <v>46146</v>
      </c>
      <c r="I89" t="s">
        <v>169</v>
      </c>
      <c r="J89">
        <v>1630.87</v>
      </c>
      <c r="L89">
        <v>22</v>
      </c>
      <c r="M89" s="5">
        <v>46167</v>
      </c>
      <c r="N89" t="s">
        <v>185</v>
      </c>
      <c r="O89">
        <v>285</v>
      </c>
      <c r="Q89" t="s">
        <v>203</v>
      </c>
      <c r="R89" s="5">
        <v>46143</v>
      </c>
      <c r="S89" t="s">
        <v>120</v>
      </c>
      <c r="T89">
        <v>385.28</v>
      </c>
      <c r="V89" t="s">
        <v>199</v>
      </c>
      <c r="W89" s="5">
        <v>46082</v>
      </c>
      <c r="X89" t="s">
        <v>168</v>
      </c>
      <c r="Y89">
        <v>340.09</v>
      </c>
      <c r="AA89" t="s">
        <v>210</v>
      </c>
      <c r="AB89" s="5">
        <v>45931</v>
      </c>
      <c r="AC89" t="s">
        <v>182</v>
      </c>
      <c r="AD89">
        <v>2927.86</v>
      </c>
    </row>
    <row r="90" spans="2:30" ht="18.75">
      <c r="B90">
        <v>14</v>
      </c>
      <c r="C90" s="5">
        <v>46111</v>
      </c>
      <c r="D90" t="s">
        <v>137</v>
      </c>
      <c r="E90">
        <v>63.41</v>
      </c>
      <c r="G90">
        <v>19</v>
      </c>
      <c r="H90" s="5">
        <v>46146</v>
      </c>
      <c r="I90" t="s">
        <v>176</v>
      </c>
      <c r="J90">
        <v>96</v>
      </c>
      <c r="L90">
        <v>22</v>
      </c>
      <c r="M90" s="5">
        <v>46167</v>
      </c>
      <c r="N90" t="s">
        <v>202</v>
      </c>
      <c r="O90">
        <v>285.60000000000002</v>
      </c>
      <c r="Q90" t="s">
        <v>203</v>
      </c>
      <c r="R90" s="5">
        <v>46143</v>
      </c>
      <c r="S90" t="s">
        <v>122</v>
      </c>
      <c r="T90">
        <v>974.35</v>
      </c>
      <c r="V90" t="s">
        <v>199</v>
      </c>
      <c r="W90" s="5">
        <v>46082</v>
      </c>
      <c r="X90" t="s">
        <v>201</v>
      </c>
      <c r="Y90">
        <v>25.08</v>
      </c>
      <c r="AA90" t="s">
        <v>210</v>
      </c>
      <c r="AB90" s="5">
        <v>45931</v>
      </c>
      <c r="AC90" t="s">
        <v>183</v>
      </c>
      <c r="AD90">
        <v>1057.01</v>
      </c>
    </row>
    <row r="91" spans="2:30" ht="18.75">
      <c r="B91">
        <v>14</v>
      </c>
      <c r="C91" s="5">
        <v>46111</v>
      </c>
      <c r="D91" t="s">
        <v>140</v>
      </c>
      <c r="E91">
        <v>96.2</v>
      </c>
      <c r="G91">
        <v>19</v>
      </c>
      <c r="H91" s="5">
        <v>46146</v>
      </c>
      <c r="I91" t="s">
        <v>209</v>
      </c>
      <c r="J91">
        <v>41.04</v>
      </c>
      <c r="L91">
        <v>23</v>
      </c>
      <c r="M91" s="5">
        <v>46174</v>
      </c>
      <c r="N91" t="s">
        <v>178</v>
      </c>
      <c r="O91">
        <v>2409.75</v>
      </c>
      <c r="Q91" t="s">
        <v>203</v>
      </c>
      <c r="R91" s="5">
        <v>46143</v>
      </c>
      <c r="S91" t="s">
        <v>123</v>
      </c>
      <c r="T91">
        <v>1876.1</v>
      </c>
      <c r="V91" t="s">
        <v>199</v>
      </c>
      <c r="W91" s="5">
        <v>46082</v>
      </c>
      <c r="X91" t="s">
        <v>173</v>
      </c>
      <c r="Y91">
        <v>510.05</v>
      </c>
      <c r="AA91" t="s">
        <v>210</v>
      </c>
      <c r="AB91" s="5">
        <v>45931</v>
      </c>
      <c r="AC91" t="s">
        <v>184</v>
      </c>
      <c r="AD91">
        <v>734.43</v>
      </c>
    </row>
    <row r="92" spans="2:30" ht="18.75">
      <c r="B92">
        <v>14</v>
      </c>
      <c r="C92" s="5">
        <v>46111</v>
      </c>
      <c r="D92" t="s">
        <v>142</v>
      </c>
      <c r="E92">
        <v>185.4</v>
      </c>
      <c r="G92">
        <v>19</v>
      </c>
      <c r="H92" s="5">
        <v>46146</v>
      </c>
      <c r="I92" t="s">
        <v>170</v>
      </c>
      <c r="J92">
        <v>36</v>
      </c>
      <c r="L92">
        <v>23</v>
      </c>
      <c r="M92" s="5">
        <v>46174</v>
      </c>
      <c r="N92" t="s">
        <v>179</v>
      </c>
      <c r="O92">
        <v>3433.68</v>
      </c>
      <c r="Q92" t="s">
        <v>203</v>
      </c>
      <c r="R92" s="5">
        <v>46143</v>
      </c>
      <c r="S92" t="s">
        <v>125</v>
      </c>
      <c r="T92">
        <v>410.14</v>
      </c>
      <c r="V92" t="s">
        <v>199</v>
      </c>
      <c r="W92" s="5">
        <v>46082</v>
      </c>
      <c r="X92" t="s">
        <v>160</v>
      </c>
      <c r="Y92">
        <v>2028.28</v>
      </c>
      <c r="AA92" t="s">
        <v>210</v>
      </c>
      <c r="AB92" s="5">
        <v>45931</v>
      </c>
      <c r="AC92" t="s">
        <v>185</v>
      </c>
      <c r="AD92">
        <v>976.13</v>
      </c>
    </row>
    <row r="93" spans="2:30" ht="18.75">
      <c r="B93">
        <v>14</v>
      </c>
      <c r="C93" s="5">
        <v>46111</v>
      </c>
      <c r="D93" t="s">
        <v>148</v>
      </c>
      <c r="E93">
        <v>127.75</v>
      </c>
      <c r="G93">
        <v>19</v>
      </c>
      <c r="H93" s="5">
        <v>46146</v>
      </c>
      <c r="I93" t="s">
        <v>163</v>
      </c>
      <c r="J93">
        <v>206.4</v>
      </c>
      <c r="L93">
        <v>23</v>
      </c>
      <c r="M93" s="5">
        <v>46174</v>
      </c>
      <c r="N93" t="s">
        <v>180</v>
      </c>
      <c r="O93">
        <v>141.85</v>
      </c>
      <c r="Q93" t="s">
        <v>203</v>
      </c>
      <c r="R93" s="5">
        <v>46143</v>
      </c>
      <c r="S93" t="s">
        <v>126</v>
      </c>
      <c r="T93">
        <v>626.86</v>
      </c>
      <c r="V93" t="s">
        <v>200</v>
      </c>
      <c r="W93" s="5">
        <v>46113</v>
      </c>
      <c r="X93" t="s">
        <v>160</v>
      </c>
      <c r="Y93">
        <v>18827.38</v>
      </c>
      <c r="AA93" t="s">
        <v>210</v>
      </c>
      <c r="AB93" s="5">
        <v>45931</v>
      </c>
      <c r="AC93" t="s">
        <v>178</v>
      </c>
      <c r="AD93">
        <v>3130.55</v>
      </c>
    </row>
    <row r="94" spans="2:30" ht="18.75">
      <c r="B94">
        <v>14</v>
      </c>
      <c r="C94" s="5">
        <v>46111</v>
      </c>
      <c r="D94" t="s">
        <v>150</v>
      </c>
      <c r="E94">
        <v>96.02</v>
      </c>
      <c r="G94">
        <v>19</v>
      </c>
      <c r="H94" s="5">
        <v>46146</v>
      </c>
      <c r="I94" t="s">
        <v>204</v>
      </c>
      <c r="J94">
        <v>594.74</v>
      </c>
      <c r="L94">
        <v>23</v>
      </c>
      <c r="M94" s="5">
        <v>46174</v>
      </c>
      <c r="N94" t="s">
        <v>181</v>
      </c>
      <c r="O94">
        <v>1735.3</v>
      </c>
      <c r="Q94" t="s">
        <v>203</v>
      </c>
      <c r="R94" s="5">
        <v>46143</v>
      </c>
      <c r="S94" t="s">
        <v>128</v>
      </c>
      <c r="T94">
        <v>639.46</v>
      </c>
      <c r="V94" t="s">
        <v>199</v>
      </c>
      <c r="W94" s="5">
        <v>46082</v>
      </c>
      <c r="X94" t="s">
        <v>158</v>
      </c>
      <c r="Y94">
        <v>303</v>
      </c>
      <c r="AA94" t="s">
        <v>211</v>
      </c>
      <c r="AB94" s="5">
        <v>45962</v>
      </c>
      <c r="AC94" t="s">
        <v>178</v>
      </c>
      <c r="AD94">
        <v>7742.86</v>
      </c>
    </row>
    <row r="95" spans="2:30" ht="18.75">
      <c r="B95">
        <v>14</v>
      </c>
      <c r="C95" s="5">
        <v>46111</v>
      </c>
      <c r="D95" t="s">
        <v>149</v>
      </c>
      <c r="E95">
        <v>148.09</v>
      </c>
      <c r="G95">
        <v>19</v>
      </c>
      <c r="H95" s="5">
        <v>46146</v>
      </c>
      <c r="I95" t="s">
        <v>172</v>
      </c>
      <c r="J95">
        <v>57.71</v>
      </c>
      <c r="L95">
        <v>23</v>
      </c>
      <c r="M95" s="5">
        <v>46174</v>
      </c>
      <c r="N95" t="s">
        <v>182</v>
      </c>
      <c r="O95">
        <v>1863.15</v>
      </c>
      <c r="Q95" t="s">
        <v>203</v>
      </c>
      <c r="R95" s="5">
        <v>46143</v>
      </c>
      <c r="S95" t="s">
        <v>129</v>
      </c>
      <c r="T95">
        <v>1770.17</v>
      </c>
      <c r="V95" t="s">
        <v>200</v>
      </c>
      <c r="W95" s="5">
        <v>46113</v>
      </c>
      <c r="X95" t="s">
        <v>158</v>
      </c>
      <c r="Y95">
        <v>2793.95</v>
      </c>
      <c r="AA95" t="s">
        <v>211</v>
      </c>
      <c r="AB95" s="5">
        <v>45962</v>
      </c>
      <c r="AC95" t="s">
        <v>179</v>
      </c>
      <c r="AD95">
        <v>11345.77</v>
      </c>
    </row>
    <row r="96" spans="2:30" ht="18.75">
      <c r="B96">
        <v>14</v>
      </c>
      <c r="C96" s="5">
        <v>46111</v>
      </c>
      <c r="D96" t="s">
        <v>116</v>
      </c>
      <c r="E96">
        <v>100.19</v>
      </c>
      <c r="G96">
        <v>19</v>
      </c>
      <c r="H96" s="5">
        <v>46146</v>
      </c>
      <c r="I96" t="s">
        <v>173</v>
      </c>
      <c r="J96">
        <v>615</v>
      </c>
      <c r="L96">
        <v>23</v>
      </c>
      <c r="M96" s="5">
        <v>46174</v>
      </c>
      <c r="N96" t="s">
        <v>183</v>
      </c>
      <c r="O96">
        <v>388.95</v>
      </c>
      <c r="Q96" t="s">
        <v>203</v>
      </c>
      <c r="R96" s="5">
        <v>46143</v>
      </c>
      <c r="S96" t="s">
        <v>130</v>
      </c>
      <c r="T96">
        <v>1320.68</v>
      </c>
      <c r="V96" t="s">
        <v>199</v>
      </c>
      <c r="W96" s="5">
        <v>46082</v>
      </c>
      <c r="X96" t="s">
        <v>165</v>
      </c>
      <c r="Y96">
        <v>73.03</v>
      </c>
      <c r="AA96" t="s">
        <v>211</v>
      </c>
      <c r="AB96" s="5">
        <v>45962</v>
      </c>
      <c r="AC96" t="s">
        <v>182</v>
      </c>
      <c r="AD96">
        <v>7490.84</v>
      </c>
    </row>
    <row r="97" spans="2:30" ht="18.75">
      <c r="B97">
        <v>16</v>
      </c>
      <c r="C97" s="5">
        <v>46125</v>
      </c>
      <c r="D97" t="s">
        <v>111</v>
      </c>
      <c r="E97">
        <v>117.14</v>
      </c>
      <c r="G97">
        <v>19</v>
      </c>
      <c r="H97" s="5">
        <v>46146</v>
      </c>
      <c r="I97" t="s">
        <v>168</v>
      </c>
      <c r="J97">
        <v>8.61</v>
      </c>
      <c r="L97">
        <v>23</v>
      </c>
      <c r="M97" s="5">
        <v>46174</v>
      </c>
      <c r="N97" t="s">
        <v>184</v>
      </c>
      <c r="O97">
        <v>447.17</v>
      </c>
      <c r="Q97" t="s">
        <v>200</v>
      </c>
      <c r="R97" s="5">
        <v>46113</v>
      </c>
      <c r="S97" t="s">
        <v>212</v>
      </c>
      <c r="T97">
        <v>114.39</v>
      </c>
      <c r="V97" t="s">
        <v>200</v>
      </c>
      <c r="W97" s="5">
        <v>46113</v>
      </c>
      <c r="X97" t="s">
        <v>165</v>
      </c>
      <c r="Y97">
        <v>686.01</v>
      </c>
      <c r="AA97" t="s">
        <v>211</v>
      </c>
      <c r="AB97" s="5">
        <v>45962</v>
      </c>
      <c r="AC97" t="s">
        <v>183</v>
      </c>
      <c r="AD97">
        <v>2632.52</v>
      </c>
    </row>
    <row r="98" spans="2:30" ht="18.75">
      <c r="B98">
        <v>16</v>
      </c>
      <c r="C98" s="5">
        <v>46125</v>
      </c>
      <c r="D98" t="s">
        <v>112</v>
      </c>
      <c r="E98">
        <v>45.54</v>
      </c>
      <c r="G98">
        <v>13</v>
      </c>
      <c r="H98" s="5">
        <v>46104</v>
      </c>
      <c r="I98" t="s">
        <v>160</v>
      </c>
      <c r="J98">
        <v>580.78</v>
      </c>
      <c r="L98">
        <v>23</v>
      </c>
      <c r="M98" s="5">
        <v>46174</v>
      </c>
      <c r="N98" t="s">
        <v>185</v>
      </c>
      <c r="O98">
        <v>933.1</v>
      </c>
      <c r="Q98" t="s">
        <v>203</v>
      </c>
      <c r="R98" s="5">
        <v>46143</v>
      </c>
      <c r="S98" t="s">
        <v>212</v>
      </c>
      <c r="T98">
        <v>85.8</v>
      </c>
      <c r="V98" t="s">
        <v>200</v>
      </c>
      <c r="W98" s="5">
        <v>46113</v>
      </c>
      <c r="X98" t="s">
        <v>174</v>
      </c>
      <c r="Y98">
        <v>3377.48</v>
      </c>
      <c r="AA98" t="s">
        <v>211</v>
      </c>
      <c r="AB98" s="5">
        <v>45962</v>
      </c>
      <c r="AC98" t="s">
        <v>184</v>
      </c>
      <c r="AD98">
        <v>2029.66</v>
      </c>
    </row>
    <row r="99" spans="2:30" ht="18.75">
      <c r="B99">
        <v>16</v>
      </c>
      <c r="C99" s="5">
        <v>46125</v>
      </c>
      <c r="D99" t="s">
        <v>114</v>
      </c>
      <c r="E99">
        <v>292.02999999999997</v>
      </c>
      <c r="G99">
        <v>13</v>
      </c>
      <c r="H99" s="5">
        <v>46104</v>
      </c>
      <c r="I99" t="s">
        <v>158</v>
      </c>
      <c r="J99">
        <v>109.08</v>
      </c>
      <c r="L99">
        <v>23</v>
      </c>
      <c r="M99" s="5">
        <v>46174</v>
      </c>
      <c r="N99" t="s">
        <v>202</v>
      </c>
      <c r="O99">
        <v>291.58999999999997</v>
      </c>
      <c r="Q99" t="s">
        <v>203</v>
      </c>
      <c r="R99" s="5">
        <v>46143</v>
      </c>
      <c r="S99" t="s">
        <v>133</v>
      </c>
      <c r="T99">
        <v>1389.79</v>
      </c>
      <c r="V99" t="s">
        <v>200</v>
      </c>
      <c r="W99" s="5">
        <v>46113</v>
      </c>
      <c r="X99" t="s">
        <v>198</v>
      </c>
      <c r="Y99">
        <v>1852.91</v>
      </c>
      <c r="AA99" t="s">
        <v>211</v>
      </c>
      <c r="AB99" s="5">
        <v>45962</v>
      </c>
      <c r="AC99" t="s">
        <v>185</v>
      </c>
      <c r="AD99">
        <v>2520.67</v>
      </c>
    </row>
    <row r="100" spans="2:30" ht="18.75">
      <c r="B100">
        <v>16</v>
      </c>
      <c r="C100" s="5">
        <v>46125</v>
      </c>
      <c r="D100" t="s">
        <v>116</v>
      </c>
      <c r="E100">
        <v>67.97</v>
      </c>
      <c r="G100">
        <v>13</v>
      </c>
      <c r="H100" s="5">
        <v>46104</v>
      </c>
      <c r="I100" t="s">
        <v>165</v>
      </c>
      <c r="J100">
        <v>11.8</v>
      </c>
      <c r="L100">
        <v>24</v>
      </c>
      <c r="M100" s="5">
        <v>46181</v>
      </c>
      <c r="N100" t="s">
        <v>178</v>
      </c>
      <c r="O100">
        <v>2655.3</v>
      </c>
      <c r="Q100" t="s">
        <v>203</v>
      </c>
      <c r="R100" s="5">
        <v>46143</v>
      </c>
      <c r="S100" t="s">
        <v>134</v>
      </c>
      <c r="T100">
        <v>1393.54</v>
      </c>
      <c r="V100" t="s">
        <v>200</v>
      </c>
      <c r="W100" s="5">
        <v>46113</v>
      </c>
      <c r="X100" t="s">
        <v>171</v>
      </c>
      <c r="Y100">
        <v>2027.58</v>
      </c>
      <c r="AA100" t="s">
        <v>211</v>
      </c>
      <c r="AB100" s="5">
        <v>45962</v>
      </c>
      <c r="AC100" t="s">
        <v>180</v>
      </c>
      <c r="AD100">
        <v>1678.27</v>
      </c>
    </row>
    <row r="101" spans="2:30" ht="18.75">
      <c r="B101">
        <v>16</v>
      </c>
      <c r="C101" s="5">
        <v>46125</v>
      </c>
      <c r="D101" t="s">
        <v>117</v>
      </c>
      <c r="E101">
        <v>202.25</v>
      </c>
      <c r="G101">
        <v>13</v>
      </c>
      <c r="H101" s="5">
        <v>46104</v>
      </c>
      <c r="I101" t="s">
        <v>176</v>
      </c>
      <c r="J101">
        <v>5.4</v>
      </c>
      <c r="L101">
        <v>24</v>
      </c>
      <c r="M101" s="5">
        <v>46181</v>
      </c>
      <c r="N101" t="s">
        <v>179</v>
      </c>
      <c r="O101">
        <v>3479.95</v>
      </c>
      <c r="Q101" t="s">
        <v>203</v>
      </c>
      <c r="R101" s="5">
        <v>46143</v>
      </c>
      <c r="S101" t="s">
        <v>136</v>
      </c>
      <c r="T101">
        <v>582.85</v>
      </c>
      <c r="V101" t="s">
        <v>200</v>
      </c>
      <c r="W101" s="5">
        <v>46113</v>
      </c>
      <c r="X101" t="s">
        <v>169</v>
      </c>
      <c r="Y101">
        <v>7668.27</v>
      </c>
      <c r="AA101" t="s">
        <v>211</v>
      </c>
      <c r="AB101" s="5">
        <v>45962</v>
      </c>
      <c r="AC101" t="s">
        <v>181</v>
      </c>
      <c r="AD101">
        <v>6314.89</v>
      </c>
    </row>
    <row r="102" spans="2:30" ht="18.75">
      <c r="B102">
        <v>16</v>
      </c>
      <c r="C102" s="5">
        <v>46125</v>
      </c>
      <c r="D102" t="s">
        <v>119</v>
      </c>
      <c r="E102">
        <v>269.29000000000002</v>
      </c>
      <c r="G102">
        <v>13</v>
      </c>
      <c r="H102" s="5">
        <v>46104</v>
      </c>
      <c r="I102" t="s">
        <v>204</v>
      </c>
      <c r="J102">
        <v>0.93</v>
      </c>
      <c r="L102">
        <v>24</v>
      </c>
      <c r="M102" s="5">
        <v>46181</v>
      </c>
      <c r="N102" t="s">
        <v>180</v>
      </c>
      <c r="O102">
        <v>180.85</v>
      </c>
      <c r="Q102" t="s">
        <v>203</v>
      </c>
      <c r="R102" s="5">
        <v>46143</v>
      </c>
      <c r="S102" t="s">
        <v>138</v>
      </c>
      <c r="T102">
        <v>1804.13</v>
      </c>
      <c r="V102" t="s">
        <v>199</v>
      </c>
      <c r="W102" s="5">
        <v>46082</v>
      </c>
      <c r="X102" t="s">
        <v>176</v>
      </c>
      <c r="Y102">
        <v>53.98</v>
      </c>
      <c r="AA102" t="s">
        <v>211</v>
      </c>
      <c r="AB102" s="5">
        <v>45962</v>
      </c>
      <c r="AC102" t="s">
        <v>186</v>
      </c>
      <c r="AD102">
        <v>647.39</v>
      </c>
    </row>
    <row r="103" spans="2:30" ht="18.75">
      <c r="B103">
        <v>16</v>
      </c>
      <c r="C103" s="5">
        <v>46125</v>
      </c>
      <c r="D103" t="s">
        <v>120</v>
      </c>
      <c r="E103">
        <v>78.540000000000006</v>
      </c>
      <c r="G103">
        <v>20</v>
      </c>
      <c r="H103" s="5">
        <v>46153</v>
      </c>
      <c r="I103" t="s">
        <v>160</v>
      </c>
      <c r="J103">
        <v>4525.95</v>
      </c>
      <c r="L103">
        <v>24</v>
      </c>
      <c r="M103" s="5">
        <v>46181</v>
      </c>
      <c r="N103" t="s">
        <v>181</v>
      </c>
      <c r="O103">
        <v>1808.55</v>
      </c>
      <c r="Q103" t="s">
        <v>203</v>
      </c>
      <c r="R103" s="5">
        <v>46143</v>
      </c>
      <c r="S103" t="s">
        <v>141</v>
      </c>
      <c r="T103">
        <v>2015</v>
      </c>
      <c r="V103" t="s">
        <v>200</v>
      </c>
      <c r="W103" s="5">
        <v>46113</v>
      </c>
      <c r="X103" t="s">
        <v>176</v>
      </c>
      <c r="Y103">
        <v>622.82000000000005</v>
      </c>
      <c r="AA103" t="s">
        <v>213</v>
      </c>
      <c r="AB103" s="5">
        <v>45992</v>
      </c>
      <c r="AC103" t="s">
        <v>178</v>
      </c>
      <c r="AD103">
        <v>7307.33</v>
      </c>
    </row>
    <row r="104" spans="2:30" ht="18.75">
      <c r="B104">
        <v>16</v>
      </c>
      <c r="C104" s="5">
        <v>46125</v>
      </c>
      <c r="D104" t="s">
        <v>122</v>
      </c>
      <c r="E104">
        <v>205.65</v>
      </c>
      <c r="G104">
        <v>20</v>
      </c>
      <c r="H104" s="5">
        <v>46153</v>
      </c>
      <c r="I104" t="s">
        <v>158</v>
      </c>
      <c r="J104">
        <v>638.32000000000005</v>
      </c>
      <c r="L104">
        <v>24</v>
      </c>
      <c r="M104" s="5">
        <v>46181</v>
      </c>
      <c r="N104" t="s">
        <v>182</v>
      </c>
      <c r="O104">
        <v>1996.75</v>
      </c>
      <c r="Q104" t="s">
        <v>203</v>
      </c>
      <c r="R104" s="5">
        <v>46143</v>
      </c>
      <c r="S104" t="s">
        <v>142</v>
      </c>
      <c r="T104">
        <v>637.99</v>
      </c>
      <c r="V104" t="s">
        <v>200</v>
      </c>
      <c r="W104" s="5">
        <v>46113</v>
      </c>
      <c r="X104" t="s">
        <v>170</v>
      </c>
      <c r="Y104">
        <v>218.57</v>
      </c>
      <c r="AA104" t="s">
        <v>213</v>
      </c>
      <c r="AB104" s="5">
        <v>45992</v>
      </c>
      <c r="AC104" t="s">
        <v>179</v>
      </c>
      <c r="AD104">
        <v>10712.35</v>
      </c>
    </row>
    <row r="105" spans="2:30" ht="18.75">
      <c r="B105">
        <v>16</v>
      </c>
      <c r="C105" s="5">
        <v>46125</v>
      </c>
      <c r="D105" t="s">
        <v>123</v>
      </c>
      <c r="E105">
        <v>423.98</v>
      </c>
      <c r="G105">
        <v>20</v>
      </c>
      <c r="H105" s="5">
        <v>46153</v>
      </c>
      <c r="I105" t="s">
        <v>165</v>
      </c>
      <c r="J105">
        <v>263.2</v>
      </c>
      <c r="L105">
        <v>24</v>
      </c>
      <c r="M105" s="5">
        <v>46181</v>
      </c>
      <c r="N105" t="s">
        <v>183</v>
      </c>
      <c r="O105">
        <v>538.98</v>
      </c>
      <c r="Q105" t="s">
        <v>203</v>
      </c>
      <c r="R105" s="5">
        <v>46143</v>
      </c>
      <c r="S105" t="s">
        <v>139</v>
      </c>
      <c r="T105">
        <v>966.78</v>
      </c>
      <c r="V105" t="s">
        <v>200</v>
      </c>
      <c r="W105" s="5">
        <v>46113</v>
      </c>
      <c r="X105" t="s">
        <v>163</v>
      </c>
      <c r="Y105">
        <v>1234.9000000000001</v>
      </c>
      <c r="AA105" t="s">
        <v>213</v>
      </c>
      <c r="AB105" s="5">
        <v>45992</v>
      </c>
      <c r="AC105" t="s">
        <v>180</v>
      </c>
      <c r="AD105">
        <v>1226.53</v>
      </c>
    </row>
    <row r="106" spans="2:30" ht="18.75">
      <c r="B106">
        <v>16</v>
      </c>
      <c r="C106" s="5">
        <v>46125</v>
      </c>
      <c r="D106" t="s">
        <v>126</v>
      </c>
      <c r="E106">
        <v>118.75</v>
      </c>
      <c r="G106">
        <v>20</v>
      </c>
      <c r="H106" s="5">
        <v>46153</v>
      </c>
      <c r="I106" t="s">
        <v>198</v>
      </c>
      <c r="J106">
        <v>414.4</v>
      </c>
      <c r="L106">
        <v>24</v>
      </c>
      <c r="M106" s="5">
        <v>46181</v>
      </c>
      <c r="N106" t="s">
        <v>184</v>
      </c>
      <c r="O106">
        <v>454.82</v>
      </c>
      <c r="Q106" t="s">
        <v>203</v>
      </c>
      <c r="R106" s="5">
        <v>46143</v>
      </c>
      <c r="S106" t="s">
        <v>143</v>
      </c>
      <c r="T106">
        <v>5103.99</v>
      </c>
      <c r="V106" t="s">
        <v>200</v>
      </c>
      <c r="W106" s="5">
        <v>46113</v>
      </c>
      <c r="X106" t="s">
        <v>168</v>
      </c>
      <c r="Y106">
        <v>2118.5100000000002</v>
      </c>
      <c r="AA106" t="s">
        <v>213</v>
      </c>
      <c r="AB106" s="5">
        <v>45992</v>
      </c>
      <c r="AC106" t="s">
        <v>181</v>
      </c>
      <c r="AD106">
        <v>6239.62</v>
      </c>
    </row>
    <row r="107" spans="2:30" ht="18.75">
      <c r="B107">
        <v>16</v>
      </c>
      <c r="C107" s="5">
        <v>46125</v>
      </c>
      <c r="D107" t="s">
        <v>128</v>
      </c>
      <c r="E107">
        <v>133.62</v>
      </c>
      <c r="G107">
        <v>20</v>
      </c>
      <c r="H107" s="5">
        <v>46153</v>
      </c>
      <c r="I107" t="s">
        <v>171</v>
      </c>
      <c r="J107">
        <v>1042.46</v>
      </c>
      <c r="L107">
        <v>24</v>
      </c>
      <c r="M107" s="5">
        <v>46181</v>
      </c>
      <c r="N107" t="s">
        <v>185</v>
      </c>
      <c r="O107">
        <v>878.3</v>
      </c>
      <c r="Q107" t="s">
        <v>203</v>
      </c>
      <c r="R107" s="5">
        <v>46143</v>
      </c>
      <c r="S107" t="s">
        <v>144</v>
      </c>
      <c r="T107">
        <v>1952.67</v>
      </c>
      <c r="V107" t="s">
        <v>199</v>
      </c>
      <c r="W107" s="5">
        <v>46082</v>
      </c>
      <c r="X107" t="s">
        <v>172</v>
      </c>
      <c r="Y107">
        <v>12.51</v>
      </c>
      <c r="AA107" t="s">
        <v>213</v>
      </c>
      <c r="AB107" s="5">
        <v>45992</v>
      </c>
      <c r="AC107" t="s">
        <v>182</v>
      </c>
      <c r="AD107">
        <v>6791.19</v>
      </c>
    </row>
    <row r="108" spans="2:30" ht="18.75">
      <c r="B108">
        <v>16</v>
      </c>
      <c r="C108" s="5">
        <v>46125</v>
      </c>
      <c r="D108" t="s">
        <v>130</v>
      </c>
      <c r="E108">
        <v>297.02</v>
      </c>
      <c r="G108">
        <v>20</v>
      </c>
      <c r="H108" s="5">
        <v>46153</v>
      </c>
      <c r="I108" t="s">
        <v>169</v>
      </c>
      <c r="J108">
        <v>1659.2</v>
      </c>
      <c r="L108">
        <v>24</v>
      </c>
      <c r="M108" s="5">
        <v>46181</v>
      </c>
      <c r="N108" t="s">
        <v>202</v>
      </c>
      <c r="O108">
        <v>423.18</v>
      </c>
      <c r="Q108" t="s">
        <v>203</v>
      </c>
      <c r="R108" s="5">
        <v>46143</v>
      </c>
      <c r="S108" t="s">
        <v>145</v>
      </c>
      <c r="T108">
        <v>828.67</v>
      </c>
      <c r="V108" t="s">
        <v>200</v>
      </c>
      <c r="W108" s="5">
        <v>46113</v>
      </c>
      <c r="X108" t="s">
        <v>172</v>
      </c>
      <c r="Y108">
        <v>146.69</v>
      </c>
      <c r="AA108" t="s">
        <v>213</v>
      </c>
      <c r="AB108" s="5">
        <v>45992</v>
      </c>
      <c r="AC108" t="s">
        <v>183</v>
      </c>
      <c r="AD108">
        <v>1707.39</v>
      </c>
    </row>
    <row r="109" spans="2:30" ht="18.75">
      <c r="B109">
        <v>16</v>
      </c>
      <c r="C109" s="5">
        <v>46125</v>
      </c>
      <c r="D109" t="s">
        <v>132</v>
      </c>
      <c r="E109">
        <v>176.26</v>
      </c>
      <c r="G109">
        <v>20</v>
      </c>
      <c r="H109" s="5">
        <v>46153</v>
      </c>
      <c r="I109" t="s">
        <v>176</v>
      </c>
      <c r="J109">
        <v>35.64</v>
      </c>
      <c r="L109">
        <v>25</v>
      </c>
      <c r="M109" s="5">
        <v>46188</v>
      </c>
      <c r="N109" t="s">
        <v>178</v>
      </c>
      <c r="O109">
        <v>2374.0500000000002</v>
      </c>
      <c r="Q109" t="s">
        <v>203</v>
      </c>
      <c r="R109" s="5">
        <v>46143</v>
      </c>
      <c r="S109" t="s">
        <v>146</v>
      </c>
      <c r="T109">
        <v>2530.27</v>
      </c>
      <c r="V109" t="s">
        <v>200</v>
      </c>
      <c r="W109" s="5">
        <v>46113</v>
      </c>
      <c r="X109" t="s">
        <v>173</v>
      </c>
      <c r="Y109">
        <v>3641.31</v>
      </c>
      <c r="AA109" t="s">
        <v>213</v>
      </c>
      <c r="AB109" s="5">
        <v>45992</v>
      </c>
      <c r="AC109" t="s">
        <v>184</v>
      </c>
      <c r="AD109">
        <v>1504.56</v>
      </c>
    </row>
    <row r="110" spans="2:30" ht="18.75">
      <c r="B110">
        <v>16</v>
      </c>
      <c r="C110" s="5">
        <v>46125</v>
      </c>
      <c r="D110" t="s">
        <v>133</v>
      </c>
      <c r="E110">
        <v>320.89999999999998</v>
      </c>
      <c r="G110">
        <v>20</v>
      </c>
      <c r="H110" s="5">
        <v>46153</v>
      </c>
      <c r="I110" t="s">
        <v>163</v>
      </c>
      <c r="J110">
        <v>353.46</v>
      </c>
      <c r="L110">
        <v>25</v>
      </c>
      <c r="M110" s="5">
        <v>46188</v>
      </c>
      <c r="N110" t="s">
        <v>179</v>
      </c>
      <c r="O110">
        <v>3362.65</v>
      </c>
      <c r="Q110" t="s">
        <v>203</v>
      </c>
      <c r="R110" s="5">
        <v>46143</v>
      </c>
      <c r="S110" t="s">
        <v>148</v>
      </c>
      <c r="T110">
        <v>506.93</v>
      </c>
      <c r="V110" t="s">
        <v>199</v>
      </c>
      <c r="W110" s="5">
        <v>46082</v>
      </c>
      <c r="X110" t="s">
        <v>204</v>
      </c>
      <c r="Y110">
        <v>1.1100000000000001</v>
      </c>
      <c r="AA110" t="s">
        <v>213</v>
      </c>
      <c r="AB110" s="5">
        <v>45992</v>
      </c>
      <c r="AC110" t="s">
        <v>185</v>
      </c>
      <c r="AD110">
        <v>2813.6</v>
      </c>
    </row>
    <row r="111" spans="2:30" ht="18.75">
      <c r="B111">
        <v>16</v>
      </c>
      <c r="C111" s="5">
        <v>46125</v>
      </c>
      <c r="D111" t="s">
        <v>134</v>
      </c>
      <c r="E111">
        <v>317.58999999999997</v>
      </c>
      <c r="G111">
        <v>20</v>
      </c>
      <c r="H111" s="5">
        <v>46153</v>
      </c>
      <c r="I111" t="s">
        <v>204</v>
      </c>
      <c r="J111">
        <v>481.18</v>
      </c>
      <c r="L111">
        <v>25</v>
      </c>
      <c r="M111" s="5">
        <v>46188</v>
      </c>
      <c r="N111" t="s">
        <v>180</v>
      </c>
      <c r="O111">
        <v>303.25</v>
      </c>
      <c r="Q111" t="s">
        <v>203</v>
      </c>
      <c r="R111" s="5">
        <v>46143</v>
      </c>
      <c r="S111" t="s">
        <v>147</v>
      </c>
      <c r="T111">
        <v>1349.06</v>
      </c>
      <c r="V111" t="s">
        <v>200</v>
      </c>
      <c r="W111" s="5">
        <v>46113</v>
      </c>
      <c r="X111" t="s">
        <v>204</v>
      </c>
      <c r="Y111">
        <v>0.44</v>
      </c>
      <c r="AA111" t="s">
        <v>213</v>
      </c>
      <c r="AB111" s="5">
        <v>45992</v>
      </c>
      <c r="AC111" t="s">
        <v>186</v>
      </c>
      <c r="AD111">
        <v>1185.55</v>
      </c>
    </row>
    <row r="112" spans="2:30" ht="18.75">
      <c r="B112">
        <v>16</v>
      </c>
      <c r="C112" s="5">
        <v>46125</v>
      </c>
      <c r="D112" t="s">
        <v>135</v>
      </c>
      <c r="E112">
        <v>83.64</v>
      </c>
      <c r="G112">
        <v>20</v>
      </c>
      <c r="H112" s="5">
        <v>46153</v>
      </c>
      <c r="I112" t="s">
        <v>172</v>
      </c>
      <c r="J112">
        <v>21.89</v>
      </c>
      <c r="L112">
        <v>25</v>
      </c>
      <c r="M112" s="5">
        <v>46188</v>
      </c>
      <c r="N112" t="s">
        <v>181</v>
      </c>
      <c r="O112">
        <v>1403.81</v>
      </c>
      <c r="Q112" t="s">
        <v>203</v>
      </c>
      <c r="R112" s="5">
        <v>46143</v>
      </c>
      <c r="S112" t="s">
        <v>150</v>
      </c>
      <c r="T112">
        <v>375.23</v>
      </c>
      <c r="V112" t="s">
        <v>200</v>
      </c>
      <c r="W112" s="5">
        <v>46113</v>
      </c>
      <c r="X112" t="s">
        <v>201</v>
      </c>
      <c r="Y112">
        <v>8.8000000000000007</v>
      </c>
      <c r="AA112" t="s">
        <v>214</v>
      </c>
      <c r="AB112" s="5">
        <v>45658</v>
      </c>
      <c r="AC112" t="s">
        <v>178</v>
      </c>
      <c r="AD112">
        <v>7746.05</v>
      </c>
    </row>
    <row r="113" spans="2:30" ht="18.75">
      <c r="B113">
        <v>16</v>
      </c>
      <c r="C113" s="5">
        <v>46125</v>
      </c>
      <c r="D113" t="s">
        <v>136</v>
      </c>
      <c r="E113">
        <v>104.76</v>
      </c>
      <c r="G113">
        <v>20</v>
      </c>
      <c r="H113" s="5">
        <v>46153</v>
      </c>
      <c r="I113" t="s">
        <v>173</v>
      </c>
      <c r="J113">
        <v>954.05</v>
      </c>
      <c r="L113">
        <v>25</v>
      </c>
      <c r="M113" s="5">
        <v>46188</v>
      </c>
      <c r="N113" t="s">
        <v>182</v>
      </c>
      <c r="O113">
        <v>1881.5</v>
      </c>
      <c r="Q113" t="s">
        <v>203</v>
      </c>
      <c r="R113" s="5">
        <v>46143</v>
      </c>
      <c r="S113" t="s">
        <v>151</v>
      </c>
      <c r="T113">
        <v>2971.77</v>
      </c>
      <c r="V113" t="s">
        <v>200</v>
      </c>
      <c r="W113" s="5">
        <v>46113</v>
      </c>
      <c r="X113" t="s">
        <v>206</v>
      </c>
      <c r="Y113">
        <v>184.05</v>
      </c>
      <c r="AA113" t="s">
        <v>214</v>
      </c>
      <c r="AB113" s="5">
        <v>45658</v>
      </c>
      <c r="AC113" t="s">
        <v>179</v>
      </c>
      <c r="AD113">
        <v>11056.24</v>
      </c>
    </row>
    <row r="114" spans="2:30" ht="18.75">
      <c r="B114">
        <v>16</v>
      </c>
      <c r="C114" s="5">
        <v>46125</v>
      </c>
      <c r="D114" t="s">
        <v>137</v>
      </c>
      <c r="E114">
        <v>64.98</v>
      </c>
      <c r="G114">
        <v>20</v>
      </c>
      <c r="H114" s="5">
        <v>46153</v>
      </c>
      <c r="I114" t="s">
        <v>206</v>
      </c>
      <c r="J114">
        <v>513.29999999999995</v>
      </c>
      <c r="L114">
        <v>25</v>
      </c>
      <c r="M114" s="5">
        <v>46188</v>
      </c>
      <c r="N114" t="s">
        <v>183</v>
      </c>
      <c r="O114">
        <v>547.44000000000005</v>
      </c>
      <c r="Q114" t="s">
        <v>203</v>
      </c>
      <c r="R114" s="5">
        <v>46143</v>
      </c>
      <c r="S114" t="s">
        <v>111</v>
      </c>
      <c r="T114">
        <v>716.01</v>
      </c>
      <c r="V114" t="s">
        <v>200</v>
      </c>
      <c r="W114" s="5">
        <v>46113</v>
      </c>
      <c r="X114" t="s">
        <v>207</v>
      </c>
      <c r="Y114">
        <v>276.5</v>
      </c>
      <c r="AA114" t="s">
        <v>214</v>
      </c>
      <c r="AB114" s="5">
        <v>45658</v>
      </c>
      <c r="AC114" t="s">
        <v>180</v>
      </c>
      <c r="AD114">
        <v>531.79</v>
      </c>
    </row>
    <row r="115" spans="2:30" ht="18.75">
      <c r="B115">
        <v>16</v>
      </c>
      <c r="C115" s="5">
        <v>46125</v>
      </c>
      <c r="D115" t="s">
        <v>138</v>
      </c>
      <c r="E115">
        <v>370.96</v>
      </c>
      <c r="G115">
        <v>20</v>
      </c>
      <c r="H115" s="5">
        <v>46153</v>
      </c>
      <c r="I115" t="s">
        <v>209</v>
      </c>
      <c r="J115">
        <v>56.16</v>
      </c>
      <c r="L115">
        <v>25</v>
      </c>
      <c r="M115" s="5">
        <v>46188</v>
      </c>
      <c r="N115" t="s">
        <v>184</v>
      </c>
      <c r="O115">
        <v>550.20000000000005</v>
      </c>
      <c r="Q115" t="s">
        <v>203</v>
      </c>
      <c r="R115" s="5">
        <v>46143</v>
      </c>
      <c r="S115" t="s">
        <v>113</v>
      </c>
      <c r="T115">
        <v>877.28</v>
      </c>
      <c r="V115" t="s">
        <v>203</v>
      </c>
      <c r="W115" s="5">
        <v>46143</v>
      </c>
      <c r="X115" t="s">
        <v>160</v>
      </c>
      <c r="Y115">
        <v>21848.03</v>
      </c>
      <c r="AA115" t="s">
        <v>214</v>
      </c>
      <c r="AB115" s="5">
        <v>45658</v>
      </c>
      <c r="AC115" t="s">
        <v>181</v>
      </c>
      <c r="AD115">
        <v>6581.76</v>
      </c>
    </row>
    <row r="116" spans="2:30" ht="18.75">
      <c r="B116">
        <v>16</v>
      </c>
      <c r="C116" s="5">
        <v>46125</v>
      </c>
      <c r="D116" t="s">
        <v>141</v>
      </c>
      <c r="E116">
        <v>495.5</v>
      </c>
      <c r="G116">
        <v>20</v>
      </c>
      <c r="H116" s="5">
        <v>46153</v>
      </c>
      <c r="I116" t="s">
        <v>168</v>
      </c>
      <c r="J116">
        <v>6.15</v>
      </c>
      <c r="L116">
        <v>25</v>
      </c>
      <c r="M116" s="5">
        <v>46188</v>
      </c>
      <c r="N116" t="s">
        <v>185</v>
      </c>
      <c r="O116">
        <v>912.45</v>
      </c>
      <c r="Q116" t="s">
        <v>203</v>
      </c>
      <c r="R116" s="5">
        <v>46143</v>
      </c>
      <c r="S116" t="s">
        <v>116</v>
      </c>
      <c r="T116">
        <v>436.59</v>
      </c>
      <c r="V116" t="s">
        <v>203</v>
      </c>
      <c r="W116" s="5">
        <v>46143</v>
      </c>
      <c r="X116" t="s">
        <v>158</v>
      </c>
      <c r="Y116">
        <v>1670.25</v>
      </c>
      <c r="AA116" t="s">
        <v>214</v>
      </c>
      <c r="AB116" s="5">
        <v>45658</v>
      </c>
      <c r="AC116" t="s">
        <v>182</v>
      </c>
      <c r="AD116">
        <v>7300.67</v>
      </c>
    </row>
    <row r="117" spans="2:30" ht="18.75">
      <c r="B117">
        <v>16</v>
      </c>
      <c r="C117" s="5">
        <v>46125</v>
      </c>
      <c r="D117" t="s">
        <v>142</v>
      </c>
      <c r="E117">
        <v>100.5</v>
      </c>
      <c r="G117">
        <v>21</v>
      </c>
      <c r="H117" s="5">
        <v>46160</v>
      </c>
      <c r="I117" t="s">
        <v>160</v>
      </c>
      <c r="J117">
        <v>5532.23</v>
      </c>
      <c r="L117">
        <v>25</v>
      </c>
      <c r="M117" s="5">
        <v>46188</v>
      </c>
      <c r="N117" t="s">
        <v>202</v>
      </c>
      <c r="O117">
        <v>438.7</v>
      </c>
      <c r="Q117" t="s">
        <v>203</v>
      </c>
      <c r="R117" s="5">
        <v>46143</v>
      </c>
      <c r="S117" t="s">
        <v>118</v>
      </c>
      <c r="T117">
        <v>693.84</v>
      </c>
      <c r="V117" t="s">
        <v>203</v>
      </c>
      <c r="W117" s="5">
        <v>46143</v>
      </c>
      <c r="X117" t="s">
        <v>165</v>
      </c>
      <c r="Y117">
        <v>875.01</v>
      </c>
      <c r="AA117" t="s">
        <v>214</v>
      </c>
      <c r="AB117" s="5">
        <v>45658</v>
      </c>
      <c r="AC117" t="s">
        <v>183</v>
      </c>
      <c r="AD117">
        <v>1300.8</v>
      </c>
    </row>
    <row r="118" spans="2:30" ht="18.75">
      <c r="B118">
        <v>16</v>
      </c>
      <c r="C118" s="5">
        <v>46125</v>
      </c>
      <c r="D118" t="s">
        <v>143</v>
      </c>
      <c r="E118">
        <v>1743.4</v>
      </c>
      <c r="G118">
        <v>21</v>
      </c>
      <c r="H118" s="5">
        <v>46160</v>
      </c>
      <c r="I118" t="s">
        <v>165</v>
      </c>
      <c r="J118">
        <v>134.55000000000001</v>
      </c>
      <c r="L118">
        <v>26</v>
      </c>
      <c r="M118" s="5">
        <v>46195</v>
      </c>
      <c r="N118" t="s">
        <v>178</v>
      </c>
      <c r="O118">
        <v>2478.0500000000002</v>
      </c>
      <c r="Q118" t="s">
        <v>203</v>
      </c>
      <c r="R118" s="5">
        <v>46143</v>
      </c>
      <c r="S118" t="s">
        <v>121</v>
      </c>
      <c r="T118">
        <v>715.01</v>
      </c>
      <c r="V118" t="s">
        <v>203</v>
      </c>
      <c r="W118" s="5">
        <v>46143</v>
      </c>
      <c r="X118" t="s">
        <v>174</v>
      </c>
      <c r="Y118">
        <v>1235.8399999999999</v>
      </c>
      <c r="AA118" t="s">
        <v>214</v>
      </c>
      <c r="AB118" s="5">
        <v>45658</v>
      </c>
      <c r="AC118" t="s">
        <v>184</v>
      </c>
      <c r="AD118">
        <v>1453.62</v>
      </c>
    </row>
    <row r="119" spans="2:30" ht="18.75">
      <c r="B119">
        <v>16</v>
      </c>
      <c r="C119" s="5">
        <v>46125</v>
      </c>
      <c r="D119" t="s">
        <v>145</v>
      </c>
      <c r="E119">
        <v>189.05</v>
      </c>
      <c r="G119">
        <v>21</v>
      </c>
      <c r="H119" s="5">
        <v>46160</v>
      </c>
      <c r="I119" t="s">
        <v>167</v>
      </c>
      <c r="J119">
        <v>549</v>
      </c>
      <c r="L119">
        <v>26</v>
      </c>
      <c r="M119" s="5">
        <v>46195</v>
      </c>
      <c r="N119" t="s">
        <v>179</v>
      </c>
      <c r="O119">
        <v>3596.64</v>
      </c>
      <c r="Q119" t="s">
        <v>203</v>
      </c>
      <c r="R119" s="5">
        <v>46143</v>
      </c>
      <c r="S119" t="s">
        <v>124</v>
      </c>
      <c r="T119">
        <v>1423.23</v>
      </c>
      <c r="V119" t="s">
        <v>203</v>
      </c>
      <c r="W119" s="5">
        <v>46143</v>
      </c>
      <c r="X119" t="s">
        <v>171</v>
      </c>
      <c r="Y119">
        <v>2372.0500000000002</v>
      </c>
      <c r="AA119" t="s">
        <v>214</v>
      </c>
      <c r="AB119" s="5">
        <v>45658</v>
      </c>
      <c r="AC119" t="s">
        <v>185</v>
      </c>
      <c r="AD119">
        <v>2677.95</v>
      </c>
    </row>
    <row r="120" spans="2:30" ht="18.75">
      <c r="B120">
        <v>16</v>
      </c>
      <c r="C120" s="5">
        <v>46125</v>
      </c>
      <c r="D120" t="s">
        <v>146</v>
      </c>
      <c r="E120">
        <v>569.42999999999995</v>
      </c>
      <c r="G120">
        <v>21</v>
      </c>
      <c r="H120" s="5">
        <v>46160</v>
      </c>
      <c r="I120" t="s">
        <v>171</v>
      </c>
      <c r="J120">
        <v>315</v>
      </c>
      <c r="L120">
        <v>26</v>
      </c>
      <c r="M120" s="5">
        <v>46195</v>
      </c>
      <c r="N120" t="s">
        <v>180</v>
      </c>
      <c r="O120">
        <v>227.3</v>
      </c>
      <c r="Q120" t="s">
        <v>203</v>
      </c>
      <c r="R120" s="5">
        <v>46143</v>
      </c>
      <c r="S120" t="s">
        <v>132</v>
      </c>
      <c r="T120">
        <v>760.67</v>
      </c>
      <c r="V120" t="s">
        <v>203</v>
      </c>
      <c r="W120" s="5">
        <v>46143</v>
      </c>
      <c r="X120" t="s">
        <v>198</v>
      </c>
      <c r="Y120">
        <v>2932.32</v>
      </c>
      <c r="AA120" t="s">
        <v>214</v>
      </c>
      <c r="AB120" s="5">
        <v>46023</v>
      </c>
      <c r="AC120" t="s">
        <v>186</v>
      </c>
      <c r="AD120">
        <v>569.77</v>
      </c>
    </row>
    <row r="121" spans="2:30" ht="18.75">
      <c r="B121">
        <v>16</v>
      </c>
      <c r="C121" s="5">
        <v>46125</v>
      </c>
      <c r="D121" t="s">
        <v>148</v>
      </c>
      <c r="E121">
        <v>105.16</v>
      </c>
      <c r="G121">
        <v>21</v>
      </c>
      <c r="H121" s="5">
        <v>46160</v>
      </c>
      <c r="I121" t="s">
        <v>198</v>
      </c>
      <c r="J121">
        <v>458.15</v>
      </c>
      <c r="L121">
        <v>26</v>
      </c>
      <c r="M121" s="5">
        <v>46195</v>
      </c>
      <c r="N121" t="s">
        <v>181</v>
      </c>
      <c r="O121">
        <v>1602.13</v>
      </c>
      <c r="Q121" t="s">
        <v>203</v>
      </c>
      <c r="R121" s="5">
        <v>46143</v>
      </c>
      <c r="S121" t="s">
        <v>135</v>
      </c>
      <c r="T121">
        <v>353.15</v>
      </c>
      <c r="V121" t="s">
        <v>203</v>
      </c>
      <c r="W121" s="5">
        <v>46143</v>
      </c>
      <c r="X121" t="s">
        <v>169</v>
      </c>
      <c r="Y121">
        <v>7183.45</v>
      </c>
      <c r="AA121" t="s">
        <v>215</v>
      </c>
      <c r="AB121" s="5">
        <v>46054</v>
      </c>
      <c r="AC121" t="s">
        <v>178</v>
      </c>
      <c r="AD121">
        <v>5126.3500000000004</v>
      </c>
    </row>
    <row r="122" spans="2:30" ht="18.75">
      <c r="B122">
        <v>16</v>
      </c>
      <c r="C122" s="5">
        <v>46125</v>
      </c>
      <c r="D122" t="s">
        <v>150</v>
      </c>
      <c r="E122">
        <v>89.51</v>
      </c>
      <c r="G122">
        <v>21</v>
      </c>
      <c r="H122" s="5">
        <v>46160</v>
      </c>
      <c r="I122" t="s">
        <v>174</v>
      </c>
      <c r="J122">
        <v>508.03</v>
      </c>
      <c r="L122">
        <v>26</v>
      </c>
      <c r="M122" s="5">
        <v>46195</v>
      </c>
      <c r="N122" t="s">
        <v>182</v>
      </c>
      <c r="O122">
        <v>1922.15</v>
      </c>
      <c r="Q122" t="s">
        <v>203</v>
      </c>
      <c r="R122" s="5">
        <v>46143</v>
      </c>
      <c r="S122" t="s">
        <v>137</v>
      </c>
      <c r="T122">
        <v>373.49</v>
      </c>
      <c r="V122" t="s">
        <v>203</v>
      </c>
      <c r="W122" s="5">
        <v>46143</v>
      </c>
      <c r="X122" t="s">
        <v>176</v>
      </c>
      <c r="Y122">
        <v>458.4</v>
      </c>
      <c r="AA122" t="s">
        <v>215</v>
      </c>
      <c r="AB122" s="5">
        <v>46054</v>
      </c>
      <c r="AC122" t="s">
        <v>179</v>
      </c>
      <c r="AD122">
        <v>7444.58</v>
      </c>
    </row>
    <row r="123" spans="2:30" ht="18.75">
      <c r="B123">
        <v>16</v>
      </c>
      <c r="C123" s="5">
        <v>46125</v>
      </c>
      <c r="D123" t="s">
        <v>151</v>
      </c>
      <c r="E123">
        <v>688.99</v>
      </c>
      <c r="G123">
        <v>21</v>
      </c>
      <c r="H123" s="5">
        <v>46160</v>
      </c>
      <c r="I123" t="s">
        <v>169</v>
      </c>
      <c r="J123">
        <v>1637.35</v>
      </c>
      <c r="L123">
        <v>26</v>
      </c>
      <c r="M123" s="5">
        <v>46195</v>
      </c>
      <c r="N123" t="s">
        <v>183</v>
      </c>
      <c r="O123">
        <v>534.78</v>
      </c>
      <c r="Q123" t="s">
        <v>203</v>
      </c>
      <c r="R123" s="5">
        <v>46143</v>
      </c>
      <c r="S123" t="s">
        <v>127</v>
      </c>
      <c r="T123">
        <v>936.33</v>
      </c>
      <c r="V123" t="s">
        <v>200</v>
      </c>
      <c r="W123" s="5">
        <v>46113</v>
      </c>
      <c r="X123" t="s">
        <v>209</v>
      </c>
      <c r="Y123">
        <v>149.35</v>
      </c>
      <c r="AA123" t="s">
        <v>215</v>
      </c>
      <c r="AB123" s="5">
        <v>46054</v>
      </c>
      <c r="AC123" t="s">
        <v>180</v>
      </c>
      <c r="AD123">
        <v>468.1</v>
      </c>
    </row>
    <row r="124" spans="2:30" ht="18.75">
      <c r="B124">
        <v>16</v>
      </c>
      <c r="C124" s="5">
        <v>46125</v>
      </c>
      <c r="D124" t="s">
        <v>113</v>
      </c>
      <c r="E124">
        <v>212.17</v>
      </c>
      <c r="G124">
        <v>21</v>
      </c>
      <c r="H124" s="5">
        <v>46160</v>
      </c>
      <c r="I124" t="s">
        <v>176</v>
      </c>
      <c r="J124">
        <v>91.44</v>
      </c>
      <c r="L124">
        <v>26</v>
      </c>
      <c r="M124" s="5">
        <v>46195</v>
      </c>
      <c r="N124" t="s">
        <v>184</v>
      </c>
      <c r="O124">
        <v>594.64</v>
      </c>
      <c r="Q124" t="s">
        <v>203</v>
      </c>
      <c r="R124" s="5">
        <v>46143</v>
      </c>
      <c r="S124" t="s">
        <v>115</v>
      </c>
      <c r="T124">
        <v>912.58</v>
      </c>
      <c r="V124" t="s">
        <v>203</v>
      </c>
      <c r="W124" s="5">
        <v>46143</v>
      </c>
      <c r="X124" t="s">
        <v>209</v>
      </c>
      <c r="Y124">
        <v>350.69</v>
      </c>
      <c r="AA124" t="s">
        <v>215</v>
      </c>
      <c r="AB124" s="5">
        <v>46054</v>
      </c>
      <c r="AC124" t="s">
        <v>181</v>
      </c>
      <c r="AD124">
        <v>3567.81</v>
      </c>
    </row>
    <row r="125" spans="2:30" ht="18.75">
      <c r="B125">
        <v>16</v>
      </c>
      <c r="C125" s="5">
        <v>46125</v>
      </c>
      <c r="D125" t="s">
        <v>121</v>
      </c>
      <c r="E125">
        <v>213.9</v>
      </c>
      <c r="G125">
        <v>21</v>
      </c>
      <c r="H125" s="5">
        <v>46160</v>
      </c>
      <c r="I125" t="s">
        <v>209</v>
      </c>
      <c r="J125">
        <v>59.4</v>
      </c>
      <c r="L125">
        <v>26</v>
      </c>
      <c r="M125" s="5">
        <v>46195</v>
      </c>
      <c r="N125" t="s">
        <v>185</v>
      </c>
      <c r="O125">
        <v>903</v>
      </c>
      <c r="Q125" t="s">
        <v>203</v>
      </c>
      <c r="R125" s="5">
        <v>46143</v>
      </c>
      <c r="S125" t="s">
        <v>131</v>
      </c>
      <c r="T125">
        <v>1027.77</v>
      </c>
      <c r="V125" t="s">
        <v>203</v>
      </c>
      <c r="W125" s="5">
        <v>46143</v>
      </c>
      <c r="X125" t="s">
        <v>170</v>
      </c>
      <c r="Y125">
        <v>73.709999999999994</v>
      </c>
      <c r="AA125" t="s">
        <v>215</v>
      </c>
      <c r="AB125" s="5">
        <v>46054</v>
      </c>
      <c r="AC125" t="s">
        <v>182</v>
      </c>
      <c r="AD125">
        <v>5055.53</v>
      </c>
    </row>
    <row r="126" spans="2:30" ht="18.75">
      <c r="B126">
        <v>16</v>
      </c>
      <c r="C126" s="5">
        <v>46125</v>
      </c>
      <c r="D126" t="s">
        <v>124</v>
      </c>
      <c r="E126">
        <v>325.35000000000002</v>
      </c>
      <c r="G126">
        <v>21</v>
      </c>
      <c r="H126" s="5">
        <v>46160</v>
      </c>
      <c r="I126" t="s">
        <v>163</v>
      </c>
      <c r="J126">
        <v>202.53</v>
      </c>
      <c r="L126">
        <v>26</v>
      </c>
      <c r="M126" s="5">
        <v>46195</v>
      </c>
      <c r="N126" t="s">
        <v>202</v>
      </c>
      <c r="O126">
        <v>380.65</v>
      </c>
      <c r="Q126" t="s">
        <v>203</v>
      </c>
      <c r="R126" s="5">
        <v>46143</v>
      </c>
      <c r="S126" t="s">
        <v>216</v>
      </c>
      <c r="T126">
        <v>1428.77</v>
      </c>
      <c r="V126" t="s">
        <v>203</v>
      </c>
      <c r="W126" s="5">
        <v>46143</v>
      </c>
      <c r="X126" t="s">
        <v>163</v>
      </c>
      <c r="Y126">
        <v>1258.1199999999999</v>
      </c>
      <c r="AA126" t="s">
        <v>215</v>
      </c>
      <c r="AB126" s="5">
        <v>46054</v>
      </c>
      <c r="AC126" t="s">
        <v>183</v>
      </c>
      <c r="AD126">
        <v>972.8</v>
      </c>
    </row>
    <row r="127" spans="2:30" ht="18.75">
      <c r="B127">
        <v>16</v>
      </c>
      <c r="C127" s="5">
        <v>46125</v>
      </c>
      <c r="D127" t="s">
        <v>129</v>
      </c>
      <c r="E127">
        <v>331.55</v>
      </c>
      <c r="G127">
        <v>21</v>
      </c>
      <c r="H127" s="5">
        <v>46160</v>
      </c>
      <c r="I127" t="s">
        <v>204</v>
      </c>
      <c r="J127">
        <v>344.53</v>
      </c>
      <c r="L127">
        <v>27</v>
      </c>
      <c r="M127" s="5">
        <v>46202</v>
      </c>
      <c r="N127" t="s">
        <v>178</v>
      </c>
      <c r="O127">
        <v>1463.7</v>
      </c>
      <c r="Q127" t="s">
        <v>205</v>
      </c>
      <c r="R127" s="5">
        <v>46174</v>
      </c>
      <c r="S127" t="s">
        <v>116</v>
      </c>
      <c r="T127">
        <v>438</v>
      </c>
      <c r="V127" t="s">
        <v>203</v>
      </c>
      <c r="W127" s="5">
        <v>46143</v>
      </c>
      <c r="X127" t="s">
        <v>168</v>
      </c>
      <c r="Y127">
        <v>361.01</v>
      </c>
      <c r="AA127" t="s">
        <v>215</v>
      </c>
      <c r="AB127" s="5">
        <v>46054</v>
      </c>
      <c r="AC127" t="s">
        <v>184</v>
      </c>
      <c r="AD127">
        <v>1106.1600000000001</v>
      </c>
    </row>
    <row r="128" spans="2:30" ht="18.75">
      <c r="B128">
        <v>16</v>
      </c>
      <c r="C128" s="5">
        <v>46125</v>
      </c>
      <c r="D128" t="s">
        <v>139</v>
      </c>
      <c r="E128">
        <v>266.16000000000003</v>
      </c>
      <c r="G128">
        <v>21</v>
      </c>
      <c r="H128" s="5">
        <v>46160</v>
      </c>
      <c r="I128" t="s">
        <v>172</v>
      </c>
      <c r="J128">
        <v>5.97</v>
      </c>
      <c r="L128">
        <v>27</v>
      </c>
      <c r="M128" s="5">
        <v>46202</v>
      </c>
      <c r="N128" t="s">
        <v>179</v>
      </c>
      <c r="O128">
        <v>2188.37</v>
      </c>
      <c r="Q128" t="s">
        <v>205</v>
      </c>
      <c r="R128" s="5">
        <v>46174</v>
      </c>
      <c r="S128" t="s">
        <v>117</v>
      </c>
      <c r="T128">
        <v>1085.77</v>
      </c>
      <c r="V128" t="s">
        <v>203</v>
      </c>
      <c r="W128" s="5">
        <v>46143</v>
      </c>
      <c r="X128" t="s">
        <v>173</v>
      </c>
      <c r="Y128">
        <v>2774.44</v>
      </c>
      <c r="AA128" t="s">
        <v>215</v>
      </c>
      <c r="AB128" s="5">
        <v>46054</v>
      </c>
      <c r="AC128" t="s">
        <v>185</v>
      </c>
      <c r="AD128">
        <v>1677.11</v>
      </c>
    </row>
    <row r="129" spans="2:30" ht="18.75">
      <c r="B129">
        <v>16</v>
      </c>
      <c r="C129" s="5">
        <v>46125</v>
      </c>
      <c r="D129" t="s">
        <v>147</v>
      </c>
      <c r="E129">
        <v>334.63</v>
      </c>
      <c r="G129">
        <v>21</v>
      </c>
      <c r="H129" s="5">
        <v>46160</v>
      </c>
      <c r="I129" t="s">
        <v>173</v>
      </c>
      <c r="J129">
        <v>627.25</v>
      </c>
      <c r="L129">
        <v>27</v>
      </c>
      <c r="M129" s="5">
        <v>46202</v>
      </c>
      <c r="N129" t="s">
        <v>180</v>
      </c>
      <c r="O129">
        <v>48.5</v>
      </c>
      <c r="Q129" t="s">
        <v>205</v>
      </c>
      <c r="R129" s="5">
        <v>46174</v>
      </c>
      <c r="S129" t="s">
        <v>118</v>
      </c>
      <c r="T129">
        <v>742.96</v>
      </c>
      <c r="V129" t="s">
        <v>203</v>
      </c>
      <c r="W129" s="5">
        <v>46143</v>
      </c>
      <c r="X129" t="s">
        <v>204</v>
      </c>
      <c r="Y129">
        <v>2291.35</v>
      </c>
      <c r="AA129" t="s">
        <v>215</v>
      </c>
      <c r="AB129" s="5">
        <v>46054</v>
      </c>
      <c r="AC129" t="s">
        <v>186</v>
      </c>
      <c r="AD129">
        <v>155.72999999999999</v>
      </c>
    </row>
    <row r="130" spans="2:30" ht="18.75">
      <c r="B130">
        <v>16</v>
      </c>
      <c r="C130" s="5">
        <v>46125</v>
      </c>
      <c r="D130" t="s">
        <v>118</v>
      </c>
      <c r="E130">
        <v>150.51</v>
      </c>
      <c r="G130">
        <v>21</v>
      </c>
      <c r="H130" s="5">
        <v>46160</v>
      </c>
      <c r="I130" t="s">
        <v>206</v>
      </c>
      <c r="J130">
        <v>308.33999999999997</v>
      </c>
      <c r="L130">
        <v>27</v>
      </c>
      <c r="M130" s="5">
        <v>46202</v>
      </c>
      <c r="N130" t="s">
        <v>181</v>
      </c>
      <c r="O130">
        <v>1292.51</v>
      </c>
      <c r="Q130" t="s">
        <v>205</v>
      </c>
      <c r="R130" s="5">
        <v>46174</v>
      </c>
      <c r="S130" t="s">
        <v>122</v>
      </c>
      <c r="T130">
        <v>1183.67</v>
      </c>
      <c r="V130" t="s">
        <v>203</v>
      </c>
      <c r="W130" s="5">
        <v>46143</v>
      </c>
      <c r="X130" t="s">
        <v>172</v>
      </c>
      <c r="Y130">
        <v>85.57</v>
      </c>
      <c r="AA130" t="s">
        <v>199</v>
      </c>
      <c r="AB130" s="5">
        <v>46082</v>
      </c>
      <c r="AC130" t="s">
        <v>178</v>
      </c>
      <c r="AD130">
        <v>3864.95</v>
      </c>
    </row>
    <row r="131" spans="2:30" ht="18.75">
      <c r="B131">
        <v>16</v>
      </c>
      <c r="C131" s="5">
        <v>46125</v>
      </c>
      <c r="D131" t="s">
        <v>127</v>
      </c>
      <c r="E131">
        <v>258.01</v>
      </c>
      <c r="G131">
        <v>21</v>
      </c>
      <c r="H131" s="5">
        <v>46160</v>
      </c>
      <c r="I131" t="s">
        <v>168</v>
      </c>
      <c r="J131">
        <v>3.69</v>
      </c>
      <c r="L131">
        <v>27</v>
      </c>
      <c r="M131" s="5">
        <v>46202</v>
      </c>
      <c r="N131" t="s">
        <v>182</v>
      </c>
      <c r="O131">
        <v>1129.72</v>
      </c>
      <c r="Q131" t="s">
        <v>205</v>
      </c>
      <c r="R131" s="5">
        <v>46174</v>
      </c>
      <c r="S131" t="s">
        <v>123</v>
      </c>
      <c r="T131">
        <v>1737.49</v>
      </c>
      <c r="V131" t="s">
        <v>203</v>
      </c>
      <c r="W131" s="5">
        <v>46143</v>
      </c>
      <c r="X131" t="s">
        <v>206</v>
      </c>
      <c r="Y131">
        <v>1107.24</v>
      </c>
      <c r="AA131" t="s">
        <v>199</v>
      </c>
      <c r="AB131" s="5">
        <v>46082</v>
      </c>
      <c r="AC131" t="s">
        <v>179</v>
      </c>
      <c r="AD131">
        <v>5737.86</v>
      </c>
    </row>
    <row r="132" spans="2:30" ht="18.75">
      <c r="B132">
        <v>16</v>
      </c>
      <c r="C132" s="5">
        <v>46125</v>
      </c>
      <c r="D132" t="s">
        <v>125</v>
      </c>
      <c r="E132">
        <v>35.85</v>
      </c>
      <c r="G132">
        <v>22</v>
      </c>
      <c r="H132" s="5">
        <v>46167</v>
      </c>
      <c r="I132" t="s">
        <v>160</v>
      </c>
      <c r="J132">
        <v>5168.8599999999997</v>
      </c>
      <c r="L132">
        <v>27</v>
      </c>
      <c r="M132" s="5">
        <v>46202</v>
      </c>
      <c r="N132" t="s">
        <v>183</v>
      </c>
      <c r="O132">
        <v>229.35</v>
      </c>
      <c r="Q132" t="s">
        <v>205</v>
      </c>
      <c r="R132" s="5">
        <v>46174</v>
      </c>
      <c r="S132" t="s">
        <v>124</v>
      </c>
      <c r="T132">
        <v>1702.19</v>
      </c>
      <c r="V132" t="s">
        <v>203</v>
      </c>
      <c r="W132" s="5">
        <v>46143</v>
      </c>
      <c r="X132" t="s">
        <v>167</v>
      </c>
      <c r="Y132">
        <v>561.20000000000005</v>
      </c>
      <c r="AA132" t="s">
        <v>199</v>
      </c>
      <c r="AB132" s="5">
        <v>46082</v>
      </c>
      <c r="AC132" t="s">
        <v>181</v>
      </c>
      <c r="AD132">
        <v>3227.54</v>
      </c>
    </row>
    <row r="133" spans="2:30" ht="18.75">
      <c r="B133">
        <v>16</v>
      </c>
      <c r="C133" s="5">
        <v>46125</v>
      </c>
      <c r="D133" t="s">
        <v>140</v>
      </c>
      <c r="E133">
        <v>15.52</v>
      </c>
      <c r="G133">
        <v>22</v>
      </c>
      <c r="H133" s="5">
        <v>46167</v>
      </c>
      <c r="I133" t="s">
        <v>165</v>
      </c>
      <c r="J133">
        <v>227.7</v>
      </c>
      <c r="L133">
        <v>27</v>
      </c>
      <c r="M133" s="5">
        <v>46202</v>
      </c>
      <c r="N133" t="s">
        <v>184</v>
      </c>
      <c r="O133">
        <v>286.3</v>
      </c>
      <c r="Q133" t="s">
        <v>205</v>
      </c>
      <c r="R133" s="5">
        <v>46174</v>
      </c>
      <c r="S133" t="s">
        <v>126</v>
      </c>
      <c r="T133">
        <v>690.55</v>
      </c>
      <c r="V133" t="s">
        <v>205</v>
      </c>
      <c r="W133" s="5">
        <v>46174</v>
      </c>
      <c r="X133" t="s">
        <v>160</v>
      </c>
      <c r="Y133">
        <v>15450.28</v>
      </c>
      <c r="AA133" t="s">
        <v>199</v>
      </c>
      <c r="AB133" s="5">
        <v>46082</v>
      </c>
      <c r="AC133" t="s">
        <v>182</v>
      </c>
      <c r="AD133">
        <v>3654.06</v>
      </c>
    </row>
    <row r="134" spans="2:30" ht="18.75">
      <c r="B134">
        <v>16</v>
      </c>
      <c r="C134" s="5">
        <v>46125</v>
      </c>
      <c r="D134" t="s">
        <v>149</v>
      </c>
      <c r="E134">
        <v>64.709999999999994</v>
      </c>
      <c r="G134">
        <v>22</v>
      </c>
      <c r="H134" s="5">
        <v>46167</v>
      </c>
      <c r="I134" t="s">
        <v>174</v>
      </c>
      <c r="J134">
        <v>529.45000000000005</v>
      </c>
      <c r="L134">
        <v>27</v>
      </c>
      <c r="M134" s="5">
        <v>46202</v>
      </c>
      <c r="N134" t="s">
        <v>185</v>
      </c>
      <c r="O134">
        <v>594</v>
      </c>
      <c r="Q134" t="s">
        <v>205</v>
      </c>
      <c r="R134" s="5">
        <v>46174</v>
      </c>
      <c r="S134" t="s">
        <v>128</v>
      </c>
      <c r="T134">
        <v>855.75</v>
      </c>
      <c r="V134" t="s">
        <v>205</v>
      </c>
      <c r="W134" s="5">
        <v>46174</v>
      </c>
      <c r="X134" t="s">
        <v>165</v>
      </c>
      <c r="Y134">
        <v>387.65</v>
      </c>
      <c r="AA134" t="s">
        <v>199</v>
      </c>
      <c r="AB134" s="5">
        <v>46082</v>
      </c>
      <c r="AC134" t="s">
        <v>183</v>
      </c>
      <c r="AD134">
        <v>885.28</v>
      </c>
    </row>
    <row r="135" spans="2:30" ht="18.75">
      <c r="B135">
        <v>16</v>
      </c>
      <c r="C135" s="5">
        <v>46125</v>
      </c>
      <c r="D135" t="s">
        <v>144</v>
      </c>
      <c r="E135">
        <v>436.81</v>
      </c>
      <c r="G135">
        <v>22</v>
      </c>
      <c r="H135" s="5">
        <v>46167</v>
      </c>
      <c r="I135" t="s">
        <v>171</v>
      </c>
      <c r="J135">
        <v>345</v>
      </c>
      <c r="L135">
        <v>27</v>
      </c>
      <c r="M135" s="5">
        <v>46202</v>
      </c>
      <c r="N135" t="s">
        <v>202</v>
      </c>
      <c r="O135">
        <v>215.35</v>
      </c>
      <c r="Q135" t="s">
        <v>205</v>
      </c>
      <c r="R135" s="5">
        <v>46174</v>
      </c>
      <c r="S135" t="s">
        <v>129</v>
      </c>
      <c r="T135">
        <v>1466.89</v>
      </c>
      <c r="V135" t="s">
        <v>205</v>
      </c>
      <c r="W135" s="5">
        <v>46174</v>
      </c>
      <c r="X135" t="s">
        <v>174</v>
      </c>
      <c r="Y135">
        <v>754.7</v>
      </c>
      <c r="AA135" t="s">
        <v>199</v>
      </c>
      <c r="AB135" s="5">
        <v>46082</v>
      </c>
      <c r="AC135" t="s">
        <v>184</v>
      </c>
      <c r="AD135">
        <v>850.13</v>
      </c>
    </row>
    <row r="136" spans="2:30" ht="18.75">
      <c r="B136">
        <v>17</v>
      </c>
      <c r="C136" s="5">
        <v>46132</v>
      </c>
      <c r="D136" t="s">
        <v>111</v>
      </c>
      <c r="E136">
        <v>181.98</v>
      </c>
      <c r="G136">
        <v>22</v>
      </c>
      <c r="H136" s="5">
        <v>46167</v>
      </c>
      <c r="I136" t="s">
        <v>198</v>
      </c>
      <c r="J136">
        <v>422.45</v>
      </c>
      <c r="L136">
        <v>13</v>
      </c>
      <c r="M136" s="5">
        <v>46104</v>
      </c>
      <c r="N136" t="s">
        <v>181</v>
      </c>
      <c r="O136">
        <v>295.49</v>
      </c>
      <c r="Q136" t="s">
        <v>205</v>
      </c>
      <c r="R136" s="5">
        <v>46174</v>
      </c>
      <c r="S136" t="s">
        <v>130</v>
      </c>
      <c r="T136">
        <v>1394.78</v>
      </c>
      <c r="V136" t="s">
        <v>205</v>
      </c>
      <c r="W136" s="5">
        <v>46174</v>
      </c>
      <c r="X136" t="s">
        <v>198</v>
      </c>
      <c r="Y136">
        <v>1419.44</v>
      </c>
      <c r="AA136" t="s">
        <v>199</v>
      </c>
      <c r="AB136" s="5">
        <v>46082</v>
      </c>
      <c r="AC136" t="s">
        <v>185</v>
      </c>
      <c r="AD136">
        <v>1456.91</v>
      </c>
    </row>
    <row r="137" spans="2:30" ht="18.75">
      <c r="B137">
        <v>17</v>
      </c>
      <c r="C137" s="5">
        <v>46132</v>
      </c>
      <c r="D137" t="s">
        <v>112</v>
      </c>
      <c r="E137">
        <v>75.48</v>
      </c>
      <c r="G137">
        <v>22</v>
      </c>
      <c r="H137" s="5">
        <v>46167</v>
      </c>
      <c r="I137" t="s">
        <v>169</v>
      </c>
      <c r="J137">
        <v>1580</v>
      </c>
      <c r="L137">
        <v>13</v>
      </c>
      <c r="M137" s="5">
        <v>46104</v>
      </c>
      <c r="N137" t="s">
        <v>182</v>
      </c>
      <c r="O137">
        <v>714.37</v>
      </c>
      <c r="Q137" t="s">
        <v>205</v>
      </c>
      <c r="R137" s="5">
        <v>46174</v>
      </c>
      <c r="S137" t="s">
        <v>131</v>
      </c>
      <c r="T137">
        <v>1056.33</v>
      </c>
      <c r="V137" t="s">
        <v>205</v>
      </c>
      <c r="W137" s="5">
        <v>46174</v>
      </c>
      <c r="X137" t="s">
        <v>167</v>
      </c>
      <c r="Y137">
        <v>1380.05</v>
      </c>
      <c r="AA137" t="s">
        <v>199</v>
      </c>
      <c r="AB137" s="5">
        <v>46082</v>
      </c>
      <c r="AC137" t="s">
        <v>180</v>
      </c>
      <c r="AD137">
        <v>192.69</v>
      </c>
    </row>
    <row r="138" spans="2:30" ht="18.75">
      <c r="B138">
        <v>17</v>
      </c>
      <c r="C138" s="5">
        <v>46132</v>
      </c>
      <c r="D138" t="s">
        <v>113</v>
      </c>
      <c r="E138">
        <v>210.98</v>
      </c>
      <c r="G138">
        <v>22</v>
      </c>
      <c r="H138" s="5">
        <v>46167</v>
      </c>
      <c r="I138" t="s">
        <v>209</v>
      </c>
      <c r="J138">
        <v>82.08</v>
      </c>
      <c r="L138">
        <v>13</v>
      </c>
      <c r="M138" s="5">
        <v>46104</v>
      </c>
      <c r="N138" t="s">
        <v>183</v>
      </c>
      <c r="O138">
        <v>156.4</v>
      </c>
      <c r="Q138" t="s">
        <v>205</v>
      </c>
      <c r="R138" s="5">
        <v>46174</v>
      </c>
      <c r="S138" t="s">
        <v>132</v>
      </c>
      <c r="T138">
        <v>864.56</v>
      </c>
      <c r="V138" t="s">
        <v>205</v>
      </c>
      <c r="W138" s="5">
        <v>46174</v>
      </c>
      <c r="X138" t="s">
        <v>169</v>
      </c>
      <c r="Y138">
        <v>5083.25</v>
      </c>
      <c r="AA138" t="s">
        <v>210</v>
      </c>
      <c r="AB138" s="5">
        <v>45931</v>
      </c>
      <c r="AC138" t="s">
        <v>179</v>
      </c>
      <c r="AD138">
        <v>4667.82</v>
      </c>
    </row>
    <row r="139" spans="2:30" ht="18.75">
      <c r="B139">
        <v>17</v>
      </c>
      <c r="C139" s="5">
        <v>46132</v>
      </c>
      <c r="D139" t="s">
        <v>114</v>
      </c>
      <c r="E139">
        <v>327.87</v>
      </c>
      <c r="G139">
        <v>22</v>
      </c>
      <c r="H139" s="5">
        <v>46167</v>
      </c>
      <c r="I139" t="s">
        <v>176</v>
      </c>
      <c r="J139">
        <v>139.19999999999999</v>
      </c>
      <c r="L139">
        <v>13</v>
      </c>
      <c r="M139" s="5">
        <v>46104</v>
      </c>
      <c r="N139" t="s">
        <v>184</v>
      </c>
      <c r="O139">
        <v>212.14</v>
      </c>
      <c r="Q139" t="s">
        <v>205</v>
      </c>
      <c r="R139" s="5">
        <v>46174</v>
      </c>
      <c r="S139" t="s">
        <v>133</v>
      </c>
      <c r="T139">
        <v>1618.95</v>
      </c>
      <c r="V139" t="s">
        <v>205</v>
      </c>
      <c r="W139" s="5">
        <v>46174</v>
      </c>
      <c r="X139" t="s">
        <v>209</v>
      </c>
      <c r="Y139">
        <v>185.76</v>
      </c>
      <c r="AA139" t="s">
        <v>210</v>
      </c>
      <c r="AB139" s="5">
        <v>45931</v>
      </c>
      <c r="AC139" t="s">
        <v>180</v>
      </c>
      <c r="AD139">
        <v>540.13</v>
      </c>
    </row>
    <row r="140" spans="2:30" ht="18.75">
      <c r="B140">
        <v>17</v>
      </c>
      <c r="C140" s="5">
        <v>46132</v>
      </c>
      <c r="D140" t="s">
        <v>116</v>
      </c>
      <c r="E140">
        <v>112.28</v>
      </c>
      <c r="G140">
        <v>22</v>
      </c>
      <c r="H140" s="5">
        <v>46167</v>
      </c>
      <c r="I140" t="s">
        <v>163</v>
      </c>
      <c r="J140">
        <v>347.01</v>
      </c>
      <c r="L140">
        <v>13</v>
      </c>
      <c r="M140" s="5">
        <v>46104</v>
      </c>
      <c r="N140" t="s">
        <v>185</v>
      </c>
      <c r="O140">
        <v>288.35000000000002</v>
      </c>
      <c r="Q140" t="s">
        <v>205</v>
      </c>
      <c r="R140" s="5">
        <v>46174</v>
      </c>
      <c r="S140" t="s">
        <v>134</v>
      </c>
      <c r="T140">
        <v>1618.39</v>
      </c>
      <c r="V140" t="s">
        <v>205</v>
      </c>
      <c r="W140" s="5">
        <v>46174</v>
      </c>
      <c r="X140" t="s">
        <v>176</v>
      </c>
      <c r="Y140">
        <v>369.48</v>
      </c>
      <c r="AA140" t="s">
        <v>210</v>
      </c>
      <c r="AB140" s="5">
        <v>45931</v>
      </c>
      <c r="AC140" t="s">
        <v>181</v>
      </c>
      <c r="AD140">
        <v>2396.2199999999998</v>
      </c>
    </row>
    <row r="141" spans="2:30" ht="18.75">
      <c r="B141">
        <v>17</v>
      </c>
      <c r="C141" s="5">
        <v>46132</v>
      </c>
      <c r="D141" t="s">
        <v>117</v>
      </c>
      <c r="E141">
        <v>242.21</v>
      </c>
      <c r="G141">
        <v>22</v>
      </c>
      <c r="H141" s="5">
        <v>46167</v>
      </c>
      <c r="I141" t="s">
        <v>204</v>
      </c>
      <c r="J141">
        <v>870.9</v>
      </c>
      <c r="L141">
        <v>14</v>
      </c>
      <c r="M141" s="5">
        <v>46111</v>
      </c>
      <c r="N141" t="s">
        <v>178</v>
      </c>
      <c r="O141">
        <v>2475.4</v>
      </c>
      <c r="Q141" t="s">
        <v>205</v>
      </c>
      <c r="R141" s="5">
        <v>46174</v>
      </c>
      <c r="S141" t="s">
        <v>136</v>
      </c>
      <c r="T141">
        <v>642.20000000000005</v>
      </c>
      <c r="V141" t="s">
        <v>205</v>
      </c>
      <c r="W141" s="5">
        <v>46174</v>
      </c>
      <c r="X141" t="s">
        <v>163</v>
      </c>
      <c r="Y141">
        <v>633.39</v>
      </c>
      <c r="AA141" t="s">
        <v>210</v>
      </c>
      <c r="AB141" s="5">
        <v>45931</v>
      </c>
      <c r="AC141" t="s">
        <v>182</v>
      </c>
      <c r="AD141">
        <v>2927.86</v>
      </c>
    </row>
    <row r="142" spans="2:30" ht="18.75">
      <c r="B142">
        <v>17</v>
      </c>
      <c r="C142" s="5">
        <v>46132</v>
      </c>
      <c r="D142" t="s">
        <v>118</v>
      </c>
      <c r="E142">
        <v>160.09</v>
      </c>
      <c r="G142">
        <v>22</v>
      </c>
      <c r="H142" s="5">
        <v>46167</v>
      </c>
      <c r="I142" t="s">
        <v>173</v>
      </c>
      <c r="J142">
        <v>285</v>
      </c>
      <c r="L142">
        <v>14</v>
      </c>
      <c r="M142" s="5">
        <v>46111</v>
      </c>
      <c r="N142" t="s">
        <v>179</v>
      </c>
      <c r="O142">
        <v>3269.56</v>
      </c>
      <c r="Q142" t="s">
        <v>205</v>
      </c>
      <c r="R142" s="5">
        <v>46174</v>
      </c>
      <c r="S142" t="s">
        <v>138</v>
      </c>
      <c r="T142">
        <v>2001.46</v>
      </c>
      <c r="V142" t="s">
        <v>205</v>
      </c>
      <c r="W142" s="5">
        <v>46174</v>
      </c>
      <c r="X142" t="s">
        <v>204</v>
      </c>
      <c r="Y142">
        <v>1208.0999999999999</v>
      </c>
      <c r="AA142" t="s">
        <v>210</v>
      </c>
      <c r="AB142" s="5">
        <v>45931</v>
      </c>
      <c r="AC142" t="s">
        <v>183</v>
      </c>
      <c r="AD142">
        <v>1057.01</v>
      </c>
    </row>
    <row r="143" spans="2:30" ht="18.75">
      <c r="B143">
        <v>17</v>
      </c>
      <c r="C143" s="5">
        <v>46132</v>
      </c>
      <c r="D143" t="s">
        <v>119</v>
      </c>
      <c r="E143">
        <v>368.4</v>
      </c>
      <c r="G143">
        <v>22</v>
      </c>
      <c r="H143" s="5">
        <v>46167</v>
      </c>
      <c r="I143" t="s">
        <v>206</v>
      </c>
      <c r="J143">
        <v>285.60000000000002</v>
      </c>
      <c r="L143">
        <v>14</v>
      </c>
      <c r="M143" s="5">
        <v>46111</v>
      </c>
      <c r="N143" t="s">
        <v>180</v>
      </c>
      <c r="O143">
        <v>214.3</v>
      </c>
      <c r="Q143" t="s">
        <v>205</v>
      </c>
      <c r="R143" s="5">
        <v>46174</v>
      </c>
      <c r="S143" t="s">
        <v>142</v>
      </c>
      <c r="T143">
        <v>658.73</v>
      </c>
      <c r="V143" t="s">
        <v>205</v>
      </c>
      <c r="W143" s="5">
        <v>46174</v>
      </c>
      <c r="X143" t="s">
        <v>173</v>
      </c>
      <c r="Y143">
        <v>2481.9499999999998</v>
      </c>
      <c r="AA143" t="s">
        <v>210</v>
      </c>
      <c r="AB143" s="5">
        <v>45931</v>
      </c>
      <c r="AC143" t="s">
        <v>184</v>
      </c>
      <c r="AD143">
        <v>734.43</v>
      </c>
    </row>
    <row r="144" spans="2:30" ht="18.75">
      <c r="B144">
        <v>17</v>
      </c>
      <c r="C144" s="5">
        <v>46132</v>
      </c>
      <c r="D144" t="s">
        <v>120</v>
      </c>
      <c r="E144">
        <v>76.58</v>
      </c>
      <c r="G144">
        <v>22</v>
      </c>
      <c r="H144" s="5">
        <v>46167</v>
      </c>
      <c r="I144" t="s">
        <v>167</v>
      </c>
      <c r="J144">
        <v>12.2</v>
      </c>
      <c r="L144">
        <v>14</v>
      </c>
      <c r="M144" s="5">
        <v>46111</v>
      </c>
      <c r="N144" t="s">
        <v>181</v>
      </c>
      <c r="O144">
        <v>1576.7</v>
      </c>
      <c r="Q144" t="s">
        <v>205</v>
      </c>
      <c r="R144" s="5">
        <v>46174</v>
      </c>
      <c r="S144" t="s">
        <v>143</v>
      </c>
      <c r="T144">
        <v>2706.55</v>
      </c>
      <c r="V144" t="s">
        <v>205</v>
      </c>
      <c r="W144" s="5">
        <v>46174</v>
      </c>
      <c r="X144" t="s">
        <v>206</v>
      </c>
      <c r="Y144">
        <v>892.92</v>
      </c>
      <c r="AA144" t="s">
        <v>210</v>
      </c>
      <c r="AB144" s="5">
        <v>45931</v>
      </c>
      <c r="AC144" t="s">
        <v>185</v>
      </c>
      <c r="AD144">
        <v>976.13</v>
      </c>
    </row>
    <row r="145" spans="2:30" ht="18.75">
      <c r="B145">
        <v>17</v>
      </c>
      <c r="C145" s="5">
        <v>46132</v>
      </c>
      <c r="D145" t="s">
        <v>121</v>
      </c>
      <c r="E145">
        <v>176.39</v>
      </c>
      <c r="G145">
        <v>23</v>
      </c>
      <c r="H145" s="5">
        <v>46174</v>
      </c>
      <c r="I145" t="s">
        <v>160</v>
      </c>
      <c r="J145">
        <v>5843.43</v>
      </c>
      <c r="L145">
        <v>14</v>
      </c>
      <c r="M145" s="5">
        <v>46111</v>
      </c>
      <c r="N145" t="s">
        <v>182</v>
      </c>
      <c r="O145">
        <v>2035.77</v>
      </c>
      <c r="Q145" t="s">
        <v>205</v>
      </c>
      <c r="R145" s="5">
        <v>46174</v>
      </c>
      <c r="S145" t="s">
        <v>144</v>
      </c>
      <c r="T145">
        <v>4044.34</v>
      </c>
      <c r="V145" t="s">
        <v>205</v>
      </c>
      <c r="W145" s="5">
        <v>46174</v>
      </c>
      <c r="X145" t="s">
        <v>171</v>
      </c>
      <c r="Y145">
        <v>1179.6400000000001</v>
      </c>
      <c r="AA145" t="s">
        <v>210</v>
      </c>
      <c r="AB145" s="5">
        <v>45931</v>
      </c>
      <c r="AC145" t="s">
        <v>178</v>
      </c>
      <c r="AD145">
        <v>3130.55</v>
      </c>
    </row>
    <row r="146" spans="2:30" ht="18.75">
      <c r="B146">
        <v>17</v>
      </c>
      <c r="C146" s="5">
        <v>46132</v>
      </c>
      <c r="D146" t="s">
        <v>122</v>
      </c>
      <c r="E146">
        <v>313.57</v>
      </c>
      <c r="G146">
        <v>23</v>
      </c>
      <c r="H146" s="5">
        <v>46174</v>
      </c>
      <c r="I146" t="s">
        <v>165</v>
      </c>
      <c r="J146">
        <v>141.85</v>
      </c>
      <c r="L146">
        <v>14</v>
      </c>
      <c r="M146" s="5">
        <v>46111</v>
      </c>
      <c r="N146" t="s">
        <v>183</v>
      </c>
      <c r="O146">
        <v>554.54</v>
      </c>
      <c r="Q146" t="s">
        <v>205</v>
      </c>
      <c r="R146" s="5">
        <v>46174</v>
      </c>
      <c r="S146" t="s">
        <v>145</v>
      </c>
      <c r="T146">
        <v>806.89</v>
      </c>
      <c r="V146" t="s">
        <v>210</v>
      </c>
      <c r="W146" s="5">
        <v>45931</v>
      </c>
      <c r="X146" t="s">
        <v>160</v>
      </c>
      <c r="Y146">
        <v>6764.2</v>
      </c>
      <c r="AA146" t="s">
        <v>211</v>
      </c>
      <c r="AB146" s="5">
        <v>45962</v>
      </c>
      <c r="AC146" t="s">
        <v>178</v>
      </c>
      <c r="AD146">
        <v>7742.86</v>
      </c>
    </row>
    <row r="147" spans="2:30" ht="18.75">
      <c r="B147">
        <v>17</v>
      </c>
      <c r="C147" s="5">
        <v>46132</v>
      </c>
      <c r="D147" t="s">
        <v>123</v>
      </c>
      <c r="E147">
        <v>480.35</v>
      </c>
      <c r="G147">
        <v>23</v>
      </c>
      <c r="H147" s="5">
        <v>46174</v>
      </c>
      <c r="I147" t="s">
        <v>174</v>
      </c>
      <c r="J147">
        <v>754.7</v>
      </c>
      <c r="L147">
        <v>14</v>
      </c>
      <c r="M147" s="5">
        <v>46111</v>
      </c>
      <c r="N147" t="s">
        <v>184</v>
      </c>
      <c r="O147">
        <v>583.27</v>
      </c>
      <c r="Q147" t="s">
        <v>205</v>
      </c>
      <c r="R147" s="5">
        <v>46174</v>
      </c>
      <c r="S147" t="s">
        <v>146</v>
      </c>
      <c r="T147">
        <v>2746.5</v>
      </c>
      <c r="V147" t="s">
        <v>210</v>
      </c>
      <c r="W147" s="5">
        <v>45931</v>
      </c>
      <c r="X147" t="s">
        <v>165</v>
      </c>
      <c r="Y147">
        <v>540.13</v>
      </c>
      <c r="AA147" t="s">
        <v>211</v>
      </c>
      <c r="AB147" s="5">
        <v>45962</v>
      </c>
      <c r="AC147" t="s">
        <v>179</v>
      </c>
      <c r="AD147">
        <v>11345.77</v>
      </c>
    </row>
    <row r="148" spans="2:30" ht="18.75">
      <c r="B148">
        <v>17</v>
      </c>
      <c r="C148" s="5">
        <v>46132</v>
      </c>
      <c r="D148" t="s">
        <v>124</v>
      </c>
      <c r="E148">
        <v>277.58</v>
      </c>
      <c r="G148">
        <v>23</v>
      </c>
      <c r="H148" s="5">
        <v>46174</v>
      </c>
      <c r="I148" t="s">
        <v>198</v>
      </c>
      <c r="J148">
        <v>503.2</v>
      </c>
      <c r="L148">
        <v>14</v>
      </c>
      <c r="M148" s="5">
        <v>46111</v>
      </c>
      <c r="N148" t="s">
        <v>185</v>
      </c>
      <c r="O148">
        <v>775.95</v>
      </c>
      <c r="Q148" t="s">
        <v>205</v>
      </c>
      <c r="R148" s="5">
        <v>46174</v>
      </c>
      <c r="S148" t="s">
        <v>148</v>
      </c>
      <c r="T148">
        <v>390.59</v>
      </c>
      <c r="V148" t="s">
        <v>210</v>
      </c>
      <c r="W148" s="5">
        <v>45931</v>
      </c>
      <c r="X148" t="s">
        <v>171</v>
      </c>
      <c r="Y148">
        <v>1301.3900000000001</v>
      </c>
      <c r="AA148" t="s">
        <v>211</v>
      </c>
      <c r="AB148" s="5">
        <v>45962</v>
      </c>
      <c r="AC148" t="s">
        <v>182</v>
      </c>
      <c r="AD148">
        <v>7490.84</v>
      </c>
    </row>
    <row r="149" spans="2:30" ht="18.75">
      <c r="B149">
        <v>17</v>
      </c>
      <c r="C149" s="5">
        <v>46132</v>
      </c>
      <c r="D149" t="s">
        <v>125</v>
      </c>
      <c r="E149">
        <v>68.56</v>
      </c>
      <c r="G149">
        <v>23</v>
      </c>
      <c r="H149" s="5">
        <v>46174</v>
      </c>
      <c r="I149" t="s">
        <v>167</v>
      </c>
      <c r="J149">
        <v>477.4</v>
      </c>
      <c r="L149">
        <v>15</v>
      </c>
      <c r="M149" s="5">
        <v>46118</v>
      </c>
      <c r="N149" t="s">
        <v>178</v>
      </c>
      <c r="O149">
        <v>1779.05</v>
      </c>
      <c r="Q149" t="s">
        <v>205</v>
      </c>
      <c r="R149" s="5">
        <v>46174</v>
      </c>
      <c r="S149" t="s">
        <v>147</v>
      </c>
      <c r="T149">
        <v>1557.62</v>
      </c>
      <c r="V149" t="s">
        <v>210</v>
      </c>
      <c r="W149" s="5">
        <v>45931</v>
      </c>
      <c r="X149" t="s">
        <v>174</v>
      </c>
      <c r="Y149">
        <v>1094.82</v>
      </c>
      <c r="AA149" t="s">
        <v>211</v>
      </c>
      <c r="AB149" s="5">
        <v>45962</v>
      </c>
      <c r="AC149" t="s">
        <v>183</v>
      </c>
      <c r="AD149">
        <v>2632.52</v>
      </c>
    </row>
    <row r="150" spans="2:30" ht="18.75">
      <c r="B150">
        <v>17</v>
      </c>
      <c r="C150" s="5">
        <v>46132</v>
      </c>
      <c r="D150" t="s">
        <v>126</v>
      </c>
      <c r="E150">
        <v>161.41999999999999</v>
      </c>
      <c r="G150">
        <v>23</v>
      </c>
      <c r="H150" s="5">
        <v>46174</v>
      </c>
      <c r="I150" t="s">
        <v>169</v>
      </c>
      <c r="J150">
        <v>1863.15</v>
      </c>
      <c r="L150">
        <v>15</v>
      </c>
      <c r="M150" s="5">
        <v>46118</v>
      </c>
      <c r="N150" t="s">
        <v>179</v>
      </c>
      <c r="O150">
        <v>2592.0300000000002</v>
      </c>
      <c r="Q150" t="s">
        <v>205</v>
      </c>
      <c r="R150" s="5">
        <v>46174</v>
      </c>
      <c r="S150" t="s">
        <v>150</v>
      </c>
      <c r="T150">
        <v>412.53</v>
      </c>
      <c r="V150" t="s">
        <v>210</v>
      </c>
      <c r="W150" s="5">
        <v>45931</v>
      </c>
      <c r="X150" t="s">
        <v>169</v>
      </c>
      <c r="Y150">
        <v>2927.86</v>
      </c>
      <c r="AA150" t="s">
        <v>211</v>
      </c>
      <c r="AB150" s="5">
        <v>45962</v>
      </c>
      <c r="AC150" t="s">
        <v>184</v>
      </c>
      <c r="AD150">
        <v>2029.66</v>
      </c>
    </row>
    <row r="151" spans="2:30" ht="18.75">
      <c r="B151">
        <v>17</v>
      </c>
      <c r="C151" s="5">
        <v>46132</v>
      </c>
      <c r="D151" t="s">
        <v>128</v>
      </c>
      <c r="E151">
        <v>185.02</v>
      </c>
      <c r="G151">
        <v>23</v>
      </c>
      <c r="H151" s="5">
        <v>46174</v>
      </c>
      <c r="I151" t="s">
        <v>209</v>
      </c>
      <c r="J151">
        <v>60.48</v>
      </c>
      <c r="L151">
        <v>15</v>
      </c>
      <c r="M151" s="5">
        <v>46118</v>
      </c>
      <c r="N151" t="s">
        <v>180</v>
      </c>
      <c r="O151">
        <v>203.2</v>
      </c>
      <c r="Q151" t="s">
        <v>205</v>
      </c>
      <c r="R151" s="5">
        <v>46174</v>
      </c>
      <c r="S151" t="s">
        <v>151</v>
      </c>
      <c r="T151">
        <v>3083.6</v>
      </c>
      <c r="V151" t="s">
        <v>210</v>
      </c>
      <c r="W151" s="5">
        <v>45931</v>
      </c>
      <c r="X151" t="s">
        <v>170</v>
      </c>
      <c r="Y151">
        <v>42</v>
      </c>
      <c r="AA151" t="s">
        <v>211</v>
      </c>
      <c r="AB151" s="5">
        <v>45962</v>
      </c>
      <c r="AC151" t="s">
        <v>185</v>
      </c>
      <c r="AD151">
        <v>2520.67</v>
      </c>
    </row>
    <row r="152" spans="2:30" ht="18.75">
      <c r="B152">
        <v>17</v>
      </c>
      <c r="C152" s="5">
        <v>46132</v>
      </c>
      <c r="D152" t="s">
        <v>129</v>
      </c>
      <c r="E152">
        <v>437.81</v>
      </c>
      <c r="G152">
        <v>23</v>
      </c>
      <c r="H152" s="5">
        <v>46174</v>
      </c>
      <c r="I152" t="s">
        <v>176</v>
      </c>
      <c r="J152">
        <v>144</v>
      </c>
      <c r="L152">
        <v>15</v>
      </c>
      <c r="M152" s="5">
        <v>46118</v>
      </c>
      <c r="N152" t="s">
        <v>181</v>
      </c>
      <c r="O152">
        <v>1358.42</v>
      </c>
      <c r="Q152" t="s">
        <v>205</v>
      </c>
      <c r="R152" s="5">
        <v>46174</v>
      </c>
      <c r="S152" t="s">
        <v>111</v>
      </c>
      <c r="T152">
        <v>705.16</v>
      </c>
      <c r="V152" t="s">
        <v>210</v>
      </c>
      <c r="W152" s="5">
        <v>45931</v>
      </c>
      <c r="X152" t="s">
        <v>176</v>
      </c>
      <c r="Y152">
        <v>256.61</v>
      </c>
      <c r="AA152" t="s">
        <v>211</v>
      </c>
      <c r="AB152" s="5">
        <v>45962</v>
      </c>
      <c r="AC152" t="s">
        <v>180</v>
      </c>
      <c r="AD152">
        <v>1678.27</v>
      </c>
    </row>
    <row r="153" spans="2:30" ht="18.75">
      <c r="B153">
        <v>17</v>
      </c>
      <c r="C153" s="5">
        <v>46132</v>
      </c>
      <c r="D153" t="s">
        <v>130</v>
      </c>
      <c r="E153">
        <v>414.98</v>
      </c>
      <c r="G153">
        <v>23</v>
      </c>
      <c r="H153" s="5">
        <v>46174</v>
      </c>
      <c r="I153" t="s">
        <v>163</v>
      </c>
      <c r="J153">
        <v>184.47</v>
      </c>
      <c r="L153">
        <v>15</v>
      </c>
      <c r="M153" s="5">
        <v>46118</v>
      </c>
      <c r="N153" t="s">
        <v>182</v>
      </c>
      <c r="O153">
        <v>1405.89</v>
      </c>
      <c r="Q153" t="s">
        <v>205</v>
      </c>
      <c r="R153" s="5">
        <v>46174</v>
      </c>
      <c r="S153" t="s">
        <v>112</v>
      </c>
      <c r="T153">
        <v>309.92</v>
      </c>
      <c r="V153" t="s">
        <v>210</v>
      </c>
      <c r="W153" s="5">
        <v>45931</v>
      </c>
      <c r="X153" t="s">
        <v>164</v>
      </c>
      <c r="Y153">
        <v>31.54</v>
      </c>
      <c r="AA153" t="s">
        <v>211</v>
      </c>
      <c r="AB153" s="5">
        <v>45962</v>
      </c>
      <c r="AC153" t="s">
        <v>181</v>
      </c>
      <c r="AD153">
        <v>6314.89</v>
      </c>
    </row>
    <row r="154" spans="2:30" ht="18.75">
      <c r="B154">
        <v>17</v>
      </c>
      <c r="C154" s="5">
        <v>46132</v>
      </c>
      <c r="D154" t="s">
        <v>132</v>
      </c>
      <c r="E154">
        <v>204.5</v>
      </c>
      <c r="G154">
        <v>23</v>
      </c>
      <c r="H154" s="5">
        <v>46174</v>
      </c>
      <c r="I154" t="s">
        <v>204</v>
      </c>
      <c r="J154">
        <v>447.17</v>
      </c>
      <c r="L154">
        <v>15</v>
      </c>
      <c r="M154" s="5">
        <v>46118</v>
      </c>
      <c r="N154" t="s">
        <v>183</v>
      </c>
      <c r="O154">
        <v>325.64999999999998</v>
      </c>
      <c r="Q154" t="s">
        <v>205</v>
      </c>
      <c r="R154" s="5">
        <v>46174</v>
      </c>
      <c r="S154" t="s">
        <v>113</v>
      </c>
      <c r="T154">
        <v>1112.24</v>
      </c>
      <c r="V154" t="s">
        <v>210</v>
      </c>
      <c r="W154" s="5">
        <v>45931</v>
      </c>
      <c r="X154" t="s">
        <v>163</v>
      </c>
      <c r="Y154">
        <v>726.86</v>
      </c>
      <c r="AA154" t="s">
        <v>211</v>
      </c>
      <c r="AB154" s="5">
        <v>45962</v>
      </c>
      <c r="AC154" t="s">
        <v>186</v>
      </c>
      <c r="AD154">
        <v>647.39</v>
      </c>
    </row>
    <row r="155" spans="2:30" ht="18.75">
      <c r="B155">
        <v>17</v>
      </c>
      <c r="C155" s="5">
        <v>46132</v>
      </c>
      <c r="D155" t="s">
        <v>133</v>
      </c>
      <c r="E155">
        <v>417.28</v>
      </c>
      <c r="G155">
        <v>23</v>
      </c>
      <c r="H155" s="5">
        <v>46174</v>
      </c>
      <c r="I155" t="s">
        <v>173</v>
      </c>
      <c r="J155">
        <v>933.1</v>
      </c>
      <c r="L155">
        <v>15</v>
      </c>
      <c r="M155" s="5">
        <v>46118</v>
      </c>
      <c r="N155" t="s">
        <v>184</v>
      </c>
      <c r="O155">
        <v>345.83</v>
      </c>
      <c r="Q155" t="s">
        <v>205</v>
      </c>
      <c r="R155" s="5">
        <v>46174</v>
      </c>
      <c r="S155" t="s">
        <v>114</v>
      </c>
      <c r="T155">
        <v>1414.22</v>
      </c>
      <c r="V155" t="s">
        <v>210</v>
      </c>
      <c r="W155" s="5">
        <v>45931</v>
      </c>
      <c r="X155" t="s">
        <v>168</v>
      </c>
      <c r="Y155">
        <v>620.92999999999995</v>
      </c>
      <c r="AA155" t="s">
        <v>213</v>
      </c>
      <c r="AB155" s="5">
        <v>45992</v>
      </c>
      <c r="AC155" t="s">
        <v>178</v>
      </c>
      <c r="AD155">
        <v>7307.33</v>
      </c>
    </row>
    <row r="156" spans="2:30" ht="18.75">
      <c r="B156">
        <v>17</v>
      </c>
      <c r="C156" s="5">
        <v>46132</v>
      </c>
      <c r="D156" t="s">
        <v>134</v>
      </c>
      <c r="E156">
        <v>384.48</v>
      </c>
      <c r="G156">
        <v>23</v>
      </c>
      <c r="H156" s="5">
        <v>46174</v>
      </c>
      <c r="I156" t="s">
        <v>206</v>
      </c>
      <c r="J156">
        <v>291.58999999999997</v>
      </c>
      <c r="L156">
        <v>15</v>
      </c>
      <c r="M156" s="5">
        <v>46118</v>
      </c>
      <c r="N156" t="s">
        <v>185</v>
      </c>
      <c r="O156">
        <v>845.7</v>
      </c>
      <c r="Q156" t="s">
        <v>205</v>
      </c>
      <c r="R156" s="5">
        <v>46174</v>
      </c>
      <c r="S156" t="s">
        <v>119</v>
      </c>
      <c r="T156">
        <v>1307.05</v>
      </c>
      <c r="V156" t="s">
        <v>210</v>
      </c>
      <c r="W156" s="5">
        <v>45931</v>
      </c>
      <c r="X156" t="s">
        <v>172</v>
      </c>
      <c r="Y156">
        <v>100.92</v>
      </c>
      <c r="AA156" t="s">
        <v>213</v>
      </c>
      <c r="AB156" s="5">
        <v>45992</v>
      </c>
      <c r="AC156" t="s">
        <v>179</v>
      </c>
      <c r="AD156">
        <v>10712.35</v>
      </c>
    </row>
    <row r="157" spans="2:30" ht="18.75">
      <c r="B157">
        <v>17</v>
      </c>
      <c r="C157" s="5">
        <v>46132</v>
      </c>
      <c r="D157" t="s">
        <v>135</v>
      </c>
      <c r="E157">
        <v>68.75</v>
      </c>
      <c r="G157">
        <v>24</v>
      </c>
      <c r="H157" s="5">
        <v>46181</v>
      </c>
      <c r="I157" t="s">
        <v>160</v>
      </c>
      <c r="J157">
        <v>6135.25</v>
      </c>
      <c r="L157">
        <v>16</v>
      </c>
      <c r="M157" s="5">
        <v>46125</v>
      </c>
      <c r="N157" t="s">
        <v>178</v>
      </c>
      <c r="O157">
        <v>1887.17</v>
      </c>
      <c r="Q157" t="s">
        <v>205</v>
      </c>
      <c r="R157" s="5">
        <v>46174</v>
      </c>
      <c r="S157" t="s">
        <v>120</v>
      </c>
      <c r="T157">
        <v>388.69</v>
      </c>
      <c r="V157" t="s">
        <v>210</v>
      </c>
      <c r="W157" s="5">
        <v>45931</v>
      </c>
      <c r="X157" t="s">
        <v>173</v>
      </c>
      <c r="Y157">
        <v>976.13</v>
      </c>
      <c r="AA157" t="s">
        <v>213</v>
      </c>
      <c r="AB157" s="5">
        <v>45992</v>
      </c>
      <c r="AC157" t="s">
        <v>180</v>
      </c>
      <c r="AD157">
        <v>1226.53</v>
      </c>
    </row>
    <row r="158" spans="2:30" ht="18.75">
      <c r="B158">
        <v>17</v>
      </c>
      <c r="C158" s="5">
        <v>46132</v>
      </c>
      <c r="D158" t="s">
        <v>136</v>
      </c>
      <c r="E158">
        <v>165</v>
      </c>
      <c r="G158">
        <v>24</v>
      </c>
      <c r="H158" s="5">
        <v>46181</v>
      </c>
      <c r="I158" t="s">
        <v>165</v>
      </c>
      <c r="J158">
        <v>180.85</v>
      </c>
      <c r="L158">
        <v>16</v>
      </c>
      <c r="M158" s="5">
        <v>46125</v>
      </c>
      <c r="N158" t="s">
        <v>179</v>
      </c>
      <c r="O158">
        <v>3057.45</v>
      </c>
      <c r="Q158" t="s">
        <v>205</v>
      </c>
      <c r="R158" s="5">
        <v>46174</v>
      </c>
      <c r="S158" t="s">
        <v>121</v>
      </c>
      <c r="T158">
        <v>548.25</v>
      </c>
      <c r="V158" t="s">
        <v>210</v>
      </c>
      <c r="W158" s="5">
        <v>45931</v>
      </c>
      <c r="X158" t="s">
        <v>158</v>
      </c>
      <c r="Y158">
        <v>1034.17</v>
      </c>
      <c r="AA158" t="s">
        <v>213</v>
      </c>
      <c r="AB158" s="5">
        <v>45992</v>
      </c>
      <c r="AC158" t="s">
        <v>181</v>
      </c>
      <c r="AD158">
        <v>6239.62</v>
      </c>
    </row>
    <row r="159" spans="2:30" ht="18.75">
      <c r="B159">
        <v>17</v>
      </c>
      <c r="C159" s="5">
        <v>46132</v>
      </c>
      <c r="D159" t="s">
        <v>137</v>
      </c>
      <c r="E159">
        <v>86.82</v>
      </c>
      <c r="G159">
        <v>24</v>
      </c>
      <c r="H159" s="5">
        <v>46181</v>
      </c>
      <c r="I159" t="s">
        <v>171</v>
      </c>
      <c r="J159">
        <v>788</v>
      </c>
      <c r="L159">
        <v>16</v>
      </c>
      <c r="M159" s="5">
        <v>46125</v>
      </c>
      <c r="N159" t="s">
        <v>180</v>
      </c>
      <c r="O159">
        <v>141.6</v>
      </c>
      <c r="Q159" t="s">
        <v>205</v>
      </c>
      <c r="R159" s="5">
        <v>46174</v>
      </c>
      <c r="S159" t="s">
        <v>125</v>
      </c>
      <c r="T159">
        <v>394.58</v>
      </c>
      <c r="V159" t="s">
        <v>211</v>
      </c>
      <c r="W159" s="5">
        <v>45962</v>
      </c>
      <c r="X159" t="s">
        <v>160</v>
      </c>
      <c r="Y159">
        <v>16475.080000000002</v>
      </c>
      <c r="AA159" t="s">
        <v>213</v>
      </c>
      <c r="AB159" s="5">
        <v>45992</v>
      </c>
      <c r="AC159" t="s">
        <v>182</v>
      </c>
      <c r="AD159">
        <v>6791.19</v>
      </c>
    </row>
    <row r="160" spans="2:30" ht="18.75">
      <c r="B160">
        <v>17</v>
      </c>
      <c r="C160" s="5">
        <v>46132</v>
      </c>
      <c r="D160" t="s">
        <v>138</v>
      </c>
      <c r="E160">
        <v>478.09</v>
      </c>
      <c r="G160">
        <v>24</v>
      </c>
      <c r="H160" s="5">
        <v>46181</v>
      </c>
      <c r="I160" t="s">
        <v>198</v>
      </c>
      <c r="J160">
        <v>547.34</v>
      </c>
      <c r="L160">
        <v>16</v>
      </c>
      <c r="M160" s="5">
        <v>46125</v>
      </c>
      <c r="N160" t="s">
        <v>181</v>
      </c>
      <c r="O160">
        <v>1602.25</v>
      </c>
      <c r="Q160" t="s">
        <v>205</v>
      </c>
      <c r="R160" s="5">
        <v>46174</v>
      </c>
      <c r="S160" t="s">
        <v>135</v>
      </c>
      <c r="T160">
        <v>330.95</v>
      </c>
      <c r="V160" t="s">
        <v>211</v>
      </c>
      <c r="W160" s="5">
        <v>45962</v>
      </c>
      <c r="X160" t="s">
        <v>169</v>
      </c>
      <c r="Y160">
        <v>7490.84</v>
      </c>
      <c r="AA160" t="s">
        <v>213</v>
      </c>
      <c r="AB160" s="5">
        <v>45992</v>
      </c>
      <c r="AC160" t="s">
        <v>183</v>
      </c>
      <c r="AD160">
        <v>1707.39</v>
      </c>
    </row>
    <row r="161" spans="2:30" ht="18.75">
      <c r="B161">
        <v>17</v>
      </c>
      <c r="C161" s="5">
        <v>46132</v>
      </c>
      <c r="D161" t="s">
        <v>141</v>
      </c>
      <c r="E161">
        <v>649.15</v>
      </c>
      <c r="G161">
        <v>24</v>
      </c>
      <c r="H161" s="5">
        <v>46181</v>
      </c>
      <c r="I161" t="s">
        <v>167</v>
      </c>
      <c r="J161">
        <v>473.21</v>
      </c>
      <c r="L161">
        <v>16</v>
      </c>
      <c r="M161" s="5">
        <v>46125</v>
      </c>
      <c r="N161" t="s">
        <v>182</v>
      </c>
      <c r="O161">
        <v>1878.44</v>
      </c>
      <c r="Q161" t="s">
        <v>205</v>
      </c>
      <c r="R161" s="5">
        <v>46174</v>
      </c>
      <c r="S161" t="s">
        <v>137</v>
      </c>
      <c r="T161">
        <v>444.67</v>
      </c>
      <c r="V161" t="s">
        <v>211</v>
      </c>
      <c r="W161" s="5">
        <v>45962</v>
      </c>
      <c r="X161" t="s">
        <v>163</v>
      </c>
      <c r="Y161">
        <v>1561.11</v>
      </c>
      <c r="AA161" t="s">
        <v>213</v>
      </c>
      <c r="AB161" s="5">
        <v>45992</v>
      </c>
      <c r="AC161" t="s">
        <v>184</v>
      </c>
      <c r="AD161">
        <v>1504.56</v>
      </c>
    </row>
    <row r="162" spans="2:30" ht="18.75">
      <c r="B162">
        <v>17</v>
      </c>
      <c r="C162" s="5">
        <v>46132</v>
      </c>
      <c r="D162" t="s">
        <v>142</v>
      </c>
      <c r="E162">
        <v>176.01</v>
      </c>
      <c r="G162">
        <v>24</v>
      </c>
      <c r="H162" s="5">
        <v>46181</v>
      </c>
      <c r="I162" t="s">
        <v>169</v>
      </c>
      <c r="J162">
        <v>1996.75</v>
      </c>
      <c r="L162">
        <v>16</v>
      </c>
      <c r="M162" s="5">
        <v>46125</v>
      </c>
      <c r="N162" t="s">
        <v>183</v>
      </c>
      <c r="O162">
        <v>388.65</v>
      </c>
      <c r="Q162" t="s">
        <v>205</v>
      </c>
      <c r="R162" s="5">
        <v>46174</v>
      </c>
      <c r="S162" t="s">
        <v>141</v>
      </c>
      <c r="T162">
        <v>1987.4</v>
      </c>
      <c r="V162" t="s">
        <v>211</v>
      </c>
      <c r="W162" s="5">
        <v>45962</v>
      </c>
      <c r="X162" t="s">
        <v>168</v>
      </c>
      <c r="Y162">
        <v>1660.82</v>
      </c>
      <c r="AA162" t="s">
        <v>213</v>
      </c>
      <c r="AB162" s="5">
        <v>45992</v>
      </c>
      <c r="AC162" t="s">
        <v>185</v>
      </c>
      <c r="AD162">
        <v>2813.6</v>
      </c>
    </row>
    <row r="163" spans="2:30" ht="18.75">
      <c r="B163">
        <v>17</v>
      </c>
      <c r="C163" s="5">
        <v>46132</v>
      </c>
      <c r="D163" t="s">
        <v>139</v>
      </c>
      <c r="E163">
        <v>265</v>
      </c>
      <c r="G163">
        <v>24</v>
      </c>
      <c r="H163" s="5">
        <v>46181</v>
      </c>
      <c r="I163" t="s">
        <v>209</v>
      </c>
      <c r="J163">
        <v>84.24</v>
      </c>
      <c r="L163">
        <v>16</v>
      </c>
      <c r="M163" s="5">
        <v>46125</v>
      </c>
      <c r="N163" t="s">
        <v>184</v>
      </c>
      <c r="O163">
        <v>503.17</v>
      </c>
      <c r="Q163" t="s">
        <v>205</v>
      </c>
      <c r="R163" s="5">
        <v>46174</v>
      </c>
      <c r="S163" t="s">
        <v>139</v>
      </c>
      <c r="T163">
        <v>1000.27</v>
      </c>
      <c r="V163" t="s">
        <v>211</v>
      </c>
      <c r="W163" s="5">
        <v>45962</v>
      </c>
      <c r="X163" t="s">
        <v>172</v>
      </c>
      <c r="Y163">
        <v>338.87</v>
      </c>
      <c r="AA163" t="s">
        <v>213</v>
      </c>
      <c r="AB163" s="5">
        <v>45992</v>
      </c>
      <c r="AC163" t="s">
        <v>186</v>
      </c>
      <c r="AD163">
        <v>1185.55</v>
      </c>
    </row>
    <row r="164" spans="2:30" ht="18.75">
      <c r="B164">
        <v>17</v>
      </c>
      <c r="C164" s="5">
        <v>46132</v>
      </c>
      <c r="D164" t="s">
        <v>143</v>
      </c>
      <c r="E164">
        <v>2020.19</v>
      </c>
      <c r="G164">
        <v>24</v>
      </c>
      <c r="H164" s="5">
        <v>46181</v>
      </c>
      <c r="I164" t="s">
        <v>176</v>
      </c>
      <c r="J164">
        <v>152.88</v>
      </c>
      <c r="L164">
        <v>16</v>
      </c>
      <c r="M164" s="5">
        <v>46125</v>
      </c>
      <c r="N164" t="s">
        <v>185</v>
      </c>
      <c r="O164">
        <v>858.85</v>
      </c>
      <c r="Q164" t="s">
        <v>205</v>
      </c>
      <c r="R164" s="5">
        <v>46174</v>
      </c>
      <c r="S164" t="s">
        <v>216</v>
      </c>
      <c r="T164">
        <v>1716.33</v>
      </c>
      <c r="V164" t="s">
        <v>211</v>
      </c>
      <c r="W164" s="5">
        <v>45962</v>
      </c>
      <c r="X164" t="s">
        <v>173</v>
      </c>
      <c r="Y164">
        <v>2520.67</v>
      </c>
      <c r="AA164" t="s">
        <v>214</v>
      </c>
      <c r="AB164" s="5">
        <v>45658</v>
      </c>
      <c r="AC164" t="s">
        <v>178</v>
      </c>
      <c r="AD164">
        <v>7746.05</v>
      </c>
    </row>
    <row r="165" spans="2:30" ht="18.75">
      <c r="B165">
        <v>17</v>
      </c>
      <c r="C165" s="5">
        <v>46132</v>
      </c>
      <c r="D165" t="s">
        <v>144</v>
      </c>
      <c r="E165">
        <v>505.96</v>
      </c>
      <c r="G165">
        <v>24</v>
      </c>
      <c r="H165" s="5">
        <v>46181</v>
      </c>
      <c r="I165" t="s">
        <v>163</v>
      </c>
      <c r="J165">
        <v>301.86</v>
      </c>
      <c r="L165">
        <v>17</v>
      </c>
      <c r="M165" s="5">
        <v>46132</v>
      </c>
      <c r="N165" t="s">
        <v>178</v>
      </c>
      <c r="O165">
        <v>2460.15</v>
      </c>
      <c r="Q165" t="s">
        <v>205</v>
      </c>
      <c r="R165" s="5">
        <v>46174</v>
      </c>
      <c r="S165" t="s">
        <v>127</v>
      </c>
      <c r="T165">
        <v>1052.8399999999999</v>
      </c>
      <c r="V165" t="s">
        <v>211</v>
      </c>
      <c r="W165" s="5">
        <v>45962</v>
      </c>
      <c r="X165" t="s">
        <v>165</v>
      </c>
      <c r="Y165">
        <v>1678.27</v>
      </c>
      <c r="AA165" t="s">
        <v>214</v>
      </c>
      <c r="AB165" s="5">
        <v>45658</v>
      </c>
      <c r="AC165" t="s">
        <v>179</v>
      </c>
      <c r="AD165">
        <v>11056.24</v>
      </c>
    </row>
    <row r="166" spans="2:30" ht="18.75">
      <c r="B166">
        <v>17</v>
      </c>
      <c r="C166" s="5">
        <v>46132</v>
      </c>
      <c r="D166" t="s">
        <v>145</v>
      </c>
      <c r="E166">
        <v>240.35</v>
      </c>
      <c r="G166">
        <v>24</v>
      </c>
      <c r="H166" s="5">
        <v>46181</v>
      </c>
      <c r="I166" t="s">
        <v>204</v>
      </c>
      <c r="J166">
        <v>454.82</v>
      </c>
      <c r="L166">
        <v>17</v>
      </c>
      <c r="M166" s="5">
        <v>46132</v>
      </c>
      <c r="N166" t="s">
        <v>179</v>
      </c>
      <c r="O166">
        <v>3471.96</v>
      </c>
      <c r="Q166" t="s">
        <v>205</v>
      </c>
      <c r="R166" s="5">
        <v>46174</v>
      </c>
      <c r="S166" t="s">
        <v>115</v>
      </c>
      <c r="T166">
        <v>1595.65</v>
      </c>
      <c r="V166" t="s">
        <v>211</v>
      </c>
      <c r="W166" s="5">
        <v>45962</v>
      </c>
      <c r="X166" t="s">
        <v>171</v>
      </c>
      <c r="Y166">
        <v>2375.34</v>
      </c>
      <c r="AA166" t="s">
        <v>214</v>
      </c>
      <c r="AB166" s="5">
        <v>45658</v>
      </c>
      <c r="AC166" t="s">
        <v>180</v>
      </c>
      <c r="AD166">
        <v>531.79</v>
      </c>
    </row>
    <row r="167" spans="2:30" ht="18.75">
      <c r="B167">
        <v>17</v>
      </c>
      <c r="C167" s="5">
        <v>46132</v>
      </c>
      <c r="D167" t="s">
        <v>146</v>
      </c>
      <c r="E167">
        <v>610.71</v>
      </c>
      <c r="G167">
        <v>24</v>
      </c>
      <c r="H167" s="5">
        <v>46181</v>
      </c>
      <c r="I167" t="s">
        <v>173</v>
      </c>
      <c r="J167">
        <v>878.3</v>
      </c>
      <c r="L167">
        <v>17</v>
      </c>
      <c r="M167" s="5">
        <v>46132</v>
      </c>
      <c r="N167" t="s">
        <v>180</v>
      </c>
      <c r="O167">
        <v>84</v>
      </c>
      <c r="Q167" t="s">
        <v>205</v>
      </c>
      <c r="R167" s="5">
        <v>46174</v>
      </c>
      <c r="S167" t="s">
        <v>217</v>
      </c>
      <c r="T167">
        <v>242.54</v>
      </c>
      <c r="V167" t="s">
        <v>211</v>
      </c>
      <c r="W167" s="5">
        <v>45962</v>
      </c>
      <c r="X167" t="s">
        <v>174</v>
      </c>
      <c r="Y167">
        <v>2246.44</v>
      </c>
      <c r="AA167" t="s">
        <v>214</v>
      </c>
      <c r="AB167" s="5">
        <v>45658</v>
      </c>
      <c r="AC167" t="s">
        <v>181</v>
      </c>
      <c r="AD167">
        <v>6581.76</v>
      </c>
    </row>
    <row r="168" spans="2:30" ht="18.75">
      <c r="B168">
        <v>17</v>
      </c>
      <c r="C168" s="5">
        <v>46132</v>
      </c>
      <c r="D168" t="s">
        <v>148</v>
      </c>
      <c r="E168">
        <v>131.05000000000001</v>
      </c>
      <c r="G168">
        <v>24</v>
      </c>
      <c r="H168" s="5">
        <v>46181</v>
      </c>
      <c r="I168" t="s">
        <v>206</v>
      </c>
      <c r="J168">
        <v>423.18</v>
      </c>
      <c r="L168">
        <v>17</v>
      </c>
      <c r="M168" s="5">
        <v>46132</v>
      </c>
      <c r="N168" t="s">
        <v>181</v>
      </c>
      <c r="O168">
        <v>1954.98</v>
      </c>
      <c r="Q168" t="s">
        <v>205</v>
      </c>
      <c r="R168" s="5">
        <v>46174</v>
      </c>
      <c r="S168" t="s">
        <v>218</v>
      </c>
      <c r="T168">
        <v>144.51</v>
      </c>
      <c r="V168" t="s">
        <v>211</v>
      </c>
      <c r="W168" s="5">
        <v>45962</v>
      </c>
      <c r="X168" t="s">
        <v>164</v>
      </c>
      <c r="Y168">
        <v>77.66</v>
      </c>
      <c r="AA168" t="s">
        <v>214</v>
      </c>
      <c r="AB168" s="5">
        <v>45658</v>
      </c>
      <c r="AC168" t="s">
        <v>182</v>
      </c>
      <c r="AD168">
        <v>7300.67</v>
      </c>
    </row>
    <row r="169" spans="2:30" ht="18.75">
      <c r="B169">
        <v>17</v>
      </c>
      <c r="C169" s="5">
        <v>46132</v>
      </c>
      <c r="D169" t="s">
        <v>147</v>
      </c>
      <c r="E169">
        <v>340.44</v>
      </c>
      <c r="G169">
        <v>25</v>
      </c>
      <c r="H169" s="5">
        <v>46188</v>
      </c>
      <c r="I169" t="s">
        <v>160</v>
      </c>
      <c r="J169">
        <v>5736.7</v>
      </c>
      <c r="L169">
        <v>17</v>
      </c>
      <c r="M169" s="5">
        <v>46132</v>
      </c>
      <c r="N169" t="s">
        <v>182</v>
      </c>
      <c r="O169">
        <v>2028.45</v>
      </c>
      <c r="Q169" t="s">
        <v>208</v>
      </c>
      <c r="R169" s="5">
        <v>46204</v>
      </c>
      <c r="S169" t="s">
        <v>111</v>
      </c>
      <c r="T169">
        <v>83.68</v>
      </c>
      <c r="V169" t="s">
        <v>211</v>
      </c>
      <c r="W169" s="5">
        <v>45962</v>
      </c>
      <c r="X169" t="s">
        <v>176</v>
      </c>
      <c r="Y169">
        <v>729.75</v>
      </c>
      <c r="AA169" t="s">
        <v>214</v>
      </c>
      <c r="AB169" s="5">
        <v>45658</v>
      </c>
      <c r="AC169" t="s">
        <v>183</v>
      </c>
      <c r="AD169">
        <v>1300.8</v>
      </c>
    </row>
    <row r="170" spans="2:30" ht="18.75">
      <c r="B170">
        <v>17</v>
      </c>
      <c r="C170" s="5">
        <v>46132</v>
      </c>
      <c r="D170" t="s">
        <v>150</v>
      </c>
      <c r="E170">
        <v>94.04</v>
      </c>
      <c r="G170">
        <v>25</v>
      </c>
      <c r="H170" s="5">
        <v>46188</v>
      </c>
      <c r="I170" t="s">
        <v>165</v>
      </c>
      <c r="J170">
        <v>303.25</v>
      </c>
      <c r="L170">
        <v>17</v>
      </c>
      <c r="M170" s="5">
        <v>46132</v>
      </c>
      <c r="N170" t="s">
        <v>183</v>
      </c>
      <c r="O170">
        <v>589.15</v>
      </c>
      <c r="Q170" t="s">
        <v>208</v>
      </c>
      <c r="R170" s="5">
        <v>46204</v>
      </c>
      <c r="S170" t="s">
        <v>112</v>
      </c>
      <c r="T170">
        <v>45.57</v>
      </c>
      <c r="V170" t="s">
        <v>211</v>
      </c>
      <c r="W170" s="5">
        <v>45962</v>
      </c>
      <c r="X170" t="s">
        <v>158</v>
      </c>
      <c r="Y170">
        <v>1444.59</v>
      </c>
      <c r="AA170" t="s">
        <v>214</v>
      </c>
      <c r="AB170" s="5">
        <v>45658</v>
      </c>
      <c r="AC170" t="s">
        <v>184</v>
      </c>
      <c r="AD170">
        <v>1453.62</v>
      </c>
    </row>
    <row r="171" spans="2:30" ht="18.75">
      <c r="B171">
        <v>17</v>
      </c>
      <c r="C171" s="5">
        <v>46132</v>
      </c>
      <c r="D171" t="s">
        <v>151</v>
      </c>
      <c r="E171">
        <v>721.24</v>
      </c>
      <c r="G171">
        <v>25</v>
      </c>
      <c r="H171" s="5">
        <v>46188</v>
      </c>
      <c r="I171" t="s">
        <v>171</v>
      </c>
      <c r="J171">
        <v>522.04</v>
      </c>
      <c r="L171">
        <v>17</v>
      </c>
      <c r="M171" s="5">
        <v>46132</v>
      </c>
      <c r="N171" t="s">
        <v>184</v>
      </c>
      <c r="O171">
        <v>552.08000000000004</v>
      </c>
      <c r="Q171" t="s">
        <v>208</v>
      </c>
      <c r="R171" s="5">
        <v>46204</v>
      </c>
      <c r="S171" t="s">
        <v>114</v>
      </c>
      <c r="T171">
        <v>161.86000000000001</v>
      </c>
      <c r="V171" t="s">
        <v>210</v>
      </c>
      <c r="W171" s="5">
        <v>45931</v>
      </c>
      <c r="X171" t="s">
        <v>204</v>
      </c>
      <c r="Y171">
        <v>12.57</v>
      </c>
      <c r="AA171" t="s">
        <v>214</v>
      </c>
      <c r="AB171" s="5">
        <v>45658</v>
      </c>
      <c r="AC171" t="s">
        <v>185</v>
      </c>
      <c r="AD171">
        <v>2677.95</v>
      </c>
    </row>
    <row r="172" spans="2:30" ht="18.75">
      <c r="B172">
        <v>17</v>
      </c>
      <c r="C172" s="5">
        <v>46132</v>
      </c>
      <c r="D172" t="s">
        <v>127</v>
      </c>
      <c r="E172">
        <v>301.81</v>
      </c>
      <c r="G172">
        <v>25</v>
      </c>
      <c r="H172" s="5">
        <v>46188</v>
      </c>
      <c r="I172" t="s">
        <v>167</v>
      </c>
      <c r="J172">
        <v>483.12</v>
      </c>
      <c r="L172">
        <v>17</v>
      </c>
      <c r="M172" s="5">
        <v>46132</v>
      </c>
      <c r="N172" t="s">
        <v>185</v>
      </c>
      <c r="O172">
        <v>991.65</v>
      </c>
      <c r="Q172" t="s">
        <v>208</v>
      </c>
      <c r="R172" s="5">
        <v>46204</v>
      </c>
      <c r="S172" t="s">
        <v>218</v>
      </c>
      <c r="T172">
        <v>40.94</v>
      </c>
      <c r="V172" t="s">
        <v>211</v>
      </c>
      <c r="W172" s="5">
        <v>45962</v>
      </c>
      <c r="X172" t="s">
        <v>204</v>
      </c>
      <c r="Y172">
        <v>29.98</v>
      </c>
      <c r="AA172" t="s">
        <v>214</v>
      </c>
      <c r="AB172" s="5">
        <v>46023</v>
      </c>
      <c r="AC172" t="s">
        <v>186</v>
      </c>
      <c r="AD172">
        <v>569.77</v>
      </c>
    </row>
    <row r="173" spans="2:30" ht="18.75">
      <c r="B173">
        <v>17</v>
      </c>
      <c r="C173" s="5">
        <v>46132</v>
      </c>
      <c r="D173" t="s">
        <v>115</v>
      </c>
      <c r="E173">
        <v>184.05</v>
      </c>
      <c r="G173">
        <v>25</v>
      </c>
      <c r="H173" s="5">
        <v>46188</v>
      </c>
      <c r="I173" t="s">
        <v>198</v>
      </c>
      <c r="J173">
        <v>398.65</v>
      </c>
      <c r="L173">
        <v>17</v>
      </c>
      <c r="M173" s="5">
        <v>46132</v>
      </c>
      <c r="N173" t="s">
        <v>202</v>
      </c>
      <c r="O173">
        <v>184.05</v>
      </c>
      <c r="Q173" t="s">
        <v>208</v>
      </c>
      <c r="R173" s="5">
        <v>46204</v>
      </c>
      <c r="S173" t="s">
        <v>117</v>
      </c>
      <c r="T173">
        <v>112.98</v>
      </c>
      <c r="V173" t="s">
        <v>211</v>
      </c>
      <c r="W173" s="5">
        <v>45962</v>
      </c>
      <c r="X173" t="s">
        <v>170</v>
      </c>
      <c r="Y173">
        <v>264</v>
      </c>
      <c r="AA173" t="s">
        <v>215</v>
      </c>
      <c r="AB173" s="5">
        <v>46054</v>
      </c>
      <c r="AC173" t="s">
        <v>178</v>
      </c>
      <c r="AD173">
        <v>5126.3500000000004</v>
      </c>
    </row>
    <row r="174" spans="2:30" ht="18.75">
      <c r="B174">
        <v>18</v>
      </c>
      <c r="C174" s="5">
        <v>46139</v>
      </c>
      <c r="D174" t="s">
        <v>112</v>
      </c>
      <c r="E174">
        <v>83.31</v>
      </c>
      <c r="G174">
        <v>25</v>
      </c>
      <c r="H174" s="5">
        <v>46188</v>
      </c>
      <c r="I174" t="s">
        <v>169</v>
      </c>
      <c r="J174">
        <v>1881.5</v>
      </c>
      <c r="L174">
        <v>18</v>
      </c>
      <c r="M174" s="5">
        <v>46139</v>
      </c>
      <c r="N174" t="s">
        <v>178</v>
      </c>
      <c r="O174">
        <v>1892.1</v>
      </c>
      <c r="Q174" t="s">
        <v>208</v>
      </c>
      <c r="R174" s="5">
        <v>46204</v>
      </c>
      <c r="S174" t="s">
        <v>118</v>
      </c>
      <c r="T174">
        <v>77.900000000000006</v>
      </c>
      <c r="V174" t="s">
        <v>211</v>
      </c>
      <c r="W174" s="5">
        <v>45962</v>
      </c>
      <c r="X174" t="s">
        <v>198</v>
      </c>
      <c r="Y174">
        <v>2862.08</v>
      </c>
      <c r="AA174" t="s">
        <v>215</v>
      </c>
      <c r="AB174" s="5">
        <v>46054</v>
      </c>
      <c r="AC174" t="s">
        <v>179</v>
      </c>
      <c r="AD174">
        <v>7444.58</v>
      </c>
    </row>
    <row r="175" spans="2:30" ht="18.75">
      <c r="B175">
        <v>18</v>
      </c>
      <c r="C175" s="5">
        <v>46139</v>
      </c>
      <c r="D175" t="s">
        <v>114</v>
      </c>
      <c r="E175">
        <v>314.3</v>
      </c>
      <c r="G175">
        <v>25</v>
      </c>
      <c r="H175" s="5">
        <v>46188</v>
      </c>
      <c r="I175" t="s">
        <v>209</v>
      </c>
      <c r="J175">
        <v>86.4</v>
      </c>
      <c r="L175">
        <v>18</v>
      </c>
      <c r="M175" s="5">
        <v>46139</v>
      </c>
      <c r="N175" t="s">
        <v>179</v>
      </c>
      <c r="O175">
        <v>3065.82</v>
      </c>
      <c r="Q175" t="s">
        <v>208</v>
      </c>
      <c r="R175" s="5">
        <v>46204</v>
      </c>
      <c r="S175" t="s">
        <v>119</v>
      </c>
      <c r="T175">
        <v>137.36000000000001</v>
      </c>
      <c r="V175" t="s">
        <v>211</v>
      </c>
      <c r="W175" s="5">
        <v>45962</v>
      </c>
      <c r="X175" t="s">
        <v>175</v>
      </c>
      <c r="Y175">
        <v>647.39</v>
      </c>
      <c r="AA175" t="s">
        <v>215</v>
      </c>
      <c r="AB175" s="5">
        <v>46054</v>
      </c>
      <c r="AC175" t="s">
        <v>180</v>
      </c>
      <c r="AD175">
        <v>468.1</v>
      </c>
    </row>
    <row r="176" spans="2:30" ht="18.75">
      <c r="B176">
        <v>18</v>
      </c>
      <c r="C176" s="5">
        <v>46139</v>
      </c>
      <c r="D176" t="s">
        <v>117</v>
      </c>
      <c r="E176">
        <v>165.89</v>
      </c>
      <c r="G176">
        <v>25</v>
      </c>
      <c r="H176" s="5">
        <v>46188</v>
      </c>
      <c r="I176" t="s">
        <v>176</v>
      </c>
      <c r="J176">
        <v>141.12</v>
      </c>
      <c r="L176">
        <v>18</v>
      </c>
      <c r="M176" s="5">
        <v>46139</v>
      </c>
      <c r="N176" t="s">
        <v>180</v>
      </c>
      <c r="O176">
        <v>182.25</v>
      </c>
      <c r="Q176" t="s">
        <v>208</v>
      </c>
      <c r="R176" s="5">
        <v>46204</v>
      </c>
      <c r="S176" t="s">
        <v>120</v>
      </c>
      <c r="T176">
        <v>74.36</v>
      </c>
      <c r="V176" t="s">
        <v>213</v>
      </c>
      <c r="W176" s="5">
        <v>45992</v>
      </c>
      <c r="X176" t="s">
        <v>160</v>
      </c>
      <c r="Y176">
        <v>13067.62</v>
      </c>
      <c r="AA176" t="s">
        <v>215</v>
      </c>
      <c r="AB176" s="5">
        <v>46054</v>
      </c>
      <c r="AC176" t="s">
        <v>181</v>
      </c>
      <c r="AD176">
        <v>3567.81</v>
      </c>
    </row>
    <row r="177" spans="2:30" ht="18.75">
      <c r="B177">
        <v>18</v>
      </c>
      <c r="C177" s="5">
        <v>46139</v>
      </c>
      <c r="D177" t="s">
        <v>119</v>
      </c>
      <c r="E177">
        <v>419.15</v>
      </c>
      <c r="G177">
        <v>25</v>
      </c>
      <c r="H177" s="5">
        <v>46188</v>
      </c>
      <c r="I177" t="s">
        <v>163</v>
      </c>
      <c r="J177">
        <v>319.92</v>
      </c>
      <c r="L177">
        <v>18</v>
      </c>
      <c r="M177" s="5">
        <v>46139</v>
      </c>
      <c r="N177" t="s">
        <v>181</v>
      </c>
      <c r="O177">
        <v>1626.6</v>
      </c>
      <c r="Q177" t="s">
        <v>208</v>
      </c>
      <c r="R177" s="5">
        <v>46204</v>
      </c>
      <c r="S177" t="s">
        <v>121</v>
      </c>
      <c r="T177">
        <v>53.56</v>
      </c>
      <c r="V177" t="s">
        <v>213</v>
      </c>
      <c r="W177" s="5">
        <v>45992</v>
      </c>
      <c r="X177" t="s">
        <v>165</v>
      </c>
      <c r="Y177">
        <v>1226.53</v>
      </c>
      <c r="AA177" t="s">
        <v>215</v>
      </c>
      <c r="AB177" s="5">
        <v>46054</v>
      </c>
      <c r="AC177" t="s">
        <v>182</v>
      </c>
      <c r="AD177">
        <v>5055.53</v>
      </c>
    </row>
    <row r="178" spans="2:30" ht="18.75">
      <c r="B178">
        <v>18</v>
      </c>
      <c r="C178" s="5">
        <v>46139</v>
      </c>
      <c r="D178" t="s">
        <v>120</v>
      </c>
      <c r="E178">
        <v>85.05</v>
      </c>
      <c r="G178">
        <v>25</v>
      </c>
      <c r="H178" s="5">
        <v>46188</v>
      </c>
      <c r="I178" t="s">
        <v>204</v>
      </c>
      <c r="J178">
        <v>550.20000000000005</v>
      </c>
      <c r="L178">
        <v>18</v>
      </c>
      <c r="M178" s="5">
        <v>46139</v>
      </c>
      <c r="N178" t="s">
        <v>182</v>
      </c>
      <c r="O178">
        <v>1577.4</v>
      </c>
      <c r="Q178" t="s">
        <v>208</v>
      </c>
      <c r="R178" s="5">
        <v>46204</v>
      </c>
      <c r="S178" t="s">
        <v>122</v>
      </c>
      <c r="T178">
        <v>217.22</v>
      </c>
      <c r="V178" t="s">
        <v>213</v>
      </c>
      <c r="W178" s="5">
        <v>45992</v>
      </c>
      <c r="X178" t="s">
        <v>171</v>
      </c>
      <c r="Y178">
        <v>2749.42</v>
      </c>
      <c r="AA178" t="s">
        <v>215</v>
      </c>
      <c r="AB178" s="5">
        <v>46054</v>
      </c>
      <c r="AC178" t="s">
        <v>183</v>
      </c>
      <c r="AD178">
        <v>972.8</v>
      </c>
    </row>
    <row r="179" spans="2:30" ht="18.75">
      <c r="B179">
        <v>18</v>
      </c>
      <c r="C179" s="5">
        <v>46139</v>
      </c>
      <c r="D179" t="s">
        <v>122</v>
      </c>
      <c r="E179">
        <v>133.97999999999999</v>
      </c>
      <c r="G179">
        <v>25</v>
      </c>
      <c r="H179" s="5">
        <v>46188</v>
      </c>
      <c r="I179" t="s">
        <v>173</v>
      </c>
      <c r="J179">
        <v>912.45</v>
      </c>
      <c r="L179">
        <v>18</v>
      </c>
      <c r="M179" s="5">
        <v>46139</v>
      </c>
      <c r="N179" t="s">
        <v>183</v>
      </c>
      <c r="O179">
        <v>920.65</v>
      </c>
      <c r="Q179" t="s">
        <v>208</v>
      </c>
      <c r="R179" s="5">
        <v>46204</v>
      </c>
      <c r="S179" t="s">
        <v>123</v>
      </c>
      <c r="T179">
        <v>182.94</v>
      </c>
      <c r="V179" t="s">
        <v>213</v>
      </c>
      <c r="W179" s="5">
        <v>45992</v>
      </c>
      <c r="X179" t="s">
        <v>198</v>
      </c>
      <c r="Y179">
        <v>3350.87</v>
      </c>
      <c r="AA179" t="s">
        <v>215</v>
      </c>
      <c r="AB179" s="5">
        <v>46054</v>
      </c>
      <c r="AC179" t="s">
        <v>184</v>
      </c>
      <c r="AD179">
        <v>1106.1600000000001</v>
      </c>
    </row>
    <row r="180" spans="2:30" ht="18.75">
      <c r="B180">
        <v>18</v>
      </c>
      <c r="C180" s="5">
        <v>46139</v>
      </c>
      <c r="D180" t="s">
        <v>123</v>
      </c>
      <c r="E180">
        <v>557.74</v>
      </c>
      <c r="G180">
        <v>25</v>
      </c>
      <c r="H180" s="5">
        <v>46188</v>
      </c>
      <c r="I180" t="s">
        <v>206</v>
      </c>
      <c r="J180">
        <v>438.7</v>
      </c>
      <c r="L180">
        <v>18</v>
      </c>
      <c r="M180" s="5">
        <v>46139</v>
      </c>
      <c r="N180" t="s">
        <v>184</v>
      </c>
      <c r="O180">
        <v>799.3</v>
      </c>
      <c r="Q180" t="s">
        <v>208</v>
      </c>
      <c r="R180" s="5">
        <v>46204</v>
      </c>
      <c r="S180" t="s">
        <v>124</v>
      </c>
      <c r="T180">
        <v>176.73</v>
      </c>
      <c r="V180" t="s">
        <v>213</v>
      </c>
      <c r="W180" s="5">
        <v>45992</v>
      </c>
      <c r="X180" t="s">
        <v>169</v>
      </c>
      <c r="Y180">
        <v>6791.19</v>
      </c>
      <c r="AA180" t="s">
        <v>215</v>
      </c>
      <c r="AB180" s="5">
        <v>46054</v>
      </c>
      <c r="AC180" t="s">
        <v>185</v>
      </c>
      <c r="AD180">
        <v>1677.11</v>
      </c>
    </row>
    <row r="181" spans="2:30" ht="18.75">
      <c r="B181">
        <v>18</v>
      </c>
      <c r="C181" s="5">
        <v>46139</v>
      </c>
      <c r="D181" t="s">
        <v>125</v>
      </c>
      <c r="E181">
        <v>75.209999999999994</v>
      </c>
      <c r="G181">
        <v>26</v>
      </c>
      <c r="H181" s="5">
        <v>46195</v>
      </c>
      <c r="I181" t="s">
        <v>160</v>
      </c>
      <c r="J181">
        <v>5354.29</v>
      </c>
      <c r="L181">
        <v>18</v>
      </c>
      <c r="M181" s="5">
        <v>46139</v>
      </c>
      <c r="N181" t="s">
        <v>185</v>
      </c>
      <c r="O181">
        <v>684</v>
      </c>
      <c r="Q181" t="s">
        <v>208</v>
      </c>
      <c r="R181" s="5">
        <v>46204</v>
      </c>
      <c r="S181" t="s">
        <v>125</v>
      </c>
      <c r="T181">
        <v>57.89</v>
      </c>
      <c r="V181" t="s">
        <v>213</v>
      </c>
      <c r="W181" s="5">
        <v>45992</v>
      </c>
      <c r="X181" t="s">
        <v>170</v>
      </c>
      <c r="Y181">
        <v>137.13999999999999</v>
      </c>
      <c r="AA181" t="s">
        <v>215</v>
      </c>
      <c r="AB181" s="5">
        <v>46054</v>
      </c>
      <c r="AC181" t="s">
        <v>186</v>
      </c>
      <c r="AD181">
        <v>155.72999999999999</v>
      </c>
    </row>
    <row r="182" spans="2:30" ht="18.75">
      <c r="B182">
        <v>18</v>
      </c>
      <c r="C182" s="5">
        <v>46139</v>
      </c>
      <c r="D182" t="s">
        <v>126</v>
      </c>
      <c r="E182">
        <v>132.16</v>
      </c>
      <c r="G182">
        <v>26</v>
      </c>
      <c r="H182" s="5">
        <v>46195</v>
      </c>
      <c r="I182" t="s">
        <v>158</v>
      </c>
      <c r="J182">
        <v>745.6</v>
      </c>
      <c r="L182">
        <v>19</v>
      </c>
      <c r="M182" s="5">
        <v>46146</v>
      </c>
      <c r="N182" t="s">
        <v>178</v>
      </c>
      <c r="O182">
        <v>2153.9</v>
      </c>
      <c r="Q182" t="s">
        <v>208</v>
      </c>
      <c r="R182" s="5">
        <v>46204</v>
      </c>
      <c r="S182" t="s">
        <v>126</v>
      </c>
      <c r="T182">
        <v>80.59</v>
      </c>
      <c r="V182" t="s">
        <v>213</v>
      </c>
      <c r="W182" s="5">
        <v>45992</v>
      </c>
      <c r="X182" t="s">
        <v>164</v>
      </c>
      <c r="Y182">
        <v>22.11</v>
      </c>
      <c r="AA182" t="s">
        <v>199</v>
      </c>
      <c r="AB182" s="5">
        <v>46082</v>
      </c>
      <c r="AC182" t="s">
        <v>178</v>
      </c>
      <c r="AD182">
        <v>3864.95</v>
      </c>
    </row>
    <row r="183" spans="2:30" ht="18.75">
      <c r="B183">
        <v>18</v>
      </c>
      <c r="C183" s="5">
        <v>46139</v>
      </c>
      <c r="D183" t="s">
        <v>128</v>
      </c>
      <c r="E183">
        <v>104.32</v>
      </c>
      <c r="G183">
        <v>26</v>
      </c>
      <c r="H183" s="5">
        <v>46195</v>
      </c>
      <c r="I183" t="s">
        <v>165</v>
      </c>
      <c r="J183">
        <v>227.3</v>
      </c>
      <c r="L183">
        <v>19</v>
      </c>
      <c r="M183" s="5">
        <v>46146</v>
      </c>
      <c r="N183" t="s">
        <v>179</v>
      </c>
      <c r="O183">
        <v>3374.2</v>
      </c>
      <c r="Q183" t="s">
        <v>208</v>
      </c>
      <c r="R183" s="5">
        <v>46204</v>
      </c>
      <c r="S183" t="s">
        <v>128</v>
      </c>
      <c r="T183">
        <v>139.26</v>
      </c>
      <c r="V183" t="s">
        <v>213</v>
      </c>
      <c r="W183" s="5">
        <v>45992</v>
      </c>
      <c r="X183" t="s">
        <v>176</v>
      </c>
      <c r="Y183">
        <v>432.1</v>
      </c>
      <c r="AA183" t="s">
        <v>199</v>
      </c>
      <c r="AB183" s="5">
        <v>46082</v>
      </c>
      <c r="AC183" t="s">
        <v>179</v>
      </c>
      <c r="AD183">
        <v>5737.86</v>
      </c>
    </row>
    <row r="184" spans="2:30" ht="18.75">
      <c r="B184">
        <v>18</v>
      </c>
      <c r="C184" s="5">
        <v>46139</v>
      </c>
      <c r="D184" t="s">
        <v>129</v>
      </c>
      <c r="E184">
        <v>415.79</v>
      </c>
      <c r="G184">
        <v>26</v>
      </c>
      <c r="H184" s="5">
        <v>46195</v>
      </c>
      <c r="I184" t="s">
        <v>174</v>
      </c>
      <c r="J184">
        <v>742.79</v>
      </c>
      <c r="L184">
        <v>19</v>
      </c>
      <c r="M184" s="5">
        <v>46146</v>
      </c>
      <c r="N184" t="s">
        <v>180</v>
      </c>
      <c r="O184">
        <v>171.45</v>
      </c>
      <c r="Q184" t="s">
        <v>208</v>
      </c>
      <c r="R184" s="5">
        <v>46204</v>
      </c>
      <c r="S184" t="s">
        <v>129</v>
      </c>
      <c r="T184">
        <v>166.61</v>
      </c>
      <c r="V184" t="s">
        <v>213</v>
      </c>
      <c r="W184" s="5">
        <v>45992</v>
      </c>
      <c r="X184" t="s">
        <v>163</v>
      </c>
      <c r="Y184">
        <v>1116.03</v>
      </c>
      <c r="AA184" t="s">
        <v>199</v>
      </c>
      <c r="AB184" s="5">
        <v>46082</v>
      </c>
      <c r="AC184" t="s">
        <v>181</v>
      </c>
      <c r="AD184">
        <v>3227.54</v>
      </c>
    </row>
    <row r="185" spans="2:30" ht="18.75">
      <c r="B185">
        <v>18</v>
      </c>
      <c r="C185" s="5">
        <v>46139</v>
      </c>
      <c r="D185" t="s">
        <v>130</v>
      </c>
      <c r="E185">
        <v>254.44</v>
      </c>
      <c r="G185">
        <v>26</v>
      </c>
      <c r="H185" s="5">
        <v>46195</v>
      </c>
      <c r="I185" t="s">
        <v>171</v>
      </c>
      <c r="J185">
        <v>323.83999999999997</v>
      </c>
      <c r="L185">
        <v>19</v>
      </c>
      <c r="M185" s="5">
        <v>46146</v>
      </c>
      <c r="N185" t="s">
        <v>181</v>
      </c>
      <c r="O185">
        <v>1808.16</v>
      </c>
      <c r="Q185" t="s">
        <v>208</v>
      </c>
      <c r="R185" s="5">
        <v>46204</v>
      </c>
      <c r="S185" t="s">
        <v>130</v>
      </c>
      <c r="T185">
        <v>156.72999999999999</v>
      </c>
      <c r="V185" t="s">
        <v>213</v>
      </c>
      <c r="W185" s="5">
        <v>45992</v>
      </c>
      <c r="X185" t="s">
        <v>168</v>
      </c>
      <c r="Y185">
        <v>1202.08</v>
      </c>
      <c r="AA185" t="s">
        <v>199</v>
      </c>
      <c r="AB185" s="5">
        <v>46082</v>
      </c>
      <c r="AC185" t="s">
        <v>182</v>
      </c>
      <c r="AD185">
        <v>3654.06</v>
      </c>
    </row>
    <row r="186" spans="2:30" ht="18.75">
      <c r="B186">
        <v>18</v>
      </c>
      <c r="C186" s="5">
        <v>46139</v>
      </c>
      <c r="D186" t="s">
        <v>212</v>
      </c>
      <c r="E186">
        <v>200.19</v>
      </c>
      <c r="G186">
        <v>26</v>
      </c>
      <c r="H186" s="5">
        <v>46195</v>
      </c>
      <c r="I186" t="s">
        <v>198</v>
      </c>
      <c r="J186">
        <v>535.5</v>
      </c>
      <c r="L186">
        <v>19</v>
      </c>
      <c r="M186" s="5">
        <v>46146</v>
      </c>
      <c r="N186" t="s">
        <v>182</v>
      </c>
      <c r="O186">
        <v>1630.87</v>
      </c>
      <c r="Q186" t="s">
        <v>208</v>
      </c>
      <c r="R186" s="5">
        <v>46204</v>
      </c>
      <c r="S186" t="s">
        <v>131</v>
      </c>
      <c r="T186">
        <v>109.44</v>
      </c>
      <c r="V186" t="s">
        <v>213</v>
      </c>
      <c r="W186" s="5">
        <v>45992</v>
      </c>
      <c r="X186" t="s">
        <v>172</v>
      </c>
      <c r="Y186">
        <v>302.48</v>
      </c>
      <c r="AA186" t="s">
        <v>199</v>
      </c>
      <c r="AB186" s="5">
        <v>46082</v>
      </c>
      <c r="AC186" t="s">
        <v>183</v>
      </c>
      <c r="AD186">
        <v>885.28</v>
      </c>
    </row>
    <row r="187" spans="2:30" ht="18.75">
      <c r="B187">
        <v>18</v>
      </c>
      <c r="C187" s="5">
        <v>46139</v>
      </c>
      <c r="D187" t="s">
        <v>133</v>
      </c>
      <c r="E187">
        <v>250.5</v>
      </c>
      <c r="G187">
        <v>26</v>
      </c>
      <c r="H187" s="5">
        <v>46195</v>
      </c>
      <c r="I187" t="s">
        <v>169</v>
      </c>
      <c r="J187">
        <v>1896.95</v>
      </c>
      <c r="L187">
        <v>19</v>
      </c>
      <c r="M187" s="5">
        <v>46146</v>
      </c>
      <c r="N187" t="s">
        <v>183</v>
      </c>
      <c r="O187">
        <v>379.44</v>
      </c>
      <c r="Q187" t="s">
        <v>208</v>
      </c>
      <c r="R187" s="5">
        <v>46204</v>
      </c>
      <c r="S187" t="s">
        <v>132</v>
      </c>
      <c r="T187">
        <v>124.41</v>
      </c>
      <c r="V187" t="s">
        <v>213</v>
      </c>
      <c r="W187" s="5">
        <v>45992</v>
      </c>
      <c r="X187" t="s">
        <v>173</v>
      </c>
      <c r="Y187">
        <v>2813.6</v>
      </c>
      <c r="AA187" t="s">
        <v>199</v>
      </c>
      <c r="AB187" s="5">
        <v>46082</v>
      </c>
      <c r="AC187" t="s">
        <v>184</v>
      </c>
      <c r="AD187">
        <v>850.13</v>
      </c>
    </row>
    <row r="188" spans="2:30" ht="18.75">
      <c r="B188">
        <v>18</v>
      </c>
      <c r="C188" s="5">
        <v>46139</v>
      </c>
      <c r="D188" t="s">
        <v>134</v>
      </c>
      <c r="E188">
        <v>246.25</v>
      </c>
      <c r="G188">
        <v>26</v>
      </c>
      <c r="H188" s="5">
        <v>46195</v>
      </c>
      <c r="I188" t="s">
        <v>209</v>
      </c>
      <c r="J188">
        <v>99.36</v>
      </c>
      <c r="L188">
        <v>19</v>
      </c>
      <c r="M188" s="5">
        <v>46146</v>
      </c>
      <c r="N188" t="s">
        <v>184</v>
      </c>
      <c r="O188">
        <v>661.06</v>
      </c>
      <c r="Q188" t="s">
        <v>208</v>
      </c>
      <c r="R188" s="5">
        <v>46204</v>
      </c>
      <c r="S188" t="s">
        <v>133</v>
      </c>
      <c r="T188">
        <v>164.44</v>
      </c>
      <c r="V188" t="s">
        <v>213</v>
      </c>
      <c r="W188" s="5">
        <v>45992</v>
      </c>
      <c r="X188" t="s">
        <v>175</v>
      </c>
      <c r="Y188">
        <v>1185.55</v>
      </c>
      <c r="AA188" t="s">
        <v>199</v>
      </c>
      <c r="AB188" s="5">
        <v>46082</v>
      </c>
      <c r="AC188" t="s">
        <v>185</v>
      </c>
      <c r="AD188">
        <v>1456.91</v>
      </c>
    </row>
    <row r="189" spans="2:30" ht="18.75">
      <c r="B189">
        <v>18</v>
      </c>
      <c r="C189" s="5">
        <v>46139</v>
      </c>
      <c r="D189" t="s">
        <v>136</v>
      </c>
      <c r="E189">
        <v>85.55</v>
      </c>
      <c r="G189">
        <v>26</v>
      </c>
      <c r="H189" s="5">
        <v>46195</v>
      </c>
      <c r="I189" t="s">
        <v>176</v>
      </c>
      <c r="J189">
        <v>112.92</v>
      </c>
      <c r="L189">
        <v>19</v>
      </c>
      <c r="M189" s="5">
        <v>46146</v>
      </c>
      <c r="N189" t="s">
        <v>185</v>
      </c>
      <c r="O189">
        <v>615</v>
      </c>
      <c r="Q189" t="s">
        <v>208</v>
      </c>
      <c r="R189" s="5">
        <v>46204</v>
      </c>
      <c r="S189" t="s">
        <v>134</v>
      </c>
      <c r="T189">
        <v>153.88999999999999</v>
      </c>
      <c r="V189" t="s">
        <v>213</v>
      </c>
      <c r="W189" s="5">
        <v>45992</v>
      </c>
      <c r="X189" t="s">
        <v>174</v>
      </c>
      <c r="Y189">
        <v>836.21</v>
      </c>
      <c r="AA189" t="s">
        <v>199</v>
      </c>
      <c r="AB189" s="5">
        <v>46082</v>
      </c>
      <c r="AC189" t="s">
        <v>180</v>
      </c>
      <c r="AD189">
        <v>192.69</v>
      </c>
    </row>
    <row r="190" spans="2:30" ht="18.75">
      <c r="B190">
        <v>18</v>
      </c>
      <c r="C190" s="5">
        <v>46139</v>
      </c>
      <c r="D190" t="s">
        <v>138</v>
      </c>
      <c r="E190">
        <v>395.41</v>
      </c>
      <c r="G190">
        <v>26</v>
      </c>
      <c r="H190" s="5">
        <v>46195</v>
      </c>
      <c r="I190" t="s">
        <v>163</v>
      </c>
      <c r="J190">
        <v>322.5</v>
      </c>
      <c r="L190">
        <v>13</v>
      </c>
      <c r="M190" s="5">
        <v>46104</v>
      </c>
      <c r="N190" t="s">
        <v>178</v>
      </c>
      <c r="O190">
        <v>208.25</v>
      </c>
      <c r="Q190" t="s">
        <v>208</v>
      </c>
      <c r="R190" s="5">
        <v>46204</v>
      </c>
      <c r="S190" t="s">
        <v>135</v>
      </c>
      <c r="T190">
        <v>56.46</v>
      </c>
      <c r="V190" t="s">
        <v>213</v>
      </c>
      <c r="W190" s="5">
        <v>45992</v>
      </c>
      <c r="X190" t="s">
        <v>158</v>
      </c>
      <c r="Y190">
        <v>4255.17</v>
      </c>
    </row>
    <row r="191" spans="2:30" ht="18.75">
      <c r="B191">
        <v>18</v>
      </c>
      <c r="C191" s="5">
        <v>46139</v>
      </c>
      <c r="D191" t="s">
        <v>141</v>
      </c>
      <c r="E191">
        <v>519.37</v>
      </c>
      <c r="G191">
        <v>26</v>
      </c>
      <c r="H191" s="5">
        <v>46195</v>
      </c>
      <c r="I191" t="s">
        <v>204</v>
      </c>
      <c r="J191">
        <v>594.64</v>
      </c>
      <c r="L191">
        <v>13</v>
      </c>
      <c r="M191" s="5">
        <v>46104</v>
      </c>
      <c r="N191" t="s">
        <v>179</v>
      </c>
      <c r="O191">
        <v>481.61</v>
      </c>
      <c r="Q191" t="s">
        <v>208</v>
      </c>
      <c r="R191" s="5">
        <v>46204</v>
      </c>
      <c r="S191" t="s">
        <v>136</v>
      </c>
      <c r="T191">
        <v>108.25</v>
      </c>
      <c r="V191" t="s">
        <v>214</v>
      </c>
      <c r="W191" s="5">
        <v>45658</v>
      </c>
      <c r="X191" t="s">
        <v>158</v>
      </c>
      <c r="Y191">
        <v>3095.07</v>
      </c>
    </row>
    <row r="192" spans="2:30" ht="18.75">
      <c r="B192">
        <v>18</v>
      </c>
      <c r="C192" s="5">
        <v>46139</v>
      </c>
      <c r="D192" t="s">
        <v>142</v>
      </c>
      <c r="E192">
        <v>136.04</v>
      </c>
      <c r="G192">
        <v>26</v>
      </c>
      <c r="H192" s="5">
        <v>46195</v>
      </c>
      <c r="I192" t="s">
        <v>173</v>
      </c>
      <c r="J192">
        <v>903</v>
      </c>
      <c r="L192">
        <v>13</v>
      </c>
      <c r="M192" s="5">
        <v>46104</v>
      </c>
      <c r="N192" t="s">
        <v>180</v>
      </c>
      <c r="O192">
        <v>11.8</v>
      </c>
      <c r="Q192" t="s">
        <v>208</v>
      </c>
      <c r="R192" s="5">
        <v>46204</v>
      </c>
      <c r="S192" t="s">
        <v>137</v>
      </c>
      <c r="T192">
        <v>79.56</v>
      </c>
      <c r="V192" t="s">
        <v>214</v>
      </c>
      <c r="W192" s="5">
        <v>45658</v>
      </c>
      <c r="X192" t="s">
        <v>165</v>
      </c>
      <c r="Y192">
        <v>531.79</v>
      </c>
    </row>
    <row r="193" spans="2:25" ht="18.75">
      <c r="B193">
        <v>18</v>
      </c>
      <c r="C193" s="5">
        <v>46139</v>
      </c>
      <c r="D193" t="s">
        <v>139</v>
      </c>
      <c r="E193">
        <v>269.98</v>
      </c>
      <c r="G193">
        <v>26</v>
      </c>
      <c r="H193" s="5">
        <v>46195</v>
      </c>
      <c r="I193" t="s">
        <v>206</v>
      </c>
      <c r="J193">
        <v>380.65</v>
      </c>
      <c r="L193">
        <v>20</v>
      </c>
      <c r="M193" s="5">
        <v>46153</v>
      </c>
      <c r="N193" t="s">
        <v>178</v>
      </c>
      <c r="O193">
        <v>2302.65</v>
      </c>
      <c r="Q193" t="s">
        <v>208</v>
      </c>
      <c r="R193" s="5">
        <v>46204</v>
      </c>
      <c r="S193" t="s">
        <v>138</v>
      </c>
      <c r="T193">
        <v>222.39</v>
      </c>
      <c r="V193" t="s">
        <v>214</v>
      </c>
      <c r="W193" s="5">
        <v>45658</v>
      </c>
      <c r="X193" t="s">
        <v>171</v>
      </c>
      <c r="Y193">
        <v>2714.95</v>
      </c>
    </row>
    <row r="194" spans="2:25" ht="18.75">
      <c r="B194">
        <v>18</v>
      </c>
      <c r="C194" s="5">
        <v>46139</v>
      </c>
      <c r="D194" t="s">
        <v>143</v>
      </c>
      <c r="E194">
        <v>1706.6</v>
      </c>
      <c r="G194">
        <v>27</v>
      </c>
      <c r="H194" s="5">
        <v>46202</v>
      </c>
      <c r="I194" t="s">
        <v>160</v>
      </c>
      <c r="J194">
        <v>3652.07</v>
      </c>
      <c r="L194">
        <v>20</v>
      </c>
      <c r="M194" s="5">
        <v>46153</v>
      </c>
      <c r="N194" t="s">
        <v>179</v>
      </c>
      <c r="O194">
        <v>2861.62</v>
      </c>
      <c r="Q194" t="s">
        <v>208</v>
      </c>
      <c r="R194" s="5">
        <v>46204</v>
      </c>
      <c r="S194" t="s">
        <v>141</v>
      </c>
      <c r="T194">
        <v>167.68</v>
      </c>
      <c r="V194" t="s">
        <v>214</v>
      </c>
      <c r="W194" s="5">
        <v>45658</v>
      </c>
      <c r="X194" t="s">
        <v>169</v>
      </c>
      <c r="Y194">
        <v>7300.67</v>
      </c>
    </row>
    <row r="195" spans="2:25" ht="18.75">
      <c r="B195">
        <v>18</v>
      </c>
      <c r="C195" s="5">
        <v>46139</v>
      </c>
      <c r="D195" t="s">
        <v>144</v>
      </c>
      <c r="E195">
        <v>216.2</v>
      </c>
      <c r="G195">
        <v>27</v>
      </c>
      <c r="H195" s="5">
        <v>46202</v>
      </c>
      <c r="I195" t="s">
        <v>165</v>
      </c>
      <c r="J195">
        <v>48.5</v>
      </c>
      <c r="L195">
        <v>20</v>
      </c>
      <c r="M195" s="5">
        <v>46153</v>
      </c>
      <c r="N195" t="s">
        <v>180</v>
      </c>
      <c r="O195">
        <v>263.2</v>
      </c>
      <c r="Q195" t="s">
        <v>208</v>
      </c>
      <c r="R195" s="5">
        <v>46204</v>
      </c>
      <c r="S195" t="s">
        <v>142</v>
      </c>
      <c r="T195">
        <v>111.01</v>
      </c>
      <c r="V195" t="s">
        <v>214</v>
      </c>
      <c r="W195" s="5">
        <v>45658</v>
      </c>
      <c r="X195" t="s">
        <v>170</v>
      </c>
      <c r="Y195">
        <v>243.71</v>
      </c>
    </row>
    <row r="196" spans="2:25" ht="18.75">
      <c r="B196">
        <v>18</v>
      </c>
      <c r="C196" s="5">
        <v>46139</v>
      </c>
      <c r="D196" t="s">
        <v>145</v>
      </c>
      <c r="E196">
        <v>153.72</v>
      </c>
      <c r="G196">
        <v>27</v>
      </c>
      <c r="H196" s="5">
        <v>46202</v>
      </c>
      <c r="I196" t="s">
        <v>174</v>
      </c>
      <c r="J196">
        <v>515.91</v>
      </c>
      <c r="L196">
        <v>20</v>
      </c>
      <c r="M196" s="5">
        <v>46153</v>
      </c>
      <c r="N196" t="s">
        <v>181</v>
      </c>
      <c r="O196">
        <v>1456.86</v>
      </c>
      <c r="Q196" t="s">
        <v>208</v>
      </c>
      <c r="R196" s="5">
        <v>46204</v>
      </c>
      <c r="S196" t="s">
        <v>139</v>
      </c>
      <c r="T196">
        <v>126.68</v>
      </c>
      <c r="V196" t="s">
        <v>214</v>
      </c>
      <c r="W196" s="5">
        <v>45658</v>
      </c>
      <c r="X196" t="s">
        <v>176</v>
      </c>
      <c r="Y196">
        <v>286.54000000000002</v>
      </c>
    </row>
    <row r="197" spans="2:25" ht="18.75">
      <c r="B197">
        <v>18</v>
      </c>
      <c r="C197" s="5">
        <v>46139</v>
      </c>
      <c r="D197" t="s">
        <v>146</v>
      </c>
      <c r="E197">
        <v>610.55999999999995</v>
      </c>
      <c r="G197">
        <v>27</v>
      </c>
      <c r="H197" s="5">
        <v>46202</v>
      </c>
      <c r="I197" t="s">
        <v>198</v>
      </c>
      <c r="J197">
        <v>404.6</v>
      </c>
      <c r="L197">
        <v>20</v>
      </c>
      <c r="M197" s="5">
        <v>46153</v>
      </c>
      <c r="N197" t="s">
        <v>182</v>
      </c>
      <c r="O197">
        <v>1659.2</v>
      </c>
      <c r="Q197" t="s">
        <v>208</v>
      </c>
      <c r="R197" s="5">
        <v>46204</v>
      </c>
      <c r="S197" t="s">
        <v>143</v>
      </c>
      <c r="T197">
        <v>187.95</v>
      </c>
      <c r="V197" t="s">
        <v>214</v>
      </c>
      <c r="W197" s="5">
        <v>45658</v>
      </c>
      <c r="X197" t="s">
        <v>164</v>
      </c>
      <c r="Y197">
        <v>63.26</v>
      </c>
    </row>
    <row r="198" spans="2:25" ht="18.75">
      <c r="B198">
        <v>18</v>
      </c>
      <c r="C198" s="5">
        <v>46139</v>
      </c>
      <c r="D198" t="s">
        <v>148</v>
      </c>
      <c r="E198">
        <v>92.94</v>
      </c>
      <c r="G198">
        <v>27</v>
      </c>
      <c r="H198" s="5">
        <v>46202</v>
      </c>
      <c r="I198" t="s">
        <v>167</v>
      </c>
      <c r="J198">
        <v>430.17</v>
      </c>
      <c r="L198">
        <v>20</v>
      </c>
      <c r="M198" s="5">
        <v>46153</v>
      </c>
      <c r="N198" t="s">
        <v>183</v>
      </c>
      <c r="O198">
        <v>445.26</v>
      </c>
      <c r="Q198" t="s">
        <v>208</v>
      </c>
      <c r="R198" s="5">
        <v>46204</v>
      </c>
      <c r="S198" t="s">
        <v>144</v>
      </c>
      <c r="T198">
        <v>258.83</v>
      </c>
      <c r="V198" t="s">
        <v>214</v>
      </c>
      <c r="W198" s="5">
        <v>45658</v>
      </c>
      <c r="X198" t="s">
        <v>163</v>
      </c>
      <c r="Y198">
        <v>707.29</v>
      </c>
    </row>
    <row r="199" spans="2:25" ht="18.75">
      <c r="B199">
        <v>18</v>
      </c>
      <c r="C199" s="5">
        <v>46139</v>
      </c>
      <c r="D199" t="s">
        <v>147</v>
      </c>
      <c r="E199">
        <v>367.41</v>
      </c>
      <c r="G199">
        <v>27</v>
      </c>
      <c r="H199" s="5">
        <v>46202</v>
      </c>
      <c r="I199" t="s">
        <v>169</v>
      </c>
      <c r="J199">
        <v>1071.55</v>
      </c>
      <c r="L199">
        <v>20</v>
      </c>
      <c r="M199" s="5">
        <v>46153</v>
      </c>
      <c r="N199" t="s">
        <v>184</v>
      </c>
      <c r="O199">
        <v>509.22</v>
      </c>
      <c r="Q199" t="s">
        <v>208</v>
      </c>
      <c r="R199" s="5">
        <v>46204</v>
      </c>
      <c r="S199" t="s">
        <v>216</v>
      </c>
      <c r="T199">
        <v>186.12</v>
      </c>
      <c r="V199" t="s">
        <v>214</v>
      </c>
      <c r="W199" s="5">
        <v>45658</v>
      </c>
      <c r="X199" t="s">
        <v>168</v>
      </c>
      <c r="Y199">
        <v>1305.79</v>
      </c>
    </row>
    <row r="200" spans="2:25" ht="18.75">
      <c r="B200">
        <v>18</v>
      </c>
      <c r="C200" s="5">
        <v>46139</v>
      </c>
      <c r="D200" t="s">
        <v>150</v>
      </c>
      <c r="E200">
        <v>67.2</v>
      </c>
      <c r="G200">
        <v>27</v>
      </c>
      <c r="H200" s="5">
        <v>46202</v>
      </c>
      <c r="I200" t="s">
        <v>209</v>
      </c>
      <c r="J200">
        <v>32.4</v>
      </c>
      <c r="L200">
        <v>20</v>
      </c>
      <c r="M200" s="5">
        <v>46153</v>
      </c>
      <c r="N200" t="s">
        <v>185</v>
      </c>
      <c r="O200">
        <v>954.05</v>
      </c>
      <c r="Q200" t="s">
        <v>208</v>
      </c>
      <c r="R200" s="5">
        <v>46204</v>
      </c>
      <c r="S200" t="s">
        <v>145</v>
      </c>
      <c r="T200">
        <v>98.34</v>
      </c>
      <c r="V200" t="s">
        <v>214</v>
      </c>
      <c r="W200" s="5">
        <v>45658</v>
      </c>
      <c r="X200" t="s">
        <v>173</v>
      </c>
      <c r="Y200">
        <v>1892.99</v>
      </c>
    </row>
    <row r="201" spans="2:25" ht="18.75">
      <c r="B201">
        <v>18</v>
      </c>
      <c r="C201" s="5">
        <v>46139</v>
      </c>
      <c r="D201" t="s">
        <v>151</v>
      </c>
      <c r="E201">
        <v>577.30999999999995</v>
      </c>
      <c r="G201">
        <v>27</v>
      </c>
      <c r="H201" s="5">
        <v>46202</v>
      </c>
      <c r="I201" t="s">
        <v>176</v>
      </c>
      <c r="J201">
        <v>89.88</v>
      </c>
      <c r="L201">
        <v>20</v>
      </c>
      <c r="M201" s="5">
        <v>46153</v>
      </c>
      <c r="N201" t="s">
        <v>202</v>
      </c>
      <c r="O201">
        <v>513.29999999999995</v>
      </c>
      <c r="Q201" t="s">
        <v>208</v>
      </c>
      <c r="R201" s="5">
        <v>46204</v>
      </c>
      <c r="S201" t="s">
        <v>146</v>
      </c>
      <c r="T201">
        <v>229.54</v>
      </c>
      <c r="V201" t="s">
        <v>214</v>
      </c>
      <c r="W201" s="5">
        <v>45658</v>
      </c>
      <c r="X201" t="s">
        <v>160</v>
      </c>
      <c r="Y201">
        <v>15707.22</v>
      </c>
    </row>
    <row r="202" spans="2:25" ht="18.75">
      <c r="B202">
        <v>18</v>
      </c>
      <c r="C202" s="5">
        <v>46139</v>
      </c>
      <c r="D202" t="s">
        <v>111</v>
      </c>
      <c r="E202">
        <v>233.97</v>
      </c>
      <c r="G202">
        <v>27</v>
      </c>
      <c r="H202" s="5">
        <v>46202</v>
      </c>
      <c r="I202" t="s">
        <v>163</v>
      </c>
      <c r="J202">
        <v>107.07</v>
      </c>
      <c r="L202">
        <v>21</v>
      </c>
      <c r="M202" s="5">
        <v>46160</v>
      </c>
      <c r="N202" t="s">
        <v>178</v>
      </c>
      <c r="O202">
        <v>2518.6</v>
      </c>
      <c r="Q202" t="s">
        <v>208</v>
      </c>
      <c r="R202" s="5">
        <v>46204</v>
      </c>
      <c r="S202" t="s">
        <v>148</v>
      </c>
      <c r="T202">
        <v>64.84</v>
      </c>
      <c r="V202" t="s">
        <v>214</v>
      </c>
      <c r="W202" s="5">
        <v>46023</v>
      </c>
      <c r="X202" t="s">
        <v>198</v>
      </c>
      <c r="Y202">
        <v>1468.36</v>
      </c>
    </row>
    <row r="203" spans="2:25" ht="18.75">
      <c r="B203">
        <v>18</v>
      </c>
      <c r="C203" s="5">
        <v>46139</v>
      </c>
      <c r="D203" t="s">
        <v>113</v>
      </c>
      <c r="E203">
        <v>223.19</v>
      </c>
      <c r="G203">
        <v>27</v>
      </c>
      <c r="H203" s="5">
        <v>46202</v>
      </c>
      <c r="I203" t="s">
        <v>204</v>
      </c>
      <c r="J203">
        <v>286.3</v>
      </c>
      <c r="L203">
        <v>21</v>
      </c>
      <c r="M203" s="5">
        <v>46160</v>
      </c>
      <c r="N203" t="s">
        <v>179</v>
      </c>
      <c r="O203">
        <v>3013.63</v>
      </c>
      <c r="Q203" t="s">
        <v>208</v>
      </c>
      <c r="R203" s="5">
        <v>46204</v>
      </c>
      <c r="S203" t="s">
        <v>147</v>
      </c>
      <c r="T203">
        <v>153.21</v>
      </c>
      <c r="V203" t="s">
        <v>214</v>
      </c>
      <c r="W203" s="5">
        <v>46023</v>
      </c>
      <c r="X203" t="s">
        <v>174</v>
      </c>
      <c r="Y203">
        <v>1974.02</v>
      </c>
    </row>
    <row r="204" spans="2:25" ht="18.75">
      <c r="B204">
        <v>18</v>
      </c>
      <c r="C204" s="5">
        <v>46139</v>
      </c>
      <c r="D204" t="s">
        <v>116</v>
      </c>
      <c r="E204">
        <v>106.22</v>
      </c>
      <c r="G204">
        <v>27</v>
      </c>
      <c r="H204" s="5">
        <v>46202</v>
      </c>
      <c r="I204" t="s">
        <v>173</v>
      </c>
      <c r="J204">
        <v>594</v>
      </c>
      <c r="L204">
        <v>21</v>
      </c>
      <c r="M204" s="5">
        <v>46160</v>
      </c>
      <c r="N204" t="s">
        <v>180</v>
      </c>
      <c r="O204">
        <v>134.55000000000001</v>
      </c>
      <c r="Q204" t="s">
        <v>208</v>
      </c>
      <c r="R204" s="5">
        <v>46204</v>
      </c>
      <c r="S204" t="s">
        <v>150</v>
      </c>
      <c r="T204">
        <v>76.81</v>
      </c>
      <c r="V204" t="s">
        <v>214</v>
      </c>
      <c r="W204" s="5">
        <v>46023</v>
      </c>
      <c r="X204" t="s">
        <v>201</v>
      </c>
      <c r="Y204">
        <v>784.96</v>
      </c>
    </row>
    <row r="205" spans="2:25" ht="18.75">
      <c r="B205">
        <v>18</v>
      </c>
      <c r="C205" s="5">
        <v>46139</v>
      </c>
      <c r="D205" t="s">
        <v>118</v>
      </c>
      <c r="E205">
        <v>231.87</v>
      </c>
      <c r="G205">
        <v>27</v>
      </c>
      <c r="H205" s="5">
        <v>46202</v>
      </c>
      <c r="I205" t="s">
        <v>206</v>
      </c>
      <c r="J205">
        <v>215.35</v>
      </c>
      <c r="L205">
        <v>21</v>
      </c>
      <c r="M205" s="5">
        <v>46160</v>
      </c>
      <c r="N205" t="s">
        <v>181</v>
      </c>
      <c r="O205">
        <v>1830.18</v>
      </c>
      <c r="Q205" t="s">
        <v>208</v>
      </c>
      <c r="R205" s="5">
        <v>46204</v>
      </c>
      <c r="S205" t="s">
        <v>151</v>
      </c>
      <c r="T205">
        <v>300.93</v>
      </c>
      <c r="V205" t="s">
        <v>214</v>
      </c>
      <c r="W205" s="5">
        <v>46023</v>
      </c>
      <c r="X205" t="s">
        <v>175</v>
      </c>
      <c r="Y205">
        <v>569.77</v>
      </c>
    </row>
    <row r="206" spans="2:25" ht="18.75">
      <c r="B206">
        <v>18</v>
      </c>
      <c r="C206" s="5">
        <v>46139</v>
      </c>
      <c r="D206" t="s">
        <v>121</v>
      </c>
      <c r="E206">
        <v>234.18</v>
      </c>
      <c r="G206">
        <v>13</v>
      </c>
      <c r="H206" s="5">
        <v>46104</v>
      </c>
      <c r="I206" t="s">
        <v>198</v>
      </c>
      <c r="J206">
        <v>17.760000000000002</v>
      </c>
      <c r="L206">
        <v>21</v>
      </c>
      <c r="M206" s="5">
        <v>46160</v>
      </c>
      <c r="N206" t="s">
        <v>182</v>
      </c>
      <c r="O206">
        <v>1637.35</v>
      </c>
      <c r="Q206" t="s">
        <v>208</v>
      </c>
      <c r="R206" s="5">
        <v>46204</v>
      </c>
      <c r="S206" t="s">
        <v>116</v>
      </c>
      <c r="T206">
        <v>69.45</v>
      </c>
      <c r="V206" t="s">
        <v>214</v>
      </c>
      <c r="W206" s="5">
        <v>46023</v>
      </c>
      <c r="X206" t="s">
        <v>172</v>
      </c>
      <c r="Y206">
        <v>147.83000000000001</v>
      </c>
    </row>
    <row r="207" spans="2:25" ht="18.75">
      <c r="B207">
        <v>18</v>
      </c>
      <c r="C207" s="5">
        <v>46139</v>
      </c>
      <c r="D207" t="s">
        <v>124</v>
      </c>
      <c r="E207">
        <v>477.7</v>
      </c>
      <c r="G207">
        <v>13</v>
      </c>
      <c r="H207" s="5">
        <v>46104</v>
      </c>
      <c r="I207" t="s">
        <v>171</v>
      </c>
      <c r="J207">
        <v>156.47999999999999</v>
      </c>
      <c r="L207">
        <v>21</v>
      </c>
      <c r="M207" s="5">
        <v>46160</v>
      </c>
      <c r="N207" t="s">
        <v>183</v>
      </c>
      <c r="O207">
        <v>353.37</v>
      </c>
      <c r="Q207" t="s">
        <v>208</v>
      </c>
      <c r="R207" s="5">
        <v>46204</v>
      </c>
      <c r="S207" t="s">
        <v>113</v>
      </c>
      <c r="T207">
        <v>88.19</v>
      </c>
      <c r="V207" t="s">
        <v>214</v>
      </c>
      <c r="W207" s="5">
        <v>46023</v>
      </c>
      <c r="X207" t="s">
        <v>167</v>
      </c>
      <c r="Y207">
        <v>424.43</v>
      </c>
    </row>
    <row r="208" spans="2:25" ht="18.75">
      <c r="B208">
        <v>18</v>
      </c>
      <c r="C208" s="5">
        <v>46139</v>
      </c>
      <c r="D208" t="s">
        <v>132</v>
      </c>
      <c r="E208">
        <v>147.47999999999999</v>
      </c>
      <c r="G208">
        <v>13</v>
      </c>
      <c r="H208" s="5">
        <v>46104</v>
      </c>
      <c r="I208" t="s">
        <v>174</v>
      </c>
      <c r="J208">
        <v>121.25</v>
      </c>
      <c r="L208">
        <v>21</v>
      </c>
      <c r="M208" s="5">
        <v>46160</v>
      </c>
      <c r="N208" t="s">
        <v>184</v>
      </c>
      <c r="O208">
        <v>354.19</v>
      </c>
      <c r="Q208" t="s">
        <v>208</v>
      </c>
      <c r="R208" s="5">
        <v>46204</v>
      </c>
      <c r="S208" t="s">
        <v>127</v>
      </c>
      <c r="T208">
        <v>61.43</v>
      </c>
      <c r="V208" t="s">
        <v>215</v>
      </c>
      <c r="W208" s="5">
        <v>46054</v>
      </c>
      <c r="X208" t="s">
        <v>160</v>
      </c>
      <c r="Y208">
        <v>11357.2</v>
      </c>
    </row>
    <row r="209" spans="2:25" ht="18.75">
      <c r="B209">
        <v>18</v>
      </c>
      <c r="C209" s="5">
        <v>46139</v>
      </c>
      <c r="D209" t="s">
        <v>135</v>
      </c>
      <c r="E209">
        <v>72.930000000000007</v>
      </c>
      <c r="G209">
        <v>13</v>
      </c>
      <c r="H209" s="5">
        <v>46104</v>
      </c>
      <c r="I209" t="s">
        <v>169</v>
      </c>
      <c r="J209">
        <v>714.37</v>
      </c>
      <c r="L209">
        <v>21</v>
      </c>
      <c r="M209" s="5">
        <v>46160</v>
      </c>
      <c r="N209" t="s">
        <v>185</v>
      </c>
      <c r="O209">
        <v>627.25</v>
      </c>
      <c r="Q209" t="s">
        <v>208</v>
      </c>
      <c r="R209" s="5">
        <v>46204</v>
      </c>
      <c r="S209" t="s">
        <v>115</v>
      </c>
      <c r="T209">
        <v>153.82</v>
      </c>
      <c r="V209" t="s">
        <v>215</v>
      </c>
      <c r="W209" s="5">
        <v>46054</v>
      </c>
      <c r="X209" t="s">
        <v>158</v>
      </c>
      <c r="Y209">
        <v>1213.73</v>
      </c>
    </row>
    <row r="210" spans="2:25" ht="18.75">
      <c r="B210">
        <v>18</v>
      </c>
      <c r="C210" s="5">
        <v>46139</v>
      </c>
      <c r="D210" t="s">
        <v>137</v>
      </c>
      <c r="E210">
        <v>72.33</v>
      </c>
      <c r="G210">
        <v>13</v>
      </c>
      <c r="H210" s="5">
        <v>46104</v>
      </c>
      <c r="I210" t="s">
        <v>170</v>
      </c>
      <c r="J210">
        <v>22</v>
      </c>
      <c r="L210">
        <v>21</v>
      </c>
      <c r="M210" s="5">
        <v>46160</v>
      </c>
      <c r="N210" t="s">
        <v>202</v>
      </c>
      <c r="O210">
        <v>308.33999999999997</v>
      </c>
      <c r="Q210" t="s">
        <v>199</v>
      </c>
      <c r="R210" s="5">
        <v>46082</v>
      </c>
      <c r="S210" t="s">
        <v>151</v>
      </c>
      <c r="T210">
        <v>256.08</v>
      </c>
      <c r="V210" t="s">
        <v>215</v>
      </c>
      <c r="W210" s="5">
        <v>46054</v>
      </c>
      <c r="X210" t="s">
        <v>165</v>
      </c>
      <c r="Y210">
        <v>468.1</v>
      </c>
    </row>
    <row r="211" spans="2:25" ht="18.75">
      <c r="B211">
        <v>18</v>
      </c>
      <c r="C211" s="5">
        <v>46139</v>
      </c>
      <c r="D211" t="s">
        <v>127</v>
      </c>
      <c r="E211">
        <v>307.36</v>
      </c>
      <c r="G211">
        <v>13</v>
      </c>
      <c r="H211" s="5">
        <v>46104</v>
      </c>
      <c r="I211" t="s">
        <v>163</v>
      </c>
      <c r="J211">
        <v>129</v>
      </c>
      <c r="L211">
        <v>22</v>
      </c>
      <c r="M211" s="5">
        <v>46167</v>
      </c>
      <c r="N211" t="s">
        <v>178</v>
      </c>
      <c r="O211">
        <v>2326.4499999999998</v>
      </c>
      <c r="Q211" t="s">
        <v>199</v>
      </c>
      <c r="R211" s="5">
        <v>46082</v>
      </c>
      <c r="S211" t="s">
        <v>114</v>
      </c>
      <c r="T211">
        <v>109.46</v>
      </c>
      <c r="V211" t="s">
        <v>215</v>
      </c>
      <c r="W211" s="5">
        <v>46054</v>
      </c>
      <c r="X211" t="s">
        <v>198</v>
      </c>
      <c r="Y211">
        <v>902.65</v>
      </c>
    </row>
    <row r="212" spans="2:25" ht="18.75">
      <c r="B212">
        <v>18</v>
      </c>
      <c r="C212" s="5">
        <v>46139</v>
      </c>
      <c r="D212" t="s">
        <v>115</v>
      </c>
      <c r="E212">
        <v>4.32</v>
      </c>
      <c r="G212">
        <v>13</v>
      </c>
      <c r="H212" s="5">
        <v>46104</v>
      </c>
      <c r="I212" t="s">
        <v>168</v>
      </c>
      <c r="J212">
        <v>189.65</v>
      </c>
      <c r="L212">
        <v>22</v>
      </c>
      <c r="M212" s="5">
        <v>46167</v>
      </c>
      <c r="N212" t="s">
        <v>179</v>
      </c>
      <c r="O212">
        <v>2842.41</v>
      </c>
      <c r="Q212" t="s">
        <v>199</v>
      </c>
      <c r="R212" s="5">
        <v>46082</v>
      </c>
      <c r="S212" t="s">
        <v>129</v>
      </c>
      <c r="T212">
        <v>174.23</v>
      </c>
      <c r="V212" t="s">
        <v>215</v>
      </c>
      <c r="W212" s="5">
        <v>46054</v>
      </c>
      <c r="X212" t="s">
        <v>167</v>
      </c>
      <c r="Y212">
        <v>12.84</v>
      </c>
    </row>
    <row r="213" spans="2:25" ht="18.75">
      <c r="B213">
        <v>19</v>
      </c>
      <c r="C213" s="5">
        <v>46146</v>
      </c>
      <c r="D213" t="s">
        <v>111</v>
      </c>
      <c r="E213">
        <v>110.23</v>
      </c>
      <c r="G213">
        <v>13</v>
      </c>
      <c r="H213" s="5">
        <v>46104</v>
      </c>
      <c r="I213" t="s">
        <v>201</v>
      </c>
      <c r="J213">
        <v>21.56</v>
      </c>
      <c r="L213">
        <v>22</v>
      </c>
      <c r="M213" s="5">
        <v>46167</v>
      </c>
      <c r="N213" t="s">
        <v>180</v>
      </c>
      <c r="O213">
        <v>227.7</v>
      </c>
      <c r="Q213" t="s">
        <v>199</v>
      </c>
      <c r="R213" s="5">
        <v>46082</v>
      </c>
      <c r="S213" t="s">
        <v>133</v>
      </c>
      <c r="T213">
        <v>153.16999999999999</v>
      </c>
      <c r="V213" t="s">
        <v>215</v>
      </c>
      <c r="W213" s="5">
        <v>46054</v>
      </c>
      <c r="X213" t="s">
        <v>174</v>
      </c>
      <c r="Y213">
        <v>1078.7</v>
      </c>
    </row>
    <row r="214" spans="2:25" ht="18.75">
      <c r="B214">
        <v>19</v>
      </c>
      <c r="C214" s="5">
        <v>46146</v>
      </c>
      <c r="D214" t="s">
        <v>112</v>
      </c>
      <c r="E214">
        <v>78.709999999999994</v>
      </c>
      <c r="G214">
        <v>13</v>
      </c>
      <c r="H214" s="5">
        <v>46104</v>
      </c>
      <c r="I214" t="s">
        <v>173</v>
      </c>
      <c r="J214">
        <v>288.35000000000002</v>
      </c>
      <c r="L214">
        <v>22</v>
      </c>
      <c r="M214" s="5">
        <v>46167</v>
      </c>
      <c r="N214" t="s">
        <v>181</v>
      </c>
      <c r="O214">
        <v>1309.0999999999999</v>
      </c>
      <c r="Q214" t="s">
        <v>199</v>
      </c>
      <c r="R214" s="5">
        <v>46082</v>
      </c>
      <c r="S214" t="s">
        <v>134</v>
      </c>
      <c r="T214">
        <v>152.76</v>
      </c>
      <c r="V214" t="s">
        <v>215</v>
      </c>
      <c r="W214" s="5">
        <v>46054</v>
      </c>
      <c r="X214" t="s">
        <v>169</v>
      </c>
      <c r="Y214">
        <v>5055.53</v>
      </c>
    </row>
    <row r="215" spans="2:25" ht="18.75">
      <c r="B215">
        <v>19</v>
      </c>
      <c r="C215" s="5">
        <v>46146</v>
      </c>
      <c r="D215" t="s">
        <v>113</v>
      </c>
      <c r="E215">
        <v>230.98</v>
      </c>
      <c r="G215">
        <v>14</v>
      </c>
      <c r="H215" s="5">
        <v>46111</v>
      </c>
      <c r="I215" t="s">
        <v>160</v>
      </c>
      <c r="J215">
        <v>5066.24</v>
      </c>
      <c r="L215">
        <v>22</v>
      </c>
      <c r="M215" s="5">
        <v>46167</v>
      </c>
      <c r="N215" t="s">
        <v>182</v>
      </c>
      <c r="O215">
        <v>1580</v>
      </c>
      <c r="Q215" t="s">
        <v>199</v>
      </c>
      <c r="R215" s="5">
        <v>46082</v>
      </c>
      <c r="S215" t="s">
        <v>143</v>
      </c>
      <c r="T215">
        <v>1144.6600000000001</v>
      </c>
      <c r="V215" t="s">
        <v>215</v>
      </c>
      <c r="W215" s="5">
        <v>46054</v>
      </c>
      <c r="X215" t="s">
        <v>170</v>
      </c>
      <c r="Y215">
        <v>38.29</v>
      </c>
    </row>
    <row r="216" spans="2:25" ht="18.75">
      <c r="B216">
        <v>19</v>
      </c>
      <c r="C216" s="5">
        <v>46146</v>
      </c>
      <c r="D216" t="s">
        <v>114</v>
      </c>
      <c r="E216">
        <v>305.64</v>
      </c>
      <c r="G216">
        <v>14</v>
      </c>
      <c r="H216" s="5">
        <v>46111</v>
      </c>
      <c r="I216" t="s">
        <v>158</v>
      </c>
      <c r="J216">
        <v>678.72</v>
      </c>
      <c r="L216">
        <v>22</v>
      </c>
      <c r="M216" s="5">
        <v>46167</v>
      </c>
      <c r="N216" t="s">
        <v>183</v>
      </c>
      <c r="O216">
        <v>568.29</v>
      </c>
      <c r="Q216" t="s">
        <v>199</v>
      </c>
      <c r="R216" s="5">
        <v>46082</v>
      </c>
      <c r="S216" t="s">
        <v>145</v>
      </c>
      <c r="T216">
        <v>98.59</v>
      </c>
      <c r="V216" t="s">
        <v>215</v>
      </c>
      <c r="W216" s="5">
        <v>46054</v>
      </c>
      <c r="X216" t="s">
        <v>164</v>
      </c>
      <c r="Y216">
        <v>27.43</v>
      </c>
    </row>
    <row r="217" spans="2:25" ht="18.75">
      <c r="B217">
        <v>19</v>
      </c>
      <c r="C217" s="5">
        <v>46146</v>
      </c>
      <c r="D217" t="s">
        <v>116</v>
      </c>
      <c r="E217">
        <v>129.81</v>
      </c>
      <c r="G217">
        <v>14</v>
      </c>
      <c r="H217" s="5">
        <v>46111</v>
      </c>
      <c r="I217" t="s">
        <v>165</v>
      </c>
      <c r="J217">
        <v>214.3</v>
      </c>
      <c r="L217">
        <v>22</v>
      </c>
      <c r="M217" s="5">
        <v>46167</v>
      </c>
      <c r="N217" t="s">
        <v>184</v>
      </c>
      <c r="O217">
        <v>870.9</v>
      </c>
      <c r="Q217" t="s">
        <v>199</v>
      </c>
      <c r="R217" s="5">
        <v>46082</v>
      </c>
      <c r="S217" t="s">
        <v>146</v>
      </c>
      <c r="T217">
        <v>307.11</v>
      </c>
      <c r="V217" t="s">
        <v>215</v>
      </c>
      <c r="W217" s="5">
        <v>46054</v>
      </c>
      <c r="X217" t="s">
        <v>176</v>
      </c>
      <c r="Y217">
        <v>342.81</v>
      </c>
    </row>
    <row r="218" spans="2:25" ht="18.75">
      <c r="B218">
        <v>19</v>
      </c>
      <c r="C218" s="5">
        <v>46146</v>
      </c>
      <c r="D218" t="s">
        <v>117</v>
      </c>
      <c r="E218">
        <v>199.22</v>
      </c>
      <c r="G218">
        <v>14</v>
      </c>
      <c r="H218" s="5">
        <v>46111</v>
      </c>
      <c r="I218" t="s">
        <v>174</v>
      </c>
      <c r="J218">
        <v>422.73</v>
      </c>
      <c r="L218">
        <v>22</v>
      </c>
      <c r="M218" s="5">
        <v>46167</v>
      </c>
      <c r="N218" t="s">
        <v>185</v>
      </c>
      <c r="O218">
        <v>285</v>
      </c>
      <c r="Q218" t="s">
        <v>199</v>
      </c>
      <c r="R218" s="5">
        <v>46082</v>
      </c>
      <c r="S218" t="s">
        <v>117</v>
      </c>
      <c r="T218">
        <v>110.76</v>
      </c>
      <c r="V218" t="s">
        <v>215</v>
      </c>
      <c r="W218" s="5">
        <v>46054</v>
      </c>
      <c r="X218" t="s">
        <v>163</v>
      </c>
      <c r="Y218">
        <v>564.28</v>
      </c>
    </row>
    <row r="219" spans="2:25" ht="18.75">
      <c r="B219">
        <v>19</v>
      </c>
      <c r="C219" s="5">
        <v>46146</v>
      </c>
      <c r="D219" t="s">
        <v>118</v>
      </c>
      <c r="E219">
        <v>179.85</v>
      </c>
      <c r="G219">
        <v>14</v>
      </c>
      <c r="H219" s="5">
        <v>46111</v>
      </c>
      <c r="I219" t="s">
        <v>198</v>
      </c>
      <c r="J219">
        <v>426.69</v>
      </c>
      <c r="L219">
        <v>22</v>
      </c>
      <c r="M219" s="5">
        <v>46167</v>
      </c>
      <c r="N219" t="s">
        <v>202</v>
      </c>
      <c r="O219">
        <v>285.60000000000002</v>
      </c>
      <c r="Q219" t="s">
        <v>199</v>
      </c>
      <c r="R219" s="5">
        <v>46082</v>
      </c>
      <c r="S219" t="s">
        <v>141</v>
      </c>
      <c r="T219">
        <v>284.52999999999997</v>
      </c>
      <c r="V219" t="s">
        <v>215</v>
      </c>
      <c r="W219" s="5">
        <v>46054</v>
      </c>
      <c r="X219" t="s">
        <v>168</v>
      </c>
      <c r="Y219">
        <v>731.03</v>
      </c>
    </row>
    <row r="220" spans="2:25" ht="18.75">
      <c r="B220">
        <v>19</v>
      </c>
      <c r="C220" s="5">
        <v>46146</v>
      </c>
      <c r="D220" t="s">
        <v>119</v>
      </c>
      <c r="E220">
        <v>327.01</v>
      </c>
      <c r="G220">
        <v>14</v>
      </c>
      <c r="H220" s="5">
        <v>46111</v>
      </c>
      <c r="I220" t="s">
        <v>171</v>
      </c>
      <c r="J220">
        <v>727.28</v>
      </c>
      <c r="L220">
        <v>23</v>
      </c>
      <c r="M220" s="5">
        <v>46174</v>
      </c>
      <c r="N220" t="s">
        <v>178</v>
      </c>
      <c r="O220">
        <v>2409.75</v>
      </c>
      <c r="Q220" t="s">
        <v>199</v>
      </c>
      <c r="R220" s="5">
        <v>46082</v>
      </c>
      <c r="S220" t="s">
        <v>119</v>
      </c>
      <c r="T220">
        <v>177.46</v>
      </c>
      <c r="V220" t="s">
        <v>215</v>
      </c>
      <c r="W220" s="5">
        <v>46054</v>
      </c>
      <c r="X220" t="s">
        <v>172</v>
      </c>
      <c r="Y220">
        <v>88.7</v>
      </c>
    </row>
    <row r="221" spans="2:25" ht="18.75">
      <c r="B221">
        <v>19</v>
      </c>
      <c r="C221" s="5">
        <v>46146</v>
      </c>
      <c r="D221" t="s">
        <v>120</v>
      </c>
      <c r="E221">
        <v>98.25</v>
      </c>
      <c r="G221">
        <v>14</v>
      </c>
      <c r="H221" s="5">
        <v>46111</v>
      </c>
      <c r="I221" t="s">
        <v>169</v>
      </c>
      <c r="J221">
        <v>2035.77</v>
      </c>
      <c r="L221">
        <v>23</v>
      </c>
      <c r="M221" s="5">
        <v>46174</v>
      </c>
      <c r="N221" t="s">
        <v>179</v>
      </c>
      <c r="O221">
        <v>3433.68</v>
      </c>
      <c r="Q221" t="s">
        <v>199</v>
      </c>
      <c r="R221" s="5">
        <v>46082</v>
      </c>
      <c r="S221" t="s">
        <v>130</v>
      </c>
      <c r="T221">
        <v>182.22</v>
      </c>
      <c r="V221" t="s">
        <v>215</v>
      </c>
      <c r="W221" s="5">
        <v>46054</v>
      </c>
      <c r="X221" t="s">
        <v>201</v>
      </c>
      <c r="Y221">
        <v>308.44</v>
      </c>
    </row>
    <row r="222" spans="2:25" ht="18.75">
      <c r="B222">
        <v>19</v>
      </c>
      <c r="C222" s="5">
        <v>46146</v>
      </c>
      <c r="D222" t="s">
        <v>121</v>
      </c>
      <c r="E222">
        <v>182.34</v>
      </c>
      <c r="G222">
        <v>14</v>
      </c>
      <c r="H222" s="5">
        <v>46111</v>
      </c>
      <c r="I222" t="s">
        <v>176</v>
      </c>
      <c r="J222">
        <v>170.04</v>
      </c>
      <c r="L222">
        <v>23</v>
      </c>
      <c r="M222" s="5">
        <v>46174</v>
      </c>
      <c r="N222" t="s">
        <v>180</v>
      </c>
      <c r="O222">
        <v>141.85</v>
      </c>
      <c r="Q222" t="s">
        <v>199</v>
      </c>
      <c r="R222" s="5">
        <v>46082</v>
      </c>
      <c r="S222" t="s">
        <v>138</v>
      </c>
      <c r="T222">
        <v>147.58000000000001</v>
      </c>
      <c r="V222" t="s">
        <v>215</v>
      </c>
      <c r="W222" s="5">
        <v>46054</v>
      </c>
      <c r="X222" t="s">
        <v>173</v>
      </c>
      <c r="Y222">
        <v>1655.11</v>
      </c>
    </row>
    <row r="223" spans="2:25" ht="18.75">
      <c r="B223">
        <v>19</v>
      </c>
      <c r="C223" s="5">
        <v>46146</v>
      </c>
      <c r="D223" t="s">
        <v>122</v>
      </c>
      <c r="E223">
        <v>224.8</v>
      </c>
      <c r="G223">
        <v>14</v>
      </c>
      <c r="H223" s="5">
        <v>46111</v>
      </c>
      <c r="I223" t="s">
        <v>170</v>
      </c>
      <c r="J223">
        <v>62</v>
      </c>
      <c r="L223">
        <v>23</v>
      </c>
      <c r="M223" s="5">
        <v>46174</v>
      </c>
      <c r="N223" t="s">
        <v>181</v>
      </c>
      <c r="O223">
        <v>1735.3</v>
      </c>
      <c r="Q223" t="s">
        <v>199</v>
      </c>
      <c r="R223" s="5">
        <v>46082</v>
      </c>
      <c r="S223" t="s">
        <v>111</v>
      </c>
      <c r="T223">
        <v>74.680000000000007</v>
      </c>
      <c r="V223" t="s">
        <v>215</v>
      </c>
      <c r="W223" s="5">
        <v>46054</v>
      </c>
      <c r="X223" t="s">
        <v>175</v>
      </c>
      <c r="Y223">
        <v>155.72999999999999</v>
      </c>
    </row>
    <row r="224" spans="2:25" ht="18.75">
      <c r="B224">
        <v>19</v>
      </c>
      <c r="C224" s="5">
        <v>46146</v>
      </c>
      <c r="D224" t="s">
        <v>123</v>
      </c>
      <c r="E224">
        <v>540.25</v>
      </c>
      <c r="G224">
        <v>14</v>
      </c>
      <c r="H224" s="5">
        <v>46111</v>
      </c>
      <c r="I224" t="s">
        <v>163</v>
      </c>
      <c r="J224">
        <v>322.5</v>
      </c>
      <c r="L224">
        <v>23</v>
      </c>
      <c r="M224" s="5">
        <v>46174</v>
      </c>
      <c r="N224" t="s">
        <v>182</v>
      </c>
      <c r="O224">
        <v>1863.15</v>
      </c>
      <c r="Q224" t="s">
        <v>200</v>
      </c>
      <c r="R224" s="5">
        <v>46113</v>
      </c>
      <c r="S224" t="s">
        <v>111</v>
      </c>
      <c r="T224">
        <v>680.54</v>
      </c>
      <c r="V224" t="s">
        <v>215</v>
      </c>
      <c r="W224" s="5">
        <v>46054</v>
      </c>
      <c r="X224" t="s">
        <v>171</v>
      </c>
      <c r="Y224">
        <v>1573.63</v>
      </c>
    </row>
    <row r="225" spans="2:25" ht="18.75">
      <c r="B225">
        <v>19</v>
      </c>
      <c r="C225" s="5">
        <v>46146</v>
      </c>
      <c r="D225" t="s">
        <v>124</v>
      </c>
      <c r="E225">
        <v>386.03</v>
      </c>
      <c r="G225">
        <v>14</v>
      </c>
      <c r="H225" s="5">
        <v>46111</v>
      </c>
      <c r="I225" t="s">
        <v>168</v>
      </c>
      <c r="J225">
        <v>526.54999999999995</v>
      </c>
      <c r="L225">
        <v>23</v>
      </c>
      <c r="M225" s="5">
        <v>46174</v>
      </c>
      <c r="N225" t="s">
        <v>183</v>
      </c>
      <c r="O225">
        <v>388.95</v>
      </c>
      <c r="Q225" t="s">
        <v>200</v>
      </c>
      <c r="R225" s="5">
        <v>46113</v>
      </c>
      <c r="S225" t="s">
        <v>114</v>
      </c>
      <c r="T225">
        <v>1295.44</v>
      </c>
      <c r="V225" t="s">
        <v>199</v>
      </c>
      <c r="W225" s="5">
        <v>46082</v>
      </c>
      <c r="X225" t="s">
        <v>160</v>
      </c>
      <c r="Y225">
        <v>8494.69</v>
      </c>
    </row>
    <row r="226" spans="2:25" ht="18.75">
      <c r="B226">
        <v>19</v>
      </c>
      <c r="C226" s="5">
        <v>46146</v>
      </c>
      <c r="D226" t="s">
        <v>125</v>
      </c>
      <c r="E226">
        <v>152.47</v>
      </c>
      <c r="G226">
        <v>14</v>
      </c>
      <c r="H226" s="5">
        <v>46111</v>
      </c>
      <c r="I226" t="s">
        <v>172</v>
      </c>
      <c r="J226">
        <v>43.78</v>
      </c>
      <c r="L226">
        <v>23</v>
      </c>
      <c r="M226" s="5">
        <v>46174</v>
      </c>
      <c r="N226" t="s">
        <v>184</v>
      </c>
      <c r="O226">
        <v>447.17</v>
      </c>
      <c r="Q226" t="s">
        <v>200</v>
      </c>
      <c r="R226" s="5">
        <v>46113</v>
      </c>
      <c r="S226" t="s">
        <v>117</v>
      </c>
      <c r="T226">
        <v>985.02</v>
      </c>
      <c r="V226" t="s">
        <v>199</v>
      </c>
      <c r="W226" s="5">
        <v>46082</v>
      </c>
      <c r="X226" t="s">
        <v>171</v>
      </c>
      <c r="Y226">
        <v>838.65</v>
      </c>
    </row>
    <row r="227" spans="2:25" ht="18.75">
      <c r="B227">
        <v>19</v>
      </c>
      <c r="C227" s="5">
        <v>46146</v>
      </c>
      <c r="D227" t="s">
        <v>126</v>
      </c>
      <c r="E227">
        <v>149.12</v>
      </c>
      <c r="G227">
        <v>14</v>
      </c>
      <c r="H227" s="5">
        <v>46111</v>
      </c>
      <c r="I227" t="s">
        <v>173</v>
      </c>
      <c r="J227">
        <v>775.95</v>
      </c>
      <c r="L227">
        <v>23</v>
      </c>
      <c r="M227" s="5">
        <v>46174</v>
      </c>
      <c r="N227" t="s">
        <v>185</v>
      </c>
      <c r="O227">
        <v>933.1</v>
      </c>
      <c r="Q227" t="s">
        <v>200</v>
      </c>
      <c r="R227" s="5">
        <v>46113</v>
      </c>
      <c r="S227" t="s">
        <v>119</v>
      </c>
      <c r="T227">
        <v>1485.63</v>
      </c>
      <c r="V227" t="s">
        <v>199</v>
      </c>
      <c r="W227" s="5">
        <v>46082</v>
      </c>
      <c r="X227" t="s">
        <v>198</v>
      </c>
      <c r="Y227">
        <v>653.82000000000005</v>
      </c>
    </row>
    <row r="228" spans="2:25" ht="18.75">
      <c r="B228">
        <v>19</v>
      </c>
      <c r="C228" s="5">
        <v>46146</v>
      </c>
      <c r="D228" t="s">
        <v>128</v>
      </c>
      <c r="E228">
        <v>201.61</v>
      </c>
      <c r="G228">
        <v>14</v>
      </c>
      <c r="H228" s="5">
        <v>46111</v>
      </c>
      <c r="I228" t="s">
        <v>204</v>
      </c>
      <c r="J228">
        <v>0.62</v>
      </c>
      <c r="L228">
        <v>23</v>
      </c>
      <c r="M228" s="5">
        <v>46174</v>
      </c>
      <c r="N228" t="s">
        <v>202</v>
      </c>
      <c r="O228">
        <v>291.58999999999997</v>
      </c>
      <c r="Q228" t="s">
        <v>200</v>
      </c>
      <c r="R228" s="5">
        <v>46113</v>
      </c>
      <c r="S228" t="s">
        <v>130</v>
      </c>
      <c r="T228">
        <v>1512.11</v>
      </c>
      <c r="V228" t="s">
        <v>199</v>
      </c>
      <c r="W228" s="5">
        <v>46082</v>
      </c>
      <c r="X228" t="s">
        <v>169</v>
      </c>
      <c r="Y228">
        <v>3654.06</v>
      </c>
    </row>
    <row r="229" spans="2:25" ht="18.75">
      <c r="B229">
        <v>19</v>
      </c>
      <c r="C229" s="5">
        <v>46146</v>
      </c>
      <c r="D229" t="s">
        <v>129</v>
      </c>
      <c r="E229">
        <v>365.53</v>
      </c>
      <c r="G229">
        <v>15</v>
      </c>
      <c r="H229" s="5">
        <v>46118</v>
      </c>
      <c r="I229" t="s">
        <v>160</v>
      </c>
      <c r="J229">
        <v>3821.64</v>
      </c>
      <c r="L229">
        <v>24</v>
      </c>
      <c r="M229" s="5">
        <v>46181</v>
      </c>
      <c r="N229" t="s">
        <v>178</v>
      </c>
      <c r="O229">
        <v>2655.3</v>
      </c>
      <c r="Q229" t="s">
        <v>200</v>
      </c>
      <c r="R229" s="5">
        <v>46113</v>
      </c>
      <c r="S229" t="s">
        <v>133</v>
      </c>
      <c r="T229">
        <v>1478.06</v>
      </c>
      <c r="V229" t="s">
        <v>199</v>
      </c>
      <c r="W229" s="5">
        <v>46082</v>
      </c>
      <c r="X229" t="s">
        <v>176</v>
      </c>
      <c r="Y229">
        <v>172.35</v>
      </c>
    </row>
    <row r="230" spans="2:25" ht="18.75">
      <c r="B230">
        <v>19</v>
      </c>
      <c r="C230" s="5">
        <v>46146</v>
      </c>
      <c r="D230" t="s">
        <v>130</v>
      </c>
      <c r="E230">
        <v>335.39</v>
      </c>
      <c r="G230">
        <v>15</v>
      </c>
      <c r="H230" s="5">
        <v>46118</v>
      </c>
      <c r="I230" t="s">
        <v>158</v>
      </c>
      <c r="J230">
        <v>549.44000000000005</v>
      </c>
      <c r="L230">
        <v>24</v>
      </c>
      <c r="M230" s="5">
        <v>46181</v>
      </c>
      <c r="N230" t="s">
        <v>179</v>
      </c>
      <c r="O230">
        <v>3479.95</v>
      </c>
      <c r="Q230" t="s">
        <v>200</v>
      </c>
      <c r="R230" s="5">
        <v>46113</v>
      </c>
      <c r="S230" t="s">
        <v>134</v>
      </c>
      <c r="T230">
        <v>1449.16</v>
      </c>
      <c r="V230" t="s">
        <v>199</v>
      </c>
      <c r="W230" s="5">
        <v>46082</v>
      </c>
      <c r="X230" t="s">
        <v>163</v>
      </c>
      <c r="Y230">
        <v>480.06</v>
      </c>
    </row>
    <row r="231" spans="2:25" ht="18.75">
      <c r="B231">
        <v>19</v>
      </c>
      <c r="C231" s="5">
        <v>46146</v>
      </c>
      <c r="D231" t="s">
        <v>131</v>
      </c>
      <c r="E231">
        <v>354.46</v>
      </c>
      <c r="G231">
        <v>15</v>
      </c>
      <c r="H231" s="5">
        <v>46118</v>
      </c>
      <c r="I231" t="s">
        <v>165</v>
      </c>
      <c r="J231">
        <v>203.2</v>
      </c>
      <c r="L231">
        <v>24</v>
      </c>
      <c r="M231" s="5">
        <v>46181</v>
      </c>
      <c r="N231" t="s">
        <v>180</v>
      </c>
      <c r="O231">
        <v>180.85</v>
      </c>
      <c r="Q231" t="s">
        <v>200</v>
      </c>
      <c r="R231" s="5">
        <v>46113</v>
      </c>
      <c r="S231" t="s">
        <v>138</v>
      </c>
      <c r="T231">
        <v>1787.72</v>
      </c>
      <c r="V231" t="s">
        <v>199</v>
      </c>
      <c r="W231" s="5">
        <v>46082</v>
      </c>
      <c r="X231" t="s">
        <v>201</v>
      </c>
      <c r="Y231">
        <v>243.32</v>
      </c>
    </row>
    <row r="232" spans="2:25" ht="18.75">
      <c r="B232">
        <v>19</v>
      </c>
      <c r="C232" s="5">
        <v>46146</v>
      </c>
      <c r="D232" t="s">
        <v>132</v>
      </c>
      <c r="E232">
        <v>159.5</v>
      </c>
      <c r="G232">
        <v>15</v>
      </c>
      <c r="H232" s="5">
        <v>46118</v>
      </c>
      <c r="I232" t="s">
        <v>174</v>
      </c>
      <c r="J232">
        <v>849.44</v>
      </c>
      <c r="L232">
        <v>24</v>
      </c>
      <c r="M232" s="5">
        <v>46181</v>
      </c>
      <c r="N232" t="s">
        <v>181</v>
      </c>
      <c r="O232">
        <v>1808.55</v>
      </c>
      <c r="Q232" t="s">
        <v>200</v>
      </c>
      <c r="R232" s="5">
        <v>46113</v>
      </c>
      <c r="S232" t="s">
        <v>141</v>
      </c>
      <c r="T232">
        <v>2344.89</v>
      </c>
      <c r="V232" t="s">
        <v>199</v>
      </c>
      <c r="W232" s="5">
        <v>46082</v>
      </c>
      <c r="X232" t="s">
        <v>168</v>
      </c>
      <c r="Y232">
        <v>548.19000000000005</v>
      </c>
    </row>
    <row r="233" spans="2:25" ht="18.75">
      <c r="B233">
        <v>19</v>
      </c>
      <c r="C233" s="5">
        <v>46146</v>
      </c>
      <c r="D233" t="s">
        <v>133</v>
      </c>
      <c r="E233">
        <v>386.18</v>
      </c>
      <c r="G233">
        <v>15</v>
      </c>
      <c r="H233" s="5">
        <v>46118</v>
      </c>
      <c r="I233" t="s">
        <v>198</v>
      </c>
      <c r="J233">
        <v>355.41</v>
      </c>
      <c r="L233">
        <v>24</v>
      </c>
      <c r="M233" s="5">
        <v>46181</v>
      </c>
      <c r="N233" t="s">
        <v>182</v>
      </c>
      <c r="O233">
        <v>1996.75</v>
      </c>
      <c r="Q233" t="s">
        <v>200</v>
      </c>
      <c r="R233" s="5">
        <v>46113</v>
      </c>
      <c r="S233" t="s">
        <v>143</v>
      </c>
      <c r="T233">
        <v>7627.26</v>
      </c>
      <c r="V233" t="s">
        <v>199</v>
      </c>
      <c r="W233" s="5">
        <v>46082</v>
      </c>
      <c r="X233" t="s">
        <v>173</v>
      </c>
      <c r="Y233">
        <v>1456.91</v>
      </c>
    </row>
    <row r="234" spans="2:25" ht="18.75">
      <c r="B234">
        <v>19</v>
      </c>
      <c r="C234" s="5">
        <v>46146</v>
      </c>
      <c r="D234" t="s">
        <v>134</v>
      </c>
      <c r="E234">
        <v>373.63</v>
      </c>
      <c r="G234">
        <v>15</v>
      </c>
      <c r="H234" s="5">
        <v>46118</v>
      </c>
      <c r="I234" t="s">
        <v>169</v>
      </c>
      <c r="J234">
        <v>1405.89</v>
      </c>
      <c r="L234">
        <v>24</v>
      </c>
      <c r="M234" s="5">
        <v>46181</v>
      </c>
      <c r="N234" t="s">
        <v>183</v>
      </c>
      <c r="O234">
        <v>538.98</v>
      </c>
      <c r="Q234" t="s">
        <v>200</v>
      </c>
      <c r="R234" s="5">
        <v>46113</v>
      </c>
      <c r="S234" t="s">
        <v>145</v>
      </c>
      <c r="T234">
        <v>910.77</v>
      </c>
      <c r="V234" t="s">
        <v>199</v>
      </c>
      <c r="W234" s="5">
        <v>46082</v>
      </c>
      <c r="X234" t="s">
        <v>158</v>
      </c>
      <c r="Y234">
        <v>1108.1099999999999</v>
      </c>
    </row>
    <row r="235" spans="2:25" ht="18.75">
      <c r="B235">
        <v>19</v>
      </c>
      <c r="C235" s="5">
        <v>46146</v>
      </c>
      <c r="D235" t="s">
        <v>135</v>
      </c>
      <c r="E235">
        <v>105.88</v>
      </c>
      <c r="G235">
        <v>15</v>
      </c>
      <c r="H235" s="5">
        <v>46118</v>
      </c>
      <c r="I235" t="s">
        <v>176</v>
      </c>
      <c r="J235">
        <v>109.44</v>
      </c>
      <c r="L235">
        <v>24</v>
      </c>
      <c r="M235" s="5">
        <v>46181</v>
      </c>
      <c r="N235" t="s">
        <v>184</v>
      </c>
      <c r="O235">
        <v>454.82</v>
      </c>
      <c r="Q235" t="s">
        <v>200</v>
      </c>
      <c r="R235" s="5">
        <v>46113</v>
      </c>
      <c r="S235" t="s">
        <v>146</v>
      </c>
      <c r="T235">
        <v>2519.04</v>
      </c>
      <c r="V235" t="s">
        <v>199</v>
      </c>
      <c r="W235" s="5">
        <v>46082</v>
      </c>
      <c r="X235" t="s">
        <v>165</v>
      </c>
      <c r="Y235">
        <v>192.69</v>
      </c>
    </row>
    <row r="236" spans="2:25" ht="18.75">
      <c r="B236">
        <v>19</v>
      </c>
      <c r="C236" s="5">
        <v>46146</v>
      </c>
      <c r="D236" t="s">
        <v>136</v>
      </c>
      <c r="E236">
        <v>146.26</v>
      </c>
      <c r="G236">
        <v>15</v>
      </c>
      <c r="H236" s="5">
        <v>46118</v>
      </c>
      <c r="I236" t="s">
        <v>170</v>
      </c>
      <c r="J236">
        <v>24</v>
      </c>
      <c r="L236">
        <v>24</v>
      </c>
      <c r="M236" s="5">
        <v>46181</v>
      </c>
      <c r="N236" t="s">
        <v>185</v>
      </c>
      <c r="O236">
        <v>878.3</v>
      </c>
      <c r="Q236" t="s">
        <v>200</v>
      </c>
      <c r="R236" s="5">
        <v>46113</v>
      </c>
      <c r="S236" t="s">
        <v>151</v>
      </c>
      <c r="T236">
        <v>2827.95</v>
      </c>
      <c r="V236" t="s">
        <v>199</v>
      </c>
      <c r="W236" s="5">
        <v>46082</v>
      </c>
      <c r="X236" t="s">
        <v>174</v>
      </c>
      <c r="Y236">
        <v>1735.07</v>
      </c>
    </row>
    <row r="237" spans="2:25" ht="18.75">
      <c r="B237">
        <v>19</v>
      </c>
      <c r="C237" s="5">
        <v>46146</v>
      </c>
      <c r="D237" t="s">
        <v>137</v>
      </c>
      <c r="E237">
        <v>85.26</v>
      </c>
      <c r="G237">
        <v>15</v>
      </c>
      <c r="H237" s="5">
        <v>46118</v>
      </c>
      <c r="I237" t="s">
        <v>163</v>
      </c>
      <c r="J237">
        <v>192.21</v>
      </c>
      <c r="L237">
        <v>24</v>
      </c>
      <c r="M237" s="5">
        <v>46181</v>
      </c>
      <c r="N237" t="s">
        <v>202</v>
      </c>
      <c r="O237">
        <v>423.18</v>
      </c>
      <c r="Q237" t="s">
        <v>200</v>
      </c>
      <c r="R237" s="5">
        <v>46113</v>
      </c>
      <c r="S237" t="s">
        <v>129</v>
      </c>
      <c r="T237">
        <v>1601.91</v>
      </c>
      <c r="V237" t="s">
        <v>199</v>
      </c>
      <c r="W237" s="5">
        <v>46082</v>
      </c>
      <c r="X237" t="s">
        <v>170</v>
      </c>
      <c r="Y237">
        <v>232.86</v>
      </c>
    </row>
    <row r="238" spans="2:25" ht="18.75">
      <c r="B238">
        <v>19</v>
      </c>
      <c r="C238" s="5">
        <v>46146</v>
      </c>
      <c r="D238" t="s">
        <v>138</v>
      </c>
      <c r="E238">
        <v>416.11</v>
      </c>
      <c r="G238">
        <v>15</v>
      </c>
      <c r="H238" s="5">
        <v>46118</v>
      </c>
      <c r="I238" t="s">
        <v>168</v>
      </c>
      <c r="J238">
        <v>325.93</v>
      </c>
      <c r="L238">
        <v>25</v>
      </c>
      <c r="M238" s="5">
        <v>46188</v>
      </c>
      <c r="N238" t="s">
        <v>178</v>
      </c>
      <c r="O238">
        <v>1541.05</v>
      </c>
      <c r="Q238" t="s">
        <v>199</v>
      </c>
      <c r="R238" s="5">
        <v>46082</v>
      </c>
      <c r="S238" t="s">
        <v>126</v>
      </c>
      <c r="T238">
        <v>136.77000000000001</v>
      </c>
      <c r="V238" t="s">
        <v>199</v>
      </c>
      <c r="W238" s="5">
        <v>46082</v>
      </c>
      <c r="X238" t="s">
        <v>172</v>
      </c>
      <c r="Y238">
        <v>57.99</v>
      </c>
    </row>
    <row r="239" spans="2:25" ht="18.75">
      <c r="B239">
        <v>19</v>
      </c>
      <c r="C239" s="5">
        <v>46146</v>
      </c>
      <c r="D239" t="s">
        <v>141</v>
      </c>
      <c r="E239">
        <v>438.07</v>
      </c>
      <c r="G239">
        <v>15</v>
      </c>
      <c r="H239" s="5">
        <v>46118</v>
      </c>
      <c r="I239" t="s">
        <v>173</v>
      </c>
      <c r="J239">
        <v>845.7</v>
      </c>
      <c r="L239">
        <v>25</v>
      </c>
      <c r="M239" s="5">
        <v>46188</v>
      </c>
      <c r="N239" t="s">
        <v>179</v>
      </c>
      <c r="O239">
        <v>1930.55</v>
      </c>
      <c r="Q239" t="s">
        <v>200</v>
      </c>
      <c r="R239" s="5">
        <v>46113</v>
      </c>
      <c r="S239" t="s">
        <v>126</v>
      </c>
      <c r="T239">
        <v>653.65</v>
      </c>
      <c r="V239" t="s">
        <v>199</v>
      </c>
      <c r="W239" s="5">
        <v>46082</v>
      </c>
      <c r="X239" t="s">
        <v>204</v>
      </c>
      <c r="Y239">
        <v>0.62</v>
      </c>
    </row>
    <row r="240" spans="2:25" ht="18.75">
      <c r="B240">
        <v>19</v>
      </c>
      <c r="C240" s="5">
        <v>46146</v>
      </c>
      <c r="D240" t="s">
        <v>142</v>
      </c>
      <c r="E240">
        <v>157.76</v>
      </c>
      <c r="G240">
        <v>15</v>
      </c>
      <c r="H240" s="5">
        <v>46118</v>
      </c>
      <c r="I240" t="s">
        <v>172</v>
      </c>
      <c r="J240">
        <v>19.899999999999999</v>
      </c>
      <c r="L240">
        <v>25</v>
      </c>
      <c r="M240" s="5">
        <v>46188</v>
      </c>
      <c r="N240" t="s">
        <v>180</v>
      </c>
      <c r="O240">
        <v>64.95</v>
      </c>
      <c r="Q240" t="s">
        <v>199</v>
      </c>
      <c r="R240" s="5">
        <v>46082</v>
      </c>
      <c r="S240" t="s">
        <v>113</v>
      </c>
      <c r="T240">
        <v>128.22</v>
      </c>
      <c r="V240" t="s">
        <v>210</v>
      </c>
      <c r="W240" s="5">
        <v>45931</v>
      </c>
      <c r="X240" t="s">
        <v>160</v>
      </c>
      <c r="Y240">
        <v>6764.2</v>
      </c>
    </row>
    <row r="241" spans="2:25" ht="18.75">
      <c r="B241">
        <v>19</v>
      </c>
      <c r="C241" s="5">
        <v>46146</v>
      </c>
      <c r="D241" t="s">
        <v>139</v>
      </c>
      <c r="E241">
        <v>232.58</v>
      </c>
      <c r="G241">
        <v>14</v>
      </c>
      <c r="H241" s="5">
        <v>46111</v>
      </c>
      <c r="I241" t="s">
        <v>201</v>
      </c>
      <c r="J241">
        <v>12.32</v>
      </c>
      <c r="L241">
        <v>25</v>
      </c>
      <c r="M241" s="5">
        <v>46188</v>
      </c>
      <c r="N241" t="s">
        <v>181</v>
      </c>
      <c r="O241">
        <v>1189.98</v>
      </c>
      <c r="Q241" t="s">
        <v>200</v>
      </c>
      <c r="R241" s="5">
        <v>46113</v>
      </c>
      <c r="S241" t="s">
        <v>113</v>
      </c>
      <c r="T241">
        <v>830.72</v>
      </c>
      <c r="V241" t="s">
        <v>210</v>
      </c>
      <c r="W241" s="5">
        <v>45931</v>
      </c>
      <c r="X241" t="s">
        <v>165</v>
      </c>
      <c r="Y241">
        <v>540.13</v>
      </c>
    </row>
    <row r="242" spans="2:25" ht="18.75">
      <c r="B242">
        <v>19</v>
      </c>
      <c r="C242" s="5">
        <v>46146</v>
      </c>
      <c r="D242" t="s">
        <v>143</v>
      </c>
      <c r="E242">
        <v>1219.1199999999999</v>
      </c>
      <c r="G242">
        <v>16</v>
      </c>
      <c r="H242" s="5">
        <v>46125</v>
      </c>
      <c r="I242" t="s">
        <v>160</v>
      </c>
      <c r="J242">
        <v>3999.48</v>
      </c>
      <c r="L242">
        <v>25</v>
      </c>
      <c r="M242" s="5">
        <v>46188</v>
      </c>
      <c r="N242" t="s">
        <v>182</v>
      </c>
      <c r="O242">
        <v>1223.3499999999999</v>
      </c>
      <c r="Q242" t="s">
        <v>199</v>
      </c>
      <c r="R242" s="5">
        <v>46082</v>
      </c>
      <c r="S242" t="s">
        <v>118</v>
      </c>
      <c r="T242">
        <v>106.85</v>
      </c>
      <c r="V242" t="s">
        <v>210</v>
      </c>
      <c r="W242" s="5">
        <v>45931</v>
      </c>
      <c r="X242" t="s">
        <v>171</v>
      </c>
      <c r="Y242">
        <v>1301.3900000000001</v>
      </c>
    </row>
    <row r="243" spans="2:25" ht="18.75">
      <c r="B243">
        <v>19</v>
      </c>
      <c r="C243" s="5">
        <v>46146</v>
      </c>
      <c r="D243" t="s">
        <v>144</v>
      </c>
      <c r="E243">
        <v>193.99</v>
      </c>
      <c r="G243">
        <v>16</v>
      </c>
      <c r="H243" s="5">
        <v>46125</v>
      </c>
      <c r="I243" t="s">
        <v>198</v>
      </c>
      <c r="J243">
        <v>524.62</v>
      </c>
      <c r="L243">
        <v>25</v>
      </c>
      <c r="M243" s="5">
        <v>46188</v>
      </c>
      <c r="N243" t="s">
        <v>183</v>
      </c>
      <c r="O243">
        <v>260.7</v>
      </c>
      <c r="Q243" t="s">
        <v>200</v>
      </c>
      <c r="R243" s="5">
        <v>46113</v>
      </c>
      <c r="S243" t="s">
        <v>118</v>
      </c>
      <c r="T243">
        <v>660.42</v>
      </c>
      <c r="V243" t="s">
        <v>210</v>
      </c>
      <c r="W243" s="5">
        <v>45931</v>
      </c>
      <c r="X243" t="s">
        <v>174</v>
      </c>
      <c r="Y243">
        <v>1094.82</v>
      </c>
    </row>
    <row r="244" spans="2:25" ht="18.75">
      <c r="B244">
        <v>19</v>
      </c>
      <c r="C244" s="5">
        <v>46146</v>
      </c>
      <c r="D244" t="s">
        <v>145</v>
      </c>
      <c r="E244">
        <v>214.78</v>
      </c>
      <c r="G244">
        <v>16</v>
      </c>
      <c r="H244" s="5">
        <v>46125</v>
      </c>
      <c r="I244" t="s">
        <v>158</v>
      </c>
      <c r="J244">
        <v>658.52</v>
      </c>
      <c r="L244">
        <v>25</v>
      </c>
      <c r="M244" s="5">
        <v>46188</v>
      </c>
      <c r="N244" t="s">
        <v>184</v>
      </c>
      <c r="O244">
        <v>306.11</v>
      </c>
      <c r="Q244" t="s">
        <v>199</v>
      </c>
      <c r="R244" s="5">
        <v>46082</v>
      </c>
      <c r="S244" t="s">
        <v>123</v>
      </c>
      <c r="T244">
        <v>397.01</v>
      </c>
      <c r="V244" t="s">
        <v>210</v>
      </c>
      <c r="W244" s="5">
        <v>45931</v>
      </c>
      <c r="X244" t="s">
        <v>169</v>
      </c>
      <c r="Y244">
        <v>2927.86</v>
      </c>
    </row>
    <row r="245" spans="2:25" ht="18.75">
      <c r="B245">
        <v>19</v>
      </c>
      <c r="C245" s="5">
        <v>46146</v>
      </c>
      <c r="D245" t="s">
        <v>146</v>
      </c>
      <c r="E245">
        <v>512.14</v>
      </c>
      <c r="G245">
        <v>16</v>
      </c>
      <c r="H245" s="5">
        <v>46125</v>
      </c>
      <c r="I245" t="s">
        <v>165</v>
      </c>
      <c r="J245">
        <v>141.6</v>
      </c>
      <c r="L245">
        <v>25</v>
      </c>
      <c r="M245" s="5">
        <v>46188</v>
      </c>
      <c r="N245" t="s">
        <v>185</v>
      </c>
      <c r="O245">
        <v>670.55</v>
      </c>
      <c r="Q245" t="s">
        <v>200</v>
      </c>
      <c r="R245" s="5">
        <v>46113</v>
      </c>
      <c r="S245" t="s">
        <v>123</v>
      </c>
      <c r="T245">
        <v>1765.05</v>
      </c>
      <c r="V245" t="s">
        <v>210</v>
      </c>
      <c r="W245" s="5">
        <v>45931</v>
      </c>
      <c r="X245" t="s">
        <v>170</v>
      </c>
      <c r="Y245">
        <v>42</v>
      </c>
    </row>
    <row r="246" spans="2:25" ht="18.75">
      <c r="B246">
        <v>19</v>
      </c>
      <c r="C246" s="5">
        <v>46146</v>
      </c>
      <c r="D246" t="s">
        <v>148</v>
      </c>
      <c r="E246">
        <v>156.13</v>
      </c>
      <c r="G246">
        <v>16</v>
      </c>
      <c r="H246" s="5">
        <v>46125</v>
      </c>
      <c r="I246" t="s">
        <v>171</v>
      </c>
      <c r="J246">
        <v>893.52</v>
      </c>
      <c r="L246">
        <v>25</v>
      </c>
      <c r="M246" s="5">
        <v>46188</v>
      </c>
      <c r="N246" t="s">
        <v>202</v>
      </c>
      <c r="O246">
        <v>178.15</v>
      </c>
      <c r="Q246" t="s">
        <v>199</v>
      </c>
      <c r="R246" s="5">
        <v>46082</v>
      </c>
      <c r="S246" t="s">
        <v>124</v>
      </c>
      <c r="T246">
        <v>270.91000000000003</v>
      </c>
      <c r="V246" t="s">
        <v>210</v>
      </c>
      <c r="W246" s="5">
        <v>45931</v>
      </c>
      <c r="X246" t="s">
        <v>176</v>
      </c>
      <c r="Y246">
        <v>256.61</v>
      </c>
    </row>
    <row r="247" spans="2:25" ht="18.75">
      <c r="B247">
        <v>19</v>
      </c>
      <c r="C247" s="5">
        <v>46146</v>
      </c>
      <c r="D247" t="s">
        <v>147</v>
      </c>
      <c r="E247">
        <v>354.58</v>
      </c>
      <c r="G247">
        <v>16</v>
      </c>
      <c r="H247" s="5">
        <v>46125</v>
      </c>
      <c r="I247" t="s">
        <v>174</v>
      </c>
      <c r="J247">
        <v>470.73</v>
      </c>
      <c r="L247">
        <v>43</v>
      </c>
      <c r="M247" s="5">
        <v>45950</v>
      </c>
      <c r="N247" t="s">
        <v>179</v>
      </c>
      <c r="O247">
        <v>2487.42</v>
      </c>
      <c r="Q247" t="s">
        <v>200</v>
      </c>
      <c r="R247" s="5">
        <v>46113</v>
      </c>
      <c r="S247" t="s">
        <v>124</v>
      </c>
      <c r="T247">
        <v>1303.8800000000001</v>
      </c>
      <c r="V247" t="s">
        <v>210</v>
      </c>
      <c r="W247" s="5">
        <v>45931</v>
      </c>
      <c r="X247" t="s">
        <v>164</v>
      </c>
      <c r="Y247">
        <v>31.54</v>
      </c>
    </row>
    <row r="248" spans="2:25" ht="18.75">
      <c r="B248">
        <v>19</v>
      </c>
      <c r="C248" s="5">
        <v>46146</v>
      </c>
      <c r="D248" t="s">
        <v>150</v>
      </c>
      <c r="E248">
        <v>92.92</v>
      </c>
      <c r="G248">
        <v>16</v>
      </c>
      <c r="H248" s="5">
        <v>46125</v>
      </c>
      <c r="I248" t="s">
        <v>169</v>
      </c>
      <c r="J248">
        <v>1878.44</v>
      </c>
      <c r="L248">
        <v>43</v>
      </c>
      <c r="M248" s="5">
        <v>45950</v>
      </c>
      <c r="N248" t="s">
        <v>180</v>
      </c>
      <c r="O248">
        <v>188.2</v>
      </c>
      <c r="Q248" t="s">
        <v>199</v>
      </c>
      <c r="R248" s="5">
        <v>46082</v>
      </c>
      <c r="S248" t="s">
        <v>147</v>
      </c>
      <c r="T248">
        <v>213.75</v>
      </c>
      <c r="V248" t="s">
        <v>210</v>
      </c>
      <c r="W248" s="5">
        <v>45931</v>
      </c>
      <c r="X248" t="s">
        <v>163</v>
      </c>
      <c r="Y248">
        <v>726.86</v>
      </c>
    </row>
    <row r="249" spans="2:25" ht="18.75">
      <c r="B249">
        <v>19</v>
      </c>
      <c r="C249" s="5">
        <v>46146</v>
      </c>
      <c r="D249" t="s">
        <v>151</v>
      </c>
      <c r="E249">
        <v>739.49</v>
      </c>
      <c r="G249">
        <v>16</v>
      </c>
      <c r="H249" s="5">
        <v>46125</v>
      </c>
      <c r="I249" t="s">
        <v>176</v>
      </c>
      <c r="J249">
        <v>103.68</v>
      </c>
      <c r="L249">
        <v>43</v>
      </c>
      <c r="M249" s="5">
        <v>45950</v>
      </c>
      <c r="N249" t="s">
        <v>181</v>
      </c>
      <c r="O249">
        <v>1277.31</v>
      </c>
      <c r="Q249" t="s">
        <v>200</v>
      </c>
      <c r="R249" s="5">
        <v>46113</v>
      </c>
      <c r="S249" t="s">
        <v>147</v>
      </c>
      <c r="T249">
        <v>1293.75</v>
      </c>
      <c r="V249" t="s">
        <v>210</v>
      </c>
      <c r="W249" s="5">
        <v>45931</v>
      </c>
      <c r="X249" t="s">
        <v>168</v>
      </c>
      <c r="Y249">
        <v>620.92999999999995</v>
      </c>
    </row>
    <row r="250" spans="2:25" ht="18.75">
      <c r="B250">
        <v>19</v>
      </c>
      <c r="C250" s="5">
        <v>46146</v>
      </c>
      <c r="D250" t="s">
        <v>127</v>
      </c>
      <c r="E250">
        <v>258</v>
      </c>
      <c r="G250">
        <v>16</v>
      </c>
      <c r="H250" s="5">
        <v>46125</v>
      </c>
      <c r="I250" t="s">
        <v>170</v>
      </c>
      <c r="J250">
        <v>36</v>
      </c>
      <c r="L250">
        <v>43</v>
      </c>
      <c r="M250" s="5">
        <v>45950</v>
      </c>
      <c r="N250" t="s">
        <v>182</v>
      </c>
      <c r="O250">
        <v>1692.27</v>
      </c>
      <c r="Q250" t="s">
        <v>199</v>
      </c>
      <c r="R250" s="5">
        <v>46082</v>
      </c>
      <c r="S250" t="s">
        <v>121</v>
      </c>
      <c r="T250">
        <v>116.74</v>
      </c>
      <c r="V250" t="s">
        <v>210</v>
      </c>
      <c r="W250" s="5">
        <v>45931</v>
      </c>
      <c r="X250" t="s">
        <v>172</v>
      </c>
      <c r="Y250">
        <v>100.92</v>
      </c>
    </row>
    <row r="251" spans="2:25" ht="18.75">
      <c r="B251">
        <v>13</v>
      </c>
      <c r="C251" s="5">
        <v>46104</v>
      </c>
      <c r="D251" t="s">
        <v>123</v>
      </c>
      <c r="E251">
        <v>258.14</v>
      </c>
      <c r="G251">
        <v>16</v>
      </c>
      <c r="H251" s="5">
        <v>46125</v>
      </c>
      <c r="I251" t="s">
        <v>163</v>
      </c>
      <c r="J251">
        <v>248.97</v>
      </c>
      <c r="L251">
        <v>43</v>
      </c>
      <c r="M251" s="5">
        <v>45950</v>
      </c>
      <c r="N251" t="s">
        <v>183</v>
      </c>
      <c r="O251">
        <v>654.04</v>
      </c>
      <c r="Q251" t="s">
        <v>200</v>
      </c>
      <c r="R251" s="5">
        <v>46113</v>
      </c>
      <c r="S251" t="s">
        <v>121</v>
      </c>
      <c r="T251">
        <v>750.06</v>
      </c>
      <c r="V251" t="s">
        <v>210</v>
      </c>
      <c r="W251" s="5">
        <v>45931</v>
      </c>
      <c r="X251" t="s">
        <v>173</v>
      </c>
      <c r="Y251">
        <v>976.13</v>
      </c>
    </row>
    <row r="252" spans="2:25" ht="18.75">
      <c r="B252">
        <v>13</v>
      </c>
      <c r="C252" s="5">
        <v>46104</v>
      </c>
      <c r="D252" t="s">
        <v>124</v>
      </c>
      <c r="E252">
        <v>170.74</v>
      </c>
      <c r="G252">
        <v>16</v>
      </c>
      <c r="H252" s="5">
        <v>46125</v>
      </c>
      <c r="I252" t="s">
        <v>168</v>
      </c>
      <c r="J252">
        <v>435.51</v>
      </c>
      <c r="L252">
        <v>43</v>
      </c>
      <c r="M252" s="5">
        <v>45950</v>
      </c>
      <c r="N252" t="s">
        <v>184</v>
      </c>
      <c r="O252">
        <v>417.49</v>
      </c>
      <c r="Q252" t="s">
        <v>199</v>
      </c>
      <c r="R252" s="5">
        <v>46082</v>
      </c>
      <c r="S252" t="s">
        <v>139</v>
      </c>
      <c r="T252">
        <v>189.72</v>
      </c>
      <c r="V252" t="s">
        <v>210</v>
      </c>
      <c r="W252" s="5">
        <v>45931</v>
      </c>
      <c r="X252" t="s">
        <v>158</v>
      </c>
      <c r="Y252">
        <v>1034.17</v>
      </c>
    </row>
    <row r="253" spans="2:25" ht="18.75">
      <c r="B253">
        <v>13</v>
      </c>
      <c r="C253" s="5">
        <v>46104</v>
      </c>
      <c r="D253" t="s">
        <v>139</v>
      </c>
      <c r="E253">
        <v>106.32</v>
      </c>
      <c r="G253">
        <v>16</v>
      </c>
      <c r="H253" s="5">
        <v>46125</v>
      </c>
      <c r="I253" t="s">
        <v>172</v>
      </c>
      <c r="J253">
        <v>67.66</v>
      </c>
      <c r="L253">
        <v>43</v>
      </c>
      <c r="M253" s="5">
        <v>45950</v>
      </c>
      <c r="N253" t="s">
        <v>185</v>
      </c>
      <c r="O253">
        <v>458.7</v>
      </c>
      <c r="Q253" t="s">
        <v>200</v>
      </c>
      <c r="R253" s="5">
        <v>46113</v>
      </c>
      <c r="S253" t="s">
        <v>139</v>
      </c>
      <c r="T253">
        <v>972.32</v>
      </c>
      <c r="V253" t="s">
        <v>211</v>
      </c>
      <c r="W253" s="5">
        <v>45962</v>
      </c>
      <c r="X253" t="s">
        <v>160</v>
      </c>
      <c r="Y253">
        <v>16475.080000000002</v>
      </c>
    </row>
    <row r="254" spans="2:25" ht="18.75">
      <c r="B254">
        <v>13</v>
      </c>
      <c r="C254" s="5">
        <v>46104</v>
      </c>
      <c r="D254" t="s">
        <v>147</v>
      </c>
      <c r="E254">
        <v>106.11</v>
      </c>
      <c r="G254">
        <v>16</v>
      </c>
      <c r="H254" s="5">
        <v>46125</v>
      </c>
      <c r="I254" t="s">
        <v>173</v>
      </c>
      <c r="J254">
        <v>858.85</v>
      </c>
      <c r="L254">
        <v>43</v>
      </c>
      <c r="M254" s="5">
        <v>45950</v>
      </c>
      <c r="N254" t="s">
        <v>178</v>
      </c>
      <c r="O254">
        <v>1808.8</v>
      </c>
      <c r="Q254" t="s">
        <v>199</v>
      </c>
      <c r="R254" s="5">
        <v>46082</v>
      </c>
      <c r="S254" t="s">
        <v>127</v>
      </c>
      <c r="T254">
        <v>148.47</v>
      </c>
      <c r="V254" t="s">
        <v>211</v>
      </c>
      <c r="W254" s="5">
        <v>45962</v>
      </c>
      <c r="X254" t="s">
        <v>169</v>
      </c>
      <c r="Y254">
        <v>7490.84</v>
      </c>
    </row>
    <row r="255" spans="2:25" ht="18.75">
      <c r="B255">
        <v>13</v>
      </c>
      <c r="C255" s="5">
        <v>46104</v>
      </c>
      <c r="D255" t="s">
        <v>118</v>
      </c>
      <c r="E255">
        <v>55.1</v>
      </c>
      <c r="G255">
        <v>15</v>
      </c>
      <c r="H255" s="5">
        <v>46118</v>
      </c>
      <c r="I255" t="s">
        <v>171</v>
      </c>
      <c r="J255">
        <v>153.57</v>
      </c>
      <c r="L255">
        <v>44</v>
      </c>
      <c r="M255" s="5">
        <v>45957</v>
      </c>
      <c r="N255" t="s">
        <v>178</v>
      </c>
      <c r="O255">
        <v>1850.45</v>
      </c>
      <c r="Q255" t="s">
        <v>200</v>
      </c>
      <c r="R255" s="5">
        <v>46113</v>
      </c>
      <c r="S255" t="s">
        <v>127</v>
      </c>
      <c r="T255">
        <v>1042.24</v>
      </c>
      <c r="V255" t="s">
        <v>211</v>
      </c>
      <c r="W255" s="5">
        <v>45962</v>
      </c>
      <c r="X255" t="s">
        <v>163</v>
      </c>
      <c r="Y255">
        <v>1561.11</v>
      </c>
    </row>
    <row r="256" spans="2:25" ht="18.75">
      <c r="B256">
        <v>13</v>
      </c>
      <c r="C256" s="5">
        <v>46104</v>
      </c>
      <c r="D256" t="s">
        <v>126</v>
      </c>
      <c r="E256">
        <v>43.12</v>
      </c>
      <c r="G256">
        <v>17</v>
      </c>
      <c r="H256" s="5">
        <v>46132</v>
      </c>
      <c r="I256" t="s">
        <v>160</v>
      </c>
      <c r="J256">
        <v>4896.09</v>
      </c>
      <c r="L256">
        <v>44</v>
      </c>
      <c r="M256" s="5">
        <v>45957</v>
      </c>
      <c r="N256" t="s">
        <v>179</v>
      </c>
      <c r="O256">
        <v>3052.56</v>
      </c>
      <c r="Q256" t="s">
        <v>200</v>
      </c>
      <c r="R256" s="5">
        <v>46113</v>
      </c>
      <c r="S256" t="s">
        <v>112</v>
      </c>
      <c r="T256">
        <v>285.70999999999998</v>
      </c>
      <c r="V256" t="s">
        <v>211</v>
      </c>
      <c r="W256" s="5">
        <v>45962</v>
      </c>
      <c r="X256" t="s">
        <v>168</v>
      </c>
      <c r="Y256">
        <v>1660.82</v>
      </c>
    </row>
    <row r="257" spans="2:25" ht="18.75">
      <c r="B257">
        <v>13</v>
      </c>
      <c r="C257" s="5">
        <v>46104</v>
      </c>
      <c r="D257" t="s">
        <v>113</v>
      </c>
      <c r="E257">
        <v>68.790000000000006</v>
      </c>
      <c r="G257">
        <v>17</v>
      </c>
      <c r="H257" s="5">
        <v>46132</v>
      </c>
      <c r="I257" t="s">
        <v>158</v>
      </c>
      <c r="J257">
        <v>759.52</v>
      </c>
      <c r="L257">
        <v>44</v>
      </c>
      <c r="M257" s="5">
        <v>45957</v>
      </c>
      <c r="N257" t="s">
        <v>182</v>
      </c>
      <c r="O257">
        <v>1729.83</v>
      </c>
      <c r="Q257" t="s">
        <v>200</v>
      </c>
      <c r="R257" s="5">
        <v>46113</v>
      </c>
      <c r="S257" t="s">
        <v>122</v>
      </c>
      <c r="T257">
        <v>983.29</v>
      </c>
      <c r="V257" t="s">
        <v>211</v>
      </c>
      <c r="W257" s="5">
        <v>45962</v>
      </c>
      <c r="X257" t="s">
        <v>172</v>
      </c>
      <c r="Y257">
        <v>338.87</v>
      </c>
    </row>
    <row r="258" spans="2:25" ht="18.75">
      <c r="B258">
        <v>13</v>
      </c>
      <c r="C258" s="5">
        <v>46104</v>
      </c>
      <c r="D258" t="s">
        <v>121</v>
      </c>
      <c r="E258">
        <v>65.19</v>
      </c>
      <c r="G258">
        <v>17</v>
      </c>
      <c r="H258" s="5">
        <v>46132</v>
      </c>
      <c r="I258" t="s">
        <v>165</v>
      </c>
      <c r="J258">
        <v>84</v>
      </c>
      <c r="L258">
        <v>44</v>
      </c>
      <c r="M258" s="5">
        <v>45957</v>
      </c>
      <c r="N258" t="s">
        <v>183</v>
      </c>
      <c r="O258">
        <v>564.16</v>
      </c>
      <c r="Q258" t="s">
        <v>200</v>
      </c>
      <c r="R258" s="5">
        <v>46113</v>
      </c>
      <c r="S258" t="s">
        <v>125</v>
      </c>
      <c r="T258">
        <v>255.29</v>
      </c>
      <c r="V258" t="s">
        <v>211</v>
      </c>
      <c r="W258" s="5">
        <v>45962</v>
      </c>
      <c r="X258" t="s">
        <v>173</v>
      </c>
      <c r="Y258">
        <v>2520.67</v>
      </c>
    </row>
    <row r="259" spans="2:25" ht="18.75">
      <c r="B259">
        <v>13</v>
      </c>
      <c r="C259" s="5">
        <v>46104</v>
      </c>
      <c r="D259" t="s">
        <v>127</v>
      </c>
      <c r="E259">
        <v>92.59</v>
      </c>
      <c r="G259">
        <v>17</v>
      </c>
      <c r="H259" s="5">
        <v>46132</v>
      </c>
      <c r="I259" t="s">
        <v>198</v>
      </c>
      <c r="J259">
        <v>464.1</v>
      </c>
      <c r="L259">
        <v>44</v>
      </c>
      <c r="M259" s="5">
        <v>45957</v>
      </c>
      <c r="N259" t="s">
        <v>184</v>
      </c>
      <c r="O259">
        <v>443.71</v>
      </c>
      <c r="Q259" t="s">
        <v>200</v>
      </c>
      <c r="R259" s="5">
        <v>46113</v>
      </c>
      <c r="S259" t="s">
        <v>132</v>
      </c>
      <c r="T259">
        <v>764.29</v>
      </c>
      <c r="V259" t="s">
        <v>211</v>
      </c>
      <c r="W259" s="5">
        <v>45962</v>
      </c>
      <c r="X259" t="s">
        <v>165</v>
      </c>
      <c r="Y259">
        <v>1678.27</v>
      </c>
    </row>
    <row r="260" spans="2:25" ht="18.75">
      <c r="B260">
        <v>20</v>
      </c>
      <c r="C260" s="5">
        <v>46153</v>
      </c>
      <c r="D260" t="s">
        <v>111</v>
      </c>
      <c r="E260">
        <v>143.38999999999999</v>
      </c>
      <c r="G260">
        <v>17</v>
      </c>
      <c r="H260" s="5">
        <v>46132</v>
      </c>
      <c r="I260" t="s">
        <v>174</v>
      </c>
      <c r="J260">
        <v>1490.88</v>
      </c>
      <c r="L260">
        <v>44</v>
      </c>
      <c r="M260" s="5">
        <v>45957</v>
      </c>
      <c r="N260" t="s">
        <v>185</v>
      </c>
      <c r="O260">
        <v>724.4</v>
      </c>
      <c r="Q260" t="s">
        <v>200</v>
      </c>
      <c r="R260" s="5">
        <v>46113</v>
      </c>
      <c r="S260" t="s">
        <v>142</v>
      </c>
      <c r="T260">
        <v>581.28</v>
      </c>
      <c r="V260" t="s">
        <v>211</v>
      </c>
      <c r="W260" s="5">
        <v>45962</v>
      </c>
      <c r="X260" t="s">
        <v>171</v>
      </c>
      <c r="Y260">
        <v>2375.34</v>
      </c>
    </row>
    <row r="261" spans="2:25" ht="18.75">
      <c r="B261">
        <v>20</v>
      </c>
      <c r="C261" s="5">
        <v>46153</v>
      </c>
      <c r="D261" t="s">
        <v>114</v>
      </c>
      <c r="E261">
        <v>327.74</v>
      </c>
      <c r="G261">
        <v>17</v>
      </c>
      <c r="H261" s="5">
        <v>46132</v>
      </c>
      <c r="I261" t="s">
        <v>169</v>
      </c>
      <c r="J261">
        <v>2028.45</v>
      </c>
      <c r="L261">
        <v>44</v>
      </c>
      <c r="M261" s="5">
        <v>45957</v>
      </c>
      <c r="N261" t="s">
        <v>180</v>
      </c>
      <c r="O261">
        <v>492.7</v>
      </c>
      <c r="Q261" t="s">
        <v>200</v>
      </c>
      <c r="R261" s="5">
        <v>46113</v>
      </c>
      <c r="S261" t="s">
        <v>120</v>
      </c>
      <c r="T261">
        <v>370.95</v>
      </c>
      <c r="V261" t="s">
        <v>211</v>
      </c>
      <c r="W261" s="5">
        <v>45962</v>
      </c>
      <c r="X261" t="s">
        <v>174</v>
      </c>
      <c r="Y261">
        <v>2246.44</v>
      </c>
    </row>
    <row r="262" spans="2:25" ht="18.75">
      <c r="B262">
        <v>20</v>
      </c>
      <c r="C262" s="5">
        <v>46153</v>
      </c>
      <c r="D262" t="s">
        <v>117</v>
      </c>
      <c r="E262">
        <v>175.89</v>
      </c>
      <c r="G262">
        <v>17</v>
      </c>
      <c r="H262" s="5">
        <v>46132</v>
      </c>
      <c r="I262" t="s">
        <v>176</v>
      </c>
      <c r="J262">
        <v>160.08000000000001</v>
      </c>
      <c r="L262">
        <v>44</v>
      </c>
      <c r="M262" s="5">
        <v>45957</v>
      </c>
      <c r="N262" t="s">
        <v>181</v>
      </c>
      <c r="O262">
        <v>1566.47</v>
      </c>
      <c r="Q262" t="s">
        <v>200</v>
      </c>
      <c r="R262" s="5">
        <v>46113</v>
      </c>
      <c r="S262" t="s">
        <v>128</v>
      </c>
      <c r="T262">
        <v>603.87</v>
      </c>
      <c r="V262" t="s">
        <v>211</v>
      </c>
      <c r="W262" s="5">
        <v>45962</v>
      </c>
      <c r="X262" t="s">
        <v>164</v>
      </c>
      <c r="Y262">
        <v>77.66</v>
      </c>
    </row>
    <row r="263" spans="2:25" ht="18.75">
      <c r="B263">
        <v>20</v>
      </c>
      <c r="C263" s="5">
        <v>46153</v>
      </c>
      <c r="D263" t="s">
        <v>118</v>
      </c>
      <c r="E263">
        <v>144.80000000000001</v>
      </c>
      <c r="G263">
        <v>17</v>
      </c>
      <c r="H263" s="5">
        <v>46132</v>
      </c>
      <c r="I263" t="s">
        <v>170</v>
      </c>
      <c r="J263">
        <v>64</v>
      </c>
      <c r="L263">
        <v>45</v>
      </c>
      <c r="M263" s="5">
        <v>45964</v>
      </c>
      <c r="N263" t="s">
        <v>178</v>
      </c>
      <c r="O263">
        <v>1922.9</v>
      </c>
      <c r="Q263" t="s">
        <v>200</v>
      </c>
      <c r="R263" s="5">
        <v>46113</v>
      </c>
      <c r="S263" t="s">
        <v>135</v>
      </c>
      <c r="T263">
        <v>322.60000000000002</v>
      </c>
      <c r="V263" t="s">
        <v>211</v>
      </c>
      <c r="W263" s="5">
        <v>45962</v>
      </c>
      <c r="X263" t="s">
        <v>176</v>
      </c>
      <c r="Y263">
        <v>729.75</v>
      </c>
    </row>
    <row r="264" spans="2:25" ht="18.75">
      <c r="B264">
        <v>20</v>
      </c>
      <c r="C264" s="5">
        <v>46153</v>
      </c>
      <c r="D264" t="s">
        <v>119</v>
      </c>
      <c r="E264">
        <v>329.54</v>
      </c>
      <c r="G264">
        <v>17</v>
      </c>
      <c r="H264" s="5">
        <v>46132</v>
      </c>
      <c r="I264" t="s">
        <v>163</v>
      </c>
      <c r="J264">
        <v>365.07</v>
      </c>
      <c r="L264">
        <v>45</v>
      </c>
      <c r="M264" s="5">
        <v>45964</v>
      </c>
      <c r="N264" t="s">
        <v>179</v>
      </c>
      <c r="O264">
        <v>2812.67</v>
      </c>
      <c r="Q264" t="s">
        <v>200</v>
      </c>
      <c r="R264" s="5">
        <v>46113</v>
      </c>
      <c r="S264" t="s">
        <v>136</v>
      </c>
      <c r="T264">
        <v>579.65</v>
      </c>
      <c r="V264" t="s">
        <v>211</v>
      </c>
      <c r="W264" s="5">
        <v>45962</v>
      </c>
      <c r="X264" t="s">
        <v>158</v>
      </c>
      <c r="Y264">
        <v>1444.59</v>
      </c>
    </row>
    <row r="265" spans="2:25" ht="18.75">
      <c r="B265">
        <v>20</v>
      </c>
      <c r="C265" s="5">
        <v>46153</v>
      </c>
      <c r="D265" t="s">
        <v>121</v>
      </c>
      <c r="E265">
        <v>172.73</v>
      </c>
      <c r="G265">
        <v>17</v>
      </c>
      <c r="H265" s="5">
        <v>46132</v>
      </c>
      <c r="I265" t="s">
        <v>168</v>
      </c>
      <c r="J265">
        <v>524.22</v>
      </c>
      <c r="L265">
        <v>45</v>
      </c>
      <c r="M265" s="5">
        <v>45964</v>
      </c>
      <c r="N265" t="s">
        <v>180</v>
      </c>
      <c r="O265">
        <v>210.9</v>
      </c>
      <c r="Q265" t="s">
        <v>200</v>
      </c>
      <c r="R265" s="5">
        <v>46113</v>
      </c>
      <c r="S265" t="s">
        <v>137</v>
      </c>
      <c r="T265">
        <v>292.47000000000003</v>
      </c>
      <c r="V265" t="s">
        <v>210</v>
      </c>
      <c r="W265" s="5">
        <v>45931</v>
      </c>
      <c r="X265" t="s">
        <v>204</v>
      </c>
      <c r="Y265">
        <v>12.57</v>
      </c>
    </row>
    <row r="266" spans="2:25" ht="18.75">
      <c r="B266">
        <v>20</v>
      </c>
      <c r="C266" s="5">
        <v>46153</v>
      </c>
      <c r="D266" t="s">
        <v>122</v>
      </c>
      <c r="E266">
        <v>196.8</v>
      </c>
      <c r="G266">
        <v>17</v>
      </c>
      <c r="H266" s="5">
        <v>46132</v>
      </c>
      <c r="I266" t="s">
        <v>172</v>
      </c>
      <c r="J266">
        <v>27.86</v>
      </c>
      <c r="L266">
        <v>45</v>
      </c>
      <c r="M266" s="5">
        <v>45964</v>
      </c>
      <c r="N266" t="s">
        <v>182</v>
      </c>
      <c r="O266">
        <v>1724.95</v>
      </c>
      <c r="Q266" t="s">
        <v>200</v>
      </c>
      <c r="R266" s="5">
        <v>46113</v>
      </c>
      <c r="S266" t="s">
        <v>148</v>
      </c>
      <c r="T266">
        <v>472.87</v>
      </c>
      <c r="V266" t="s">
        <v>211</v>
      </c>
      <c r="W266" s="5">
        <v>45962</v>
      </c>
      <c r="X266" t="s">
        <v>204</v>
      </c>
      <c r="Y266">
        <v>29.98</v>
      </c>
    </row>
    <row r="267" spans="2:25" ht="18.75">
      <c r="B267">
        <v>20</v>
      </c>
      <c r="C267" s="5">
        <v>46153</v>
      </c>
      <c r="D267" t="s">
        <v>123</v>
      </c>
      <c r="E267">
        <v>431.08</v>
      </c>
      <c r="G267">
        <v>17</v>
      </c>
      <c r="H267" s="5">
        <v>46132</v>
      </c>
      <c r="I267" t="s">
        <v>173</v>
      </c>
      <c r="J267">
        <v>991.65</v>
      </c>
      <c r="L267">
        <v>45</v>
      </c>
      <c r="M267" s="5">
        <v>45964</v>
      </c>
      <c r="N267" t="s">
        <v>183</v>
      </c>
      <c r="O267">
        <v>711.4</v>
      </c>
      <c r="Q267" t="s">
        <v>200</v>
      </c>
      <c r="R267" s="5">
        <v>46113</v>
      </c>
      <c r="S267" t="s">
        <v>150</v>
      </c>
      <c r="T267">
        <v>385.07</v>
      </c>
      <c r="V267" t="s">
        <v>211</v>
      </c>
      <c r="W267" s="5">
        <v>45962</v>
      </c>
      <c r="X267" t="s">
        <v>170</v>
      </c>
      <c r="Y267">
        <v>264</v>
      </c>
    </row>
    <row r="268" spans="2:25" ht="18.75">
      <c r="B268">
        <v>20</v>
      </c>
      <c r="C268" s="5">
        <v>46153</v>
      </c>
      <c r="D268" t="s">
        <v>124</v>
      </c>
      <c r="E268">
        <v>358.22</v>
      </c>
      <c r="G268">
        <v>17</v>
      </c>
      <c r="H268" s="5">
        <v>46132</v>
      </c>
      <c r="I268" t="s">
        <v>206</v>
      </c>
      <c r="J268">
        <v>184.05</v>
      </c>
      <c r="L268">
        <v>45</v>
      </c>
      <c r="M268" s="5">
        <v>45964</v>
      </c>
      <c r="N268" t="s">
        <v>184</v>
      </c>
      <c r="O268">
        <v>500.98</v>
      </c>
      <c r="Q268" t="s">
        <v>200</v>
      </c>
      <c r="R268" s="5">
        <v>46113</v>
      </c>
      <c r="S268" t="s">
        <v>116</v>
      </c>
      <c r="T268">
        <v>415.11</v>
      </c>
      <c r="V268" t="s">
        <v>211</v>
      </c>
      <c r="W268" s="5">
        <v>45962</v>
      </c>
      <c r="X268" t="s">
        <v>198</v>
      </c>
      <c r="Y268">
        <v>2862.08</v>
      </c>
    </row>
    <row r="269" spans="2:25" ht="18.75">
      <c r="B269">
        <v>20</v>
      </c>
      <c r="C269" s="5">
        <v>46153</v>
      </c>
      <c r="D269" t="s">
        <v>126</v>
      </c>
      <c r="E269">
        <v>115.31</v>
      </c>
      <c r="G269">
        <v>17</v>
      </c>
      <c r="H269" s="5">
        <v>46132</v>
      </c>
      <c r="I269" t="s">
        <v>207</v>
      </c>
      <c r="J269">
        <v>276.5</v>
      </c>
      <c r="L269">
        <v>45</v>
      </c>
      <c r="M269" s="5">
        <v>45964</v>
      </c>
      <c r="N269" t="s">
        <v>185</v>
      </c>
      <c r="O269">
        <v>557.75</v>
      </c>
      <c r="Q269" t="s">
        <v>200</v>
      </c>
      <c r="R269" s="5">
        <v>46113</v>
      </c>
      <c r="S269" t="s">
        <v>140</v>
      </c>
      <c r="T269">
        <v>131.84</v>
      </c>
      <c r="V269" t="s">
        <v>211</v>
      </c>
      <c r="W269" s="5">
        <v>45962</v>
      </c>
      <c r="X269" t="s">
        <v>175</v>
      </c>
      <c r="Y269">
        <v>647.39</v>
      </c>
    </row>
    <row r="270" spans="2:25" ht="18.75">
      <c r="B270">
        <v>20</v>
      </c>
      <c r="C270" s="5">
        <v>46153</v>
      </c>
      <c r="D270" t="s">
        <v>128</v>
      </c>
      <c r="E270">
        <v>130.41999999999999</v>
      </c>
      <c r="G270">
        <v>18</v>
      </c>
      <c r="H270" s="5">
        <v>46139</v>
      </c>
      <c r="I270" t="s">
        <v>160</v>
      </c>
      <c r="J270">
        <v>4360</v>
      </c>
      <c r="L270">
        <v>45</v>
      </c>
      <c r="M270" s="5">
        <v>45964</v>
      </c>
      <c r="N270" t="s">
        <v>181</v>
      </c>
      <c r="O270">
        <v>1549.73</v>
      </c>
      <c r="Q270" t="s">
        <v>200</v>
      </c>
      <c r="R270" s="5">
        <v>46113</v>
      </c>
      <c r="S270" t="s">
        <v>149</v>
      </c>
      <c r="T270">
        <v>246.44</v>
      </c>
      <c r="V270" t="s">
        <v>213</v>
      </c>
      <c r="W270" s="5">
        <v>45992</v>
      </c>
      <c r="X270" t="s">
        <v>160</v>
      </c>
      <c r="Y270">
        <v>13067.62</v>
      </c>
    </row>
    <row r="271" spans="2:25" ht="18.75">
      <c r="B271">
        <v>20</v>
      </c>
      <c r="C271" s="5">
        <v>46153</v>
      </c>
      <c r="D271" t="s">
        <v>130</v>
      </c>
      <c r="E271">
        <v>245.93</v>
      </c>
      <c r="G271">
        <v>18</v>
      </c>
      <c r="H271" s="5">
        <v>46139</v>
      </c>
      <c r="I271" t="s">
        <v>158</v>
      </c>
      <c r="J271">
        <v>597.91999999999996</v>
      </c>
      <c r="L271">
        <v>46</v>
      </c>
      <c r="M271" s="5">
        <v>45971</v>
      </c>
      <c r="N271" t="s">
        <v>178</v>
      </c>
      <c r="O271">
        <v>1612.45</v>
      </c>
      <c r="Q271" t="s">
        <v>199</v>
      </c>
      <c r="R271" s="5">
        <v>46082</v>
      </c>
      <c r="S271" t="s">
        <v>112</v>
      </c>
      <c r="T271">
        <v>19.84</v>
      </c>
      <c r="V271" t="s">
        <v>213</v>
      </c>
      <c r="W271" s="5">
        <v>45992</v>
      </c>
      <c r="X271" t="s">
        <v>165</v>
      </c>
      <c r="Y271">
        <v>1226.53</v>
      </c>
    </row>
    <row r="272" spans="2:25" ht="18.75">
      <c r="B272">
        <v>20</v>
      </c>
      <c r="C272" s="5">
        <v>46153</v>
      </c>
      <c r="D272" t="s">
        <v>131</v>
      </c>
      <c r="E272">
        <v>185.99</v>
      </c>
      <c r="G272">
        <v>18</v>
      </c>
      <c r="H272" s="5">
        <v>46139</v>
      </c>
      <c r="I272" t="s">
        <v>165</v>
      </c>
      <c r="J272">
        <v>182.25</v>
      </c>
      <c r="L272">
        <v>46</v>
      </c>
      <c r="M272" s="5">
        <v>45971</v>
      </c>
      <c r="N272" t="s">
        <v>179</v>
      </c>
      <c r="O272">
        <v>2250.5700000000002</v>
      </c>
      <c r="Q272" t="s">
        <v>199</v>
      </c>
      <c r="R272" s="5">
        <v>46082</v>
      </c>
      <c r="S272" t="s">
        <v>120</v>
      </c>
      <c r="T272">
        <v>28.74</v>
      </c>
      <c r="V272" t="s">
        <v>213</v>
      </c>
      <c r="W272" s="5">
        <v>45992</v>
      </c>
      <c r="X272" t="s">
        <v>171</v>
      </c>
      <c r="Y272">
        <v>2749.42</v>
      </c>
    </row>
    <row r="273" spans="2:25" ht="18.75">
      <c r="B273">
        <v>20</v>
      </c>
      <c r="C273" s="5">
        <v>46153</v>
      </c>
      <c r="D273" t="s">
        <v>132</v>
      </c>
      <c r="E273">
        <v>136.05000000000001</v>
      </c>
      <c r="G273">
        <v>18</v>
      </c>
      <c r="H273" s="5">
        <v>46139</v>
      </c>
      <c r="I273" t="s">
        <v>174</v>
      </c>
      <c r="J273">
        <v>462.84</v>
      </c>
      <c r="L273">
        <v>46</v>
      </c>
      <c r="M273" s="5">
        <v>45971</v>
      </c>
      <c r="N273" t="s">
        <v>181</v>
      </c>
      <c r="O273">
        <v>1316.96</v>
      </c>
      <c r="Q273" t="s">
        <v>199</v>
      </c>
      <c r="R273" s="5">
        <v>46082</v>
      </c>
      <c r="S273" t="s">
        <v>122</v>
      </c>
      <c r="T273">
        <v>78.37</v>
      </c>
      <c r="V273" t="s">
        <v>213</v>
      </c>
      <c r="W273" s="5">
        <v>45992</v>
      </c>
      <c r="X273" t="s">
        <v>198</v>
      </c>
      <c r="Y273">
        <v>3350.87</v>
      </c>
    </row>
    <row r="274" spans="2:25" ht="18.75">
      <c r="B274">
        <v>20</v>
      </c>
      <c r="C274" s="5">
        <v>46153</v>
      </c>
      <c r="D274" t="s">
        <v>133</v>
      </c>
      <c r="E274">
        <v>267.63</v>
      </c>
      <c r="G274">
        <v>18</v>
      </c>
      <c r="H274" s="5">
        <v>46139</v>
      </c>
      <c r="I274" t="s">
        <v>171</v>
      </c>
      <c r="J274">
        <v>806.76</v>
      </c>
      <c r="L274">
        <v>46</v>
      </c>
      <c r="M274" s="5">
        <v>45971</v>
      </c>
      <c r="N274" t="s">
        <v>182</v>
      </c>
      <c r="O274">
        <v>1485</v>
      </c>
      <c r="Q274" t="s">
        <v>199</v>
      </c>
      <c r="R274" s="5">
        <v>46082</v>
      </c>
      <c r="S274" t="s">
        <v>125</v>
      </c>
      <c r="T274">
        <v>15.67</v>
      </c>
      <c r="V274" t="s">
        <v>213</v>
      </c>
      <c r="W274" s="5">
        <v>45992</v>
      </c>
      <c r="X274" t="s">
        <v>169</v>
      </c>
      <c r="Y274">
        <v>6791.19</v>
      </c>
    </row>
    <row r="275" spans="2:25" ht="18.75">
      <c r="B275">
        <v>20</v>
      </c>
      <c r="C275" s="5">
        <v>46153</v>
      </c>
      <c r="D275" t="s">
        <v>134</v>
      </c>
      <c r="E275">
        <v>281.32</v>
      </c>
      <c r="G275">
        <v>18</v>
      </c>
      <c r="H275" s="5">
        <v>46139</v>
      </c>
      <c r="I275" t="s">
        <v>198</v>
      </c>
      <c r="J275">
        <v>357</v>
      </c>
      <c r="L275">
        <v>46</v>
      </c>
      <c r="M275" s="5">
        <v>45971</v>
      </c>
      <c r="N275" t="s">
        <v>183</v>
      </c>
      <c r="O275">
        <v>562.35</v>
      </c>
      <c r="Q275" t="s">
        <v>199</v>
      </c>
      <c r="R275" s="5">
        <v>46082</v>
      </c>
      <c r="S275" t="s">
        <v>128</v>
      </c>
      <c r="T275">
        <v>51.83</v>
      </c>
      <c r="V275" t="s">
        <v>213</v>
      </c>
      <c r="W275" s="5">
        <v>45992</v>
      </c>
      <c r="X275" t="s">
        <v>170</v>
      </c>
      <c r="Y275">
        <v>137.13999999999999</v>
      </c>
    </row>
    <row r="276" spans="2:25" ht="18.75">
      <c r="B276">
        <v>20</v>
      </c>
      <c r="C276" s="5">
        <v>46153</v>
      </c>
      <c r="D276" t="s">
        <v>135</v>
      </c>
      <c r="E276">
        <v>83.95</v>
      </c>
      <c r="G276">
        <v>18</v>
      </c>
      <c r="H276" s="5">
        <v>46139</v>
      </c>
      <c r="I276" t="s">
        <v>169</v>
      </c>
      <c r="J276">
        <v>1577.4</v>
      </c>
      <c r="L276">
        <v>46</v>
      </c>
      <c r="M276" s="5">
        <v>45971</v>
      </c>
      <c r="N276" t="s">
        <v>184</v>
      </c>
      <c r="O276">
        <v>411.94</v>
      </c>
      <c r="Q276" t="s">
        <v>199</v>
      </c>
      <c r="R276" s="5">
        <v>46082</v>
      </c>
      <c r="S276" t="s">
        <v>132</v>
      </c>
      <c r="T276">
        <v>60.72</v>
      </c>
      <c r="V276" t="s">
        <v>213</v>
      </c>
      <c r="W276" s="5">
        <v>45992</v>
      </c>
      <c r="X276" t="s">
        <v>164</v>
      </c>
      <c r="Y276">
        <v>22.11</v>
      </c>
    </row>
    <row r="277" spans="2:25" ht="18.75">
      <c r="B277">
        <v>20</v>
      </c>
      <c r="C277" s="5">
        <v>46153</v>
      </c>
      <c r="D277" t="s">
        <v>136</v>
      </c>
      <c r="E277">
        <v>130.19</v>
      </c>
      <c r="G277">
        <v>18</v>
      </c>
      <c r="H277" s="5">
        <v>46139</v>
      </c>
      <c r="I277" t="s">
        <v>176</v>
      </c>
      <c r="J277">
        <v>224.28</v>
      </c>
      <c r="L277">
        <v>46</v>
      </c>
      <c r="M277" s="5">
        <v>45971</v>
      </c>
      <c r="N277" t="s">
        <v>185</v>
      </c>
      <c r="O277">
        <v>502.85</v>
      </c>
      <c r="Q277" t="s">
        <v>199</v>
      </c>
      <c r="R277" s="5">
        <v>46082</v>
      </c>
      <c r="S277" t="s">
        <v>135</v>
      </c>
      <c r="T277">
        <v>24.19</v>
      </c>
      <c r="V277" t="s">
        <v>213</v>
      </c>
      <c r="W277" s="5">
        <v>45992</v>
      </c>
      <c r="X277" t="s">
        <v>176</v>
      </c>
      <c r="Y277">
        <v>432.1</v>
      </c>
    </row>
    <row r="278" spans="2:25" ht="18.75">
      <c r="B278">
        <v>20</v>
      </c>
      <c r="C278" s="5">
        <v>46153</v>
      </c>
      <c r="D278" t="s">
        <v>137</v>
      </c>
      <c r="E278">
        <v>79.63</v>
      </c>
      <c r="G278">
        <v>18</v>
      </c>
      <c r="H278" s="5">
        <v>46139</v>
      </c>
      <c r="I278" t="s">
        <v>209</v>
      </c>
      <c r="J278">
        <v>261.36</v>
      </c>
      <c r="L278">
        <v>46</v>
      </c>
      <c r="M278" s="5">
        <v>45971</v>
      </c>
      <c r="N278" t="s">
        <v>186</v>
      </c>
      <c r="O278">
        <v>238.84</v>
      </c>
      <c r="Q278" t="s">
        <v>199</v>
      </c>
      <c r="R278" s="5">
        <v>46082</v>
      </c>
      <c r="S278" t="s">
        <v>136</v>
      </c>
      <c r="T278">
        <v>55.42</v>
      </c>
      <c r="V278" t="s">
        <v>213</v>
      </c>
      <c r="W278" s="5">
        <v>45992</v>
      </c>
      <c r="X278" t="s">
        <v>163</v>
      </c>
      <c r="Y278">
        <v>1116.03</v>
      </c>
    </row>
    <row r="279" spans="2:25" ht="18.75">
      <c r="B279">
        <v>20</v>
      </c>
      <c r="C279" s="5">
        <v>46153</v>
      </c>
      <c r="D279" t="s">
        <v>138</v>
      </c>
      <c r="E279">
        <v>418.68</v>
      </c>
      <c r="G279">
        <v>18</v>
      </c>
      <c r="H279" s="5">
        <v>46139</v>
      </c>
      <c r="I279" t="s">
        <v>170</v>
      </c>
      <c r="J279">
        <v>88</v>
      </c>
      <c r="L279">
        <v>46</v>
      </c>
      <c r="M279" s="5">
        <v>45971</v>
      </c>
      <c r="N279" t="s">
        <v>180</v>
      </c>
      <c r="O279">
        <v>384.05</v>
      </c>
      <c r="Q279" t="s">
        <v>199</v>
      </c>
      <c r="R279" s="5">
        <v>46082</v>
      </c>
      <c r="S279" t="s">
        <v>137</v>
      </c>
      <c r="T279">
        <v>18.12</v>
      </c>
      <c r="V279" t="s">
        <v>213</v>
      </c>
      <c r="W279" s="5">
        <v>45992</v>
      </c>
      <c r="X279" t="s">
        <v>168</v>
      </c>
      <c r="Y279">
        <v>1202.08</v>
      </c>
    </row>
    <row r="280" spans="2:25" ht="18.75">
      <c r="B280">
        <v>20</v>
      </c>
      <c r="C280" s="5">
        <v>46153</v>
      </c>
      <c r="D280" t="s">
        <v>141</v>
      </c>
      <c r="E280">
        <v>415.7</v>
      </c>
      <c r="G280">
        <v>18</v>
      </c>
      <c r="H280" s="5">
        <v>46139</v>
      </c>
      <c r="I280" t="s">
        <v>163</v>
      </c>
      <c r="J280">
        <v>347.01</v>
      </c>
      <c r="L280">
        <v>47</v>
      </c>
      <c r="M280" s="5">
        <v>45978</v>
      </c>
      <c r="N280" t="s">
        <v>178</v>
      </c>
      <c r="O280">
        <v>2048.5100000000002</v>
      </c>
      <c r="Q280" t="s">
        <v>199</v>
      </c>
      <c r="R280" s="5">
        <v>46082</v>
      </c>
      <c r="S280" t="s">
        <v>140</v>
      </c>
      <c r="T280">
        <v>27.49</v>
      </c>
      <c r="V280" t="s">
        <v>213</v>
      </c>
      <c r="W280" s="5">
        <v>45992</v>
      </c>
      <c r="X280" t="s">
        <v>172</v>
      </c>
      <c r="Y280">
        <v>302.48</v>
      </c>
    </row>
    <row r="281" spans="2:25" ht="18.75">
      <c r="B281">
        <v>20</v>
      </c>
      <c r="C281" s="5">
        <v>46153</v>
      </c>
      <c r="D281" t="s">
        <v>142</v>
      </c>
      <c r="E281">
        <v>110.61</v>
      </c>
      <c r="G281">
        <v>18</v>
      </c>
      <c r="H281" s="5">
        <v>46139</v>
      </c>
      <c r="I281" t="s">
        <v>168</v>
      </c>
      <c r="J281">
        <v>799.3</v>
      </c>
      <c r="L281">
        <v>47</v>
      </c>
      <c r="M281" s="5">
        <v>45978</v>
      </c>
      <c r="N281" t="s">
        <v>179</v>
      </c>
      <c r="O281">
        <v>2966.35</v>
      </c>
      <c r="Q281" t="s">
        <v>199</v>
      </c>
      <c r="R281" s="5">
        <v>46082</v>
      </c>
      <c r="S281" t="s">
        <v>142</v>
      </c>
      <c r="T281">
        <v>52.97</v>
      </c>
      <c r="V281" t="s">
        <v>213</v>
      </c>
      <c r="W281" s="5">
        <v>45992</v>
      </c>
      <c r="X281" t="s">
        <v>173</v>
      </c>
      <c r="Y281">
        <v>2813.6</v>
      </c>
    </row>
    <row r="282" spans="2:25" ht="18.75">
      <c r="B282">
        <v>20</v>
      </c>
      <c r="C282" s="5">
        <v>46153</v>
      </c>
      <c r="D282" t="s">
        <v>139</v>
      </c>
      <c r="E282">
        <v>259.08999999999997</v>
      </c>
      <c r="G282">
        <v>18</v>
      </c>
      <c r="H282" s="5">
        <v>46139</v>
      </c>
      <c r="I282" t="s">
        <v>173</v>
      </c>
      <c r="J282">
        <v>684</v>
      </c>
      <c r="L282">
        <v>47</v>
      </c>
      <c r="M282" s="5">
        <v>45978</v>
      </c>
      <c r="N282" t="s">
        <v>180</v>
      </c>
      <c r="O282">
        <v>90.25</v>
      </c>
      <c r="Q282" t="s">
        <v>199</v>
      </c>
      <c r="R282" s="5">
        <v>46082</v>
      </c>
      <c r="S282" t="s">
        <v>148</v>
      </c>
      <c r="T282">
        <v>36.5</v>
      </c>
      <c r="V282" t="s">
        <v>213</v>
      </c>
      <c r="W282" s="5">
        <v>45992</v>
      </c>
      <c r="X282" t="s">
        <v>175</v>
      </c>
      <c r="Y282">
        <v>1185.55</v>
      </c>
    </row>
    <row r="283" spans="2:25" ht="18.75">
      <c r="B283">
        <v>20</v>
      </c>
      <c r="C283" s="5">
        <v>46153</v>
      </c>
      <c r="D283" t="s">
        <v>143</v>
      </c>
      <c r="E283">
        <v>1213.42</v>
      </c>
      <c r="G283">
        <v>19</v>
      </c>
      <c r="H283" s="5">
        <v>46146</v>
      </c>
      <c r="I283" t="s">
        <v>160</v>
      </c>
      <c r="J283">
        <v>4752.42</v>
      </c>
      <c r="L283">
        <v>47</v>
      </c>
      <c r="M283" s="5">
        <v>45978</v>
      </c>
      <c r="N283" t="s">
        <v>181</v>
      </c>
      <c r="O283">
        <v>1523.1</v>
      </c>
      <c r="Q283" t="s">
        <v>199</v>
      </c>
      <c r="R283" s="5">
        <v>46082</v>
      </c>
      <c r="S283" t="s">
        <v>150</v>
      </c>
      <c r="T283">
        <v>27.43</v>
      </c>
      <c r="V283" t="s">
        <v>213</v>
      </c>
      <c r="W283" s="5">
        <v>45992</v>
      </c>
      <c r="X283" t="s">
        <v>174</v>
      </c>
      <c r="Y283">
        <v>836.21</v>
      </c>
    </row>
    <row r="284" spans="2:25" ht="18.75">
      <c r="B284">
        <v>20</v>
      </c>
      <c r="C284" s="5">
        <v>46153</v>
      </c>
      <c r="D284" t="s">
        <v>144</v>
      </c>
      <c r="E284">
        <v>531.84</v>
      </c>
      <c r="G284">
        <v>19</v>
      </c>
      <c r="H284" s="5">
        <v>46146</v>
      </c>
      <c r="I284" t="s">
        <v>158</v>
      </c>
      <c r="J284">
        <v>775.68</v>
      </c>
      <c r="L284">
        <v>47</v>
      </c>
      <c r="M284" s="5">
        <v>45978</v>
      </c>
      <c r="N284" t="s">
        <v>182</v>
      </c>
      <c r="O284">
        <v>1915.2</v>
      </c>
      <c r="Q284" t="s">
        <v>199</v>
      </c>
      <c r="R284" s="5">
        <v>46082</v>
      </c>
      <c r="S284" t="s">
        <v>149</v>
      </c>
      <c r="T284">
        <v>42.31</v>
      </c>
      <c r="V284" t="s">
        <v>213</v>
      </c>
      <c r="W284" s="5">
        <v>45992</v>
      </c>
      <c r="X284" t="s">
        <v>158</v>
      </c>
      <c r="Y284">
        <v>4255.17</v>
      </c>
    </row>
    <row r="285" spans="2:25" ht="18.75">
      <c r="B285">
        <v>20</v>
      </c>
      <c r="C285" s="5">
        <v>46153</v>
      </c>
      <c r="D285" t="s">
        <v>216</v>
      </c>
      <c r="E285">
        <v>707.57</v>
      </c>
      <c r="G285">
        <v>19</v>
      </c>
      <c r="H285" s="5">
        <v>46146</v>
      </c>
      <c r="I285" t="s">
        <v>165</v>
      </c>
      <c r="J285">
        <v>171.45</v>
      </c>
      <c r="L285">
        <v>47</v>
      </c>
      <c r="M285" s="5">
        <v>45978</v>
      </c>
      <c r="N285" t="s">
        <v>183</v>
      </c>
      <c r="O285">
        <v>611.07000000000005</v>
      </c>
      <c r="Q285" t="s">
        <v>199</v>
      </c>
      <c r="R285" s="5">
        <v>46082</v>
      </c>
      <c r="S285" t="s">
        <v>116</v>
      </c>
      <c r="T285">
        <v>28.63</v>
      </c>
      <c r="V285" t="s">
        <v>214</v>
      </c>
      <c r="W285" s="5">
        <v>45658</v>
      </c>
      <c r="X285" t="s">
        <v>158</v>
      </c>
      <c r="Y285">
        <v>3095.07</v>
      </c>
    </row>
    <row r="286" spans="2:25" ht="18.75">
      <c r="B286">
        <v>20</v>
      </c>
      <c r="C286" s="5">
        <v>46153</v>
      </c>
      <c r="D286" t="s">
        <v>145</v>
      </c>
      <c r="E286">
        <v>203.88</v>
      </c>
      <c r="G286">
        <v>19</v>
      </c>
      <c r="H286" s="5">
        <v>46146</v>
      </c>
      <c r="I286" t="s">
        <v>171</v>
      </c>
      <c r="J286">
        <v>323.83999999999997</v>
      </c>
      <c r="L286">
        <v>47</v>
      </c>
      <c r="M286" s="5">
        <v>45978</v>
      </c>
      <c r="N286" t="s">
        <v>184</v>
      </c>
      <c r="O286">
        <v>484.63</v>
      </c>
      <c r="Q286" t="s">
        <v>200</v>
      </c>
      <c r="R286" s="5">
        <v>46113</v>
      </c>
      <c r="S286" t="s">
        <v>144</v>
      </c>
      <c r="T286">
        <v>1066.31</v>
      </c>
      <c r="V286" t="s">
        <v>214</v>
      </c>
      <c r="W286" s="5">
        <v>45658</v>
      </c>
      <c r="X286" t="s">
        <v>165</v>
      </c>
      <c r="Y286">
        <v>531.79</v>
      </c>
    </row>
    <row r="287" spans="2:25" ht="18.75">
      <c r="B287">
        <v>20</v>
      </c>
      <c r="C287" s="5">
        <v>46153</v>
      </c>
      <c r="D287" t="s">
        <v>146</v>
      </c>
      <c r="E287">
        <v>480.29</v>
      </c>
      <c r="G287">
        <v>19</v>
      </c>
      <c r="H287" s="5">
        <v>46146</v>
      </c>
      <c r="I287" t="s">
        <v>198</v>
      </c>
      <c r="J287">
        <v>1484.32</v>
      </c>
      <c r="L287">
        <v>47</v>
      </c>
      <c r="M287" s="5">
        <v>45978</v>
      </c>
      <c r="N287" t="s">
        <v>185</v>
      </c>
      <c r="O287">
        <v>742.15</v>
      </c>
      <c r="Q287" t="s">
        <v>200</v>
      </c>
      <c r="R287" s="5">
        <v>46113</v>
      </c>
      <c r="S287" t="s">
        <v>115</v>
      </c>
      <c r="T287">
        <v>186.52</v>
      </c>
      <c r="V287" t="s">
        <v>214</v>
      </c>
      <c r="W287" s="5">
        <v>45658</v>
      </c>
      <c r="X287" t="s">
        <v>171</v>
      </c>
      <c r="Y287">
        <v>2714.95</v>
      </c>
    </row>
    <row r="288" spans="2:25" ht="18.75">
      <c r="B288">
        <v>20</v>
      </c>
      <c r="C288" s="5">
        <v>46153</v>
      </c>
      <c r="D288" t="s">
        <v>148</v>
      </c>
      <c r="E288">
        <v>74.87</v>
      </c>
      <c r="G288">
        <v>19</v>
      </c>
      <c r="H288" s="5">
        <v>46146</v>
      </c>
      <c r="I288" t="s">
        <v>169</v>
      </c>
      <c r="J288">
        <v>1630.87</v>
      </c>
      <c r="L288">
        <v>47</v>
      </c>
      <c r="M288" s="5">
        <v>45978</v>
      </c>
      <c r="N288" t="s">
        <v>186</v>
      </c>
      <c r="O288">
        <v>311.75</v>
      </c>
      <c r="Q288" t="s">
        <v>203</v>
      </c>
      <c r="R288" s="5">
        <v>46143</v>
      </c>
      <c r="S288" t="s">
        <v>112</v>
      </c>
      <c r="T288">
        <v>354.87</v>
      </c>
      <c r="V288" t="s">
        <v>214</v>
      </c>
      <c r="W288" s="5">
        <v>45658</v>
      </c>
      <c r="X288" t="s">
        <v>169</v>
      </c>
      <c r="Y288">
        <v>7300.67</v>
      </c>
    </row>
    <row r="289" spans="2:25" ht="18.75">
      <c r="B289">
        <v>20</v>
      </c>
      <c r="C289" s="5">
        <v>46153</v>
      </c>
      <c r="D289" t="s">
        <v>147</v>
      </c>
      <c r="E289">
        <v>313.26</v>
      </c>
      <c r="G289">
        <v>19</v>
      </c>
      <c r="H289" s="5">
        <v>46146</v>
      </c>
      <c r="I289" t="s">
        <v>176</v>
      </c>
      <c r="J289">
        <v>96</v>
      </c>
      <c r="L289">
        <v>48</v>
      </c>
      <c r="M289" s="5">
        <v>45985</v>
      </c>
      <c r="N289" t="s">
        <v>178</v>
      </c>
      <c r="O289">
        <v>1630.3</v>
      </c>
      <c r="Q289" t="s">
        <v>203</v>
      </c>
      <c r="R289" s="5">
        <v>46143</v>
      </c>
      <c r="S289" t="s">
        <v>114</v>
      </c>
      <c r="T289">
        <v>1603.66</v>
      </c>
      <c r="V289" t="s">
        <v>214</v>
      </c>
      <c r="W289" s="5">
        <v>45658</v>
      </c>
      <c r="X289" t="s">
        <v>170</v>
      </c>
      <c r="Y289">
        <v>243.71</v>
      </c>
    </row>
    <row r="290" spans="2:25" ht="18.75">
      <c r="B290">
        <v>20</v>
      </c>
      <c r="C290" s="5">
        <v>46153</v>
      </c>
      <c r="D290" t="s">
        <v>150</v>
      </c>
      <c r="E290">
        <v>69.39</v>
      </c>
      <c r="G290">
        <v>19</v>
      </c>
      <c r="H290" s="5">
        <v>46146</v>
      </c>
      <c r="I290" t="s">
        <v>209</v>
      </c>
      <c r="J290">
        <v>41.04</v>
      </c>
      <c r="L290">
        <v>48</v>
      </c>
      <c r="M290" s="5">
        <v>45985</v>
      </c>
      <c r="N290" t="s">
        <v>179</v>
      </c>
      <c r="O290">
        <v>2444.02</v>
      </c>
      <c r="Q290" t="s">
        <v>203</v>
      </c>
      <c r="R290" s="5">
        <v>46143</v>
      </c>
      <c r="S290" t="s">
        <v>117</v>
      </c>
      <c r="T290">
        <v>880.95</v>
      </c>
      <c r="V290" t="s">
        <v>214</v>
      </c>
      <c r="W290" s="5">
        <v>45658</v>
      </c>
      <c r="X290" t="s">
        <v>176</v>
      </c>
      <c r="Y290">
        <v>286.54000000000002</v>
      </c>
    </row>
    <row r="291" spans="2:25" ht="18.75">
      <c r="B291">
        <v>20</v>
      </c>
      <c r="C291" s="5">
        <v>46153</v>
      </c>
      <c r="D291" t="s">
        <v>151</v>
      </c>
      <c r="E291">
        <v>669.04</v>
      </c>
      <c r="G291">
        <v>19</v>
      </c>
      <c r="H291" s="5">
        <v>46146</v>
      </c>
      <c r="I291" t="s">
        <v>170</v>
      </c>
      <c r="J291">
        <v>36</v>
      </c>
      <c r="L291">
        <v>48</v>
      </c>
      <c r="M291" s="5">
        <v>45985</v>
      </c>
      <c r="N291" t="s">
        <v>180</v>
      </c>
      <c r="O291">
        <v>852.3</v>
      </c>
      <c r="Q291" t="s">
        <v>203</v>
      </c>
      <c r="R291" s="5">
        <v>46143</v>
      </c>
      <c r="S291" t="s">
        <v>119</v>
      </c>
      <c r="T291">
        <v>1447</v>
      </c>
      <c r="V291" t="s">
        <v>214</v>
      </c>
      <c r="W291" s="5">
        <v>45658</v>
      </c>
      <c r="X291" t="s">
        <v>164</v>
      </c>
      <c r="Y291">
        <v>63.26</v>
      </c>
    </row>
    <row r="292" spans="2:25" ht="18.75">
      <c r="B292">
        <v>20</v>
      </c>
      <c r="C292" s="5">
        <v>46153</v>
      </c>
      <c r="D292" t="s">
        <v>112</v>
      </c>
      <c r="E292">
        <v>63.54</v>
      </c>
      <c r="G292">
        <v>19</v>
      </c>
      <c r="H292" s="5">
        <v>46146</v>
      </c>
      <c r="I292" t="s">
        <v>163</v>
      </c>
      <c r="J292">
        <v>206.4</v>
      </c>
      <c r="L292">
        <v>48</v>
      </c>
      <c r="M292" s="5">
        <v>45985</v>
      </c>
      <c r="N292" t="s">
        <v>181</v>
      </c>
      <c r="O292">
        <v>1477.54</v>
      </c>
      <c r="Q292" t="s">
        <v>203</v>
      </c>
      <c r="R292" s="5">
        <v>46143</v>
      </c>
      <c r="S292" t="s">
        <v>120</v>
      </c>
      <c r="T292">
        <v>385.28</v>
      </c>
      <c r="V292" t="s">
        <v>214</v>
      </c>
      <c r="W292" s="5">
        <v>45658</v>
      </c>
      <c r="X292" t="s">
        <v>163</v>
      </c>
      <c r="Y292">
        <v>707.29</v>
      </c>
    </row>
    <row r="293" spans="2:25" ht="18.75">
      <c r="B293">
        <v>20</v>
      </c>
      <c r="C293" s="5">
        <v>46153</v>
      </c>
      <c r="D293" t="s">
        <v>113</v>
      </c>
      <c r="E293">
        <v>187.95</v>
      </c>
      <c r="G293">
        <v>19</v>
      </c>
      <c r="H293" s="5">
        <v>46146</v>
      </c>
      <c r="I293" t="s">
        <v>204</v>
      </c>
      <c r="J293">
        <v>594.74</v>
      </c>
      <c r="L293">
        <v>48</v>
      </c>
      <c r="M293" s="5">
        <v>45985</v>
      </c>
      <c r="N293" t="s">
        <v>182</v>
      </c>
      <c r="O293">
        <v>1871.45</v>
      </c>
      <c r="Q293" t="s">
        <v>203</v>
      </c>
      <c r="R293" s="5">
        <v>46143</v>
      </c>
      <c r="S293" t="s">
        <v>122</v>
      </c>
      <c r="T293">
        <v>974.35</v>
      </c>
      <c r="V293" t="s">
        <v>214</v>
      </c>
      <c r="W293" s="5">
        <v>45658</v>
      </c>
      <c r="X293" t="s">
        <v>168</v>
      </c>
      <c r="Y293">
        <v>1305.79</v>
      </c>
    </row>
    <row r="294" spans="2:25" ht="18.75">
      <c r="B294">
        <v>20</v>
      </c>
      <c r="C294" s="5">
        <v>46153</v>
      </c>
      <c r="D294" t="s">
        <v>116</v>
      </c>
      <c r="E294">
        <v>56.79</v>
      </c>
      <c r="G294">
        <v>19</v>
      </c>
      <c r="H294" s="5">
        <v>46146</v>
      </c>
      <c r="I294" t="s">
        <v>172</v>
      </c>
      <c r="J294">
        <v>57.71</v>
      </c>
      <c r="L294">
        <v>48</v>
      </c>
      <c r="M294" s="5">
        <v>45985</v>
      </c>
      <c r="N294" t="s">
        <v>183</v>
      </c>
      <c r="O294">
        <v>586.51</v>
      </c>
      <c r="Q294" t="s">
        <v>203</v>
      </c>
      <c r="R294" s="5">
        <v>46143</v>
      </c>
      <c r="S294" t="s">
        <v>123</v>
      </c>
      <c r="T294">
        <v>1876.1</v>
      </c>
      <c r="V294" t="s">
        <v>214</v>
      </c>
      <c r="W294" s="5">
        <v>45658</v>
      </c>
      <c r="X294" t="s">
        <v>173</v>
      </c>
      <c r="Y294">
        <v>1892.99</v>
      </c>
    </row>
    <row r="295" spans="2:25" ht="18.75">
      <c r="B295">
        <v>20</v>
      </c>
      <c r="C295" s="5">
        <v>46153</v>
      </c>
      <c r="D295" t="s">
        <v>120</v>
      </c>
      <c r="E295">
        <v>92.99</v>
      </c>
      <c r="G295">
        <v>19</v>
      </c>
      <c r="H295" s="5">
        <v>46146</v>
      </c>
      <c r="I295" t="s">
        <v>173</v>
      </c>
      <c r="J295">
        <v>615</v>
      </c>
      <c r="L295">
        <v>48</v>
      </c>
      <c r="M295" s="5">
        <v>45985</v>
      </c>
      <c r="N295" t="s">
        <v>184</v>
      </c>
      <c r="O295">
        <v>505.34</v>
      </c>
      <c r="Q295" t="s">
        <v>203</v>
      </c>
      <c r="R295" s="5">
        <v>46143</v>
      </c>
      <c r="S295" t="s">
        <v>125</v>
      </c>
      <c r="T295">
        <v>410.14</v>
      </c>
      <c r="V295" t="s">
        <v>214</v>
      </c>
      <c r="W295" s="5">
        <v>45658</v>
      </c>
      <c r="X295" t="s">
        <v>160</v>
      </c>
      <c r="Y295">
        <v>15707.22</v>
      </c>
    </row>
    <row r="296" spans="2:25" ht="18.75">
      <c r="B296">
        <v>20</v>
      </c>
      <c r="C296" s="5">
        <v>46153</v>
      </c>
      <c r="D296" t="s">
        <v>125</v>
      </c>
      <c r="E296">
        <v>67.819999999999993</v>
      </c>
      <c r="G296">
        <v>19</v>
      </c>
      <c r="H296" s="5">
        <v>46146</v>
      </c>
      <c r="I296" t="s">
        <v>168</v>
      </c>
      <c r="J296">
        <v>8.61</v>
      </c>
      <c r="L296">
        <v>48</v>
      </c>
      <c r="M296" s="5">
        <v>45985</v>
      </c>
      <c r="N296" t="s">
        <v>185</v>
      </c>
      <c r="O296">
        <v>510.95</v>
      </c>
      <c r="Q296" t="s">
        <v>203</v>
      </c>
      <c r="R296" s="5">
        <v>46143</v>
      </c>
      <c r="S296" t="s">
        <v>126</v>
      </c>
      <c r="T296">
        <v>626.86</v>
      </c>
      <c r="V296" t="s">
        <v>214</v>
      </c>
      <c r="W296" s="5">
        <v>46023</v>
      </c>
      <c r="X296" t="s">
        <v>198</v>
      </c>
      <c r="Y296">
        <v>1468.36</v>
      </c>
    </row>
    <row r="297" spans="2:25" ht="18.75">
      <c r="B297">
        <v>20</v>
      </c>
      <c r="C297" s="5">
        <v>46153</v>
      </c>
      <c r="D297" t="s">
        <v>129</v>
      </c>
      <c r="E297">
        <v>423.2</v>
      </c>
      <c r="G297">
        <v>13</v>
      </c>
      <c r="H297" s="5">
        <v>46104</v>
      </c>
      <c r="I297" t="s">
        <v>160</v>
      </c>
      <c r="J297">
        <v>580.78</v>
      </c>
      <c r="L297">
        <v>48</v>
      </c>
      <c r="M297" s="5">
        <v>45985</v>
      </c>
      <c r="N297" t="s">
        <v>186</v>
      </c>
      <c r="O297">
        <v>96.8</v>
      </c>
      <c r="Q297" t="s">
        <v>203</v>
      </c>
      <c r="R297" s="5">
        <v>46143</v>
      </c>
      <c r="S297" t="s">
        <v>128</v>
      </c>
      <c r="T297">
        <v>639.46</v>
      </c>
      <c r="V297" t="s">
        <v>214</v>
      </c>
      <c r="W297" s="5">
        <v>46023</v>
      </c>
      <c r="X297" t="s">
        <v>174</v>
      </c>
      <c r="Y297">
        <v>1974.02</v>
      </c>
    </row>
    <row r="298" spans="2:25" ht="18.75">
      <c r="B298">
        <v>20</v>
      </c>
      <c r="C298" s="5">
        <v>46153</v>
      </c>
      <c r="D298" t="s">
        <v>127</v>
      </c>
      <c r="E298">
        <v>155.52000000000001</v>
      </c>
      <c r="G298">
        <v>13</v>
      </c>
      <c r="H298" s="5">
        <v>46104</v>
      </c>
      <c r="I298" t="s">
        <v>158</v>
      </c>
      <c r="J298">
        <v>109.08</v>
      </c>
      <c r="L298">
        <v>49</v>
      </c>
      <c r="M298" s="5">
        <v>45992</v>
      </c>
      <c r="N298" t="s">
        <v>178</v>
      </c>
      <c r="O298">
        <v>2177.41</v>
      </c>
      <c r="Q298" t="s">
        <v>203</v>
      </c>
      <c r="R298" s="5">
        <v>46143</v>
      </c>
      <c r="S298" t="s">
        <v>129</v>
      </c>
      <c r="T298">
        <v>1770.17</v>
      </c>
      <c r="V298" t="s">
        <v>214</v>
      </c>
      <c r="W298" s="5">
        <v>46023</v>
      </c>
      <c r="X298" t="s">
        <v>201</v>
      </c>
      <c r="Y298">
        <v>784.96</v>
      </c>
    </row>
    <row r="299" spans="2:25" ht="18.75">
      <c r="B299">
        <v>20</v>
      </c>
      <c r="C299" s="5">
        <v>46153</v>
      </c>
      <c r="D299" t="s">
        <v>115</v>
      </c>
      <c r="E299">
        <v>513.29999999999995</v>
      </c>
      <c r="G299">
        <v>13</v>
      </c>
      <c r="H299" s="5">
        <v>46104</v>
      </c>
      <c r="I299" t="s">
        <v>165</v>
      </c>
      <c r="J299">
        <v>11.8</v>
      </c>
      <c r="L299">
        <v>49</v>
      </c>
      <c r="M299" s="5">
        <v>45992</v>
      </c>
      <c r="N299" t="s">
        <v>179</v>
      </c>
      <c r="O299">
        <v>2947.95</v>
      </c>
      <c r="Q299" t="s">
        <v>203</v>
      </c>
      <c r="R299" s="5">
        <v>46143</v>
      </c>
      <c r="S299" t="s">
        <v>130</v>
      </c>
      <c r="T299">
        <v>1320.68</v>
      </c>
      <c r="V299" t="s">
        <v>214</v>
      </c>
      <c r="W299" s="5">
        <v>46023</v>
      </c>
      <c r="X299" t="s">
        <v>175</v>
      </c>
      <c r="Y299">
        <v>569.77</v>
      </c>
    </row>
    <row r="300" spans="2:25" ht="18.75">
      <c r="B300">
        <v>21</v>
      </c>
      <c r="C300" s="5">
        <v>46160</v>
      </c>
      <c r="D300" t="s">
        <v>111</v>
      </c>
      <c r="E300">
        <v>176.53</v>
      </c>
      <c r="G300">
        <v>13</v>
      </c>
      <c r="H300" s="5">
        <v>46104</v>
      </c>
      <c r="I300" t="s">
        <v>176</v>
      </c>
      <c r="J300">
        <v>5.4</v>
      </c>
      <c r="L300">
        <v>49</v>
      </c>
      <c r="M300" s="5">
        <v>45992</v>
      </c>
      <c r="N300" t="s">
        <v>180</v>
      </c>
      <c r="O300">
        <v>186</v>
      </c>
      <c r="Q300" t="s">
        <v>200</v>
      </c>
      <c r="R300" s="5">
        <v>46113</v>
      </c>
      <c r="S300" t="s">
        <v>212</v>
      </c>
      <c r="T300">
        <v>114.39</v>
      </c>
      <c r="V300" t="s">
        <v>214</v>
      </c>
      <c r="W300" s="5">
        <v>46023</v>
      </c>
      <c r="X300" t="s">
        <v>172</v>
      </c>
      <c r="Y300">
        <v>147.83000000000001</v>
      </c>
    </row>
    <row r="301" spans="2:25" ht="18.75">
      <c r="B301">
        <v>21</v>
      </c>
      <c r="C301" s="5">
        <v>46160</v>
      </c>
      <c r="D301" t="s">
        <v>112</v>
      </c>
      <c r="E301">
        <v>88.62</v>
      </c>
      <c r="G301">
        <v>13</v>
      </c>
      <c r="H301" s="5">
        <v>46104</v>
      </c>
      <c r="I301" t="s">
        <v>204</v>
      </c>
      <c r="J301">
        <v>0.93</v>
      </c>
      <c r="L301">
        <v>49</v>
      </c>
      <c r="M301" s="5">
        <v>45992</v>
      </c>
      <c r="N301" t="s">
        <v>181</v>
      </c>
      <c r="O301">
        <v>1959.29</v>
      </c>
      <c r="Q301" t="s">
        <v>203</v>
      </c>
      <c r="R301" s="5">
        <v>46143</v>
      </c>
      <c r="S301" t="s">
        <v>212</v>
      </c>
      <c r="T301">
        <v>85.8</v>
      </c>
      <c r="V301" t="s">
        <v>214</v>
      </c>
      <c r="W301" s="5">
        <v>46023</v>
      </c>
      <c r="X301" t="s">
        <v>167</v>
      </c>
      <c r="Y301">
        <v>424.43</v>
      </c>
    </row>
    <row r="302" spans="2:25" ht="18.75">
      <c r="B302">
        <v>21</v>
      </c>
      <c r="C302" s="5">
        <v>46160</v>
      </c>
      <c r="D302" t="s">
        <v>113</v>
      </c>
      <c r="E302">
        <v>147.15</v>
      </c>
      <c r="G302">
        <v>20</v>
      </c>
      <c r="H302" s="5">
        <v>46153</v>
      </c>
      <c r="I302" t="s">
        <v>160</v>
      </c>
      <c r="J302">
        <v>4525.95</v>
      </c>
      <c r="L302">
        <v>49</v>
      </c>
      <c r="M302" s="5">
        <v>45992</v>
      </c>
      <c r="N302" t="s">
        <v>182</v>
      </c>
      <c r="O302">
        <v>2231.5</v>
      </c>
      <c r="Q302" t="s">
        <v>203</v>
      </c>
      <c r="R302" s="5">
        <v>46143</v>
      </c>
      <c r="S302" t="s">
        <v>133</v>
      </c>
      <c r="T302">
        <v>1389.79</v>
      </c>
      <c r="V302" t="s">
        <v>215</v>
      </c>
      <c r="W302" s="5">
        <v>46054</v>
      </c>
      <c r="X302" t="s">
        <v>160</v>
      </c>
      <c r="Y302">
        <v>11357.2</v>
      </c>
    </row>
    <row r="303" spans="2:25" ht="18.75">
      <c r="B303">
        <v>21</v>
      </c>
      <c r="C303" s="5">
        <v>46160</v>
      </c>
      <c r="D303" t="s">
        <v>114</v>
      </c>
      <c r="E303">
        <v>527.26</v>
      </c>
      <c r="G303">
        <v>20</v>
      </c>
      <c r="H303" s="5">
        <v>46153</v>
      </c>
      <c r="I303" t="s">
        <v>158</v>
      </c>
      <c r="J303">
        <v>638.32000000000005</v>
      </c>
      <c r="L303">
        <v>49</v>
      </c>
      <c r="M303" s="5">
        <v>45992</v>
      </c>
      <c r="N303" t="s">
        <v>183</v>
      </c>
      <c r="O303">
        <v>462.89</v>
      </c>
      <c r="Q303" t="s">
        <v>203</v>
      </c>
      <c r="R303" s="5">
        <v>46143</v>
      </c>
      <c r="S303" t="s">
        <v>134</v>
      </c>
      <c r="T303">
        <v>1393.54</v>
      </c>
      <c r="V303" t="s">
        <v>215</v>
      </c>
      <c r="W303" s="5">
        <v>46054</v>
      </c>
      <c r="X303" t="s">
        <v>158</v>
      </c>
      <c r="Y303">
        <v>1213.73</v>
      </c>
    </row>
    <row r="304" spans="2:25" ht="18.75">
      <c r="B304">
        <v>21</v>
      </c>
      <c r="C304" s="5">
        <v>46160</v>
      </c>
      <c r="D304" t="s">
        <v>116</v>
      </c>
      <c r="E304">
        <v>129.35</v>
      </c>
      <c r="G304">
        <v>20</v>
      </c>
      <c r="H304" s="5">
        <v>46153</v>
      </c>
      <c r="I304" t="s">
        <v>165</v>
      </c>
      <c r="J304">
        <v>263.2</v>
      </c>
      <c r="L304">
        <v>49</v>
      </c>
      <c r="M304" s="5">
        <v>45992</v>
      </c>
      <c r="N304" t="s">
        <v>184</v>
      </c>
      <c r="O304">
        <v>411.15</v>
      </c>
      <c r="Q304" t="s">
        <v>203</v>
      </c>
      <c r="R304" s="5">
        <v>46143</v>
      </c>
      <c r="S304" t="s">
        <v>136</v>
      </c>
      <c r="T304">
        <v>582.85</v>
      </c>
      <c r="V304" t="s">
        <v>215</v>
      </c>
      <c r="W304" s="5">
        <v>46054</v>
      </c>
      <c r="X304" t="s">
        <v>165</v>
      </c>
      <c r="Y304">
        <v>468.1</v>
      </c>
    </row>
    <row r="305" spans="2:25" ht="18.75">
      <c r="B305">
        <v>21</v>
      </c>
      <c r="C305" s="5">
        <v>46160</v>
      </c>
      <c r="D305" t="s">
        <v>117</v>
      </c>
      <c r="E305">
        <v>262.58</v>
      </c>
      <c r="G305">
        <v>20</v>
      </c>
      <c r="H305" s="5">
        <v>46153</v>
      </c>
      <c r="I305" t="s">
        <v>198</v>
      </c>
      <c r="J305">
        <v>414.4</v>
      </c>
      <c r="L305">
        <v>49</v>
      </c>
      <c r="M305" s="5">
        <v>45992</v>
      </c>
      <c r="N305" t="s">
        <v>185</v>
      </c>
      <c r="O305">
        <v>820.9</v>
      </c>
      <c r="Q305" t="s">
        <v>203</v>
      </c>
      <c r="R305" s="5">
        <v>46143</v>
      </c>
      <c r="S305" t="s">
        <v>138</v>
      </c>
      <c r="T305">
        <v>1804.13</v>
      </c>
      <c r="V305" t="s">
        <v>215</v>
      </c>
      <c r="W305" s="5">
        <v>46054</v>
      </c>
      <c r="X305" t="s">
        <v>198</v>
      </c>
      <c r="Y305">
        <v>902.65</v>
      </c>
    </row>
    <row r="306" spans="2:25" ht="18.75">
      <c r="B306">
        <v>21</v>
      </c>
      <c r="C306" s="5">
        <v>46160</v>
      </c>
      <c r="D306" t="s">
        <v>118</v>
      </c>
      <c r="E306">
        <v>98.97</v>
      </c>
      <c r="G306">
        <v>20</v>
      </c>
      <c r="H306" s="5">
        <v>46153</v>
      </c>
      <c r="I306" t="s">
        <v>171</v>
      </c>
      <c r="J306">
        <v>1042.46</v>
      </c>
      <c r="L306">
        <v>49</v>
      </c>
      <c r="M306" s="5">
        <v>45992</v>
      </c>
      <c r="N306" t="s">
        <v>186</v>
      </c>
      <c r="O306">
        <v>335.25</v>
      </c>
      <c r="Q306" t="s">
        <v>203</v>
      </c>
      <c r="R306" s="5">
        <v>46143</v>
      </c>
      <c r="S306" t="s">
        <v>141</v>
      </c>
      <c r="T306">
        <v>2015</v>
      </c>
      <c r="V306" t="s">
        <v>215</v>
      </c>
      <c r="W306" s="5">
        <v>46054</v>
      </c>
      <c r="X306" t="s">
        <v>167</v>
      </c>
      <c r="Y306">
        <v>12.84</v>
      </c>
    </row>
    <row r="307" spans="2:25" ht="18.75">
      <c r="B307">
        <v>21</v>
      </c>
      <c r="C307" s="5">
        <v>46160</v>
      </c>
      <c r="D307" t="s">
        <v>119</v>
      </c>
      <c r="E307">
        <v>305.06</v>
      </c>
      <c r="G307">
        <v>20</v>
      </c>
      <c r="H307" s="5">
        <v>46153</v>
      </c>
      <c r="I307" t="s">
        <v>169</v>
      </c>
      <c r="J307">
        <v>1659.2</v>
      </c>
      <c r="L307">
        <v>50</v>
      </c>
      <c r="M307" s="5">
        <v>45999</v>
      </c>
      <c r="N307" t="s">
        <v>178</v>
      </c>
      <c r="O307">
        <v>2172.77</v>
      </c>
      <c r="Q307" t="s">
        <v>203</v>
      </c>
      <c r="R307" s="5">
        <v>46143</v>
      </c>
      <c r="S307" t="s">
        <v>142</v>
      </c>
      <c r="T307">
        <v>637.99</v>
      </c>
      <c r="V307" t="s">
        <v>215</v>
      </c>
      <c r="W307" s="5">
        <v>46054</v>
      </c>
      <c r="X307" t="s">
        <v>174</v>
      </c>
      <c r="Y307">
        <v>1078.7</v>
      </c>
    </row>
    <row r="308" spans="2:25" ht="18.75">
      <c r="B308">
        <v>21</v>
      </c>
      <c r="C308" s="5">
        <v>46160</v>
      </c>
      <c r="D308" t="s">
        <v>120</v>
      </c>
      <c r="E308">
        <v>96.82</v>
      </c>
      <c r="G308">
        <v>20</v>
      </c>
      <c r="H308" s="5">
        <v>46153</v>
      </c>
      <c r="I308" t="s">
        <v>176</v>
      </c>
      <c r="J308">
        <v>35.64</v>
      </c>
      <c r="L308">
        <v>50</v>
      </c>
      <c r="M308" s="5">
        <v>45999</v>
      </c>
      <c r="N308" t="s">
        <v>179</v>
      </c>
      <c r="O308">
        <v>3147.11</v>
      </c>
      <c r="Q308" t="s">
        <v>203</v>
      </c>
      <c r="R308" s="5">
        <v>46143</v>
      </c>
      <c r="S308" t="s">
        <v>139</v>
      </c>
      <c r="T308">
        <v>966.78</v>
      </c>
      <c r="V308" t="s">
        <v>215</v>
      </c>
      <c r="W308" s="5">
        <v>46054</v>
      </c>
      <c r="X308" t="s">
        <v>169</v>
      </c>
      <c r="Y308">
        <v>5055.53</v>
      </c>
    </row>
    <row r="309" spans="2:25" ht="18.75">
      <c r="B309">
        <v>21</v>
      </c>
      <c r="C309" s="5">
        <v>46160</v>
      </c>
      <c r="D309" t="s">
        <v>121</v>
      </c>
      <c r="E309">
        <v>99.97</v>
      </c>
      <c r="G309">
        <v>20</v>
      </c>
      <c r="H309" s="5">
        <v>46153</v>
      </c>
      <c r="I309" t="s">
        <v>163</v>
      </c>
      <c r="J309">
        <v>353.46</v>
      </c>
      <c r="L309">
        <v>50</v>
      </c>
      <c r="M309" s="5">
        <v>45999</v>
      </c>
      <c r="N309" t="s">
        <v>180</v>
      </c>
      <c r="O309">
        <v>356.8</v>
      </c>
      <c r="Q309" t="s">
        <v>203</v>
      </c>
      <c r="R309" s="5">
        <v>46143</v>
      </c>
      <c r="S309" t="s">
        <v>143</v>
      </c>
      <c r="T309">
        <v>5103.99</v>
      </c>
      <c r="V309" t="s">
        <v>215</v>
      </c>
      <c r="W309" s="5">
        <v>46054</v>
      </c>
      <c r="X309" t="s">
        <v>170</v>
      </c>
      <c r="Y309">
        <v>38.29</v>
      </c>
    </row>
    <row r="310" spans="2:25" ht="18.75">
      <c r="B310">
        <v>21</v>
      </c>
      <c r="C310" s="5">
        <v>46160</v>
      </c>
      <c r="D310" t="s">
        <v>122</v>
      </c>
      <c r="E310">
        <v>288.49</v>
      </c>
      <c r="G310">
        <v>20</v>
      </c>
      <c r="H310" s="5">
        <v>46153</v>
      </c>
      <c r="I310" t="s">
        <v>204</v>
      </c>
      <c r="J310">
        <v>481.18</v>
      </c>
      <c r="L310">
        <v>50</v>
      </c>
      <c r="M310" s="5">
        <v>45999</v>
      </c>
      <c r="N310" t="s">
        <v>181</v>
      </c>
      <c r="O310">
        <v>2032.12</v>
      </c>
      <c r="Q310" t="s">
        <v>203</v>
      </c>
      <c r="R310" s="5">
        <v>46143</v>
      </c>
      <c r="S310" t="s">
        <v>144</v>
      </c>
      <c r="T310">
        <v>1952.67</v>
      </c>
      <c r="V310" t="s">
        <v>215</v>
      </c>
      <c r="W310" s="5">
        <v>46054</v>
      </c>
      <c r="X310" t="s">
        <v>164</v>
      </c>
      <c r="Y310">
        <v>27.43</v>
      </c>
    </row>
    <row r="311" spans="2:25" ht="18.75">
      <c r="B311">
        <v>21</v>
      </c>
      <c r="C311" s="5">
        <v>46160</v>
      </c>
      <c r="D311" t="s">
        <v>123</v>
      </c>
      <c r="E311">
        <v>261.98</v>
      </c>
      <c r="G311">
        <v>20</v>
      </c>
      <c r="H311" s="5">
        <v>46153</v>
      </c>
      <c r="I311" t="s">
        <v>172</v>
      </c>
      <c r="J311">
        <v>21.89</v>
      </c>
      <c r="L311">
        <v>50</v>
      </c>
      <c r="M311" s="5">
        <v>45999</v>
      </c>
      <c r="N311" t="s">
        <v>182</v>
      </c>
      <c r="O311">
        <v>1990.28</v>
      </c>
      <c r="Q311" t="s">
        <v>203</v>
      </c>
      <c r="R311" s="5">
        <v>46143</v>
      </c>
      <c r="S311" t="s">
        <v>145</v>
      </c>
      <c r="T311">
        <v>828.67</v>
      </c>
      <c r="V311" t="s">
        <v>215</v>
      </c>
      <c r="W311" s="5">
        <v>46054</v>
      </c>
      <c r="X311" t="s">
        <v>176</v>
      </c>
      <c r="Y311">
        <v>342.81</v>
      </c>
    </row>
    <row r="312" spans="2:25" ht="18.75">
      <c r="B312">
        <v>21</v>
      </c>
      <c r="C312" s="5">
        <v>46160</v>
      </c>
      <c r="D312" t="s">
        <v>125</v>
      </c>
      <c r="E312">
        <v>85.69</v>
      </c>
      <c r="G312">
        <v>20</v>
      </c>
      <c r="H312" s="5">
        <v>46153</v>
      </c>
      <c r="I312" t="s">
        <v>173</v>
      </c>
      <c r="J312">
        <v>954.05</v>
      </c>
      <c r="L312">
        <v>50</v>
      </c>
      <c r="M312" s="5">
        <v>45999</v>
      </c>
      <c r="N312" t="s">
        <v>183</v>
      </c>
      <c r="O312">
        <v>507.97</v>
      </c>
      <c r="Q312" t="s">
        <v>203</v>
      </c>
      <c r="R312" s="5">
        <v>46143</v>
      </c>
      <c r="S312" t="s">
        <v>146</v>
      </c>
      <c r="T312">
        <v>2530.27</v>
      </c>
      <c r="V312" t="s">
        <v>215</v>
      </c>
      <c r="W312" s="5">
        <v>46054</v>
      </c>
      <c r="X312" t="s">
        <v>163</v>
      </c>
      <c r="Y312">
        <v>564.28</v>
      </c>
    </row>
    <row r="313" spans="2:25" ht="18.75">
      <c r="B313">
        <v>21</v>
      </c>
      <c r="C313" s="5">
        <v>46160</v>
      </c>
      <c r="D313" t="s">
        <v>126</v>
      </c>
      <c r="E313">
        <v>184.73</v>
      </c>
      <c r="G313">
        <v>20</v>
      </c>
      <c r="H313" s="5">
        <v>46153</v>
      </c>
      <c r="I313" t="s">
        <v>206</v>
      </c>
      <c r="J313">
        <v>513.29999999999995</v>
      </c>
      <c r="L313">
        <v>50</v>
      </c>
      <c r="M313" s="5">
        <v>45999</v>
      </c>
      <c r="N313" t="s">
        <v>184</v>
      </c>
      <c r="O313">
        <v>456.09</v>
      </c>
      <c r="Q313" t="s">
        <v>203</v>
      </c>
      <c r="R313" s="5">
        <v>46143</v>
      </c>
      <c r="S313" t="s">
        <v>148</v>
      </c>
      <c r="T313">
        <v>506.93</v>
      </c>
      <c r="V313" t="s">
        <v>215</v>
      </c>
      <c r="W313" s="5">
        <v>46054</v>
      </c>
      <c r="X313" t="s">
        <v>168</v>
      </c>
      <c r="Y313">
        <v>731.03</v>
      </c>
    </row>
    <row r="314" spans="2:25" ht="18.75">
      <c r="B314">
        <v>21</v>
      </c>
      <c r="C314" s="5">
        <v>46160</v>
      </c>
      <c r="D314" t="s">
        <v>130</v>
      </c>
      <c r="E314">
        <v>293.93</v>
      </c>
      <c r="G314">
        <v>20</v>
      </c>
      <c r="H314" s="5">
        <v>46153</v>
      </c>
      <c r="I314" t="s">
        <v>209</v>
      </c>
      <c r="J314">
        <v>56.16</v>
      </c>
      <c r="L314">
        <v>50</v>
      </c>
      <c r="M314" s="5">
        <v>45999</v>
      </c>
      <c r="N314" t="s">
        <v>185</v>
      </c>
      <c r="O314">
        <v>786.9</v>
      </c>
      <c r="Q314" t="s">
        <v>203</v>
      </c>
      <c r="R314" s="5">
        <v>46143</v>
      </c>
      <c r="S314" t="s">
        <v>147</v>
      </c>
      <c r="T314">
        <v>1349.06</v>
      </c>
      <c r="V314" t="s">
        <v>215</v>
      </c>
      <c r="W314" s="5">
        <v>46054</v>
      </c>
      <c r="X314" t="s">
        <v>172</v>
      </c>
      <c r="Y314">
        <v>88.7</v>
      </c>
    </row>
    <row r="315" spans="2:25" ht="18.75">
      <c r="B315">
        <v>21</v>
      </c>
      <c r="C315" s="5">
        <v>46160</v>
      </c>
      <c r="D315" t="s">
        <v>131</v>
      </c>
      <c r="E315">
        <v>205.33</v>
      </c>
      <c r="G315">
        <v>20</v>
      </c>
      <c r="H315" s="5">
        <v>46153</v>
      </c>
      <c r="I315" t="s">
        <v>168</v>
      </c>
      <c r="J315">
        <v>6.15</v>
      </c>
      <c r="L315">
        <v>50</v>
      </c>
      <c r="M315" s="5">
        <v>45999</v>
      </c>
      <c r="N315" t="s">
        <v>186</v>
      </c>
      <c r="O315">
        <v>339.75</v>
      </c>
      <c r="Q315" t="s">
        <v>203</v>
      </c>
      <c r="R315" s="5">
        <v>46143</v>
      </c>
      <c r="S315" t="s">
        <v>150</v>
      </c>
      <c r="T315">
        <v>375.23</v>
      </c>
      <c r="V315" t="s">
        <v>215</v>
      </c>
      <c r="W315" s="5">
        <v>46054</v>
      </c>
      <c r="X315" t="s">
        <v>201</v>
      </c>
      <c r="Y315">
        <v>308.44</v>
      </c>
    </row>
    <row r="316" spans="2:25" ht="18.75">
      <c r="B316">
        <v>21</v>
      </c>
      <c r="C316" s="5">
        <v>46160</v>
      </c>
      <c r="D316" t="s">
        <v>132</v>
      </c>
      <c r="E316">
        <v>230.12</v>
      </c>
      <c r="G316">
        <v>21</v>
      </c>
      <c r="H316" s="5">
        <v>46160</v>
      </c>
      <c r="I316" t="s">
        <v>160</v>
      </c>
      <c r="J316">
        <v>5532.23</v>
      </c>
      <c r="L316">
        <v>51</v>
      </c>
      <c r="M316" s="5">
        <v>46006</v>
      </c>
      <c r="N316" t="s">
        <v>178</v>
      </c>
      <c r="O316">
        <v>1850.45</v>
      </c>
      <c r="Q316" t="s">
        <v>203</v>
      </c>
      <c r="R316" s="5">
        <v>46143</v>
      </c>
      <c r="S316" t="s">
        <v>151</v>
      </c>
      <c r="T316">
        <v>2971.77</v>
      </c>
      <c r="V316" t="s">
        <v>215</v>
      </c>
      <c r="W316" s="5">
        <v>46054</v>
      </c>
      <c r="X316" t="s">
        <v>173</v>
      </c>
      <c r="Y316">
        <v>1655.11</v>
      </c>
    </row>
    <row r="317" spans="2:25" ht="18.75">
      <c r="B317">
        <v>21</v>
      </c>
      <c r="C317" s="5">
        <v>46160</v>
      </c>
      <c r="D317" t="s">
        <v>133</v>
      </c>
      <c r="E317">
        <v>362.15</v>
      </c>
      <c r="G317">
        <v>21</v>
      </c>
      <c r="H317" s="5">
        <v>46160</v>
      </c>
      <c r="I317" t="s">
        <v>165</v>
      </c>
      <c r="J317">
        <v>134.55000000000001</v>
      </c>
      <c r="L317">
        <v>51</v>
      </c>
      <c r="M317" s="5">
        <v>46006</v>
      </c>
      <c r="N317" t="s">
        <v>179</v>
      </c>
      <c r="O317">
        <v>2893.54</v>
      </c>
      <c r="Q317" t="s">
        <v>203</v>
      </c>
      <c r="R317" s="5">
        <v>46143</v>
      </c>
      <c r="S317" t="s">
        <v>111</v>
      </c>
      <c r="T317">
        <v>716.01</v>
      </c>
      <c r="V317" t="s">
        <v>215</v>
      </c>
      <c r="W317" s="5">
        <v>46054</v>
      </c>
      <c r="X317" t="s">
        <v>175</v>
      </c>
      <c r="Y317">
        <v>155.72999999999999</v>
      </c>
    </row>
    <row r="318" spans="2:25" ht="18.75">
      <c r="B318">
        <v>21</v>
      </c>
      <c r="C318" s="5">
        <v>46160</v>
      </c>
      <c r="D318" t="s">
        <v>134</v>
      </c>
      <c r="E318">
        <v>365.75</v>
      </c>
      <c r="G318">
        <v>21</v>
      </c>
      <c r="H318" s="5">
        <v>46160</v>
      </c>
      <c r="I318" t="s">
        <v>167</v>
      </c>
      <c r="J318">
        <v>549</v>
      </c>
      <c r="L318">
        <v>51</v>
      </c>
      <c r="M318" s="5">
        <v>46006</v>
      </c>
      <c r="N318" t="s">
        <v>180</v>
      </c>
      <c r="O318">
        <v>277</v>
      </c>
      <c r="Q318" t="s">
        <v>203</v>
      </c>
      <c r="R318" s="5">
        <v>46143</v>
      </c>
      <c r="S318" t="s">
        <v>113</v>
      </c>
      <c r="T318">
        <v>877.28</v>
      </c>
      <c r="V318" t="s">
        <v>215</v>
      </c>
      <c r="W318" s="5">
        <v>46054</v>
      </c>
      <c r="X318" t="s">
        <v>171</v>
      </c>
      <c r="Y318">
        <v>1573.63</v>
      </c>
    </row>
    <row r="319" spans="2:25" ht="18.75">
      <c r="B319">
        <v>21</v>
      </c>
      <c r="C319" s="5">
        <v>46160</v>
      </c>
      <c r="D319" t="s">
        <v>136</v>
      </c>
      <c r="E319">
        <v>155.75</v>
      </c>
      <c r="G319">
        <v>21</v>
      </c>
      <c r="H319" s="5">
        <v>46160</v>
      </c>
      <c r="I319" t="s">
        <v>171</v>
      </c>
      <c r="J319">
        <v>315</v>
      </c>
      <c r="L319">
        <v>51</v>
      </c>
      <c r="M319" s="5">
        <v>46006</v>
      </c>
      <c r="N319" t="s">
        <v>182</v>
      </c>
      <c r="O319">
        <v>1881.24</v>
      </c>
      <c r="Q319" t="s">
        <v>203</v>
      </c>
      <c r="R319" s="5">
        <v>46143</v>
      </c>
      <c r="S319" t="s">
        <v>116</v>
      </c>
      <c r="T319">
        <v>436.59</v>
      </c>
      <c r="V319" t="s">
        <v>199</v>
      </c>
      <c r="W319" s="5">
        <v>46082</v>
      </c>
      <c r="X319" t="s">
        <v>160</v>
      </c>
      <c r="Y319">
        <v>8494.69</v>
      </c>
    </row>
    <row r="320" spans="2:25" ht="18.75">
      <c r="B320">
        <v>21</v>
      </c>
      <c r="C320" s="5">
        <v>46160</v>
      </c>
      <c r="D320" t="s">
        <v>138</v>
      </c>
      <c r="E320">
        <v>455.4</v>
      </c>
      <c r="G320">
        <v>21</v>
      </c>
      <c r="H320" s="5">
        <v>46160</v>
      </c>
      <c r="I320" t="s">
        <v>198</v>
      </c>
      <c r="J320">
        <v>458.15</v>
      </c>
      <c r="L320">
        <v>51</v>
      </c>
      <c r="M320" s="5">
        <v>46006</v>
      </c>
      <c r="N320" t="s">
        <v>183</v>
      </c>
      <c r="O320">
        <v>454.68</v>
      </c>
      <c r="Q320" t="s">
        <v>203</v>
      </c>
      <c r="R320" s="5">
        <v>46143</v>
      </c>
      <c r="S320" t="s">
        <v>118</v>
      </c>
      <c r="T320">
        <v>693.84</v>
      </c>
      <c r="V320" t="s">
        <v>199</v>
      </c>
      <c r="W320" s="5">
        <v>46082</v>
      </c>
      <c r="X320" t="s">
        <v>171</v>
      </c>
      <c r="Y320">
        <v>838.65</v>
      </c>
    </row>
    <row r="321" spans="2:25" ht="18.75">
      <c r="B321">
        <v>21</v>
      </c>
      <c r="C321" s="5">
        <v>46160</v>
      </c>
      <c r="D321" t="s">
        <v>141</v>
      </c>
      <c r="E321">
        <v>513.53</v>
      </c>
      <c r="G321">
        <v>21</v>
      </c>
      <c r="H321" s="5">
        <v>46160</v>
      </c>
      <c r="I321" t="s">
        <v>174</v>
      </c>
      <c r="J321">
        <v>508.03</v>
      </c>
      <c r="L321">
        <v>51</v>
      </c>
      <c r="M321" s="5">
        <v>46006</v>
      </c>
      <c r="N321" t="s">
        <v>184</v>
      </c>
      <c r="O321">
        <v>407.52</v>
      </c>
      <c r="Q321" t="s">
        <v>203</v>
      </c>
      <c r="R321" s="5">
        <v>46143</v>
      </c>
      <c r="S321" t="s">
        <v>121</v>
      </c>
      <c r="T321">
        <v>715.01</v>
      </c>
      <c r="V321" t="s">
        <v>199</v>
      </c>
      <c r="W321" s="5">
        <v>46082</v>
      </c>
      <c r="X321" t="s">
        <v>198</v>
      </c>
      <c r="Y321">
        <v>653.82000000000005</v>
      </c>
    </row>
    <row r="322" spans="2:25" ht="18.75">
      <c r="B322">
        <v>21</v>
      </c>
      <c r="C322" s="5">
        <v>46160</v>
      </c>
      <c r="D322" t="s">
        <v>142</v>
      </c>
      <c r="E322">
        <v>197.17</v>
      </c>
      <c r="G322">
        <v>21</v>
      </c>
      <c r="H322" s="5">
        <v>46160</v>
      </c>
      <c r="I322" t="s">
        <v>169</v>
      </c>
      <c r="J322">
        <v>1637.35</v>
      </c>
      <c r="L322">
        <v>51</v>
      </c>
      <c r="M322" s="5">
        <v>46006</v>
      </c>
      <c r="N322" t="s">
        <v>185</v>
      </c>
      <c r="O322">
        <v>798.2</v>
      </c>
      <c r="Q322" t="s">
        <v>203</v>
      </c>
      <c r="R322" s="5">
        <v>46143</v>
      </c>
      <c r="S322" t="s">
        <v>124</v>
      </c>
      <c r="T322">
        <v>1423.23</v>
      </c>
      <c r="V322" t="s">
        <v>199</v>
      </c>
      <c r="W322" s="5">
        <v>46082</v>
      </c>
      <c r="X322" t="s">
        <v>169</v>
      </c>
      <c r="Y322">
        <v>3654.06</v>
      </c>
    </row>
    <row r="323" spans="2:25" ht="18.75">
      <c r="B323">
        <v>21</v>
      </c>
      <c r="C323" s="5">
        <v>46160</v>
      </c>
      <c r="D323" t="s">
        <v>139</v>
      </c>
      <c r="E323">
        <v>151.07</v>
      </c>
      <c r="G323">
        <v>21</v>
      </c>
      <c r="H323" s="5">
        <v>46160</v>
      </c>
      <c r="I323" t="s">
        <v>176</v>
      </c>
      <c r="J323">
        <v>91.44</v>
      </c>
      <c r="L323">
        <v>51</v>
      </c>
      <c r="M323" s="5">
        <v>46006</v>
      </c>
      <c r="N323" t="s">
        <v>186</v>
      </c>
      <c r="O323">
        <v>303.75</v>
      </c>
      <c r="Q323" t="s">
        <v>203</v>
      </c>
      <c r="R323" s="5">
        <v>46143</v>
      </c>
      <c r="S323" t="s">
        <v>132</v>
      </c>
      <c r="T323">
        <v>760.67</v>
      </c>
      <c r="V323" t="s">
        <v>199</v>
      </c>
      <c r="W323" s="5">
        <v>46082</v>
      </c>
      <c r="X323" t="s">
        <v>176</v>
      </c>
      <c r="Y323">
        <v>172.35</v>
      </c>
    </row>
    <row r="324" spans="2:25" ht="18.75">
      <c r="B324">
        <v>21</v>
      </c>
      <c r="C324" s="5">
        <v>46160</v>
      </c>
      <c r="D324" t="s">
        <v>143</v>
      </c>
      <c r="E324">
        <v>1050.92</v>
      </c>
      <c r="G324">
        <v>21</v>
      </c>
      <c r="H324" s="5">
        <v>46160</v>
      </c>
      <c r="I324" t="s">
        <v>209</v>
      </c>
      <c r="J324">
        <v>59.4</v>
      </c>
      <c r="L324">
        <v>51</v>
      </c>
      <c r="M324" s="5">
        <v>46006</v>
      </c>
      <c r="N324" t="s">
        <v>181</v>
      </c>
      <c r="O324">
        <v>1459.41</v>
      </c>
      <c r="Q324" t="s">
        <v>203</v>
      </c>
      <c r="R324" s="5">
        <v>46143</v>
      </c>
      <c r="S324" t="s">
        <v>135</v>
      </c>
      <c r="T324">
        <v>353.15</v>
      </c>
      <c r="V324" t="s">
        <v>199</v>
      </c>
      <c r="W324" s="5">
        <v>46082</v>
      </c>
      <c r="X324" t="s">
        <v>163</v>
      </c>
      <c r="Y324">
        <v>480.06</v>
      </c>
    </row>
    <row r="325" spans="2:25" ht="18.75">
      <c r="B325">
        <v>21</v>
      </c>
      <c r="C325" s="5">
        <v>46160</v>
      </c>
      <c r="D325" t="s">
        <v>144</v>
      </c>
      <c r="E325">
        <v>436.47</v>
      </c>
      <c r="G325">
        <v>21</v>
      </c>
      <c r="H325" s="5">
        <v>46160</v>
      </c>
      <c r="I325" t="s">
        <v>163</v>
      </c>
      <c r="J325">
        <v>202.53</v>
      </c>
      <c r="L325">
        <v>52</v>
      </c>
      <c r="M325" s="5">
        <v>46013</v>
      </c>
      <c r="N325" t="s">
        <v>178</v>
      </c>
      <c r="O325">
        <v>892.5</v>
      </c>
      <c r="Q325" t="s">
        <v>203</v>
      </c>
      <c r="R325" s="5">
        <v>46143</v>
      </c>
      <c r="S325" t="s">
        <v>137</v>
      </c>
      <c r="T325">
        <v>373.49</v>
      </c>
      <c r="V325" t="s">
        <v>199</v>
      </c>
      <c r="W325" s="5">
        <v>46082</v>
      </c>
      <c r="X325" t="s">
        <v>201</v>
      </c>
      <c r="Y325">
        <v>243.32</v>
      </c>
    </row>
    <row r="326" spans="2:25" ht="18.75">
      <c r="B326">
        <v>21</v>
      </c>
      <c r="C326" s="5">
        <v>46160</v>
      </c>
      <c r="D326" t="s">
        <v>216</v>
      </c>
      <c r="E326">
        <v>389.97</v>
      </c>
      <c r="G326">
        <v>21</v>
      </c>
      <c r="H326" s="5">
        <v>46160</v>
      </c>
      <c r="I326" t="s">
        <v>204</v>
      </c>
      <c r="J326">
        <v>344.53</v>
      </c>
      <c r="L326">
        <v>52</v>
      </c>
      <c r="M326" s="5">
        <v>46013</v>
      </c>
      <c r="N326" t="s">
        <v>179</v>
      </c>
      <c r="O326">
        <v>1380.94</v>
      </c>
      <c r="Q326" t="s">
        <v>203</v>
      </c>
      <c r="R326" s="5">
        <v>46143</v>
      </c>
      <c r="S326" t="s">
        <v>127</v>
      </c>
      <c r="T326">
        <v>936.33</v>
      </c>
      <c r="V326" t="s">
        <v>199</v>
      </c>
      <c r="W326" s="5">
        <v>46082</v>
      </c>
      <c r="X326" t="s">
        <v>168</v>
      </c>
      <c r="Y326">
        <v>548.19000000000005</v>
      </c>
    </row>
    <row r="327" spans="2:25" ht="18.75">
      <c r="B327">
        <v>21</v>
      </c>
      <c r="C327" s="5">
        <v>46160</v>
      </c>
      <c r="D327" t="s">
        <v>145</v>
      </c>
      <c r="E327">
        <v>216.98</v>
      </c>
      <c r="G327">
        <v>21</v>
      </c>
      <c r="H327" s="5">
        <v>46160</v>
      </c>
      <c r="I327" t="s">
        <v>172</v>
      </c>
      <c r="J327">
        <v>5.97</v>
      </c>
      <c r="L327">
        <v>52</v>
      </c>
      <c r="M327" s="5">
        <v>46013</v>
      </c>
      <c r="N327" t="s">
        <v>180</v>
      </c>
      <c r="O327">
        <v>360.9</v>
      </c>
      <c r="Q327" t="s">
        <v>203</v>
      </c>
      <c r="R327" s="5">
        <v>46143</v>
      </c>
      <c r="S327" t="s">
        <v>115</v>
      </c>
      <c r="T327">
        <v>912.58</v>
      </c>
      <c r="V327" t="s">
        <v>199</v>
      </c>
      <c r="W327" s="5">
        <v>46082</v>
      </c>
      <c r="X327" t="s">
        <v>173</v>
      </c>
      <c r="Y327">
        <v>1456.91</v>
      </c>
    </row>
    <row r="328" spans="2:25" ht="18.75">
      <c r="B328">
        <v>21</v>
      </c>
      <c r="C328" s="5">
        <v>46160</v>
      </c>
      <c r="D328" t="s">
        <v>146</v>
      </c>
      <c r="E328">
        <v>723.24</v>
      </c>
      <c r="G328">
        <v>21</v>
      </c>
      <c r="H328" s="5">
        <v>46160</v>
      </c>
      <c r="I328" t="s">
        <v>173</v>
      </c>
      <c r="J328">
        <v>627.25</v>
      </c>
      <c r="L328">
        <v>52</v>
      </c>
      <c r="M328" s="5">
        <v>46013</v>
      </c>
      <c r="N328" t="s">
        <v>181</v>
      </c>
      <c r="O328">
        <v>626.34</v>
      </c>
      <c r="Q328" t="s">
        <v>203</v>
      </c>
      <c r="R328" s="5">
        <v>46143</v>
      </c>
      <c r="S328" t="s">
        <v>131</v>
      </c>
      <c r="T328">
        <v>1027.77</v>
      </c>
      <c r="V328" t="s">
        <v>199</v>
      </c>
      <c r="W328" s="5">
        <v>46082</v>
      </c>
      <c r="X328" t="s">
        <v>158</v>
      </c>
      <c r="Y328">
        <v>1108.1099999999999</v>
      </c>
    </row>
    <row r="329" spans="2:25" ht="18.75">
      <c r="B329">
        <v>21</v>
      </c>
      <c r="C329" s="5">
        <v>46160</v>
      </c>
      <c r="D329" t="s">
        <v>148</v>
      </c>
      <c r="E329">
        <v>142.5</v>
      </c>
      <c r="G329">
        <v>21</v>
      </c>
      <c r="H329" s="5">
        <v>46160</v>
      </c>
      <c r="I329" t="s">
        <v>206</v>
      </c>
      <c r="J329">
        <v>308.33999999999997</v>
      </c>
      <c r="L329">
        <v>52</v>
      </c>
      <c r="M329" s="5">
        <v>46013</v>
      </c>
      <c r="N329" t="s">
        <v>182</v>
      </c>
      <c r="O329">
        <v>527.5</v>
      </c>
      <c r="Q329" t="s">
        <v>203</v>
      </c>
      <c r="R329" s="5">
        <v>46143</v>
      </c>
      <c r="S329" t="s">
        <v>216</v>
      </c>
      <c r="T329">
        <v>1428.77</v>
      </c>
      <c r="V329" t="s">
        <v>199</v>
      </c>
      <c r="W329" s="5">
        <v>46082</v>
      </c>
      <c r="X329" t="s">
        <v>165</v>
      </c>
      <c r="Y329">
        <v>192.69</v>
      </c>
    </row>
    <row r="330" spans="2:25" ht="18.75">
      <c r="B330">
        <v>21</v>
      </c>
      <c r="C330" s="5">
        <v>46160</v>
      </c>
      <c r="D330" t="s">
        <v>147</v>
      </c>
      <c r="E330">
        <v>212.1</v>
      </c>
      <c r="G330">
        <v>21</v>
      </c>
      <c r="H330" s="5">
        <v>46160</v>
      </c>
      <c r="I330" t="s">
        <v>168</v>
      </c>
      <c r="J330">
        <v>3.69</v>
      </c>
      <c r="L330">
        <v>52</v>
      </c>
      <c r="M330" s="5">
        <v>46013</v>
      </c>
      <c r="N330" t="s">
        <v>183</v>
      </c>
      <c r="O330">
        <v>236.66</v>
      </c>
      <c r="Q330" t="s">
        <v>205</v>
      </c>
      <c r="R330" s="5">
        <v>46174</v>
      </c>
      <c r="S330" t="s">
        <v>116</v>
      </c>
      <c r="T330">
        <v>307</v>
      </c>
      <c r="V330" t="s">
        <v>199</v>
      </c>
      <c r="W330" s="5">
        <v>46082</v>
      </c>
      <c r="X330" t="s">
        <v>174</v>
      </c>
      <c r="Y330">
        <v>1735.07</v>
      </c>
    </row>
    <row r="331" spans="2:25" ht="18.75">
      <c r="B331">
        <v>21</v>
      </c>
      <c r="C331" s="5">
        <v>46160</v>
      </c>
      <c r="D331" t="s">
        <v>150</v>
      </c>
      <c r="E331">
        <v>118.37</v>
      </c>
      <c r="G331">
        <v>22</v>
      </c>
      <c r="H331" s="5">
        <v>46167</v>
      </c>
      <c r="I331" t="s">
        <v>160</v>
      </c>
      <c r="J331">
        <v>5168.8599999999997</v>
      </c>
      <c r="L331">
        <v>52</v>
      </c>
      <c r="M331" s="5">
        <v>46013</v>
      </c>
      <c r="N331" t="s">
        <v>184</v>
      </c>
      <c r="O331">
        <v>196.59</v>
      </c>
      <c r="Q331" t="s">
        <v>205</v>
      </c>
      <c r="R331" s="5">
        <v>46174</v>
      </c>
      <c r="S331" t="s">
        <v>117</v>
      </c>
      <c r="T331">
        <v>689.58</v>
      </c>
      <c r="V331" t="s">
        <v>199</v>
      </c>
      <c r="W331" s="5">
        <v>46082</v>
      </c>
      <c r="X331" t="s">
        <v>170</v>
      </c>
      <c r="Y331">
        <v>232.86</v>
      </c>
    </row>
    <row r="332" spans="2:25" ht="18.75">
      <c r="B332">
        <v>21</v>
      </c>
      <c r="C332" s="5">
        <v>46160</v>
      </c>
      <c r="D332" t="s">
        <v>151</v>
      </c>
      <c r="E332">
        <v>650.5</v>
      </c>
      <c r="G332">
        <v>22</v>
      </c>
      <c r="H332" s="5">
        <v>46167</v>
      </c>
      <c r="I332" t="s">
        <v>165</v>
      </c>
      <c r="J332">
        <v>227.7</v>
      </c>
      <c r="L332">
        <v>52</v>
      </c>
      <c r="M332" s="5">
        <v>46013</v>
      </c>
      <c r="N332" t="s">
        <v>185</v>
      </c>
      <c r="O332">
        <v>392.1</v>
      </c>
      <c r="Q332" t="s">
        <v>205</v>
      </c>
      <c r="R332" s="5">
        <v>46174</v>
      </c>
      <c r="S332" t="s">
        <v>118</v>
      </c>
      <c r="T332">
        <v>450.06</v>
      </c>
      <c r="V332" t="s">
        <v>199</v>
      </c>
      <c r="W332" s="5">
        <v>46082</v>
      </c>
      <c r="X332" t="s">
        <v>172</v>
      </c>
      <c r="Y332">
        <v>57.99</v>
      </c>
    </row>
    <row r="333" spans="2:25" ht="18.75">
      <c r="B333">
        <v>21</v>
      </c>
      <c r="C333" s="5">
        <v>46160</v>
      </c>
      <c r="D333" t="s">
        <v>128</v>
      </c>
      <c r="E333">
        <v>145.19</v>
      </c>
      <c r="G333">
        <v>22</v>
      </c>
      <c r="H333" s="5">
        <v>46167</v>
      </c>
      <c r="I333" t="s">
        <v>174</v>
      </c>
      <c r="J333">
        <v>529.45000000000005</v>
      </c>
      <c r="L333">
        <v>52</v>
      </c>
      <c r="M333" s="5">
        <v>46013</v>
      </c>
      <c r="N333" t="s">
        <v>186</v>
      </c>
      <c r="O333">
        <v>206.8</v>
      </c>
      <c r="Q333" t="s">
        <v>205</v>
      </c>
      <c r="R333" s="5">
        <v>46174</v>
      </c>
      <c r="S333" t="s">
        <v>122</v>
      </c>
      <c r="T333">
        <v>823.43</v>
      </c>
      <c r="V333" t="s">
        <v>199</v>
      </c>
      <c r="W333" s="5">
        <v>46082</v>
      </c>
      <c r="X333" t="s">
        <v>204</v>
      </c>
      <c r="Y333">
        <v>0.62</v>
      </c>
    </row>
    <row r="334" spans="2:25" ht="18.75">
      <c r="B334">
        <v>21</v>
      </c>
      <c r="C334" s="5">
        <v>46160</v>
      </c>
      <c r="D334" t="s">
        <v>129</v>
      </c>
      <c r="E334">
        <v>409.31</v>
      </c>
      <c r="G334">
        <v>22</v>
      </c>
      <c r="H334" s="5">
        <v>46167</v>
      </c>
      <c r="I334" t="s">
        <v>171</v>
      </c>
      <c r="J334">
        <v>345</v>
      </c>
      <c r="L334">
        <v>1</v>
      </c>
      <c r="M334" s="5">
        <v>46020</v>
      </c>
      <c r="N334" t="s">
        <v>178</v>
      </c>
      <c r="O334">
        <v>749.7</v>
      </c>
      <c r="Q334" t="s">
        <v>205</v>
      </c>
      <c r="R334" s="5">
        <v>46174</v>
      </c>
      <c r="S334" t="s">
        <v>123</v>
      </c>
      <c r="T334">
        <v>1047.05</v>
      </c>
      <c r="X334"/>
    </row>
    <row r="335" spans="2:25" ht="18.75">
      <c r="B335">
        <v>21</v>
      </c>
      <c r="C335" s="5">
        <v>46160</v>
      </c>
      <c r="D335" t="s">
        <v>135</v>
      </c>
      <c r="E335">
        <v>72.040000000000006</v>
      </c>
      <c r="G335">
        <v>22</v>
      </c>
      <c r="H335" s="5">
        <v>46167</v>
      </c>
      <c r="I335" t="s">
        <v>198</v>
      </c>
      <c r="J335">
        <v>422.45</v>
      </c>
      <c r="L335">
        <v>1</v>
      </c>
      <c r="M335" s="5">
        <v>46020</v>
      </c>
      <c r="N335" t="s">
        <v>179</v>
      </c>
      <c r="O335">
        <v>1199.82</v>
      </c>
      <c r="Q335" t="s">
        <v>205</v>
      </c>
      <c r="R335" s="5">
        <v>46174</v>
      </c>
      <c r="S335" t="s">
        <v>124</v>
      </c>
      <c r="T335">
        <v>994.87</v>
      </c>
      <c r="X335"/>
    </row>
    <row r="336" spans="2:25" ht="18.75">
      <c r="B336">
        <v>21</v>
      </c>
      <c r="C336" s="5">
        <v>46160</v>
      </c>
      <c r="D336" t="s">
        <v>137</v>
      </c>
      <c r="E336">
        <v>103.93</v>
      </c>
      <c r="G336">
        <v>22</v>
      </c>
      <c r="H336" s="5">
        <v>46167</v>
      </c>
      <c r="I336" t="s">
        <v>169</v>
      </c>
      <c r="J336">
        <v>1580</v>
      </c>
      <c r="L336">
        <v>1</v>
      </c>
      <c r="M336" s="5">
        <v>46020</v>
      </c>
      <c r="N336" t="s">
        <v>180</v>
      </c>
      <c r="O336">
        <v>160.4</v>
      </c>
      <c r="Q336" t="s">
        <v>205</v>
      </c>
      <c r="R336" s="5">
        <v>46174</v>
      </c>
      <c r="S336" t="s">
        <v>126</v>
      </c>
      <c r="T336">
        <v>434.64</v>
      </c>
      <c r="X336"/>
    </row>
    <row r="337" spans="2:24" ht="18.75">
      <c r="B337">
        <v>21</v>
      </c>
      <c r="C337" s="5">
        <v>46160</v>
      </c>
      <c r="D337" t="s">
        <v>127</v>
      </c>
      <c r="E337">
        <v>182.85</v>
      </c>
      <c r="G337">
        <v>22</v>
      </c>
      <c r="H337" s="5">
        <v>46167</v>
      </c>
      <c r="I337" t="s">
        <v>209</v>
      </c>
      <c r="J337">
        <v>82.08</v>
      </c>
      <c r="L337">
        <v>1</v>
      </c>
      <c r="M337" s="5">
        <v>46020</v>
      </c>
      <c r="N337" t="s">
        <v>181</v>
      </c>
      <c r="O337">
        <v>568.61</v>
      </c>
      <c r="Q337" t="s">
        <v>205</v>
      </c>
      <c r="R337" s="5">
        <v>46174</v>
      </c>
      <c r="S337" t="s">
        <v>128</v>
      </c>
      <c r="T337">
        <v>591.95000000000005</v>
      </c>
      <c r="X337"/>
    </row>
    <row r="338" spans="2:24" ht="18.75">
      <c r="B338">
        <v>21</v>
      </c>
      <c r="C338" s="5">
        <v>46160</v>
      </c>
      <c r="D338" t="s">
        <v>115</v>
      </c>
      <c r="E338">
        <v>111.83</v>
      </c>
      <c r="G338">
        <v>22</v>
      </c>
      <c r="H338" s="5">
        <v>46167</v>
      </c>
      <c r="I338" t="s">
        <v>176</v>
      </c>
      <c r="J338">
        <v>139.19999999999999</v>
      </c>
      <c r="L338">
        <v>1</v>
      </c>
      <c r="M338" s="5">
        <v>46020</v>
      </c>
      <c r="N338" t="s">
        <v>182</v>
      </c>
      <c r="O338">
        <v>562.36</v>
      </c>
      <c r="Q338" t="s">
        <v>205</v>
      </c>
      <c r="R338" s="5">
        <v>46174</v>
      </c>
      <c r="S338" t="s">
        <v>129</v>
      </c>
      <c r="T338">
        <v>888.96</v>
      </c>
      <c r="X338"/>
    </row>
    <row r="339" spans="2:24" ht="18.75">
      <c r="B339">
        <v>21</v>
      </c>
      <c r="C339" s="5">
        <v>46160</v>
      </c>
      <c r="D339" t="s">
        <v>124</v>
      </c>
      <c r="E339">
        <v>127.86</v>
      </c>
      <c r="G339">
        <v>22</v>
      </c>
      <c r="H339" s="5">
        <v>46167</v>
      </c>
      <c r="I339" t="s">
        <v>163</v>
      </c>
      <c r="J339">
        <v>347.01</v>
      </c>
      <c r="L339">
        <v>1</v>
      </c>
      <c r="M339" s="5">
        <v>46020</v>
      </c>
      <c r="N339" t="s">
        <v>183</v>
      </c>
      <c r="O339">
        <v>158.16</v>
      </c>
      <c r="Q339" t="s">
        <v>205</v>
      </c>
      <c r="R339" s="5">
        <v>46174</v>
      </c>
      <c r="S339" t="s">
        <v>130</v>
      </c>
      <c r="T339">
        <v>839.91</v>
      </c>
      <c r="X339"/>
    </row>
    <row r="340" spans="2:24" ht="18.75">
      <c r="B340">
        <v>22</v>
      </c>
      <c r="C340" s="5">
        <v>46167</v>
      </c>
      <c r="D340" t="s">
        <v>112</v>
      </c>
      <c r="E340">
        <v>88.3</v>
      </c>
      <c r="G340">
        <v>22</v>
      </c>
      <c r="H340" s="5">
        <v>46167</v>
      </c>
      <c r="I340" t="s">
        <v>204</v>
      </c>
      <c r="J340">
        <v>870.9</v>
      </c>
      <c r="L340">
        <v>1</v>
      </c>
      <c r="M340" s="5">
        <v>46020</v>
      </c>
      <c r="N340" t="s">
        <v>184</v>
      </c>
      <c r="O340">
        <v>116.24</v>
      </c>
      <c r="Q340" t="s">
        <v>205</v>
      </c>
      <c r="R340" s="5">
        <v>46174</v>
      </c>
      <c r="S340" t="s">
        <v>131</v>
      </c>
      <c r="T340">
        <v>674.25</v>
      </c>
      <c r="X340"/>
    </row>
    <row r="341" spans="2:24" ht="18.75">
      <c r="B341">
        <v>22</v>
      </c>
      <c r="C341" s="5">
        <v>46167</v>
      </c>
      <c r="D341" t="s">
        <v>113</v>
      </c>
      <c r="E341">
        <v>215.55</v>
      </c>
      <c r="G341">
        <v>22</v>
      </c>
      <c r="H341" s="5">
        <v>46167</v>
      </c>
      <c r="I341" t="s">
        <v>173</v>
      </c>
      <c r="J341">
        <v>285</v>
      </c>
      <c r="L341">
        <v>1</v>
      </c>
      <c r="M341" s="5">
        <v>46020</v>
      </c>
      <c r="N341" t="s">
        <v>185</v>
      </c>
      <c r="O341">
        <v>54.25</v>
      </c>
      <c r="Q341" t="s">
        <v>205</v>
      </c>
      <c r="R341" s="5">
        <v>46174</v>
      </c>
      <c r="S341" t="s">
        <v>132</v>
      </c>
      <c r="T341">
        <v>633.11</v>
      </c>
      <c r="X341"/>
    </row>
    <row r="342" spans="2:24" ht="18.75">
      <c r="B342">
        <v>22</v>
      </c>
      <c r="C342" s="5">
        <v>46167</v>
      </c>
      <c r="D342" t="s">
        <v>114</v>
      </c>
      <c r="E342">
        <v>308.32</v>
      </c>
      <c r="G342">
        <v>22</v>
      </c>
      <c r="H342" s="5">
        <v>46167</v>
      </c>
      <c r="I342" t="s">
        <v>206</v>
      </c>
      <c r="J342">
        <v>285.60000000000002</v>
      </c>
      <c r="L342">
        <v>2</v>
      </c>
      <c r="M342" s="5">
        <v>46027</v>
      </c>
      <c r="N342" t="s">
        <v>178</v>
      </c>
      <c r="O342">
        <v>1951.6</v>
      </c>
      <c r="Q342" t="s">
        <v>205</v>
      </c>
      <c r="R342" s="5">
        <v>46174</v>
      </c>
      <c r="S342" t="s">
        <v>133</v>
      </c>
      <c r="T342">
        <v>1071.8499999999999</v>
      </c>
      <c r="X342"/>
    </row>
    <row r="343" spans="2:24" ht="18.75">
      <c r="B343">
        <v>22</v>
      </c>
      <c r="C343" s="5">
        <v>46167</v>
      </c>
      <c r="D343" t="s">
        <v>116</v>
      </c>
      <c r="E343">
        <v>75.12</v>
      </c>
      <c r="G343">
        <v>22</v>
      </c>
      <c r="H343" s="5">
        <v>46167</v>
      </c>
      <c r="I343" t="s">
        <v>167</v>
      </c>
      <c r="J343">
        <v>12.2</v>
      </c>
      <c r="L343">
        <v>2</v>
      </c>
      <c r="M343" s="5">
        <v>46027</v>
      </c>
      <c r="N343" t="s">
        <v>179</v>
      </c>
      <c r="O343">
        <v>2706.74</v>
      </c>
      <c r="Q343" t="s">
        <v>205</v>
      </c>
      <c r="R343" s="5">
        <v>46174</v>
      </c>
      <c r="S343" t="s">
        <v>134</v>
      </c>
      <c r="T343">
        <v>1059.07</v>
      </c>
      <c r="X343"/>
    </row>
    <row r="344" spans="2:24" ht="18.75">
      <c r="B344">
        <v>22</v>
      </c>
      <c r="C344" s="5">
        <v>46167</v>
      </c>
      <c r="D344" t="s">
        <v>117</v>
      </c>
      <c r="E344">
        <v>172.16</v>
      </c>
      <c r="G344">
        <v>23</v>
      </c>
      <c r="H344" s="5">
        <v>46174</v>
      </c>
      <c r="I344" t="s">
        <v>160</v>
      </c>
      <c r="J344">
        <v>5843.43</v>
      </c>
      <c r="L344">
        <v>2</v>
      </c>
      <c r="M344" s="5">
        <v>46027</v>
      </c>
      <c r="N344" t="s">
        <v>181</v>
      </c>
      <c r="O344">
        <v>1707.39</v>
      </c>
      <c r="Q344" t="s">
        <v>205</v>
      </c>
      <c r="R344" s="5">
        <v>46174</v>
      </c>
      <c r="S344" t="s">
        <v>136</v>
      </c>
      <c r="T344">
        <v>453.16</v>
      </c>
      <c r="X344"/>
    </row>
    <row r="345" spans="2:24" ht="18.75">
      <c r="B345">
        <v>22</v>
      </c>
      <c r="C345" s="5">
        <v>46167</v>
      </c>
      <c r="D345" t="s">
        <v>118</v>
      </c>
      <c r="E345">
        <v>170.85</v>
      </c>
      <c r="G345">
        <v>23</v>
      </c>
      <c r="H345" s="5">
        <v>46174</v>
      </c>
      <c r="I345" t="s">
        <v>165</v>
      </c>
      <c r="J345">
        <v>141.85</v>
      </c>
      <c r="L345">
        <v>2</v>
      </c>
      <c r="M345" s="5">
        <v>46027</v>
      </c>
      <c r="N345" t="s">
        <v>182</v>
      </c>
      <c r="O345">
        <v>1733.76</v>
      </c>
      <c r="Q345" t="s">
        <v>205</v>
      </c>
      <c r="R345" s="5">
        <v>46174</v>
      </c>
      <c r="S345" t="s">
        <v>138</v>
      </c>
      <c r="T345">
        <v>1242.17</v>
      </c>
      <c r="X345"/>
    </row>
    <row r="346" spans="2:24" ht="18.75">
      <c r="B346">
        <v>22</v>
      </c>
      <c r="C346" s="5">
        <v>46167</v>
      </c>
      <c r="D346" t="s">
        <v>119</v>
      </c>
      <c r="E346">
        <v>305.75</v>
      </c>
      <c r="G346">
        <v>23</v>
      </c>
      <c r="H346" s="5">
        <v>46174</v>
      </c>
      <c r="I346" t="s">
        <v>174</v>
      </c>
      <c r="J346">
        <v>754.7</v>
      </c>
      <c r="L346">
        <v>2</v>
      </c>
      <c r="M346" s="5">
        <v>46027</v>
      </c>
      <c r="N346" t="s">
        <v>183</v>
      </c>
      <c r="O346">
        <v>190.26</v>
      </c>
      <c r="Q346" t="s">
        <v>205</v>
      </c>
      <c r="R346" s="5">
        <v>46174</v>
      </c>
      <c r="S346" t="s">
        <v>142</v>
      </c>
      <c r="T346">
        <v>494.06</v>
      </c>
      <c r="X346"/>
    </row>
    <row r="347" spans="2:24" ht="18.75">
      <c r="B347">
        <v>22</v>
      </c>
      <c r="C347" s="5">
        <v>46167</v>
      </c>
      <c r="D347" t="s">
        <v>120</v>
      </c>
      <c r="E347">
        <v>60.77</v>
      </c>
      <c r="G347">
        <v>23</v>
      </c>
      <c r="H347" s="5">
        <v>46174</v>
      </c>
      <c r="I347" t="s">
        <v>198</v>
      </c>
      <c r="J347">
        <v>503.2</v>
      </c>
      <c r="L347">
        <v>2</v>
      </c>
      <c r="M347" s="5">
        <v>46027</v>
      </c>
      <c r="N347" t="s">
        <v>184</v>
      </c>
      <c r="O347">
        <v>241.22</v>
      </c>
      <c r="Q347" t="s">
        <v>205</v>
      </c>
      <c r="R347" s="5">
        <v>46174</v>
      </c>
      <c r="S347" t="s">
        <v>143</v>
      </c>
      <c r="T347">
        <v>1748.88</v>
      </c>
      <c r="X347"/>
    </row>
    <row r="348" spans="2:24" ht="18.75">
      <c r="B348">
        <v>22</v>
      </c>
      <c r="C348" s="5">
        <v>46167</v>
      </c>
      <c r="D348" t="s">
        <v>121</v>
      </c>
      <c r="E348">
        <v>159.61000000000001</v>
      </c>
      <c r="G348">
        <v>23</v>
      </c>
      <c r="H348" s="5">
        <v>46174</v>
      </c>
      <c r="I348" t="s">
        <v>167</v>
      </c>
      <c r="J348">
        <v>477.4</v>
      </c>
      <c r="L348">
        <v>2</v>
      </c>
      <c r="M348" s="5">
        <v>46027</v>
      </c>
      <c r="N348" t="s">
        <v>185</v>
      </c>
      <c r="O348">
        <v>641.17999999999995</v>
      </c>
      <c r="Q348" t="s">
        <v>205</v>
      </c>
      <c r="R348" s="5">
        <v>46174</v>
      </c>
      <c r="S348" t="s">
        <v>144</v>
      </c>
      <c r="T348">
        <v>2412.66</v>
      </c>
      <c r="X348"/>
    </row>
    <row r="349" spans="2:24" ht="18.75">
      <c r="B349">
        <v>22</v>
      </c>
      <c r="C349" s="5">
        <v>46167</v>
      </c>
      <c r="D349" t="s">
        <v>122</v>
      </c>
      <c r="E349">
        <v>206.84</v>
      </c>
      <c r="G349">
        <v>23</v>
      </c>
      <c r="H349" s="5">
        <v>46174</v>
      </c>
      <c r="I349" t="s">
        <v>169</v>
      </c>
      <c r="J349">
        <v>1863.15</v>
      </c>
      <c r="L349">
        <v>2</v>
      </c>
      <c r="M349" s="5">
        <v>46027</v>
      </c>
      <c r="N349" t="s">
        <v>180</v>
      </c>
      <c r="O349">
        <v>143.30000000000001</v>
      </c>
      <c r="Q349" t="s">
        <v>205</v>
      </c>
      <c r="R349" s="5">
        <v>46174</v>
      </c>
      <c r="S349" t="s">
        <v>145</v>
      </c>
      <c r="T349">
        <v>611.66</v>
      </c>
      <c r="X349"/>
    </row>
    <row r="350" spans="2:24" ht="18.75">
      <c r="B350">
        <v>22</v>
      </c>
      <c r="C350" s="5">
        <v>46167</v>
      </c>
      <c r="D350" t="s">
        <v>123</v>
      </c>
      <c r="E350">
        <v>403.76</v>
      </c>
      <c r="G350">
        <v>23</v>
      </c>
      <c r="H350" s="5">
        <v>46174</v>
      </c>
      <c r="I350" t="s">
        <v>209</v>
      </c>
      <c r="J350">
        <v>60.48</v>
      </c>
      <c r="L350">
        <v>2</v>
      </c>
      <c r="M350" s="5">
        <v>46027</v>
      </c>
      <c r="N350" t="s">
        <v>186</v>
      </c>
      <c r="O350">
        <v>129</v>
      </c>
      <c r="Q350" t="s">
        <v>205</v>
      </c>
      <c r="R350" s="5">
        <v>46174</v>
      </c>
      <c r="S350" t="s">
        <v>146</v>
      </c>
      <c r="T350">
        <v>1688.88</v>
      </c>
      <c r="X350"/>
    </row>
    <row r="351" spans="2:24" ht="18.75">
      <c r="B351">
        <v>22</v>
      </c>
      <c r="C351" s="5">
        <v>46167</v>
      </c>
      <c r="D351" t="s">
        <v>124</v>
      </c>
      <c r="E351">
        <v>346.39</v>
      </c>
      <c r="G351">
        <v>23</v>
      </c>
      <c r="H351" s="5">
        <v>46174</v>
      </c>
      <c r="I351" t="s">
        <v>176</v>
      </c>
      <c r="J351">
        <v>144</v>
      </c>
      <c r="L351">
        <v>3</v>
      </c>
      <c r="M351" s="5">
        <v>46034</v>
      </c>
      <c r="N351" t="s">
        <v>178</v>
      </c>
      <c r="O351">
        <v>1523.2</v>
      </c>
      <c r="Q351" t="s">
        <v>205</v>
      </c>
      <c r="R351" s="5">
        <v>46174</v>
      </c>
      <c r="S351" t="s">
        <v>148</v>
      </c>
      <c r="T351">
        <v>296.57</v>
      </c>
      <c r="X351"/>
    </row>
    <row r="352" spans="2:24" ht="18.75">
      <c r="B352">
        <v>22</v>
      </c>
      <c r="C352" s="5">
        <v>46167</v>
      </c>
      <c r="D352" t="s">
        <v>126</v>
      </c>
      <c r="E352">
        <v>121.06</v>
      </c>
      <c r="G352">
        <v>23</v>
      </c>
      <c r="H352" s="5">
        <v>46174</v>
      </c>
      <c r="I352" t="s">
        <v>163</v>
      </c>
      <c r="J352">
        <v>184.47</v>
      </c>
      <c r="L352">
        <v>3</v>
      </c>
      <c r="M352" s="5">
        <v>46034</v>
      </c>
      <c r="N352" t="s">
        <v>179</v>
      </c>
      <c r="O352">
        <v>2246.39</v>
      </c>
      <c r="Q352" t="s">
        <v>205</v>
      </c>
      <c r="R352" s="5">
        <v>46174</v>
      </c>
      <c r="S352" t="s">
        <v>147</v>
      </c>
      <c r="T352">
        <v>997.66</v>
      </c>
      <c r="X352"/>
    </row>
    <row r="353" spans="2:24" ht="18.75">
      <c r="B353">
        <v>22</v>
      </c>
      <c r="C353" s="5">
        <v>46167</v>
      </c>
      <c r="D353" t="s">
        <v>128</v>
      </c>
      <c r="E353">
        <v>117.53</v>
      </c>
      <c r="G353">
        <v>23</v>
      </c>
      <c r="H353" s="5">
        <v>46174</v>
      </c>
      <c r="I353" t="s">
        <v>204</v>
      </c>
      <c r="J353">
        <v>447.17</v>
      </c>
      <c r="L353">
        <v>3</v>
      </c>
      <c r="M353" s="5">
        <v>46034</v>
      </c>
      <c r="N353" t="s">
        <v>181</v>
      </c>
      <c r="O353">
        <v>1285.1600000000001</v>
      </c>
      <c r="Q353" t="s">
        <v>205</v>
      </c>
      <c r="R353" s="5">
        <v>46174</v>
      </c>
      <c r="S353" t="s">
        <v>150</v>
      </c>
      <c r="T353">
        <v>240.79</v>
      </c>
      <c r="X353"/>
    </row>
    <row r="354" spans="2:24" ht="18.75">
      <c r="B354">
        <v>22</v>
      </c>
      <c r="C354" s="5">
        <v>46167</v>
      </c>
      <c r="D354" t="s">
        <v>130</v>
      </c>
      <c r="E354">
        <v>336.38</v>
      </c>
      <c r="G354">
        <v>23</v>
      </c>
      <c r="H354" s="5">
        <v>46174</v>
      </c>
      <c r="I354" t="s">
        <v>173</v>
      </c>
      <c r="J354">
        <v>933.1</v>
      </c>
      <c r="L354">
        <v>3</v>
      </c>
      <c r="M354" s="5">
        <v>46034</v>
      </c>
      <c r="N354" t="s">
        <v>182</v>
      </c>
      <c r="O354">
        <v>1625.08</v>
      </c>
      <c r="Q354" t="s">
        <v>205</v>
      </c>
      <c r="R354" s="5">
        <v>46174</v>
      </c>
      <c r="S354" t="s">
        <v>151</v>
      </c>
      <c r="T354">
        <v>1812.47</v>
      </c>
      <c r="X354"/>
    </row>
    <row r="355" spans="2:24" ht="18.75">
      <c r="B355">
        <v>22</v>
      </c>
      <c r="C355" s="5">
        <v>46167</v>
      </c>
      <c r="D355" t="s">
        <v>131</v>
      </c>
      <c r="E355">
        <v>281.99</v>
      </c>
      <c r="G355">
        <v>23</v>
      </c>
      <c r="H355" s="5">
        <v>46174</v>
      </c>
      <c r="I355" t="s">
        <v>206</v>
      </c>
      <c r="J355">
        <v>291.58999999999997</v>
      </c>
      <c r="L355">
        <v>3</v>
      </c>
      <c r="M355" s="5">
        <v>46034</v>
      </c>
      <c r="N355" t="s">
        <v>183</v>
      </c>
      <c r="O355">
        <v>312.83999999999997</v>
      </c>
      <c r="Q355" t="s">
        <v>205</v>
      </c>
      <c r="R355" s="5">
        <v>46174</v>
      </c>
      <c r="S355" t="s">
        <v>111</v>
      </c>
      <c r="T355">
        <v>476.96</v>
      </c>
      <c r="X355"/>
    </row>
    <row r="356" spans="2:24" ht="18.75">
      <c r="B356">
        <v>22</v>
      </c>
      <c r="C356" s="5">
        <v>46167</v>
      </c>
      <c r="D356" t="s">
        <v>132</v>
      </c>
      <c r="E356">
        <v>171.79</v>
      </c>
      <c r="G356">
        <v>24</v>
      </c>
      <c r="H356" s="5">
        <v>46181</v>
      </c>
      <c r="I356" t="s">
        <v>160</v>
      </c>
      <c r="J356">
        <v>6135.25</v>
      </c>
      <c r="L356">
        <v>3</v>
      </c>
      <c r="M356" s="5">
        <v>46034</v>
      </c>
      <c r="N356" t="s">
        <v>184</v>
      </c>
      <c r="O356">
        <v>188.67</v>
      </c>
      <c r="Q356" t="s">
        <v>205</v>
      </c>
      <c r="R356" s="5">
        <v>46174</v>
      </c>
      <c r="S356" t="s">
        <v>112</v>
      </c>
      <c r="T356">
        <v>220.45</v>
      </c>
      <c r="X356"/>
    </row>
    <row r="357" spans="2:24" ht="18.75">
      <c r="B357">
        <v>22</v>
      </c>
      <c r="C357" s="5">
        <v>46167</v>
      </c>
      <c r="D357" t="s">
        <v>133</v>
      </c>
      <c r="E357">
        <v>266.47000000000003</v>
      </c>
      <c r="G357">
        <v>24</v>
      </c>
      <c r="H357" s="5">
        <v>46181</v>
      </c>
      <c r="I357" t="s">
        <v>165</v>
      </c>
      <c r="J357">
        <v>180.85</v>
      </c>
      <c r="L357">
        <v>3</v>
      </c>
      <c r="M357" s="5">
        <v>46034</v>
      </c>
      <c r="N357" t="s">
        <v>185</v>
      </c>
      <c r="O357">
        <v>627.61</v>
      </c>
      <c r="Q357" t="s">
        <v>205</v>
      </c>
      <c r="R357" s="5">
        <v>46174</v>
      </c>
      <c r="S357" t="s">
        <v>113</v>
      </c>
      <c r="T357">
        <v>671.93</v>
      </c>
      <c r="X357"/>
    </row>
    <row r="358" spans="2:24" ht="18.75">
      <c r="B358">
        <v>22</v>
      </c>
      <c r="C358" s="5">
        <v>46167</v>
      </c>
      <c r="D358" t="s">
        <v>134</v>
      </c>
      <c r="E358">
        <v>267.3</v>
      </c>
      <c r="G358">
        <v>24</v>
      </c>
      <c r="H358" s="5">
        <v>46181</v>
      </c>
      <c r="I358" t="s">
        <v>171</v>
      </c>
      <c r="J358">
        <v>788</v>
      </c>
      <c r="L358">
        <v>3</v>
      </c>
      <c r="M358" s="5">
        <v>46034</v>
      </c>
      <c r="N358" t="s">
        <v>186</v>
      </c>
      <c r="O358">
        <v>86</v>
      </c>
      <c r="Q358" t="s">
        <v>205</v>
      </c>
      <c r="R358" s="5">
        <v>46174</v>
      </c>
      <c r="S358" t="s">
        <v>114</v>
      </c>
      <c r="T358">
        <v>870.37</v>
      </c>
      <c r="X358"/>
    </row>
    <row r="359" spans="2:24" ht="18.75">
      <c r="B359">
        <v>22</v>
      </c>
      <c r="C359" s="5">
        <v>46167</v>
      </c>
      <c r="D359" t="s">
        <v>135</v>
      </c>
      <c r="E359">
        <v>60.02</v>
      </c>
      <c r="G359">
        <v>24</v>
      </c>
      <c r="H359" s="5">
        <v>46181</v>
      </c>
      <c r="I359" t="s">
        <v>198</v>
      </c>
      <c r="J359">
        <v>547.34</v>
      </c>
      <c r="L359">
        <v>3</v>
      </c>
      <c r="M359" s="5">
        <v>46034</v>
      </c>
      <c r="N359" t="s">
        <v>180</v>
      </c>
      <c r="O359">
        <v>22.7</v>
      </c>
      <c r="Q359" t="s">
        <v>205</v>
      </c>
      <c r="R359" s="5">
        <v>46174</v>
      </c>
      <c r="S359" t="s">
        <v>119</v>
      </c>
      <c r="T359">
        <v>751.6</v>
      </c>
      <c r="X359"/>
    </row>
    <row r="360" spans="2:24" ht="18.75">
      <c r="B360">
        <v>22</v>
      </c>
      <c r="C360" s="5">
        <v>46167</v>
      </c>
      <c r="D360" t="s">
        <v>136</v>
      </c>
      <c r="E360">
        <v>113.99</v>
      </c>
      <c r="G360">
        <v>24</v>
      </c>
      <c r="H360" s="5">
        <v>46181</v>
      </c>
      <c r="I360" t="s">
        <v>167</v>
      </c>
      <c r="J360">
        <v>473.21</v>
      </c>
      <c r="L360">
        <v>4</v>
      </c>
      <c r="M360" s="5">
        <v>46041</v>
      </c>
      <c r="N360" t="s">
        <v>178</v>
      </c>
      <c r="O360">
        <v>1660.05</v>
      </c>
      <c r="Q360" t="s">
        <v>205</v>
      </c>
      <c r="R360" s="5">
        <v>46174</v>
      </c>
      <c r="S360" t="s">
        <v>120</v>
      </c>
      <c r="T360">
        <v>270.43</v>
      </c>
      <c r="X360"/>
    </row>
    <row r="361" spans="2:24" ht="18.75">
      <c r="B361">
        <v>22</v>
      </c>
      <c r="C361" s="5">
        <v>46167</v>
      </c>
      <c r="D361" t="s">
        <v>137</v>
      </c>
      <c r="E361">
        <v>73.67</v>
      </c>
      <c r="G361">
        <v>24</v>
      </c>
      <c r="H361" s="5">
        <v>46181</v>
      </c>
      <c r="I361" t="s">
        <v>169</v>
      </c>
      <c r="J361">
        <v>1996.75</v>
      </c>
      <c r="L361">
        <v>4</v>
      </c>
      <c r="M361" s="5">
        <v>46041</v>
      </c>
      <c r="N361" t="s">
        <v>179</v>
      </c>
      <c r="O361">
        <v>2423.65</v>
      </c>
      <c r="Q361" t="s">
        <v>205</v>
      </c>
      <c r="R361" s="5">
        <v>46174</v>
      </c>
      <c r="S361" t="s">
        <v>121</v>
      </c>
      <c r="T361">
        <v>313.2</v>
      </c>
      <c r="X361"/>
    </row>
    <row r="362" spans="2:24" ht="18.75">
      <c r="B362">
        <v>22</v>
      </c>
      <c r="C362" s="5">
        <v>46167</v>
      </c>
      <c r="D362" t="s">
        <v>138</v>
      </c>
      <c r="E362">
        <v>344.48</v>
      </c>
      <c r="G362">
        <v>24</v>
      </c>
      <c r="H362" s="5">
        <v>46181</v>
      </c>
      <c r="I362" t="s">
        <v>209</v>
      </c>
      <c r="J362">
        <v>84.24</v>
      </c>
      <c r="L362">
        <v>4</v>
      </c>
      <c r="M362" s="5">
        <v>46041</v>
      </c>
      <c r="N362" t="s">
        <v>180</v>
      </c>
      <c r="O362">
        <v>62.3</v>
      </c>
      <c r="Q362" t="s">
        <v>205</v>
      </c>
      <c r="R362" s="5">
        <v>46174</v>
      </c>
      <c r="S362" t="s">
        <v>125</v>
      </c>
      <c r="T362">
        <v>293.06</v>
      </c>
      <c r="X362"/>
    </row>
    <row r="363" spans="2:24" ht="18.75">
      <c r="B363">
        <v>22</v>
      </c>
      <c r="C363" s="5">
        <v>46167</v>
      </c>
      <c r="D363" t="s">
        <v>141</v>
      </c>
      <c r="E363">
        <v>425.11</v>
      </c>
      <c r="G363">
        <v>24</v>
      </c>
      <c r="H363" s="5">
        <v>46181</v>
      </c>
      <c r="I363" t="s">
        <v>176</v>
      </c>
      <c r="J363">
        <v>152.88</v>
      </c>
      <c r="L363">
        <v>4</v>
      </c>
      <c r="M363" s="5">
        <v>46041</v>
      </c>
      <c r="N363" t="s">
        <v>181</v>
      </c>
      <c r="O363">
        <v>1532.29</v>
      </c>
      <c r="Q363" t="s">
        <v>205</v>
      </c>
      <c r="R363" s="5">
        <v>46174</v>
      </c>
      <c r="S363" t="s">
        <v>135</v>
      </c>
      <c r="T363">
        <v>226.69</v>
      </c>
      <c r="X363"/>
    </row>
    <row r="364" spans="2:24" ht="18.75">
      <c r="B364">
        <v>22</v>
      </c>
      <c r="C364" s="5">
        <v>46167</v>
      </c>
      <c r="D364" t="s">
        <v>142</v>
      </c>
      <c r="E364">
        <v>114.15</v>
      </c>
      <c r="G364">
        <v>24</v>
      </c>
      <c r="H364" s="5">
        <v>46181</v>
      </c>
      <c r="I364" t="s">
        <v>163</v>
      </c>
      <c r="J364">
        <v>301.86</v>
      </c>
      <c r="L364">
        <v>4</v>
      </c>
      <c r="M364" s="5">
        <v>46041</v>
      </c>
      <c r="N364" t="s">
        <v>182</v>
      </c>
      <c r="O364">
        <v>1561.04</v>
      </c>
      <c r="Q364" t="s">
        <v>205</v>
      </c>
      <c r="R364" s="5">
        <v>46174</v>
      </c>
      <c r="S364" t="s">
        <v>137</v>
      </c>
      <c r="T364">
        <v>286.61</v>
      </c>
      <c r="X364"/>
    </row>
    <row r="365" spans="2:24" ht="18.75">
      <c r="B365">
        <v>22</v>
      </c>
      <c r="C365" s="5">
        <v>46167</v>
      </c>
      <c r="D365" t="s">
        <v>143</v>
      </c>
      <c r="E365">
        <v>889.13</v>
      </c>
      <c r="G365">
        <v>24</v>
      </c>
      <c r="H365" s="5">
        <v>46181</v>
      </c>
      <c r="I365" t="s">
        <v>204</v>
      </c>
      <c r="J365">
        <v>454.82</v>
      </c>
      <c r="L365">
        <v>4</v>
      </c>
      <c r="M365" s="5">
        <v>46041</v>
      </c>
      <c r="N365" t="s">
        <v>183</v>
      </c>
      <c r="O365">
        <v>317.72000000000003</v>
      </c>
      <c r="Q365" t="s">
        <v>205</v>
      </c>
      <c r="R365" s="5">
        <v>46174</v>
      </c>
      <c r="S365" t="s">
        <v>141</v>
      </c>
      <c r="T365">
        <v>1291.8399999999999</v>
      </c>
      <c r="X365"/>
    </row>
    <row r="366" spans="2:24" ht="18.75">
      <c r="B366">
        <v>22</v>
      </c>
      <c r="C366" s="5">
        <v>46167</v>
      </c>
      <c r="D366" t="s">
        <v>144</v>
      </c>
      <c r="E366">
        <v>697.71</v>
      </c>
      <c r="G366">
        <v>24</v>
      </c>
      <c r="H366" s="5">
        <v>46181</v>
      </c>
      <c r="I366" t="s">
        <v>173</v>
      </c>
      <c r="J366">
        <v>878.3</v>
      </c>
      <c r="L366">
        <v>4</v>
      </c>
      <c r="M366" s="5">
        <v>46041</v>
      </c>
      <c r="N366" t="s">
        <v>184</v>
      </c>
      <c r="O366">
        <v>241.58</v>
      </c>
      <c r="Q366" t="s">
        <v>205</v>
      </c>
      <c r="R366" s="5">
        <v>46174</v>
      </c>
      <c r="S366" t="s">
        <v>139</v>
      </c>
      <c r="T366">
        <v>613.91</v>
      </c>
      <c r="X366"/>
    </row>
    <row r="367" spans="2:24" ht="18.75">
      <c r="B367">
        <v>22</v>
      </c>
      <c r="C367" s="5">
        <v>46167</v>
      </c>
      <c r="D367" t="s">
        <v>216</v>
      </c>
      <c r="E367">
        <v>331.23</v>
      </c>
      <c r="G367">
        <v>24</v>
      </c>
      <c r="H367" s="5">
        <v>46181</v>
      </c>
      <c r="I367" t="s">
        <v>206</v>
      </c>
      <c r="J367">
        <v>423.18</v>
      </c>
      <c r="L367">
        <v>4</v>
      </c>
      <c r="M367" s="5">
        <v>46041</v>
      </c>
      <c r="N367" t="s">
        <v>185</v>
      </c>
      <c r="O367">
        <v>659.62</v>
      </c>
      <c r="Q367" t="s">
        <v>205</v>
      </c>
      <c r="R367" s="5">
        <v>46174</v>
      </c>
      <c r="S367" t="s">
        <v>216</v>
      </c>
      <c r="T367">
        <v>910.01</v>
      </c>
      <c r="X367"/>
    </row>
    <row r="368" spans="2:24" ht="18.75">
      <c r="B368">
        <v>22</v>
      </c>
      <c r="C368" s="5">
        <v>46167</v>
      </c>
      <c r="D368" t="s">
        <v>145</v>
      </c>
      <c r="E368">
        <v>127.15</v>
      </c>
      <c r="G368">
        <v>25</v>
      </c>
      <c r="H368" s="5">
        <v>46188</v>
      </c>
      <c r="I368" t="s">
        <v>160</v>
      </c>
      <c r="J368">
        <v>3471.6</v>
      </c>
      <c r="L368">
        <v>4</v>
      </c>
      <c r="M368" s="5">
        <v>46041</v>
      </c>
      <c r="N368" t="s">
        <v>186</v>
      </c>
      <c r="O368">
        <v>54</v>
      </c>
      <c r="Q368" t="s">
        <v>205</v>
      </c>
      <c r="R368" s="5">
        <v>46174</v>
      </c>
      <c r="S368" t="s">
        <v>127</v>
      </c>
      <c r="T368">
        <v>589.4</v>
      </c>
      <c r="X368"/>
    </row>
    <row r="369" spans="2:24" ht="18.75">
      <c r="B369">
        <v>22</v>
      </c>
      <c r="C369" s="5">
        <v>46167</v>
      </c>
      <c r="D369" t="s">
        <v>146</v>
      </c>
      <c r="E369">
        <v>552.92999999999995</v>
      </c>
      <c r="G369">
        <v>25</v>
      </c>
      <c r="H369" s="5">
        <v>46188</v>
      </c>
      <c r="I369" t="s">
        <v>165</v>
      </c>
      <c r="J369">
        <v>64.95</v>
      </c>
      <c r="L369">
        <v>5</v>
      </c>
      <c r="M369" s="5">
        <v>46048</v>
      </c>
      <c r="N369" t="s">
        <v>178</v>
      </c>
      <c r="O369">
        <v>2421.65</v>
      </c>
      <c r="Q369" t="s">
        <v>205</v>
      </c>
      <c r="R369" s="5">
        <v>46174</v>
      </c>
      <c r="S369" t="s">
        <v>115</v>
      </c>
      <c r="T369">
        <v>892.92</v>
      </c>
      <c r="X369"/>
    </row>
    <row r="370" spans="2:24" ht="18.75">
      <c r="B370">
        <v>22</v>
      </c>
      <c r="C370" s="5">
        <v>46167</v>
      </c>
      <c r="D370" t="s">
        <v>148</v>
      </c>
      <c r="E370">
        <v>93.6</v>
      </c>
      <c r="G370">
        <v>25</v>
      </c>
      <c r="H370" s="5">
        <v>46188</v>
      </c>
      <c r="I370" t="s">
        <v>171</v>
      </c>
      <c r="J370">
        <v>391.64</v>
      </c>
      <c r="L370">
        <v>5</v>
      </c>
      <c r="M370" s="5">
        <v>46048</v>
      </c>
      <c r="N370" t="s">
        <v>179</v>
      </c>
      <c r="O370">
        <v>3292.85</v>
      </c>
      <c r="Q370" t="s">
        <v>205</v>
      </c>
      <c r="R370" s="5">
        <v>46174</v>
      </c>
      <c r="S370" t="s">
        <v>217</v>
      </c>
      <c r="T370">
        <v>242.54</v>
      </c>
      <c r="X370"/>
    </row>
    <row r="371" spans="2:24" ht="18.75">
      <c r="B371">
        <v>22</v>
      </c>
      <c r="C371" s="5">
        <v>46167</v>
      </c>
      <c r="D371" t="s">
        <v>147</v>
      </c>
      <c r="E371">
        <v>311.66000000000003</v>
      </c>
      <c r="G371">
        <v>25</v>
      </c>
      <c r="H371" s="5">
        <v>46188</v>
      </c>
      <c r="I371" t="s">
        <v>167</v>
      </c>
      <c r="J371">
        <v>429.44</v>
      </c>
      <c r="L371">
        <v>5</v>
      </c>
      <c r="M371" s="5">
        <v>46048</v>
      </c>
      <c r="N371" t="s">
        <v>180</v>
      </c>
      <c r="O371">
        <v>220.4</v>
      </c>
      <c r="Q371" t="s">
        <v>210</v>
      </c>
      <c r="R371" s="5">
        <v>45931</v>
      </c>
      <c r="S371" t="s">
        <v>138</v>
      </c>
      <c r="T371">
        <v>713.59</v>
      </c>
      <c r="X371"/>
    </row>
    <row r="372" spans="2:24" ht="18.75">
      <c r="B372">
        <v>22</v>
      </c>
      <c r="C372" s="5">
        <v>46167</v>
      </c>
      <c r="D372" t="s">
        <v>150</v>
      </c>
      <c r="E372">
        <v>65.75</v>
      </c>
      <c r="G372">
        <v>25</v>
      </c>
      <c r="H372" s="5">
        <v>46188</v>
      </c>
      <c r="I372" t="s">
        <v>198</v>
      </c>
      <c r="J372">
        <v>368.9</v>
      </c>
      <c r="L372">
        <v>5</v>
      </c>
      <c r="M372" s="5">
        <v>46048</v>
      </c>
      <c r="N372" t="s">
        <v>181</v>
      </c>
      <c r="O372">
        <v>1925.9</v>
      </c>
      <c r="Q372" t="s">
        <v>210</v>
      </c>
      <c r="R372" s="5">
        <v>45931</v>
      </c>
      <c r="S372" t="s">
        <v>141</v>
      </c>
      <c r="T372">
        <v>1018.83</v>
      </c>
      <c r="X372"/>
    </row>
    <row r="373" spans="2:24" ht="18.75">
      <c r="B373">
        <v>22</v>
      </c>
      <c r="C373" s="5">
        <v>46167</v>
      </c>
      <c r="D373" t="s">
        <v>151</v>
      </c>
      <c r="E373">
        <v>665.32</v>
      </c>
      <c r="G373">
        <v>25</v>
      </c>
      <c r="H373" s="5">
        <v>46188</v>
      </c>
      <c r="I373" t="s">
        <v>169</v>
      </c>
      <c r="J373">
        <v>1223.3499999999999</v>
      </c>
      <c r="L373">
        <v>5</v>
      </c>
      <c r="M373" s="5">
        <v>46048</v>
      </c>
      <c r="N373" t="s">
        <v>182</v>
      </c>
      <c r="O373">
        <v>2308.96</v>
      </c>
      <c r="Q373" t="s">
        <v>210</v>
      </c>
      <c r="R373" s="5">
        <v>45931</v>
      </c>
      <c r="S373" t="s">
        <v>143</v>
      </c>
      <c r="T373">
        <v>2281.69</v>
      </c>
      <c r="X373"/>
    </row>
    <row r="374" spans="2:24" ht="18.75">
      <c r="B374">
        <v>22</v>
      </c>
      <c r="C374" s="5">
        <v>46167</v>
      </c>
      <c r="D374" t="s">
        <v>111</v>
      </c>
      <c r="E374">
        <v>185.59</v>
      </c>
      <c r="G374">
        <v>25</v>
      </c>
      <c r="H374" s="5">
        <v>46188</v>
      </c>
      <c r="I374" t="s">
        <v>209</v>
      </c>
      <c r="J374">
        <v>41.04</v>
      </c>
      <c r="L374">
        <v>5</v>
      </c>
      <c r="M374" s="5">
        <v>46048</v>
      </c>
      <c r="N374" t="s">
        <v>183</v>
      </c>
      <c r="O374">
        <v>428.18</v>
      </c>
      <c r="Q374" t="s">
        <v>210</v>
      </c>
      <c r="R374" s="5">
        <v>45931</v>
      </c>
      <c r="S374" t="s">
        <v>145</v>
      </c>
      <c r="T374">
        <v>649.17999999999995</v>
      </c>
      <c r="X374"/>
    </row>
    <row r="375" spans="2:24" ht="18.75">
      <c r="B375">
        <v>22</v>
      </c>
      <c r="C375" s="5">
        <v>46167</v>
      </c>
      <c r="D375" t="s">
        <v>125</v>
      </c>
      <c r="E375">
        <v>71.930000000000007</v>
      </c>
      <c r="G375">
        <v>25</v>
      </c>
      <c r="H375" s="5">
        <v>46188</v>
      </c>
      <c r="I375" t="s">
        <v>176</v>
      </c>
      <c r="J375">
        <v>72.599999999999994</v>
      </c>
      <c r="L375">
        <v>5</v>
      </c>
      <c r="M375" s="5">
        <v>46048</v>
      </c>
      <c r="N375" t="s">
        <v>184</v>
      </c>
      <c r="O375">
        <v>815.64</v>
      </c>
      <c r="Q375" t="s">
        <v>210</v>
      </c>
      <c r="R375" s="5">
        <v>45931</v>
      </c>
      <c r="S375" t="s">
        <v>146</v>
      </c>
      <c r="T375">
        <v>981.11</v>
      </c>
      <c r="X375"/>
    </row>
    <row r="376" spans="2:24" ht="18.75">
      <c r="B376">
        <v>22</v>
      </c>
      <c r="C376" s="5">
        <v>46167</v>
      </c>
      <c r="D376" t="s">
        <v>129</v>
      </c>
      <c r="E376">
        <v>393.93</v>
      </c>
      <c r="G376">
        <v>25</v>
      </c>
      <c r="H376" s="5">
        <v>46188</v>
      </c>
      <c r="I376" t="s">
        <v>163</v>
      </c>
      <c r="J376">
        <v>147.06</v>
      </c>
      <c r="L376">
        <v>5</v>
      </c>
      <c r="M376" s="5">
        <v>46048</v>
      </c>
      <c r="N376" t="s">
        <v>185</v>
      </c>
      <c r="O376">
        <v>829.25</v>
      </c>
      <c r="Q376" t="s">
        <v>210</v>
      </c>
      <c r="R376" s="5">
        <v>45931</v>
      </c>
      <c r="S376" t="s">
        <v>111</v>
      </c>
      <c r="T376">
        <v>491.11</v>
      </c>
      <c r="X376"/>
    </row>
    <row r="377" spans="2:24" ht="18.75">
      <c r="B377">
        <v>22</v>
      </c>
      <c r="C377" s="5">
        <v>46167</v>
      </c>
      <c r="D377" t="s">
        <v>139</v>
      </c>
      <c r="E377">
        <v>208.33</v>
      </c>
      <c r="G377">
        <v>25</v>
      </c>
      <c r="H377" s="5">
        <v>46188</v>
      </c>
      <c r="I377" t="s">
        <v>204</v>
      </c>
      <c r="J377">
        <v>306.11</v>
      </c>
      <c r="L377">
        <v>5</v>
      </c>
      <c r="M377" s="5">
        <v>46048</v>
      </c>
      <c r="N377" t="s">
        <v>186</v>
      </c>
      <c r="O377">
        <v>350.9</v>
      </c>
      <c r="Q377" t="s">
        <v>210</v>
      </c>
      <c r="R377" s="5">
        <v>45931</v>
      </c>
      <c r="S377" t="s">
        <v>117</v>
      </c>
      <c r="T377">
        <v>437.71</v>
      </c>
      <c r="X377"/>
    </row>
    <row r="378" spans="2:24" ht="18.75">
      <c r="B378">
        <v>22</v>
      </c>
      <c r="C378" s="5">
        <v>46167</v>
      </c>
      <c r="D378" t="s">
        <v>127</v>
      </c>
      <c r="E378">
        <v>208.23</v>
      </c>
      <c r="G378">
        <v>25</v>
      </c>
      <c r="H378" s="5">
        <v>46188</v>
      </c>
      <c r="I378" t="s">
        <v>173</v>
      </c>
      <c r="J378">
        <v>670.55</v>
      </c>
      <c r="L378">
        <v>6</v>
      </c>
      <c r="M378" s="5">
        <v>46055</v>
      </c>
      <c r="N378" t="s">
        <v>178</v>
      </c>
      <c r="O378">
        <v>838.95</v>
      </c>
      <c r="Q378" t="s">
        <v>210</v>
      </c>
      <c r="R378" s="5">
        <v>45931</v>
      </c>
      <c r="S378" t="s">
        <v>120</v>
      </c>
      <c r="T378">
        <v>369.24</v>
      </c>
      <c r="X378"/>
    </row>
    <row r="379" spans="2:24" ht="18.75">
      <c r="B379">
        <v>22</v>
      </c>
      <c r="C379" s="5">
        <v>46167</v>
      </c>
      <c r="D379" t="s">
        <v>115</v>
      </c>
      <c r="E379">
        <v>285.60000000000002</v>
      </c>
      <c r="G379">
        <v>25</v>
      </c>
      <c r="H379" s="5">
        <v>46188</v>
      </c>
      <c r="I379" t="s">
        <v>206</v>
      </c>
      <c r="J379">
        <v>178.15</v>
      </c>
      <c r="L379">
        <v>6</v>
      </c>
      <c r="M379" s="5">
        <v>46055</v>
      </c>
      <c r="N379" t="s">
        <v>179</v>
      </c>
      <c r="O379">
        <v>1114.53</v>
      </c>
      <c r="Q379" t="s">
        <v>210</v>
      </c>
      <c r="R379" s="5">
        <v>45931</v>
      </c>
      <c r="S379" t="s">
        <v>127</v>
      </c>
      <c r="T379">
        <v>383.32</v>
      </c>
      <c r="X379"/>
    </row>
    <row r="380" spans="2:24" ht="18.75">
      <c r="B380">
        <v>23</v>
      </c>
      <c r="C380" s="5">
        <v>46174</v>
      </c>
      <c r="D380" t="s">
        <v>116</v>
      </c>
      <c r="E380">
        <v>113.35</v>
      </c>
      <c r="G380">
        <v>43</v>
      </c>
      <c r="H380" s="5">
        <v>45950</v>
      </c>
      <c r="I380" t="s">
        <v>160</v>
      </c>
      <c r="J380">
        <v>3510.22</v>
      </c>
      <c r="L380">
        <v>6</v>
      </c>
      <c r="M380" s="5">
        <v>46055</v>
      </c>
      <c r="N380" t="s">
        <v>180</v>
      </c>
      <c r="O380">
        <v>101.4</v>
      </c>
      <c r="Q380" t="s">
        <v>210</v>
      </c>
      <c r="R380" s="5">
        <v>45931</v>
      </c>
      <c r="S380" t="s">
        <v>129</v>
      </c>
      <c r="T380">
        <v>714.4</v>
      </c>
      <c r="X380"/>
    </row>
    <row r="381" spans="2:24" ht="18.75">
      <c r="B381">
        <v>23</v>
      </c>
      <c r="C381" s="5">
        <v>46174</v>
      </c>
      <c r="D381" t="s">
        <v>117</v>
      </c>
      <c r="E381">
        <v>273.54000000000002</v>
      </c>
      <c r="G381">
        <v>43</v>
      </c>
      <c r="H381" s="5">
        <v>45950</v>
      </c>
      <c r="I381" t="s">
        <v>165</v>
      </c>
      <c r="J381">
        <v>188.2</v>
      </c>
      <c r="L381">
        <v>6</v>
      </c>
      <c r="M381" s="5">
        <v>46055</v>
      </c>
      <c r="N381" t="s">
        <v>181</v>
      </c>
      <c r="O381">
        <v>505.39</v>
      </c>
      <c r="Q381" t="s">
        <v>210</v>
      </c>
      <c r="R381" s="5">
        <v>45931</v>
      </c>
      <c r="S381" t="s">
        <v>133</v>
      </c>
      <c r="T381">
        <v>540.16</v>
      </c>
      <c r="X381"/>
    </row>
    <row r="382" spans="2:24" ht="18.75">
      <c r="B382">
        <v>23</v>
      </c>
      <c r="C382" s="5">
        <v>46174</v>
      </c>
      <c r="D382" t="s">
        <v>118</v>
      </c>
      <c r="E382">
        <v>200.25</v>
      </c>
      <c r="G382">
        <v>43</v>
      </c>
      <c r="H382" s="5">
        <v>45950</v>
      </c>
      <c r="I382" t="s">
        <v>171</v>
      </c>
      <c r="J382">
        <v>640.5</v>
      </c>
      <c r="L382">
        <v>6</v>
      </c>
      <c r="M382" s="5">
        <v>46055</v>
      </c>
      <c r="N382" t="s">
        <v>182</v>
      </c>
      <c r="O382">
        <v>541.24</v>
      </c>
      <c r="Q382" t="s">
        <v>210</v>
      </c>
      <c r="R382" s="5">
        <v>45931</v>
      </c>
      <c r="S382" t="s">
        <v>134</v>
      </c>
      <c r="T382">
        <v>555.16999999999996</v>
      </c>
      <c r="X382"/>
    </row>
    <row r="383" spans="2:24" ht="18.75">
      <c r="B383">
        <v>23</v>
      </c>
      <c r="C383" s="5">
        <v>46174</v>
      </c>
      <c r="D383" t="s">
        <v>122</v>
      </c>
      <c r="E383">
        <v>222.89</v>
      </c>
      <c r="G383">
        <v>43</v>
      </c>
      <c r="H383" s="5">
        <v>45950</v>
      </c>
      <c r="I383" t="s">
        <v>174</v>
      </c>
      <c r="J383">
        <v>636.80999999999995</v>
      </c>
      <c r="L383">
        <v>6</v>
      </c>
      <c r="M383" s="5">
        <v>46055</v>
      </c>
      <c r="N383" t="s">
        <v>183</v>
      </c>
      <c r="O383">
        <v>122.21</v>
      </c>
      <c r="Q383" t="s">
        <v>210</v>
      </c>
      <c r="R383" s="5">
        <v>45931</v>
      </c>
      <c r="S383" t="s">
        <v>114</v>
      </c>
      <c r="T383">
        <v>431.7</v>
      </c>
      <c r="X383"/>
    </row>
    <row r="384" spans="2:24" ht="18.75">
      <c r="B384">
        <v>23</v>
      </c>
      <c r="C384" s="5">
        <v>46174</v>
      </c>
      <c r="D384" t="s">
        <v>123</v>
      </c>
      <c r="E384">
        <v>384.51</v>
      </c>
      <c r="G384">
        <v>43</v>
      </c>
      <c r="H384" s="5">
        <v>45950</v>
      </c>
      <c r="I384" t="s">
        <v>169</v>
      </c>
      <c r="J384">
        <v>1692.27</v>
      </c>
      <c r="L384">
        <v>6</v>
      </c>
      <c r="M384" s="5">
        <v>46055</v>
      </c>
      <c r="N384" t="s">
        <v>184</v>
      </c>
      <c r="O384">
        <v>67.7</v>
      </c>
      <c r="Q384" t="s">
        <v>210</v>
      </c>
      <c r="R384" s="5">
        <v>45931</v>
      </c>
      <c r="S384" t="s">
        <v>119</v>
      </c>
      <c r="T384">
        <v>680.68</v>
      </c>
      <c r="X384"/>
    </row>
    <row r="385" spans="2:24" ht="18.75">
      <c r="B385">
        <v>23</v>
      </c>
      <c r="C385" s="5">
        <v>46174</v>
      </c>
      <c r="D385" t="s">
        <v>124</v>
      </c>
      <c r="E385">
        <v>402.65</v>
      </c>
      <c r="G385">
        <v>43</v>
      </c>
      <c r="H385" s="5">
        <v>45950</v>
      </c>
      <c r="I385" t="s">
        <v>170</v>
      </c>
      <c r="J385">
        <v>42</v>
      </c>
      <c r="L385">
        <v>6</v>
      </c>
      <c r="M385" s="5">
        <v>46055</v>
      </c>
      <c r="N385" t="s">
        <v>185</v>
      </c>
      <c r="O385">
        <v>167.05</v>
      </c>
      <c r="Q385" t="s">
        <v>210</v>
      </c>
      <c r="R385" s="5">
        <v>45931</v>
      </c>
      <c r="S385" t="s">
        <v>118</v>
      </c>
      <c r="T385">
        <v>287.54000000000002</v>
      </c>
      <c r="X385"/>
    </row>
    <row r="386" spans="2:24" ht="18.75">
      <c r="B386">
        <v>23</v>
      </c>
      <c r="C386" s="5">
        <v>46174</v>
      </c>
      <c r="D386" t="s">
        <v>126</v>
      </c>
      <c r="E386">
        <v>153.25</v>
      </c>
      <c r="G386">
        <v>43</v>
      </c>
      <c r="H386" s="5">
        <v>45950</v>
      </c>
      <c r="I386" t="s">
        <v>176</v>
      </c>
      <c r="J386">
        <v>175.24</v>
      </c>
      <c r="L386">
        <v>6</v>
      </c>
      <c r="M386" s="5">
        <v>46055</v>
      </c>
      <c r="N386" t="s">
        <v>186</v>
      </c>
      <c r="O386">
        <v>96.6</v>
      </c>
      <c r="Q386" t="s">
        <v>210</v>
      </c>
      <c r="R386" s="5">
        <v>45931</v>
      </c>
      <c r="S386" t="s">
        <v>123</v>
      </c>
      <c r="T386">
        <v>774.45</v>
      </c>
      <c r="X386"/>
    </row>
    <row r="387" spans="2:24" ht="18.75">
      <c r="B387">
        <v>23</v>
      </c>
      <c r="C387" s="5">
        <v>46174</v>
      </c>
      <c r="D387" t="s">
        <v>128</v>
      </c>
      <c r="E387">
        <v>159.82</v>
      </c>
      <c r="G387">
        <v>43</v>
      </c>
      <c r="H387" s="5">
        <v>45950</v>
      </c>
      <c r="I387" t="s">
        <v>164</v>
      </c>
      <c r="J387">
        <v>14.4</v>
      </c>
      <c r="L387">
        <v>7</v>
      </c>
      <c r="M387" s="5">
        <v>46062</v>
      </c>
      <c r="N387" t="s">
        <v>178</v>
      </c>
      <c r="O387">
        <v>172.55</v>
      </c>
      <c r="Q387" t="s">
        <v>210</v>
      </c>
      <c r="R387" s="5">
        <v>45931</v>
      </c>
      <c r="S387" t="s">
        <v>124</v>
      </c>
      <c r="T387">
        <v>754.17</v>
      </c>
      <c r="X387"/>
    </row>
    <row r="388" spans="2:24" ht="18.75">
      <c r="B388">
        <v>23</v>
      </c>
      <c r="C388" s="5">
        <v>46174</v>
      </c>
      <c r="D388" t="s">
        <v>129</v>
      </c>
      <c r="E388">
        <v>304.13</v>
      </c>
      <c r="G388">
        <v>43</v>
      </c>
      <c r="H388" s="5">
        <v>45950</v>
      </c>
      <c r="I388" t="s">
        <v>163</v>
      </c>
      <c r="J388">
        <v>422.4</v>
      </c>
      <c r="L388">
        <v>7</v>
      </c>
      <c r="M388" s="5">
        <v>46062</v>
      </c>
      <c r="N388" t="s">
        <v>179</v>
      </c>
      <c r="O388">
        <v>376.77</v>
      </c>
      <c r="Q388" t="s">
        <v>210</v>
      </c>
      <c r="R388" s="5">
        <v>45931</v>
      </c>
      <c r="S388" t="s">
        <v>126</v>
      </c>
      <c r="T388">
        <v>188.03</v>
      </c>
      <c r="X388"/>
    </row>
    <row r="389" spans="2:24" ht="18.75">
      <c r="B389">
        <v>23</v>
      </c>
      <c r="C389" s="5">
        <v>46174</v>
      </c>
      <c r="D389" t="s">
        <v>130</v>
      </c>
      <c r="E389">
        <v>275.02999999999997</v>
      </c>
      <c r="G389">
        <v>43</v>
      </c>
      <c r="H389" s="5">
        <v>45950</v>
      </c>
      <c r="I389" t="s">
        <v>168</v>
      </c>
      <c r="J389">
        <v>357.79</v>
      </c>
      <c r="L389">
        <v>7</v>
      </c>
      <c r="M389" s="5">
        <v>46062</v>
      </c>
      <c r="N389" t="s">
        <v>180</v>
      </c>
      <c r="O389">
        <v>0</v>
      </c>
      <c r="Q389" t="s">
        <v>210</v>
      </c>
      <c r="R389" s="5">
        <v>45931</v>
      </c>
      <c r="S389" t="s">
        <v>139</v>
      </c>
      <c r="T389">
        <v>429.94</v>
      </c>
      <c r="X389"/>
    </row>
    <row r="390" spans="2:24" ht="18.75">
      <c r="B390">
        <v>23</v>
      </c>
      <c r="C390" s="5">
        <v>46174</v>
      </c>
      <c r="D390" t="s">
        <v>131</v>
      </c>
      <c r="E390">
        <v>262.8</v>
      </c>
      <c r="G390">
        <v>43</v>
      </c>
      <c r="H390" s="5">
        <v>45950</v>
      </c>
      <c r="I390" t="s">
        <v>172</v>
      </c>
      <c r="J390">
        <v>59.7</v>
      </c>
      <c r="L390">
        <v>7</v>
      </c>
      <c r="M390" s="5">
        <v>46062</v>
      </c>
      <c r="N390" t="s">
        <v>181</v>
      </c>
      <c r="O390">
        <v>146</v>
      </c>
      <c r="Q390" t="s">
        <v>210</v>
      </c>
      <c r="R390" s="5">
        <v>45931</v>
      </c>
      <c r="S390" t="s">
        <v>219</v>
      </c>
      <c r="T390">
        <v>500.7</v>
      </c>
      <c r="X390"/>
    </row>
    <row r="391" spans="2:24" ht="18.75">
      <c r="B391">
        <v>23</v>
      </c>
      <c r="C391" s="5">
        <v>46174</v>
      </c>
      <c r="D391" t="s">
        <v>132</v>
      </c>
      <c r="E391">
        <v>197.07</v>
      </c>
      <c r="G391">
        <v>43</v>
      </c>
      <c r="H391" s="5">
        <v>45950</v>
      </c>
      <c r="I391" t="s">
        <v>173</v>
      </c>
      <c r="J391">
        <v>458.7</v>
      </c>
      <c r="L391">
        <v>7</v>
      </c>
      <c r="M391" s="5">
        <v>46062</v>
      </c>
      <c r="N391" t="s">
        <v>182</v>
      </c>
      <c r="O391">
        <v>213.89</v>
      </c>
      <c r="Q391" t="s">
        <v>210</v>
      </c>
      <c r="R391" s="5">
        <v>45931</v>
      </c>
      <c r="S391" t="s">
        <v>113</v>
      </c>
      <c r="T391">
        <v>341.2</v>
      </c>
      <c r="X391"/>
    </row>
    <row r="392" spans="2:24" ht="18.75">
      <c r="B392">
        <v>23</v>
      </c>
      <c r="C392" s="5">
        <v>46174</v>
      </c>
      <c r="D392" t="s">
        <v>133</v>
      </c>
      <c r="E392">
        <v>418.28</v>
      </c>
      <c r="G392">
        <v>43</v>
      </c>
      <c r="H392" s="5">
        <v>45950</v>
      </c>
      <c r="I392" t="s">
        <v>158</v>
      </c>
      <c r="J392">
        <v>786</v>
      </c>
      <c r="L392">
        <v>7</v>
      </c>
      <c r="M392" s="5">
        <v>46062</v>
      </c>
      <c r="N392" t="s">
        <v>183</v>
      </c>
      <c r="O392">
        <v>1.2</v>
      </c>
      <c r="Q392" t="s">
        <v>210</v>
      </c>
      <c r="R392" s="5">
        <v>45931</v>
      </c>
      <c r="S392" t="s">
        <v>112</v>
      </c>
      <c r="T392">
        <v>129.38999999999999</v>
      </c>
      <c r="X392"/>
    </row>
    <row r="393" spans="2:24" ht="18.75">
      <c r="B393">
        <v>23</v>
      </c>
      <c r="C393" s="5">
        <v>46174</v>
      </c>
      <c r="D393" t="s">
        <v>134</v>
      </c>
      <c r="E393">
        <v>395.16</v>
      </c>
      <c r="G393">
        <v>44</v>
      </c>
      <c r="H393" s="5">
        <v>45957</v>
      </c>
      <c r="I393" t="s">
        <v>160</v>
      </c>
      <c r="J393">
        <v>4555.57</v>
      </c>
      <c r="L393">
        <v>7</v>
      </c>
      <c r="M393" s="5">
        <v>46062</v>
      </c>
      <c r="N393" t="s">
        <v>184</v>
      </c>
      <c r="O393">
        <v>85.73</v>
      </c>
      <c r="Q393" t="s">
        <v>210</v>
      </c>
      <c r="R393" s="5">
        <v>45931</v>
      </c>
      <c r="S393" t="s">
        <v>116</v>
      </c>
      <c r="T393">
        <v>147.93</v>
      </c>
      <c r="X393"/>
    </row>
    <row r="394" spans="2:24" ht="18.75">
      <c r="B394">
        <v>23</v>
      </c>
      <c r="C394" s="5">
        <v>46174</v>
      </c>
      <c r="D394" t="s">
        <v>136</v>
      </c>
      <c r="E394">
        <v>149.26</v>
      </c>
      <c r="G394">
        <v>44</v>
      </c>
      <c r="H394" s="5">
        <v>45957</v>
      </c>
      <c r="I394" t="s">
        <v>169</v>
      </c>
      <c r="J394">
        <v>1729.83</v>
      </c>
      <c r="L394">
        <v>7</v>
      </c>
      <c r="M394" s="5">
        <v>46062</v>
      </c>
      <c r="N394" t="s">
        <v>185</v>
      </c>
      <c r="O394">
        <v>80.849999999999994</v>
      </c>
      <c r="Q394" t="s">
        <v>210</v>
      </c>
      <c r="R394" s="5">
        <v>45931</v>
      </c>
      <c r="S394" t="s">
        <v>121</v>
      </c>
      <c r="T394">
        <v>366.05</v>
      </c>
      <c r="X394"/>
    </row>
    <row r="395" spans="2:24" ht="18.75">
      <c r="B395">
        <v>23</v>
      </c>
      <c r="C395" s="5">
        <v>46174</v>
      </c>
      <c r="D395" t="s">
        <v>138</v>
      </c>
      <c r="E395">
        <v>452.19</v>
      </c>
      <c r="G395">
        <v>44</v>
      </c>
      <c r="H395" s="5">
        <v>45957</v>
      </c>
      <c r="I395" t="s">
        <v>163</v>
      </c>
      <c r="J395">
        <v>426.24</v>
      </c>
      <c r="L395">
        <v>7</v>
      </c>
      <c r="M395" s="5">
        <v>46062</v>
      </c>
      <c r="N395" t="s">
        <v>186</v>
      </c>
      <c r="O395">
        <v>9</v>
      </c>
      <c r="Q395" t="s">
        <v>210</v>
      </c>
      <c r="R395" s="5">
        <v>45931</v>
      </c>
      <c r="S395" t="s">
        <v>122</v>
      </c>
      <c r="T395">
        <v>416.36</v>
      </c>
      <c r="X395"/>
    </row>
    <row r="396" spans="2:24" ht="18.75">
      <c r="B396">
        <v>23</v>
      </c>
      <c r="C396" s="5">
        <v>46174</v>
      </c>
      <c r="D396" t="s">
        <v>142</v>
      </c>
      <c r="E396">
        <v>172.89</v>
      </c>
      <c r="G396">
        <v>44</v>
      </c>
      <c r="H396" s="5">
        <v>45957</v>
      </c>
      <c r="I396" t="s">
        <v>168</v>
      </c>
      <c r="J396">
        <v>368.4</v>
      </c>
      <c r="L396">
        <v>8</v>
      </c>
      <c r="M396" s="5">
        <v>46069</v>
      </c>
      <c r="N396" t="s">
        <v>178</v>
      </c>
      <c r="O396">
        <v>1963.5</v>
      </c>
      <c r="Q396" t="s">
        <v>210</v>
      </c>
      <c r="R396" s="5">
        <v>45931</v>
      </c>
      <c r="S396" t="s">
        <v>125</v>
      </c>
      <c r="T396">
        <v>93.76</v>
      </c>
      <c r="X396"/>
    </row>
    <row r="397" spans="2:24" ht="18.75">
      <c r="B397">
        <v>23</v>
      </c>
      <c r="C397" s="5">
        <v>46174</v>
      </c>
      <c r="D397" t="s">
        <v>143</v>
      </c>
      <c r="E397">
        <v>896.21</v>
      </c>
      <c r="G397">
        <v>44</v>
      </c>
      <c r="H397" s="5">
        <v>45957</v>
      </c>
      <c r="I397" t="s">
        <v>172</v>
      </c>
      <c r="J397">
        <v>57.71</v>
      </c>
      <c r="L397">
        <v>8</v>
      </c>
      <c r="M397" s="5">
        <v>46069</v>
      </c>
      <c r="N397" t="s">
        <v>179</v>
      </c>
      <c r="O397">
        <v>2904.26</v>
      </c>
      <c r="Q397" t="s">
        <v>210</v>
      </c>
      <c r="R397" s="5">
        <v>45931</v>
      </c>
      <c r="S397" t="s">
        <v>128</v>
      </c>
      <c r="T397">
        <v>258.24</v>
      </c>
      <c r="X397"/>
    </row>
    <row r="398" spans="2:24" ht="18.75">
      <c r="B398">
        <v>23</v>
      </c>
      <c r="C398" s="5">
        <v>46174</v>
      </c>
      <c r="D398" t="s">
        <v>144</v>
      </c>
      <c r="E398">
        <v>992.01</v>
      </c>
      <c r="G398">
        <v>44</v>
      </c>
      <c r="H398" s="5">
        <v>45957</v>
      </c>
      <c r="I398" t="s">
        <v>173</v>
      </c>
      <c r="J398">
        <v>724.4</v>
      </c>
      <c r="L398">
        <v>8</v>
      </c>
      <c r="M398" s="5">
        <v>46069</v>
      </c>
      <c r="N398" t="s">
        <v>180</v>
      </c>
      <c r="O398">
        <v>228.5</v>
      </c>
      <c r="Q398" t="s">
        <v>210</v>
      </c>
      <c r="R398" s="5">
        <v>45931</v>
      </c>
      <c r="S398" t="s">
        <v>132</v>
      </c>
      <c r="T398">
        <v>358.3</v>
      </c>
      <c r="X398"/>
    </row>
    <row r="399" spans="2:24" ht="18.75">
      <c r="B399">
        <v>23</v>
      </c>
      <c r="C399" s="5">
        <v>46174</v>
      </c>
      <c r="D399" t="s">
        <v>145</v>
      </c>
      <c r="E399">
        <v>212.71</v>
      </c>
      <c r="G399">
        <v>44</v>
      </c>
      <c r="H399" s="5">
        <v>45957</v>
      </c>
      <c r="I399" t="s">
        <v>165</v>
      </c>
      <c r="J399">
        <v>492.7</v>
      </c>
      <c r="L399">
        <v>8</v>
      </c>
      <c r="M399" s="5">
        <v>46069</v>
      </c>
      <c r="N399" t="s">
        <v>181</v>
      </c>
      <c r="O399">
        <v>1387.37</v>
      </c>
      <c r="Q399" t="s">
        <v>210</v>
      </c>
      <c r="R399" s="5">
        <v>45931</v>
      </c>
      <c r="S399" t="s">
        <v>135</v>
      </c>
      <c r="T399">
        <v>89.94</v>
      </c>
      <c r="X399"/>
    </row>
    <row r="400" spans="2:24" ht="18.75">
      <c r="B400">
        <v>23</v>
      </c>
      <c r="C400" s="5">
        <v>46174</v>
      </c>
      <c r="D400" t="s">
        <v>146</v>
      </c>
      <c r="E400">
        <v>648.73</v>
      </c>
      <c r="G400">
        <v>44</v>
      </c>
      <c r="H400" s="5">
        <v>45957</v>
      </c>
      <c r="I400" t="s">
        <v>171</v>
      </c>
      <c r="J400">
        <v>925.25</v>
      </c>
      <c r="L400">
        <v>8</v>
      </c>
      <c r="M400" s="5">
        <v>46069</v>
      </c>
      <c r="N400" t="s">
        <v>182</v>
      </c>
      <c r="O400">
        <v>2087.71</v>
      </c>
      <c r="Q400" t="s">
        <v>210</v>
      </c>
      <c r="R400" s="5">
        <v>45931</v>
      </c>
      <c r="S400" t="s">
        <v>136</v>
      </c>
      <c r="T400">
        <v>142.08000000000001</v>
      </c>
      <c r="X400"/>
    </row>
    <row r="401" spans="2:24" ht="18.75">
      <c r="B401">
        <v>23</v>
      </c>
      <c r="C401" s="5">
        <v>46174</v>
      </c>
      <c r="D401" t="s">
        <v>148</v>
      </c>
      <c r="E401">
        <v>102.24</v>
      </c>
      <c r="G401">
        <v>44</v>
      </c>
      <c r="H401" s="5">
        <v>45957</v>
      </c>
      <c r="I401" t="s">
        <v>174</v>
      </c>
      <c r="J401">
        <v>641.22</v>
      </c>
      <c r="L401">
        <v>8</v>
      </c>
      <c r="M401" s="5">
        <v>46069</v>
      </c>
      <c r="N401" t="s">
        <v>183</v>
      </c>
      <c r="O401">
        <v>432.21</v>
      </c>
      <c r="Q401" t="s">
        <v>210</v>
      </c>
      <c r="R401" s="5">
        <v>45931</v>
      </c>
      <c r="S401" t="s">
        <v>137</v>
      </c>
      <c r="T401">
        <v>153.04</v>
      </c>
      <c r="X401"/>
    </row>
    <row r="402" spans="2:24" ht="18.75">
      <c r="B402">
        <v>23</v>
      </c>
      <c r="C402" s="5">
        <v>46174</v>
      </c>
      <c r="D402" t="s">
        <v>147</v>
      </c>
      <c r="E402">
        <v>391.67</v>
      </c>
      <c r="G402">
        <v>44</v>
      </c>
      <c r="H402" s="5">
        <v>45957</v>
      </c>
      <c r="I402" t="s">
        <v>164</v>
      </c>
      <c r="J402">
        <v>24</v>
      </c>
      <c r="L402">
        <v>8</v>
      </c>
      <c r="M402" s="5">
        <v>46069</v>
      </c>
      <c r="N402" t="s">
        <v>184</v>
      </c>
      <c r="O402">
        <v>385.69</v>
      </c>
      <c r="Q402" t="s">
        <v>210</v>
      </c>
      <c r="R402" s="5">
        <v>45931</v>
      </c>
      <c r="S402" t="s">
        <v>140</v>
      </c>
      <c r="T402">
        <v>119.48</v>
      </c>
      <c r="X402"/>
    </row>
    <row r="403" spans="2:24" ht="18.75">
      <c r="B403">
        <v>23</v>
      </c>
      <c r="C403" s="5">
        <v>46174</v>
      </c>
      <c r="D403" t="s">
        <v>150</v>
      </c>
      <c r="E403">
        <v>70.16</v>
      </c>
      <c r="G403">
        <v>44</v>
      </c>
      <c r="H403" s="5">
        <v>45957</v>
      </c>
      <c r="I403" t="s">
        <v>176</v>
      </c>
      <c r="J403">
        <v>113.92</v>
      </c>
      <c r="L403">
        <v>8</v>
      </c>
      <c r="M403" s="5">
        <v>46069</v>
      </c>
      <c r="N403" t="s">
        <v>185</v>
      </c>
      <c r="O403">
        <v>800.7</v>
      </c>
      <c r="Q403" t="s">
        <v>210</v>
      </c>
      <c r="R403" s="5">
        <v>45931</v>
      </c>
      <c r="S403" t="s">
        <v>142</v>
      </c>
      <c r="T403">
        <v>332.27</v>
      </c>
      <c r="X403"/>
    </row>
    <row r="404" spans="2:24" ht="18.75">
      <c r="B404">
        <v>23</v>
      </c>
      <c r="C404" s="5">
        <v>46174</v>
      </c>
      <c r="D404" t="s">
        <v>151</v>
      </c>
      <c r="E404">
        <v>685.91</v>
      </c>
      <c r="G404">
        <v>44</v>
      </c>
      <c r="H404" s="5">
        <v>45957</v>
      </c>
      <c r="I404" t="s">
        <v>158</v>
      </c>
      <c r="J404">
        <v>347.44</v>
      </c>
      <c r="L404">
        <v>9</v>
      </c>
      <c r="M404" s="5">
        <v>46076</v>
      </c>
      <c r="N404" t="s">
        <v>178</v>
      </c>
      <c r="O404">
        <v>2106.3000000000002</v>
      </c>
      <c r="Q404" t="s">
        <v>210</v>
      </c>
      <c r="R404" s="5">
        <v>45931</v>
      </c>
      <c r="S404" t="s">
        <v>149</v>
      </c>
      <c r="T404">
        <v>199.69</v>
      </c>
      <c r="X404"/>
    </row>
    <row r="405" spans="2:24" ht="18.75">
      <c r="B405">
        <v>23</v>
      </c>
      <c r="C405" s="5">
        <v>46174</v>
      </c>
      <c r="D405" t="s">
        <v>111</v>
      </c>
      <c r="E405">
        <v>161.72999999999999</v>
      </c>
      <c r="G405">
        <v>44</v>
      </c>
      <c r="H405" s="5">
        <v>45957</v>
      </c>
      <c r="I405" t="s">
        <v>204</v>
      </c>
      <c r="J405">
        <v>17.600000000000001</v>
      </c>
      <c r="L405">
        <v>9</v>
      </c>
      <c r="M405" s="5">
        <v>46076</v>
      </c>
      <c r="N405" t="s">
        <v>179</v>
      </c>
      <c r="O405">
        <v>3008.38</v>
      </c>
      <c r="Q405" t="s">
        <v>210</v>
      </c>
      <c r="R405" s="5">
        <v>45931</v>
      </c>
      <c r="S405" t="s">
        <v>150</v>
      </c>
      <c r="T405">
        <v>99.68</v>
      </c>
      <c r="X405"/>
    </row>
    <row r="406" spans="2:24" ht="18.75">
      <c r="B406">
        <v>23</v>
      </c>
      <c r="C406" s="5">
        <v>46174</v>
      </c>
      <c r="D406" t="s">
        <v>112</v>
      </c>
      <c r="E406">
        <v>83.51</v>
      </c>
      <c r="G406">
        <v>45</v>
      </c>
      <c r="H406" s="5">
        <v>45964</v>
      </c>
      <c r="I406" t="s">
        <v>160</v>
      </c>
      <c r="J406">
        <v>3781.87</v>
      </c>
      <c r="L406">
        <v>9</v>
      </c>
      <c r="M406" s="5">
        <v>46076</v>
      </c>
      <c r="N406" t="s">
        <v>181</v>
      </c>
      <c r="O406">
        <v>1462.91</v>
      </c>
      <c r="Q406" t="s">
        <v>211</v>
      </c>
      <c r="R406" s="5">
        <v>45962</v>
      </c>
      <c r="S406" t="s">
        <v>111</v>
      </c>
      <c r="T406">
        <v>976.09</v>
      </c>
      <c r="X406"/>
    </row>
    <row r="407" spans="2:24" ht="18.75">
      <c r="B407">
        <v>23</v>
      </c>
      <c r="C407" s="5">
        <v>46174</v>
      </c>
      <c r="D407" t="s">
        <v>113</v>
      </c>
      <c r="E407">
        <v>288.27999999999997</v>
      </c>
      <c r="G407">
        <v>45</v>
      </c>
      <c r="H407" s="5">
        <v>45964</v>
      </c>
      <c r="I407" t="s">
        <v>165</v>
      </c>
      <c r="J407">
        <v>210.9</v>
      </c>
      <c r="L407">
        <v>9</v>
      </c>
      <c r="M407" s="5">
        <v>46076</v>
      </c>
      <c r="N407" t="s">
        <v>182</v>
      </c>
      <c r="O407">
        <v>2196.65</v>
      </c>
      <c r="Q407" t="s">
        <v>211</v>
      </c>
      <c r="R407" s="5">
        <v>45962</v>
      </c>
      <c r="S407" t="s">
        <v>143</v>
      </c>
      <c r="T407">
        <v>6633.2</v>
      </c>
      <c r="X407"/>
    </row>
    <row r="408" spans="2:24" ht="18.75">
      <c r="B408">
        <v>23</v>
      </c>
      <c r="C408" s="5">
        <v>46174</v>
      </c>
      <c r="D408" t="s">
        <v>114</v>
      </c>
      <c r="E408">
        <v>309.01</v>
      </c>
      <c r="G408">
        <v>45</v>
      </c>
      <c r="H408" s="5">
        <v>45964</v>
      </c>
      <c r="I408" t="s">
        <v>169</v>
      </c>
      <c r="J408">
        <v>1724.95</v>
      </c>
      <c r="L408">
        <v>9</v>
      </c>
      <c r="M408" s="5">
        <v>46076</v>
      </c>
      <c r="N408" t="s">
        <v>183</v>
      </c>
      <c r="O408">
        <v>415.35</v>
      </c>
      <c r="Q408" t="s">
        <v>211</v>
      </c>
      <c r="R408" s="5">
        <v>45962</v>
      </c>
      <c r="S408" t="s">
        <v>127</v>
      </c>
      <c r="T408">
        <v>1060.0999999999999</v>
      </c>
      <c r="X408"/>
    </row>
    <row r="409" spans="2:24" ht="18.75">
      <c r="B409">
        <v>23</v>
      </c>
      <c r="C409" s="5">
        <v>46174</v>
      </c>
      <c r="D409" t="s">
        <v>119</v>
      </c>
      <c r="E409">
        <v>266.37</v>
      </c>
      <c r="G409">
        <v>45</v>
      </c>
      <c r="H409" s="5">
        <v>45964</v>
      </c>
      <c r="I409" t="s">
        <v>170</v>
      </c>
      <c r="J409">
        <v>104</v>
      </c>
      <c r="L409">
        <v>9</v>
      </c>
      <c r="M409" s="5">
        <v>46076</v>
      </c>
      <c r="N409" t="s">
        <v>184</v>
      </c>
      <c r="O409">
        <v>525.61</v>
      </c>
      <c r="Q409" t="s">
        <v>211</v>
      </c>
      <c r="R409" s="5">
        <v>45962</v>
      </c>
      <c r="S409" t="s">
        <v>117</v>
      </c>
      <c r="T409">
        <v>1117.6500000000001</v>
      </c>
      <c r="X409"/>
    </row>
    <row r="410" spans="2:24" ht="18.75">
      <c r="B410">
        <v>23</v>
      </c>
      <c r="C410" s="5">
        <v>46174</v>
      </c>
      <c r="D410" t="s">
        <v>120</v>
      </c>
      <c r="E410">
        <v>97.03</v>
      </c>
      <c r="G410">
        <v>45</v>
      </c>
      <c r="H410" s="5">
        <v>45964</v>
      </c>
      <c r="I410" t="s">
        <v>176</v>
      </c>
      <c r="J410">
        <v>227.88</v>
      </c>
      <c r="L410">
        <v>9</v>
      </c>
      <c r="M410" s="5">
        <v>46076</v>
      </c>
      <c r="N410" t="s">
        <v>185</v>
      </c>
      <c r="O410">
        <v>595.04999999999995</v>
      </c>
      <c r="Q410" t="s">
        <v>211</v>
      </c>
      <c r="R410" s="5">
        <v>45962</v>
      </c>
      <c r="S410" t="s">
        <v>119</v>
      </c>
      <c r="T410">
        <v>1670.96</v>
      </c>
      <c r="X410"/>
    </row>
    <row r="411" spans="2:24" ht="18.75">
      <c r="B411">
        <v>23</v>
      </c>
      <c r="C411" s="5">
        <v>46174</v>
      </c>
      <c r="D411" t="s">
        <v>121</v>
      </c>
      <c r="E411">
        <v>138.77000000000001</v>
      </c>
      <c r="G411">
        <v>45</v>
      </c>
      <c r="H411" s="5">
        <v>45964</v>
      </c>
      <c r="I411" t="s">
        <v>164</v>
      </c>
      <c r="J411">
        <v>9.6</v>
      </c>
      <c r="L411">
        <v>9</v>
      </c>
      <c r="M411" s="5">
        <v>46076</v>
      </c>
      <c r="N411" t="s">
        <v>180</v>
      </c>
      <c r="O411">
        <v>124.5</v>
      </c>
      <c r="Q411" t="s">
        <v>211</v>
      </c>
      <c r="R411" s="5">
        <v>45962</v>
      </c>
      <c r="S411" t="s">
        <v>120</v>
      </c>
      <c r="T411">
        <v>596.94000000000005</v>
      </c>
      <c r="X411"/>
    </row>
    <row r="412" spans="2:24" ht="18.75">
      <c r="B412">
        <v>23</v>
      </c>
      <c r="C412" s="5">
        <v>46174</v>
      </c>
      <c r="D412" t="s">
        <v>125</v>
      </c>
      <c r="E412">
        <v>97.88</v>
      </c>
      <c r="G412">
        <v>45</v>
      </c>
      <c r="H412" s="5">
        <v>45964</v>
      </c>
      <c r="I412" t="s">
        <v>163</v>
      </c>
      <c r="J412">
        <v>369.92</v>
      </c>
      <c r="L412">
        <v>10</v>
      </c>
      <c r="M412" s="5">
        <v>46083</v>
      </c>
      <c r="N412" t="s">
        <v>178</v>
      </c>
      <c r="O412">
        <v>2213.4</v>
      </c>
      <c r="Q412" t="s">
        <v>211</v>
      </c>
      <c r="R412" s="5">
        <v>45962</v>
      </c>
      <c r="S412" t="s">
        <v>121</v>
      </c>
      <c r="T412">
        <v>700.68</v>
      </c>
      <c r="X412"/>
    </row>
    <row r="413" spans="2:24" ht="18.75">
      <c r="B413">
        <v>23</v>
      </c>
      <c r="C413" s="5">
        <v>46174</v>
      </c>
      <c r="D413" t="s">
        <v>135</v>
      </c>
      <c r="E413">
        <v>75.69</v>
      </c>
      <c r="G413">
        <v>45</v>
      </c>
      <c r="H413" s="5">
        <v>45964</v>
      </c>
      <c r="I413" t="s">
        <v>168</v>
      </c>
      <c r="J413">
        <v>405.46</v>
      </c>
      <c r="L413">
        <v>10</v>
      </c>
      <c r="M413" s="5">
        <v>46083</v>
      </c>
      <c r="N413" t="s">
        <v>179</v>
      </c>
      <c r="O413">
        <v>3316.68</v>
      </c>
      <c r="Q413" t="s">
        <v>211</v>
      </c>
      <c r="R413" s="5">
        <v>45962</v>
      </c>
      <c r="S413" t="s">
        <v>133</v>
      </c>
      <c r="T413">
        <v>1334.21</v>
      </c>
      <c r="X413"/>
    </row>
    <row r="414" spans="2:24" ht="18.75">
      <c r="B414">
        <v>23</v>
      </c>
      <c r="C414" s="5">
        <v>46174</v>
      </c>
      <c r="D414" t="s">
        <v>137</v>
      </c>
      <c r="E414">
        <v>83.38</v>
      </c>
      <c r="G414">
        <v>45</v>
      </c>
      <c r="H414" s="5">
        <v>45964</v>
      </c>
      <c r="I414" t="s">
        <v>172</v>
      </c>
      <c r="J414">
        <v>95.52</v>
      </c>
      <c r="L414">
        <v>10</v>
      </c>
      <c r="M414" s="5">
        <v>46083</v>
      </c>
      <c r="N414" t="s">
        <v>180</v>
      </c>
      <c r="O414">
        <v>146.69999999999999</v>
      </c>
      <c r="Q414" t="s">
        <v>211</v>
      </c>
      <c r="R414" s="5">
        <v>45962</v>
      </c>
      <c r="S414" t="s">
        <v>134</v>
      </c>
      <c r="T414">
        <v>1335.07</v>
      </c>
      <c r="X414"/>
    </row>
    <row r="415" spans="2:24" ht="18.75">
      <c r="B415">
        <v>23</v>
      </c>
      <c r="C415" s="5">
        <v>46174</v>
      </c>
      <c r="D415" t="s">
        <v>141</v>
      </c>
      <c r="E415">
        <v>442.02</v>
      </c>
      <c r="G415">
        <v>45</v>
      </c>
      <c r="H415" s="5">
        <v>45964</v>
      </c>
      <c r="I415" t="s">
        <v>173</v>
      </c>
      <c r="J415">
        <v>557.75</v>
      </c>
      <c r="L415">
        <v>10</v>
      </c>
      <c r="M415" s="5">
        <v>46083</v>
      </c>
      <c r="N415" t="s">
        <v>181</v>
      </c>
      <c r="O415">
        <v>1732.67</v>
      </c>
      <c r="Q415" t="s">
        <v>211</v>
      </c>
      <c r="R415" s="5">
        <v>45962</v>
      </c>
      <c r="S415" t="s">
        <v>141</v>
      </c>
      <c r="T415">
        <v>2318.31</v>
      </c>
      <c r="X415"/>
    </row>
    <row r="416" spans="2:24" ht="18.75">
      <c r="B416">
        <v>23</v>
      </c>
      <c r="C416" s="5">
        <v>46174</v>
      </c>
      <c r="D416" t="s">
        <v>139</v>
      </c>
      <c r="E416">
        <v>226.8</v>
      </c>
      <c r="G416">
        <v>45</v>
      </c>
      <c r="H416" s="5">
        <v>45964</v>
      </c>
      <c r="I416" t="s">
        <v>198</v>
      </c>
      <c r="J416">
        <v>1063.7</v>
      </c>
      <c r="L416">
        <v>10</v>
      </c>
      <c r="M416" s="5">
        <v>46083</v>
      </c>
      <c r="N416" t="s">
        <v>182</v>
      </c>
      <c r="O416">
        <v>2169.88</v>
      </c>
      <c r="Q416" t="s">
        <v>211</v>
      </c>
      <c r="R416" s="5">
        <v>45962</v>
      </c>
      <c r="S416" t="s">
        <v>145</v>
      </c>
      <c r="T416">
        <v>1470.42</v>
      </c>
      <c r="X416"/>
    </row>
    <row r="417" spans="2:24" ht="18.75" hidden="1">
      <c r="B417">
        <v>23</v>
      </c>
      <c r="C417" s="5">
        <v>46174</v>
      </c>
      <c r="D417" t="s">
        <v>216</v>
      </c>
      <c r="E417">
        <v>258.95</v>
      </c>
      <c r="G417">
        <v>45</v>
      </c>
      <c r="H417" s="5">
        <v>45964</v>
      </c>
      <c r="I417" t="s">
        <v>158</v>
      </c>
      <c r="J417">
        <v>363.6</v>
      </c>
      <c r="L417">
        <v>10</v>
      </c>
      <c r="M417" s="5">
        <v>46083</v>
      </c>
      <c r="N417" t="s">
        <v>183</v>
      </c>
      <c r="O417">
        <v>550.41999999999996</v>
      </c>
      <c r="Q417" t="s">
        <v>211</v>
      </c>
      <c r="R417" s="5">
        <v>45962</v>
      </c>
      <c r="S417" t="s">
        <v>146</v>
      </c>
      <c r="T417">
        <v>2518.2399999999998</v>
      </c>
      <c r="X417"/>
    </row>
    <row r="418" spans="2:24" ht="18.75" hidden="1">
      <c r="B418">
        <v>23</v>
      </c>
      <c r="C418" s="5">
        <v>46174</v>
      </c>
      <c r="D418" t="s">
        <v>127</v>
      </c>
      <c r="E418">
        <v>286.82</v>
      </c>
      <c r="G418">
        <v>45</v>
      </c>
      <c r="H418" s="5">
        <v>45964</v>
      </c>
      <c r="I418" t="s">
        <v>171</v>
      </c>
      <c r="J418">
        <v>719</v>
      </c>
      <c r="L418">
        <v>10</v>
      </c>
      <c r="M418" s="5">
        <v>46083</v>
      </c>
      <c r="N418" t="s">
        <v>184</v>
      </c>
      <c r="O418">
        <v>500.11</v>
      </c>
      <c r="Q418" t="s">
        <v>211</v>
      </c>
      <c r="R418" s="5">
        <v>45962</v>
      </c>
      <c r="S418" t="s">
        <v>114</v>
      </c>
      <c r="T418">
        <v>1019.77</v>
      </c>
      <c r="X418"/>
    </row>
    <row r="419" spans="2:24" ht="18.75" hidden="1">
      <c r="B419">
        <v>23</v>
      </c>
      <c r="C419" s="5">
        <v>46174</v>
      </c>
      <c r="D419" t="s">
        <v>115</v>
      </c>
      <c r="E419">
        <v>291.58999999999997</v>
      </c>
      <c r="G419">
        <v>45</v>
      </c>
      <c r="H419" s="5">
        <v>45964</v>
      </c>
      <c r="I419" t="s">
        <v>174</v>
      </c>
      <c r="J419">
        <v>357.13</v>
      </c>
      <c r="L419">
        <v>10</v>
      </c>
      <c r="M419" s="5">
        <v>46083</v>
      </c>
      <c r="N419" t="s">
        <v>185</v>
      </c>
      <c r="O419">
        <v>840.75</v>
      </c>
      <c r="Q419" t="s">
        <v>211</v>
      </c>
      <c r="R419" s="5">
        <v>45962</v>
      </c>
      <c r="S419" t="s">
        <v>138</v>
      </c>
      <c r="T419">
        <v>1842.54</v>
      </c>
      <c r="X419"/>
    </row>
    <row r="420" spans="2:24" ht="18.75" hidden="1">
      <c r="B420">
        <v>24</v>
      </c>
      <c r="C420" s="5">
        <v>46181</v>
      </c>
      <c r="D420" t="s">
        <v>111</v>
      </c>
      <c r="E420">
        <v>173.68</v>
      </c>
      <c r="G420">
        <v>46</v>
      </c>
      <c r="H420" s="5">
        <v>45971</v>
      </c>
      <c r="I420" t="s">
        <v>160</v>
      </c>
      <c r="J420">
        <v>3543.86</v>
      </c>
      <c r="L420">
        <v>11</v>
      </c>
      <c r="M420" s="5">
        <v>46090</v>
      </c>
      <c r="N420" t="s">
        <v>178</v>
      </c>
      <c r="O420">
        <v>2266.9499999999998</v>
      </c>
      <c r="Q420" t="s">
        <v>211</v>
      </c>
      <c r="R420" s="5">
        <v>45962</v>
      </c>
      <c r="S420" t="s">
        <v>129</v>
      </c>
      <c r="T420">
        <v>2031.67</v>
      </c>
      <c r="X420"/>
    </row>
    <row r="421" spans="2:24" ht="18.75" hidden="1">
      <c r="B421">
        <v>24</v>
      </c>
      <c r="C421" s="5">
        <v>46181</v>
      </c>
      <c r="D421" t="s">
        <v>112</v>
      </c>
      <c r="E421">
        <v>89.63</v>
      </c>
      <c r="G421">
        <v>46</v>
      </c>
      <c r="H421" s="5">
        <v>45971</v>
      </c>
      <c r="I421" t="s">
        <v>158</v>
      </c>
      <c r="J421">
        <v>319.16000000000003</v>
      </c>
      <c r="L421">
        <v>11</v>
      </c>
      <c r="M421" s="5">
        <v>46090</v>
      </c>
      <c r="N421" t="s">
        <v>179</v>
      </c>
      <c r="O421">
        <v>3306.89</v>
      </c>
      <c r="Q421" t="s">
        <v>211</v>
      </c>
      <c r="R421" s="5">
        <v>45962</v>
      </c>
      <c r="S421" t="s">
        <v>122</v>
      </c>
      <c r="T421">
        <v>1108.45</v>
      </c>
      <c r="X421"/>
    </row>
    <row r="422" spans="2:24" ht="18.75" hidden="1">
      <c r="B422">
        <v>24</v>
      </c>
      <c r="C422" s="5">
        <v>46181</v>
      </c>
      <c r="D422" t="s">
        <v>113</v>
      </c>
      <c r="E422">
        <v>257.66000000000003</v>
      </c>
      <c r="G422">
        <v>46</v>
      </c>
      <c r="H422" s="5">
        <v>45971</v>
      </c>
      <c r="I422" t="s">
        <v>198</v>
      </c>
      <c r="J422">
        <v>284.16000000000003</v>
      </c>
      <c r="L422">
        <v>11</v>
      </c>
      <c r="M422" s="5">
        <v>46090</v>
      </c>
      <c r="N422" t="s">
        <v>180</v>
      </c>
      <c r="O422">
        <v>56.3</v>
      </c>
      <c r="Q422" t="s">
        <v>211</v>
      </c>
      <c r="R422" s="5">
        <v>45962</v>
      </c>
      <c r="S422" t="s">
        <v>123</v>
      </c>
      <c r="T422">
        <v>2133.94</v>
      </c>
      <c r="X422"/>
    </row>
    <row r="423" spans="2:24" ht="18.75" hidden="1">
      <c r="B423">
        <v>24</v>
      </c>
      <c r="C423" s="5">
        <v>46181</v>
      </c>
      <c r="D423" t="s">
        <v>114</v>
      </c>
      <c r="E423">
        <v>346.72</v>
      </c>
      <c r="G423">
        <v>46</v>
      </c>
      <c r="H423" s="5">
        <v>45971</v>
      </c>
      <c r="I423" t="s">
        <v>174</v>
      </c>
      <c r="J423">
        <v>697.36</v>
      </c>
      <c r="L423">
        <v>11</v>
      </c>
      <c r="M423" s="5">
        <v>46090</v>
      </c>
      <c r="N423" t="s">
        <v>181</v>
      </c>
      <c r="O423">
        <v>1686.5</v>
      </c>
      <c r="Q423" t="s">
        <v>211</v>
      </c>
      <c r="R423" s="5">
        <v>45962</v>
      </c>
      <c r="S423" t="s">
        <v>124</v>
      </c>
      <c r="T423">
        <v>2102.61</v>
      </c>
      <c r="X423"/>
    </row>
    <row r="424" spans="2:24" ht="18.75" hidden="1">
      <c r="B424">
        <v>24</v>
      </c>
      <c r="C424" s="5">
        <v>46181</v>
      </c>
      <c r="D424" t="s">
        <v>116</v>
      </c>
      <c r="E424">
        <v>105.21</v>
      </c>
      <c r="G424">
        <v>46</v>
      </c>
      <c r="H424" s="5">
        <v>45971</v>
      </c>
      <c r="I424" t="s">
        <v>171</v>
      </c>
      <c r="J424">
        <v>335.44</v>
      </c>
      <c r="L424">
        <v>11</v>
      </c>
      <c r="M424" s="5">
        <v>46090</v>
      </c>
      <c r="N424" t="s">
        <v>182</v>
      </c>
      <c r="O424">
        <v>2155.14</v>
      </c>
      <c r="Q424" t="s">
        <v>211</v>
      </c>
      <c r="R424" s="5">
        <v>45962</v>
      </c>
      <c r="S424" t="s">
        <v>128</v>
      </c>
      <c r="T424">
        <v>722.41</v>
      </c>
      <c r="X424"/>
    </row>
    <row r="425" spans="2:24" ht="18.75" hidden="1">
      <c r="B425">
        <v>24</v>
      </c>
      <c r="C425" s="5">
        <v>46181</v>
      </c>
      <c r="D425" t="s">
        <v>117</v>
      </c>
      <c r="E425">
        <v>266.12</v>
      </c>
      <c r="G425">
        <v>46</v>
      </c>
      <c r="H425" s="5">
        <v>45971</v>
      </c>
      <c r="I425" t="s">
        <v>169</v>
      </c>
      <c r="J425">
        <v>1485</v>
      </c>
      <c r="L425">
        <v>11</v>
      </c>
      <c r="M425" s="5">
        <v>46090</v>
      </c>
      <c r="N425" t="s">
        <v>183</v>
      </c>
      <c r="O425">
        <v>578.75</v>
      </c>
      <c r="Q425" t="s">
        <v>211</v>
      </c>
      <c r="R425" s="5">
        <v>45962</v>
      </c>
      <c r="S425" t="s">
        <v>132</v>
      </c>
      <c r="T425">
        <v>770.27</v>
      </c>
      <c r="X425"/>
    </row>
    <row r="426" spans="2:24" ht="18.75" hidden="1">
      <c r="B426">
        <v>24</v>
      </c>
      <c r="C426" s="5">
        <v>46181</v>
      </c>
      <c r="D426" t="s">
        <v>118</v>
      </c>
      <c r="E426">
        <v>150.51</v>
      </c>
      <c r="G426">
        <v>46</v>
      </c>
      <c r="H426" s="5">
        <v>45971</v>
      </c>
      <c r="I426" t="s">
        <v>170</v>
      </c>
      <c r="J426">
        <v>38</v>
      </c>
      <c r="L426">
        <v>11</v>
      </c>
      <c r="M426" s="5">
        <v>46090</v>
      </c>
      <c r="N426" t="s">
        <v>184</v>
      </c>
      <c r="O426">
        <v>513.89</v>
      </c>
      <c r="Q426" t="s">
        <v>211</v>
      </c>
      <c r="R426" s="5">
        <v>45962</v>
      </c>
      <c r="S426" t="s">
        <v>142</v>
      </c>
      <c r="T426">
        <v>893.79</v>
      </c>
      <c r="X426"/>
    </row>
    <row r="427" spans="2:24" ht="18.75" hidden="1">
      <c r="B427">
        <v>24</v>
      </c>
      <c r="C427" s="5">
        <v>46181</v>
      </c>
      <c r="D427" t="s">
        <v>120</v>
      </c>
      <c r="E427">
        <v>83.21</v>
      </c>
      <c r="G427">
        <v>46</v>
      </c>
      <c r="H427" s="5">
        <v>45971</v>
      </c>
      <c r="I427" t="s">
        <v>176</v>
      </c>
      <c r="J427">
        <v>148.36000000000001</v>
      </c>
      <c r="L427">
        <v>11</v>
      </c>
      <c r="M427" s="5">
        <v>46090</v>
      </c>
      <c r="N427" t="s">
        <v>185</v>
      </c>
      <c r="O427">
        <v>884.3</v>
      </c>
      <c r="Q427" t="s">
        <v>211</v>
      </c>
      <c r="R427" s="5">
        <v>45962</v>
      </c>
      <c r="S427" t="s">
        <v>219</v>
      </c>
      <c r="T427">
        <v>1222.68</v>
      </c>
      <c r="X427"/>
    </row>
    <row r="428" spans="2:24" ht="18.75" hidden="1">
      <c r="B428">
        <v>24</v>
      </c>
      <c r="C428" s="5">
        <v>46181</v>
      </c>
      <c r="D428" t="s">
        <v>121</v>
      </c>
      <c r="E428">
        <v>105.33</v>
      </c>
      <c r="G428">
        <v>46</v>
      </c>
      <c r="H428" s="5">
        <v>45971</v>
      </c>
      <c r="I428" t="s">
        <v>164</v>
      </c>
      <c r="J428">
        <v>26.4</v>
      </c>
      <c r="L428">
        <v>12</v>
      </c>
      <c r="M428" s="5">
        <v>46097</v>
      </c>
      <c r="N428" t="s">
        <v>178</v>
      </c>
      <c r="O428">
        <v>2367.1</v>
      </c>
      <c r="Q428" t="s">
        <v>211</v>
      </c>
      <c r="R428" s="5">
        <v>45962</v>
      </c>
      <c r="S428" t="s">
        <v>112</v>
      </c>
      <c r="T428">
        <v>346.9</v>
      </c>
      <c r="X428"/>
    </row>
    <row r="429" spans="2:24" ht="18.75" hidden="1">
      <c r="B429">
        <v>24</v>
      </c>
      <c r="C429" s="5">
        <v>46181</v>
      </c>
      <c r="D429" t="s">
        <v>122</v>
      </c>
      <c r="E429">
        <v>328.65</v>
      </c>
      <c r="G429">
        <v>46</v>
      </c>
      <c r="H429" s="5">
        <v>45971</v>
      </c>
      <c r="I429" t="s">
        <v>163</v>
      </c>
      <c r="J429">
        <v>349.59</v>
      </c>
      <c r="L429">
        <v>12</v>
      </c>
      <c r="M429" s="5">
        <v>46097</v>
      </c>
      <c r="N429" t="s">
        <v>179</v>
      </c>
      <c r="O429">
        <v>3364.82</v>
      </c>
      <c r="Q429" t="s">
        <v>211</v>
      </c>
      <c r="R429" s="5">
        <v>45962</v>
      </c>
      <c r="S429" t="s">
        <v>113</v>
      </c>
      <c r="T429">
        <v>936.67</v>
      </c>
      <c r="X429"/>
    </row>
    <row r="430" spans="2:24" ht="18.75" hidden="1">
      <c r="B430">
        <v>24</v>
      </c>
      <c r="C430" s="5">
        <v>46181</v>
      </c>
      <c r="D430" t="s">
        <v>123</v>
      </c>
      <c r="E430">
        <v>411.53</v>
      </c>
      <c r="G430">
        <v>46</v>
      </c>
      <c r="H430" s="5">
        <v>45971</v>
      </c>
      <c r="I430" t="s">
        <v>168</v>
      </c>
      <c r="J430">
        <v>344.28</v>
      </c>
      <c r="L430">
        <v>12</v>
      </c>
      <c r="M430" s="5">
        <v>46097</v>
      </c>
      <c r="N430" t="s">
        <v>180</v>
      </c>
      <c r="O430">
        <v>260</v>
      </c>
      <c r="Q430" t="s">
        <v>211</v>
      </c>
      <c r="R430" s="5">
        <v>45962</v>
      </c>
      <c r="S430" t="s">
        <v>116</v>
      </c>
      <c r="T430">
        <v>378.46</v>
      </c>
      <c r="X430"/>
    </row>
    <row r="431" spans="2:24" ht="18.75" hidden="1">
      <c r="B431">
        <v>24</v>
      </c>
      <c r="C431" s="5">
        <v>46181</v>
      </c>
      <c r="D431" t="s">
        <v>124</v>
      </c>
      <c r="E431">
        <v>421.75</v>
      </c>
      <c r="G431">
        <v>46</v>
      </c>
      <c r="H431" s="5">
        <v>45971</v>
      </c>
      <c r="I431" t="s">
        <v>172</v>
      </c>
      <c r="J431">
        <v>67.66</v>
      </c>
      <c r="L431">
        <v>12</v>
      </c>
      <c r="M431" s="5">
        <v>46097</v>
      </c>
      <c r="N431" t="s">
        <v>181</v>
      </c>
      <c r="O431">
        <v>1716.84</v>
      </c>
      <c r="Q431" t="s">
        <v>211</v>
      </c>
      <c r="R431" s="5">
        <v>45962</v>
      </c>
      <c r="S431" t="s">
        <v>118</v>
      </c>
      <c r="T431">
        <v>780.82</v>
      </c>
      <c r="X431"/>
    </row>
    <row r="432" spans="2:24" ht="18.75" hidden="1">
      <c r="B432">
        <v>24</v>
      </c>
      <c r="C432" s="5">
        <v>46181</v>
      </c>
      <c r="D432" t="s">
        <v>125</v>
      </c>
      <c r="E432">
        <v>111.08</v>
      </c>
      <c r="G432">
        <v>46</v>
      </c>
      <c r="H432" s="5">
        <v>45971</v>
      </c>
      <c r="I432" t="s">
        <v>173</v>
      </c>
      <c r="J432">
        <v>502.85</v>
      </c>
      <c r="L432">
        <v>12</v>
      </c>
      <c r="M432" s="5">
        <v>46097</v>
      </c>
      <c r="N432" t="s">
        <v>182</v>
      </c>
      <c r="O432">
        <v>2173.85</v>
      </c>
      <c r="Q432" t="s">
        <v>211</v>
      </c>
      <c r="R432" s="5">
        <v>45962</v>
      </c>
      <c r="S432" t="s">
        <v>125</v>
      </c>
      <c r="T432">
        <v>260.45999999999998</v>
      </c>
      <c r="X432"/>
    </row>
    <row r="433" spans="2:24" ht="18.75" hidden="1">
      <c r="B433">
        <v>24</v>
      </c>
      <c r="C433" s="5">
        <v>46181</v>
      </c>
      <c r="D433" t="s">
        <v>126</v>
      </c>
      <c r="E433">
        <v>134.16</v>
      </c>
      <c r="G433">
        <v>46</v>
      </c>
      <c r="H433" s="5">
        <v>45971</v>
      </c>
      <c r="I433" t="s">
        <v>175</v>
      </c>
      <c r="J433">
        <v>238.84</v>
      </c>
      <c r="L433">
        <v>12</v>
      </c>
      <c r="M433" s="5">
        <v>46097</v>
      </c>
      <c r="N433" t="s">
        <v>183</v>
      </c>
      <c r="O433">
        <v>484.25</v>
      </c>
      <c r="Q433" t="s">
        <v>211</v>
      </c>
      <c r="R433" s="5">
        <v>45962</v>
      </c>
      <c r="S433" t="s">
        <v>126</v>
      </c>
      <c r="T433">
        <v>463.05</v>
      </c>
      <c r="X433"/>
    </row>
    <row r="434" spans="2:24" ht="18.75" hidden="1">
      <c r="B434">
        <v>24</v>
      </c>
      <c r="C434" s="5">
        <v>46181</v>
      </c>
      <c r="D434" t="s">
        <v>128</v>
      </c>
      <c r="E434">
        <v>214.25</v>
      </c>
      <c r="G434">
        <v>46</v>
      </c>
      <c r="H434" s="5">
        <v>45971</v>
      </c>
      <c r="I434" t="s">
        <v>165</v>
      </c>
      <c r="J434">
        <v>384.05</v>
      </c>
      <c r="L434">
        <v>12</v>
      </c>
      <c r="M434" s="5">
        <v>46097</v>
      </c>
      <c r="N434" t="s">
        <v>184</v>
      </c>
      <c r="O434">
        <v>597.23</v>
      </c>
      <c r="Q434" t="s">
        <v>211</v>
      </c>
      <c r="R434" s="5">
        <v>45962</v>
      </c>
      <c r="S434" t="s">
        <v>136</v>
      </c>
      <c r="T434">
        <v>390.96</v>
      </c>
      <c r="X434"/>
    </row>
    <row r="435" spans="2:24" ht="18.75" hidden="1">
      <c r="B435">
        <v>24</v>
      </c>
      <c r="C435" s="5">
        <v>46181</v>
      </c>
      <c r="D435" t="s">
        <v>130</v>
      </c>
      <c r="E435">
        <v>330.72</v>
      </c>
      <c r="G435">
        <v>47</v>
      </c>
      <c r="H435" s="5">
        <v>45978</v>
      </c>
      <c r="I435" t="s">
        <v>160</v>
      </c>
      <c r="J435">
        <v>4080.48</v>
      </c>
      <c r="L435">
        <v>12</v>
      </c>
      <c r="M435" s="5">
        <v>46097</v>
      </c>
      <c r="N435" t="s">
        <v>185</v>
      </c>
      <c r="O435">
        <v>850.5</v>
      </c>
      <c r="Q435" t="s">
        <v>211</v>
      </c>
      <c r="R435" s="5">
        <v>45962</v>
      </c>
      <c r="S435" t="s">
        <v>137</v>
      </c>
      <c r="T435">
        <v>369.83</v>
      </c>
      <c r="X435"/>
    </row>
    <row r="436" spans="2:24" ht="18.75" hidden="1">
      <c r="B436">
        <v>24</v>
      </c>
      <c r="C436" s="5">
        <v>46181</v>
      </c>
      <c r="D436" t="s">
        <v>131</v>
      </c>
      <c r="E436">
        <v>267.11</v>
      </c>
      <c r="G436">
        <v>47</v>
      </c>
      <c r="H436" s="5">
        <v>45978</v>
      </c>
      <c r="I436" t="s">
        <v>198</v>
      </c>
      <c r="J436">
        <v>1040.6199999999999</v>
      </c>
      <c r="L436">
        <v>13</v>
      </c>
      <c r="M436" s="5">
        <v>46104</v>
      </c>
      <c r="N436" t="s">
        <v>178</v>
      </c>
      <c r="O436">
        <v>2368.1</v>
      </c>
      <c r="Q436" t="s">
        <v>211</v>
      </c>
      <c r="R436" s="5">
        <v>45962</v>
      </c>
      <c r="S436" t="s">
        <v>140</v>
      </c>
      <c r="T436">
        <v>544.61</v>
      </c>
      <c r="X436"/>
    </row>
    <row r="437" spans="2:24" ht="18.75" hidden="1">
      <c r="B437">
        <v>24</v>
      </c>
      <c r="C437" s="5">
        <v>46181</v>
      </c>
      <c r="D437" t="s">
        <v>132</v>
      </c>
      <c r="E437">
        <v>246.11</v>
      </c>
      <c r="G437">
        <v>47</v>
      </c>
      <c r="H437" s="5">
        <v>45978</v>
      </c>
      <c r="I437" t="s">
        <v>158</v>
      </c>
      <c r="J437">
        <v>355.52</v>
      </c>
      <c r="L437">
        <v>13</v>
      </c>
      <c r="M437" s="5">
        <v>46104</v>
      </c>
      <c r="N437" t="s">
        <v>179</v>
      </c>
      <c r="O437">
        <v>3271.55</v>
      </c>
      <c r="Q437" t="s">
        <v>211</v>
      </c>
      <c r="R437" s="5">
        <v>45962</v>
      </c>
      <c r="S437" t="s">
        <v>139</v>
      </c>
      <c r="T437">
        <v>1071.49</v>
      </c>
      <c r="X437"/>
    </row>
    <row r="438" spans="2:24" ht="18.75" hidden="1">
      <c r="B438">
        <v>24</v>
      </c>
      <c r="C438" s="5">
        <v>46181</v>
      </c>
      <c r="D438" t="s">
        <v>133</v>
      </c>
      <c r="E438">
        <v>401.95</v>
      </c>
      <c r="G438">
        <v>47</v>
      </c>
      <c r="H438" s="5">
        <v>45978</v>
      </c>
      <c r="I438" t="s">
        <v>165</v>
      </c>
      <c r="J438">
        <v>90.25</v>
      </c>
      <c r="L438">
        <v>13</v>
      </c>
      <c r="M438" s="5">
        <v>46104</v>
      </c>
      <c r="N438" t="s">
        <v>180</v>
      </c>
      <c r="O438">
        <v>266.5</v>
      </c>
      <c r="Q438" t="s">
        <v>211</v>
      </c>
      <c r="R438" s="5">
        <v>45962</v>
      </c>
      <c r="S438" t="s">
        <v>149</v>
      </c>
      <c r="T438">
        <v>605.15</v>
      </c>
      <c r="X438"/>
    </row>
    <row r="439" spans="2:24" ht="18.75" hidden="1">
      <c r="B439">
        <v>24</v>
      </c>
      <c r="C439" s="5">
        <v>46181</v>
      </c>
      <c r="D439" t="s">
        <v>134</v>
      </c>
      <c r="E439">
        <v>417.32</v>
      </c>
      <c r="G439">
        <v>47</v>
      </c>
      <c r="H439" s="5">
        <v>45978</v>
      </c>
      <c r="I439" t="s">
        <v>174</v>
      </c>
      <c r="J439">
        <v>699.42</v>
      </c>
      <c r="L439">
        <v>13</v>
      </c>
      <c r="M439" s="5">
        <v>46104</v>
      </c>
      <c r="N439" t="s">
        <v>181</v>
      </c>
      <c r="O439">
        <v>1569.07</v>
      </c>
      <c r="Q439" t="s">
        <v>211</v>
      </c>
      <c r="R439" s="5">
        <v>45962</v>
      </c>
      <c r="S439" t="s">
        <v>150</v>
      </c>
      <c r="T439">
        <v>274.89</v>
      </c>
      <c r="X439"/>
    </row>
    <row r="440" spans="2:24" ht="18.75" hidden="1">
      <c r="B440">
        <v>24</v>
      </c>
      <c r="C440" s="5">
        <v>46181</v>
      </c>
      <c r="D440" t="s">
        <v>135</v>
      </c>
      <c r="E440">
        <v>90.06</v>
      </c>
      <c r="G440">
        <v>47</v>
      </c>
      <c r="H440" s="5">
        <v>45978</v>
      </c>
      <c r="I440" t="s">
        <v>171</v>
      </c>
      <c r="J440">
        <v>361.92</v>
      </c>
      <c r="L440">
        <v>13</v>
      </c>
      <c r="M440" s="5">
        <v>46104</v>
      </c>
      <c r="N440" t="s">
        <v>182</v>
      </c>
      <c r="O440">
        <v>2170.52</v>
      </c>
      <c r="Q440" t="s">
        <v>211</v>
      </c>
      <c r="R440" s="5">
        <v>45962</v>
      </c>
      <c r="S440" t="s">
        <v>135</v>
      </c>
      <c r="T440">
        <v>270.51</v>
      </c>
      <c r="X440"/>
    </row>
    <row r="441" spans="2:24" ht="18.75" hidden="1">
      <c r="B441">
        <v>24</v>
      </c>
      <c r="C441" s="5">
        <v>46181</v>
      </c>
      <c r="D441" t="s">
        <v>136</v>
      </c>
      <c r="E441">
        <v>181.5</v>
      </c>
      <c r="G441">
        <v>47</v>
      </c>
      <c r="H441" s="5">
        <v>45978</v>
      </c>
      <c r="I441" t="s">
        <v>169</v>
      </c>
      <c r="J441">
        <v>1915.2</v>
      </c>
      <c r="L441">
        <v>13</v>
      </c>
      <c r="M441" s="5">
        <v>46104</v>
      </c>
      <c r="N441" t="s">
        <v>183</v>
      </c>
      <c r="O441">
        <v>532.16999999999996</v>
      </c>
      <c r="Q441" t="s">
        <v>211</v>
      </c>
      <c r="R441" s="5">
        <v>45962</v>
      </c>
      <c r="S441" t="s">
        <v>147</v>
      </c>
      <c r="T441">
        <v>129.09</v>
      </c>
      <c r="X441"/>
    </row>
    <row r="442" spans="2:24" ht="18.75" hidden="1">
      <c r="B442">
        <v>24</v>
      </c>
      <c r="C442" s="5">
        <v>46181</v>
      </c>
      <c r="D442" t="s">
        <v>137</v>
      </c>
      <c r="E442">
        <v>98.24</v>
      </c>
      <c r="G442">
        <v>47</v>
      </c>
      <c r="H442" s="5">
        <v>45978</v>
      </c>
      <c r="I442" t="s">
        <v>170</v>
      </c>
      <c r="J442">
        <v>50</v>
      </c>
      <c r="L442">
        <v>13</v>
      </c>
      <c r="M442" s="5">
        <v>46104</v>
      </c>
      <c r="N442" t="s">
        <v>184</v>
      </c>
      <c r="O442">
        <v>567.30999999999995</v>
      </c>
      <c r="Q442" t="s">
        <v>213</v>
      </c>
      <c r="R442" s="5">
        <v>45992</v>
      </c>
      <c r="S442" t="s">
        <v>113</v>
      </c>
      <c r="T442">
        <v>832.57</v>
      </c>
      <c r="X442"/>
    </row>
    <row r="443" spans="2:24" ht="18.75" hidden="1">
      <c r="B443">
        <v>24</v>
      </c>
      <c r="C443" s="5">
        <v>46181</v>
      </c>
      <c r="D443" t="s">
        <v>138</v>
      </c>
      <c r="E443">
        <v>501.34</v>
      </c>
      <c r="G443">
        <v>47</v>
      </c>
      <c r="H443" s="5">
        <v>45978</v>
      </c>
      <c r="I443" t="s">
        <v>176</v>
      </c>
      <c r="J443">
        <v>158.56</v>
      </c>
      <c r="L443">
        <v>13</v>
      </c>
      <c r="M443" s="5">
        <v>46104</v>
      </c>
      <c r="N443" t="s">
        <v>185</v>
      </c>
      <c r="O443">
        <v>885.1</v>
      </c>
      <c r="Q443" t="s">
        <v>213</v>
      </c>
      <c r="R443" s="5">
        <v>45992</v>
      </c>
      <c r="S443" t="s">
        <v>118</v>
      </c>
      <c r="T443">
        <v>478.57</v>
      </c>
      <c r="X443"/>
    </row>
    <row r="444" spans="2:24" ht="18.75" hidden="1">
      <c r="B444">
        <v>24</v>
      </c>
      <c r="C444" s="5">
        <v>46181</v>
      </c>
      <c r="D444" t="s">
        <v>141</v>
      </c>
      <c r="E444">
        <v>535.75</v>
      </c>
      <c r="G444">
        <v>47</v>
      </c>
      <c r="H444" s="5">
        <v>45978</v>
      </c>
      <c r="I444" t="s">
        <v>164</v>
      </c>
      <c r="J444">
        <v>16.8</v>
      </c>
      <c r="L444">
        <v>14</v>
      </c>
      <c r="M444" s="5">
        <v>46111</v>
      </c>
      <c r="N444" t="s">
        <v>178</v>
      </c>
      <c r="O444">
        <v>2475.4</v>
      </c>
      <c r="Q444" t="s">
        <v>213</v>
      </c>
      <c r="R444" s="5">
        <v>45992</v>
      </c>
      <c r="S444" t="s">
        <v>123</v>
      </c>
      <c r="T444">
        <v>1911.02</v>
      </c>
      <c r="X444"/>
    </row>
    <row r="445" spans="2:24" ht="18.75" hidden="1">
      <c r="B445">
        <v>24</v>
      </c>
      <c r="C445" s="5">
        <v>46181</v>
      </c>
      <c r="D445" t="s">
        <v>142</v>
      </c>
      <c r="E445">
        <v>196.38</v>
      </c>
      <c r="G445">
        <v>47</v>
      </c>
      <c r="H445" s="5">
        <v>45978</v>
      </c>
      <c r="I445" t="s">
        <v>163</v>
      </c>
      <c r="J445">
        <v>385.71</v>
      </c>
      <c r="L445">
        <v>14</v>
      </c>
      <c r="M445" s="5">
        <v>46111</v>
      </c>
      <c r="N445" t="s">
        <v>179</v>
      </c>
      <c r="O445">
        <v>3269.56</v>
      </c>
      <c r="Q445" t="s">
        <v>213</v>
      </c>
      <c r="R445" s="5">
        <v>45992</v>
      </c>
      <c r="S445" t="s">
        <v>124</v>
      </c>
      <c r="T445">
        <v>1684.63</v>
      </c>
      <c r="X445"/>
    </row>
    <row r="446" spans="2:24" ht="18.75" hidden="1">
      <c r="B446">
        <v>24</v>
      </c>
      <c r="C446" s="5">
        <v>46181</v>
      </c>
      <c r="D446" t="s">
        <v>139</v>
      </c>
      <c r="E446">
        <v>232.46</v>
      </c>
      <c r="G446">
        <v>47</v>
      </c>
      <c r="H446" s="5">
        <v>45978</v>
      </c>
      <c r="I446" t="s">
        <v>168</v>
      </c>
      <c r="J446">
        <v>392.02</v>
      </c>
      <c r="L446">
        <v>14</v>
      </c>
      <c r="M446" s="5">
        <v>46111</v>
      </c>
      <c r="N446" t="s">
        <v>180</v>
      </c>
      <c r="O446">
        <v>214.3</v>
      </c>
      <c r="Q446" t="s">
        <v>213</v>
      </c>
      <c r="R446" s="5">
        <v>45992</v>
      </c>
      <c r="S446" t="s">
        <v>139</v>
      </c>
      <c r="T446">
        <v>1219.1600000000001</v>
      </c>
      <c r="X446"/>
    </row>
    <row r="447" spans="2:24" ht="18.75" hidden="1">
      <c r="B447">
        <v>24</v>
      </c>
      <c r="C447" s="5">
        <v>46181</v>
      </c>
      <c r="D447" t="s">
        <v>143</v>
      </c>
      <c r="E447">
        <v>606.67999999999995</v>
      </c>
      <c r="G447">
        <v>47</v>
      </c>
      <c r="H447" s="5">
        <v>45978</v>
      </c>
      <c r="I447" t="s">
        <v>172</v>
      </c>
      <c r="J447">
        <v>67.66</v>
      </c>
      <c r="L447">
        <v>14</v>
      </c>
      <c r="M447" s="5">
        <v>46111</v>
      </c>
      <c r="N447" t="s">
        <v>181</v>
      </c>
      <c r="O447">
        <v>1576.7</v>
      </c>
      <c r="Q447" t="s">
        <v>213</v>
      </c>
      <c r="R447" s="5">
        <v>45992</v>
      </c>
      <c r="S447" t="s">
        <v>143</v>
      </c>
      <c r="T447">
        <v>5528.63</v>
      </c>
      <c r="X447"/>
    </row>
    <row r="448" spans="2:24" ht="18.75" hidden="1">
      <c r="B448">
        <v>24</v>
      </c>
      <c r="C448" s="5">
        <v>46181</v>
      </c>
      <c r="D448" t="s">
        <v>144</v>
      </c>
      <c r="E448">
        <v>1028.79</v>
      </c>
      <c r="G448">
        <v>47</v>
      </c>
      <c r="H448" s="5">
        <v>45978</v>
      </c>
      <c r="I448" t="s">
        <v>173</v>
      </c>
      <c r="J448">
        <v>742.15</v>
      </c>
      <c r="L448">
        <v>14</v>
      </c>
      <c r="M448" s="5">
        <v>46111</v>
      </c>
      <c r="N448" t="s">
        <v>182</v>
      </c>
      <c r="O448">
        <v>2035.77</v>
      </c>
      <c r="Q448" t="s">
        <v>213</v>
      </c>
      <c r="R448" s="5">
        <v>45992</v>
      </c>
      <c r="S448" t="s">
        <v>147</v>
      </c>
      <c r="T448">
        <v>1273.79</v>
      </c>
      <c r="X448"/>
    </row>
    <row r="449" spans="2:24" ht="18.75" hidden="1">
      <c r="B449">
        <v>24</v>
      </c>
      <c r="C449" s="5">
        <v>46181</v>
      </c>
      <c r="D449" t="s">
        <v>145</v>
      </c>
      <c r="E449">
        <v>217.23</v>
      </c>
      <c r="G449">
        <v>47</v>
      </c>
      <c r="H449" s="5">
        <v>45978</v>
      </c>
      <c r="I449" t="s">
        <v>175</v>
      </c>
      <c r="J449">
        <v>311.75</v>
      </c>
      <c r="L449">
        <v>14</v>
      </c>
      <c r="M449" s="5">
        <v>46111</v>
      </c>
      <c r="N449" t="s">
        <v>183</v>
      </c>
      <c r="O449">
        <v>554.54</v>
      </c>
      <c r="Q449" t="s">
        <v>213</v>
      </c>
      <c r="R449" s="5">
        <v>45992</v>
      </c>
      <c r="S449" t="s">
        <v>127</v>
      </c>
      <c r="T449">
        <v>884.46</v>
      </c>
      <c r="X449"/>
    </row>
    <row r="450" spans="2:24" ht="18.75" hidden="1">
      <c r="B450">
        <v>24</v>
      </c>
      <c r="C450" s="5">
        <v>46181</v>
      </c>
      <c r="D450" t="s">
        <v>146</v>
      </c>
      <c r="E450">
        <v>675.17</v>
      </c>
      <c r="G450">
        <v>47</v>
      </c>
      <c r="H450" s="5">
        <v>45978</v>
      </c>
      <c r="I450" t="s">
        <v>204</v>
      </c>
      <c r="J450">
        <v>24.95</v>
      </c>
      <c r="L450">
        <v>14</v>
      </c>
      <c r="M450" s="5">
        <v>46111</v>
      </c>
      <c r="N450" t="s">
        <v>184</v>
      </c>
      <c r="O450">
        <v>583.27</v>
      </c>
      <c r="Q450" t="s">
        <v>213</v>
      </c>
      <c r="R450" s="5">
        <v>45992</v>
      </c>
      <c r="S450" t="s">
        <v>126</v>
      </c>
      <c r="T450">
        <v>408.83</v>
      </c>
      <c r="X450"/>
    </row>
    <row r="451" spans="2:24" ht="18.75" hidden="1">
      <c r="B451">
        <v>24</v>
      </c>
      <c r="C451" s="5">
        <v>46181</v>
      </c>
      <c r="D451" t="s">
        <v>148</v>
      </c>
      <c r="E451">
        <v>103.66</v>
      </c>
      <c r="G451">
        <v>48</v>
      </c>
      <c r="H451" s="5">
        <v>45985</v>
      </c>
      <c r="I451" t="s">
        <v>160</v>
      </c>
      <c r="J451">
        <v>3767.28</v>
      </c>
      <c r="L451">
        <v>14</v>
      </c>
      <c r="M451" s="5">
        <v>46111</v>
      </c>
      <c r="N451" t="s">
        <v>185</v>
      </c>
      <c r="O451">
        <v>775.95</v>
      </c>
      <c r="Q451" t="s">
        <v>213</v>
      </c>
      <c r="R451" s="5">
        <v>45992</v>
      </c>
      <c r="S451" t="s">
        <v>141</v>
      </c>
      <c r="T451">
        <v>2286.71</v>
      </c>
      <c r="X451"/>
    </row>
    <row r="452" spans="2:24" ht="18.75" hidden="1">
      <c r="B452">
        <v>24</v>
      </c>
      <c r="C452" s="5">
        <v>46181</v>
      </c>
      <c r="D452" t="s">
        <v>147</v>
      </c>
      <c r="E452">
        <v>377.18</v>
      </c>
      <c r="G452">
        <v>48</v>
      </c>
      <c r="H452" s="5">
        <v>45985</v>
      </c>
      <c r="I452" t="s">
        <v>158</v>
      </c>
      <c r="J452">
        <v>307.04000000000002</v>
      </c>
      <c r="L452">
        <v>15</v>
      </c>
      <c r="M452" s="5">
        <v>46118</v>
      </c>
      <c r="N452" t="s">
        <v>178</v>
      </c>
      <c r="O452">
        <v>1779.05</v>
      </c>
      <c r="Q452" t="s">
        <v>213</v>
      </c>
      <c r="R452" s="5">
        <v>45992</v>
      </c>
      <c r="S452" t="s">
        <v>111</v>
      </c>
      <c r="T452">
        <v>695.44</v>
      </c>
      <c r="X452"/>
    </row>
    <row r="453" spans="2:24" ht="18.75" hidden="1">
      <c r="B453">
        <v>24</v>
      </c>
      <c r="C453" s="5">
        <v>46181</v>
      </c>
      <c r="D453" t="s">
        <v>150</v>
      </c>
      <c r="E453">
        <v>91.4</v>
      </c>
      <c r="G453">
        <v>48</v>
      </c>
      <c r="H453" s="5">
        <v>45985</v>
      </c>
      <c r="I453" t="s">
        <v>165</v>
      </c>
      <c r="J453">
        <v>852.3</v>
      </c>
      <c r="L453">
        <v>15</v>
      </c>
      <c r="M453" s="5">
        <v>46118</v>
      </c>
      <c r="N453" t="s">
        <v>179</v>
      </c>
      <c r="O453">
        <v>2592.0300000000002</v>
      </c>
      <c r="Q453" t="s">
        <v>213</v>
      </c>
      <c r="R453" s="5">
        <v>45992</v>
      </c>
      <c r="S453" t="s">
        <v>114</v>
      </c>
      <c r="T453">
        <v>1120.8399999999999</v>
      </c>
      <c r="X453"/>
    </row>
    <row r="454" spans="2:24" ht="18.75" hidden="1">
      <c r="B454">
        <v>24</v>
      </c>
      <c r="C454" s="5">
        <v>46181</v>
      </c>
      <c r="D454" t="s">
        <v>151</v>
      </c>
      <c r="E454">
        <v>725.05</v>
      </c>
      <c r="G454">
        <v>48</v>
      </c>
      <c r="H454" s="5">
        <v>45985</v>
      </c>
      <c r="I454" t="s">
        <v>171</v>
      </c>
      <c r="J454">
        <v>694.62</v>
      </c>
      <c r="L454">
        <v>15</v>
      </c>
      <c r="M454" s="5">
        <v>46118</v>
      </c>
      <c r="N454" t="s">
        <v>180</v>
      </c>
      <c r="O454">
        <v>203.2</v>
      </c>
      <c r="Q454" t="s">
        <v>213</v>
      </c>
      <c r="R454" s="5">
        <v>45992</v>
      </c>
      <c r="S454" t="s">
        <v>117</v>
      </c>
      <c r="T454">
        <v>880.78</v>
      </c>
      <c r="X454"/>
    </row>
    <row r="455" spans="2:24" ht="18.75" hidden="1">
      <c r="B455">
        <v>24</v>
      </c>
      <c r="C455" s="5">
        <v>46181</v>
      </c>
      <c r="D455" t="s">
        <v>119</v>
      </c>
      <c r="E455">
        <v>241.52</v>
      </c>
      <c r="G455">
        <v>48</v>
      </c>
      <c r="H455" s="5">
        <v>45985</v>
      </c>
      <c r="I455" t="s">
        <v>174</v>
      </c>
      <c r="J455">
        <v>309.32</v>
      </c>
      <c r="L455">
        <v>15</v>
      </c>
      <c r="M455" s="5">
        <v>46118</v>
      </c>
      <c r="N455" t="s">
        <v>181</v>
      </c>
      <c r="O455">
        <v>1358.42</v>
      </c>
      <c r="Q455" t="s">
        <v>213</v>
      </c>
      <c r="R455" s="5">
        <v>45992</v>
      </c>
      <c r="S455" t="s">
        <v>119</v>
      </c>
      <c r="T455">
        <v>1530.6</v>
      </c>
      <c r="X455"/>
    </row>
    <row r="456" spans="2:24" ht="18.75" hidden="1">
      <c r="B456">
        <v>24</v>
      </c>
      <c r="C456" s="5">
        <v>46181</v>
      </c>
      <c r="D456" t="s">
        <v>129</v>
      </c>
      <c r="E456">
        <v>351.18</v>
      </c>
      <c r="G456">
        <v>48</v>
      </c>
      <c r="H456" s="5">
        <v>45985</v>
      </c>
      <c r="I456" t="s">
        <v>169</v>
      </c>
      <c r="J456">
        <v>1871.45</v>
      </c>
      <c r="L456">
        <v>15</v>
      </c>
      <c r="M456" s="5">
        <v>46118</v>
      </c>
      <c r="N456" t="s">
        <v>182</v>
      </c>
      <c r="O456">
        <v>1405.89</v>
      </c>
      <c r="Q456" t="s">
        <v>213</v>
      </c>
      <c r="R456" s="5">
        <v>45992</v>
      </c>
      <c r="S456" t="s">
        <v>120</v>
      </c>
      <c r="T456">
        <v>577.19000000000005</v>
      </c>
      <c r="X456"/>
    </row>
    <row r="457" spans="2:24" ht="18.75" hidden="1">
      <c r="B457">
        <v>24</v>
      </c>
      <c r="C457" s="5">
        <v>46181</v>
      </c>
      <c r="D457" t="s">
        <v>216</v>
      </c>
      <c r="E457">
        <v>466.65</v>
      </c>
      <c r="G457">
        <v>48</v>
      </c>
      <c r="H457" s="5">
        <v>45985</v>
      </c>
      <c r="I457" t="s">
        <v>170</v>
      </c>
      <c r="J457">
        <v>72</v>
      </c>
      <c r="L457">
        <v>15</v>
      </c>
      <c r="M457" s="5">
        <v>46118</v>
      </c>
      <c r="N457" t="s">
        <v>183</v>
      </c>
      <c r="O457">
        <v>325.64999999999998</v>
      </c>
      <c r="Q457" t="s">
        <v>213</v>
      </c>
      <c r="R457" s="5">
        <v>45992</v>
      </c>
      <c r="S457" t="s">
        <v>129</v>
      </c>
      <c r="T457">
        <v>1748.55</v>
      </c>
      <c r="X457"/>
    </row>
    <row r="458" spans="2:24" ht="18.75" hidden="1">
      <c r="B458">
        <v>24</v>
      </c>
      <c r="C458" s="5">
        <v>46181</v>
      </c>
      <c r="D458" t="s">
        <v>127</v>
      </c>
      <c r="E458">
        <v>249.54</v>
      </c>
      <c r="G458">
        <v>48</v>
      </c>
      <c r="H458" s="5">
        <v>45985</v>
      </c>
      <c r="I458" t="s">
        <v>176</v>
      </c>
      <c r="J458">
        <v>162.4</v>
      </c>
      <c r="L458">
        <v>15</v>
      </c>
      <c r="M458" s="5">
        <v>46118</v>
      </c>
      <c r="N458" t="s">
        <v>184</v>
      </c>
      <c r="O458">
        <v>345.83</v>
      </c>
      <c r="Q458" t="s">
        <v>213</v>
      </c>
      <c r="R458" s="5">
        <v>45992</v>
      </c>
      <c r="S458" t="s">
        <v>133</v>
      </c>
      <c r="T458">
        <v>1077.58</v>
      </c>
      <c r="X458"/>
    </row>
    <row r="459" spans="2:24" ht="18.75" hidden="1">
      <c r="B459">
        <v>24</v>
      </c>
      <c r="C459" s="5">
        <v>46181</v>
      </c>
      <c r="D459" t="s">
        <v>115</v>
      </c>
      <c r="E459">
        <v>423.18</v>
      </c>
      <c r="G459">
        <v>48</v>
      </c>
      <c r="H459" s="5">
        <v>45985</v>
      </c>
      <c r="I459" t="s">
        <v>164</v>
      </c>
      <c r="J459">
        <v>18</v>
      </c>
      <c r="L459">
        <v>15</v>
      </c>
      <c r="M459" s="5">
        <v>46118</v>
      </c>
      <c r="N459" t="s">
        <v>185</v>
      </c>
      <c r="O459">
        <v>845.7</v>
      </c>
      <c r="Q459" t="s">
        <v>213</v>
      </c>
      <c r="R459" s="5">
        <v>45992</v>
      </c>
      <c r="S459" t="s">
        <v>134</v>
      </c>
      <c r="T459">
        <v>1122.75</v>
      </c>
      <c r="X459"/>
    </row>
    <row r="460" spans="2:24" ht="18.75" hidden="1">
      <c r="B460">
        <v>24</v>
      </c>
      <c r="C460" s="5">
        <v>46181</v>
      </c>
      <c r="D460" t="s">
        <v>217</v>
      </c>
      <c r="E460">
        <v>161.02000000000001</v>
      </c>
      <c r="G460">
        <v>48</v>
      </c>
      <c r="H460" s="5">
        <v>45985</v>
      </c>
      <c r="I460" t="s">
        <v>163</v>
      </c>
      <c r="J460">
        <v>334.11</v>
      </c>
      <c r="L460">
        <v>16</v>
      </c>
      <c r="M460" s="5">
        <v>46125</v>
      </c>
      <c r="N460" t="s">
        <v>178</v>
      </c>
      <c r="O460">
        <v>1887.17</v>
      </c>
      <c r="Q460" t="s">
        <v>213</v>
      </c>
      <c r="R460" s="5">
        <v>45992</v>
      </c>
      <c r="S460" t="s">
        <v>138</v>
      </c>
      <c r="T460">
        <v>1840.16</v>
      </c>
      <c r="X460"/>
    </row>
    <row r="461" spans="2:24" ht="18.75" hidden="1">
      <c r="B461">
        <v>25</v>
      </c>
      <c r="C461" s="5">
        <v>46188</v>
      </c>
      <c r="D461" t="s">
        <v>217</v>
      </c>
      <c r="E461">
        <v>81.52</v>
      </c>
      <c r="G461">
        <v>48</v>
      </c>
      <c r="H461" s="5">
        <v>45985</v>
      </c>
      <c r="I461" t="s">
        <v>168</v>
      </c>
      <c r="J461">
        <v>413.8</v>
      </c>
      <c r="L461">
        <v>16</v>
      </c>
      <c r="M461" s="5">
        <v>46125</v>
      </c>
      <c r="N461" t="s">
        <v>179</v>
      </c>
      <c r="O461">
        <v>3057.45</v>
      </c>
      <c r="Q461" t="s">
        <v>213</v>
      </c>
      <c r="R461" s="5">
        <v>45992</v>
      </c>
      <c r="S461" t="s">
        <v>145</v>
      </c>
      <c r="T461">
        <v>1044.42</v>
      </c>
      <c r="X461"/>
    </row>
    <row r="462" spans="2:24" ht="18.75" hidden="1">
      <c r="B462">
        <v>25</v>
      </c>
      <c r="C462" s="5">
        <v>46188</v>
      </c>
      <c r="D462" t="s">
        <v>112</v>
      </c>
      <c r="E462">
        <v>47.31</v>
      </c>
      <c r="G462">
        <v>48</v>
      </c>
      <c r="H462" s="5">
        <v>45985</v>
      </c>
      <c r="I462" t="s">
        <v>172</v>
      </c>
      <c r="J462">
        <v>91.54</v>
      </c>
      <c r="L462">
        <v>16</v>
      </c>
      <c r="M462" s="5">
        <v>46125</v>
      </c>
      <c r="N462" t="s">
        <v>180</v>
      </c>
      <c r="O462">
        <v>141.6</v>
      </c>
      <c r="Q462" t="s">
        <v>213</v>
      </c>
      <c r="R462" s="5">
        <v>45992</v>
      </c>
      <c r="S462" t="s">
        <v>146</v>
      </c>
      <c r="T462">
        <v>2206.3000000000002</v>
      </c>
      <c r="X462"/>
    </row>
    <row r="463" spans="2:24" ht="18.75" hidden="1">
      <c r="B463">
        <v>25</v>
      </c>
      <c r="C463" s="5">
        <v>46188</v>
      </c>
      <c r="D463" t="s">
        <v>114</v>
      </c>
      <c r="E463">
        <v>299.3</v>
      </c>
      <c r="G463">
        <v>48</v>
      </c>
      <c r="H463" s="5">
        <v>45985</v>
      </c>
      <c r="I463" t="s">
        <v>173</v>
      </c>
      <c r="J463">
        <v>510.95</v>
      </c>
      <c r="L463">
        <v>16</v>
      </c>
      <c r="M463" s="5">
        <v>46125</v>
      </c>
      <c r="N463" t="s">
        <v>181</v>
      </c>
      <c r="O463">
        <v>1602.25</v>
      </c>
      <c r="Q463" t="s">
        <v>213</v>
      </c>
      <c r="R463" s="5">
        <v>45992</v>
      </c>
      <c r="S463" t="s">
        <v>148</v>
      </c>
      <c r="T463">
        <v>572.15</v>
      </c>
      <c r="X463"/>
    </row>
    <row r="464" spans="2:24" ht="18.75" hidden="1">
      <c r="B464">
        <v>25</v>
      </c>
      <c r="C464" s="5">
        <v>46188</v>
      </c>
      <c r="D464" t="s">
        <v>117</v>
      </c>
      <c r="E464">
        <v>264.06</v>
      </c>
      <c r="G464">
        <v>48</v>
      </c>
      <c r="H464" s="5">
        <v>45985</v>
      </c>
      <c r="I464" t="s">
        <v>175</v>
      </c>
      <c r="J464">
        <v>96.8</v>
      </c>
      <c r="L464">
        <v>16</v>
      </c>
      <c r="M464" s="5">
        <v>46125</v>
      </c>
      <c r="N464" t="s">
        <v>182</v>
      </c>
      <c r="O464">
        <v>1878.44</v>
      </c>
      <c r="Q464" t="s">
        <v>213</v>
      </c>
      <c r="R464" s="5">
        <v>45992</v>
      </c>
      <c r="S464" t="s">
        <v>151</v>
      </c>
      <c r="T464">
        <v>1784.71</v>
      </c>
      <c r="X464"/>
    </row>
    <row r="465" spans="2:24" ht="18.75" hidden="1">
      <c r="B465">
        <v>25</v>
      </c>
      <c r="C465" s="5">
        <v>46188</v>
      </c>
      <c r="D465" t="s">
        <v>118</v>
      </c>
      <c r="E465">
        <v>164.28</v>
      </c>
      <c r="G465">
        <v>48</v>
      </c>
      <c r="H465" s="5">
        <v>45985</v>
      </c>
      <c r="I465" t="s">
        <v>198</v>
      </c>
      <c r="J465">
        <v>473.6</v>
      </c>
      <c r="L465">
        <v>16</v>
      </c>
      <c r="M465" s="5">
        <v>46125</v>
      </c>
      <c r="N465" t="s">
        <v>183</v>
      </c>
      <c r="O465">
        <v>388.65</v>
      </c>
      <c r="Q465" t="s">
        <v>213</v>
      </c>
      <c r="R465" s="5">
        <v>45992</v>
      </c>
      <c r="S465" t="s">
        <v>112</v>
      </c>
      <c r="T465">
        <v>302.2</v>
      </c>
      <c r="X465"/>
    </row>
    <row r="466" spans="2:24" ht="18.75" hidden="1">
      <c r="B466">
        <v>25</v>
      </c>
      <c r="C466" s="5">
        <v>46188</v>
      </c>
      <c r="D466" t="s">
        <v>120</v>
      </c>
      <c r="E466">
        <v>90.19</v>
      </c>
      <c r="G466">
        <v>49</v>
      </c>
      <c r="H466" s="5">
        <v>45992</v>
      </c>
      <c r="I466" t="s">
        <v>160</v>
      </c>
      <c r="J466">
        <v>4331.3</v>
      </c>
      <c r="L466">
        <v>16</v>
      </c>
      <c r="M466" s="5">
        <v>46125</v>
      </c>
      <c r="N466" t="s">
        <v>184</v>
      </c>
      <c r="O466">
        <v>503.17</v>
      </c>
      <c r="Q466" t="s">
        <v>213</v>
      </c>
      <c r="R466" s="5">
        <v>45992</v>
      </c>
      <c r="S466" t="s">
        <v>116</v>
      </c>
      <c r="T466">
        <v>384.12</v>
      </c>
      <c r="X466"/>
    </row>
    <row r="467" spans="2:24" ht="18.75" hidden="1">
      <c r="B467">
        <v>25</v>
      </c>
      <c r="C467" s="5">
        <v>46188</v>
      </c>
      <c r="D467" t="s">
        <v>121</v>
      </c>
      <c r="E467">
        <v>139.53</v>
      </c>
      <c r="G467">
        <v>49</v>
      </c>
      <c r="H467" s="5">
        <v>45992</v>
      </c>
      <c r="I467" t="s">
        <v>165</v>
      </c>
      <c r="J467">
        <v>186</v>
      </c>
      <c r="L467">
        <v>16</v>
      </c>
      <c r="M467" s="5">
        <v>46125</v>
      </c>
      <c r="N467" t="s">
        <v>185</v>
      </c>
      <c r="O467">
        <v>858.85</v>
      </c>
      <c r="Q467" t="s">
        <v>213</v>
      </c>
      <c r="R467" s="5">
        <v>45992</v>
      </c>
      <c r="S467" t="s">
        <v>121</v>
      </c>
      <c r="T467">
        <v>466.45</v>
      </c>
      <c r="X467"/>
    </row>
    <row r="468" spans="2:24" ht="18.75" hidden="1">
      <c r="B468">
        <v>25</v>
      </c>
      <c r="C468" s="5">
        <v>46188</v>
      </c>
      <c r="D468" t="s">
        <v>122</v>
      </c>
      <c r="E468">
        <v>271.89</v>
      </c>
      <c r="G468">
        <v>49</v>
      </c>
      <c r="H468" s="5">
        <v>45992</v>
      </c>
      <c r="I468" t="s">
        <v>171</v>
      </c>
      <c r="J468">
        <v>749.14</v>
      </c>
      <c r="L468">
        <v>17</v>
      </c>
      <c r="M468" s="5">
        <v>46132</v>
      </c>
      <c r="N468" t="s">
        <v>178</v>
      </c>
      <c r="O468">
        <v>2460.15</v>
      </c>
      <c r="Q468" t="s">
        <v>213</v>
      </c>
      <c r="R468" s="5">
        <v>45992</v>
      </c>
      <c r="S468" t="s">
        <v>122</v>
      </c>
      <c r="T468">
        <v>985.4</v>
      </c>
      <c r="X468"/>
    </row>
    <row r="469" spans="2:24" ht="18.75" hidden="1">
      <c r="B469">
        <v>25</v>
      </c>
      <c r="C469" s="5">
        <v>46188</v>
      </c>
      <c r="D469" t="s">
        <v>123</v>
      </c>
      <c r="E469">
        <v>398.49</v>
      </c>
      <c r="G469">
        <v>49</v>
      </c>
      <c r="H469" s="5">
        <v>45992</v>
      </c>
      <c r="I469" t="s">
        <v>198</v>
      </c>
      <c r="J469">
        <v>1132.5</v>
      </c>
      <c r="L469">
        <v>17</v>
      </c>
      <c r="M469" s="5">
        <v>46132</v>
      </c>
      <c r="N469" t="s">
        <v>179</v>
      </c>
      <c r="O469">
        <v>3471.96</v>
      </c>
      <c r="Q469" t="s">
        <v>213</v>
      </c>
      <c r="R469" s="5">
        <v>45992</v>
      </c>
      <c r="S469" t="s">
        <v>125</v>
      </c>
      <c r="T469">
        <v>265.22000000000003</v>
      </c>
      <c r="X469"/>
    </row>
    <row r="470" spans="2:24" ht="18.75" hidden="1">
      <c r="B470">
        <v>25</v>
      </c>
      <c r="C470" s="5">
        <v>46188</v>
      </c>
      <c r="D470" t="s">
        <v>124</v>
      </c>
      <c r="E470">
        <v>379.14</v>
      </c>
      <c r="G470">
        <v>49</v>
      </c>
      <c r="H470" s="5">
        <v>45992</v>
      </c>
      <c r="I470" t="s">
        <v>169</v>
      </c>
      <c r="J470">
        <v>2231.5</v>
      </c>
      <c r="L470">
        <v>17</v>
      </c>
      <c r="M470" s="5">
        <v>46132</v>
      </c>
      <c r="N470" t="s">
        <v>180</v>
      </c>
      <c r="O470">
        <v>84</v>
      </c>
      <c r="Q470" t="s">
        <v>213</v>
      </c>
      <c r="R470" s="5">
        <v>45992</v>
      </c>
      <c r="S470" t="s">
        <v>128</v>
      </c>
      <c r="T470">
        <v>249.67</v>
      </c>
      <c r="X470"/>
    </row>
    <row r="471" spans="2:24" ht="18.75" hidden="1">
      <c r="B471">
        <v>25</v>
      </c>
      <c r="C471" s="5">
        <v>46188</v>
      </c>
      <c r="D471" t="s">
        <v>125</v>
      </c>
      <c r="E471">
        <v>84.1</v>
      </c>
      <c r="G471">
        <v>49</v>
      </c>
      <c r="H471" s="5">
        <v>45992</v>
      </c>
      <c r="I471" t="s">
        <v>170</v>
      </c>
      <c r="J471">
        <v>16</v>
      </c>
      <c r="L471">
        <v>17</v>
      </c>
      <c r="M471" s="5">
        <v>46132</v>
      </c>
      <c r="N471" t="s">
        <v>181</v>
      </c>
      <c r="O471">
        <v>1954.98</v>
      </c>
      <c r="Q471" t="s">
        <v>213</v>
      </c>
      <c r="R471" s="5">
        <v>45992</v>
      </c>
      <c r="S471" t="s">
        <v>132</v>
      </c>
      <c r="T471">
        <v>875.6</v>
      </c>
      <c r="X471"/>
    </row>
    <row r="472" spans="2:24" ht="18.75" hidden="1">
      <c r="B472">
        <v>25</v>
      </c>
      <c r="C472" s="5">
        <v>46188</v>
      </c>
      <c r="D472" t="s">
        <v>126</v>
      </c>
      <c r="E472">
        <v>222.97</v>
      </c>
      <c r="G472">
        <v>49</v>
      </c>
      <c r="H472" s="5">
        <v>45992</v>
      </c>
      <c r="I472" t="s">
        <v>164</v>
      </c>
      <c r="J472">
        <v>18</v>
      </c>
      <c r="L472">
        <v>17</v>
      </c>
      <c r="M472" s="5">
        <v>46132</v>
      </c>
      <c r="N472" t="s">
        <v>182</v>
      </c>
      <c r="O472">
        <v>2028.45</v>
      </c>
      <c r="Q472" t="s">
        <v>213</v>
      </c>
      <c r="R472" s="5">
        <v>45992</v>
      </c>
      <c r="S472" t="s">
        <v>135</v>
      </c>
      <c r="T472">
        <v>278.87</v>
      </c>
      <c r="X472"/>
    </row>
    <row r="473" spans="2:24" ht="18.75" hidden="1">
      <c r="B473">
        <v>25</v>
      </c>
      <c r="C473" s="5">
        <v>46188</v>
      </c>
      <c r="D473" t="s">
        <v>128</v>
      </c>
      <c r="E473">
        <v>217.88</v>
      </c>
      <c r="G473">
        <v>49</v>
      </c>
      <c r="H473" s="5">
        <v>45992</v>
      </c>
      <c r="I473" t="s">
        <v>176</v>
      </c>
      <c r="J473">
        <v>107.68</v>
      </c>
      <c r="L473">
        <v>17</v>
      </c>
      <c r="M473" s="5">
        <v>46132</v>
      </c>
      <c r="N473" t="s">
        <v>183</v>
      </c>
      <c r="O473">
        <v>589.15</v>
      </c>
      <c r="Q473" t="s">
        <v>213</v>
      </c>
      <c r="R473" s="5">
        <v>45992</v>
      </c>
      <c r="S473" t="s">
        <v>136</v>
      </c>
      <c r="T473">
        <v>421.31</v>
      </c>
      <c r="X473"/>
    </row>
    <row r="474" spans="2:24" ht="18.75" hidden="1">
      <c r="B474">
        <v>25</v>
      </c>
      <c r="C474" s="5">
        <v>46188</v>
      </c>
      <c r="D474" t="s">
        <v>129</v>
      </c>
      <c r="E474">
        <v>334.52</v>
      </c>
      <c r="G474">
        <v>49</v>
      </c>
      <c r="H474" s="5">
        <v>45992</v>
      </c>
      <c r="I474" t="s">
        <v>163</v>
      </c>
      <c r="J474">
        <v>321.20999999999998</v>
      </c>
      <c r="L474">
        <v>17</v>
      </c>
      <c r="M474" s="5">
        <v>46132</v>
      </c>
      <c r="N474" t="s">
        <v>184</v>
      </c>
      <c r="O474">
        <v>552.08000000000004</v>
      </c>
      <c r="Q474" t="s">
        <v>213</v>
      </c>
      <c r="R474" s="5">
        <v>45992</v>
      </c>
      <c r="S474" t="s">
        <v>137</v>
      </c>
      <c r="T474">
        <v>295.58</v>
      </c>
      <c r="X474"/>
    </row>
    <row r="475" spans="2:24" ht="18.75" hidden="1">
      <c r="B475">
        <v>25</v>
      </c>
      <c r="C475" s="5">
        <v>46188</v>
      </c>
      <c r="D475" t="s">
        <v>130</v>
      </c>
      <c r="E475">
        <v>363.06</v>
      </c>
      <c r="G475">
        <v>49</v>
      </c>
      <c r="H475" s="5">
        <v>45992</v>
      </c>
      <c r="I475" t="s">
        <v>168</v>
      </c>
      <c r="J475">
        <v>345.48</v>
      </c>
      <c r="L475">
        <v>17</v>
      </c>
      <c r="M475" s="5">
        <v>46132</v>
      </c>
      <c r="N475" t="s">
        <v>185</v>
      </c>
      <c r="O475">
        <v>991.65</v>
      </c>
      <c r="Q475" t="s">
        <v>213</v>
      </c>
      <c r="R475" s="5">
        <v>45992</v>
      </c>
      <c r="S475" t="s">
        <v>140</v>
      </c>
      <c r="T475">
        <v>324.69</v>
      </c>
      <c r="X475"/>
    </row>
    <row r="476" spans="2:24" ht="18.75" hidden="1">
      <c r="B476">
        <v>25</v>
      </c>
      <c r="C476" s="5">
        <v>46188</v>
      </c>
      <c r="D476" t="s">
        <v>131</v>
      </c>
      <c r="E476">
        <v>247.38</v>
      </c>
      <c r="G476">
        <v>49</v>
      </c>
      <c r="H476" s="5">
        <v>45992</v>
      </c>
      <c r="I476" t="s">
        <v>172</v>
      </c>
      <c r="J476">
        <v>65.67</v>
      </c>
      <c r="L476">
        <v>17</v>
      </c>
      <c r="M476" s="5">
        <v>46132</v>
      </c>
      <c r="N476" t="s">
        <v>202</v>
      </c>
      <c r="O476">
        <v>184.05</v>
      </c>
      <c r="Q476" t="s">
        <v>213</v>
      </c>
      <c r="R476" s="5">
        <v>45992</v>
      </c>
      <c r="S476" t="s">
        <v>142</v>
      </c>
      <c r="T476">
        <v>555.54</v>
      </c>
      <c r="X476"/>
    </row>
    <row r="477" spans="2:24" ht="18.75" hidden="1">
      <c r="B477">
        <v>25</v>
      </c>
      <c r="C477" s="5">
        <v>46188</v>
      </c>
      <c r="D477" t="s">
        <v>132</v>
      </c>
      <c r="E477">
        <v>189.93</v>
      </c>
      <c r="G477">
        <v>49</v>
      </c>
      <c r="H477" s="5">
        <v>45992</v>
      </c>
      <c r="I477" t="s">
        <v>173</v>
      </c>
      <c r="J477">
        <v>820.9</v>
      </c>
      <c r="L477">
        <v>18</v>
      </c>
      <c r="M477" s="5">
        <v>46139</v>
      </c>
      <c r="N477" t="s">
        <v>178</v>
      </c>
      <c r="O477">
        <v>1892.1</v>
      </c>
      <c r="Q477" t="s">
        <v>213</v>
      </c>
      <c r="R477" s="5">
        <v>45992</v>
      </c>
      <c r="S477" t="s">
        <v>149</v>
      </c>
      <c r="T477">
        <v>602.54</v>
      </c>
      <c r="X477"/>
    </row>
    <row r="478" spans="2:24" ht="18.75" hidden="1">
      <c r="B478">
        <v>25</v>
      </c>
      <c r="C478" s="5">
        <v>46188</v>
      </c>
      <c r="D478" t="s">
        <v>133</v>
      </c>
      <c r="E478">
        <v>358.79</v>
      </c>
      <c r="G478">
        <v>49</v>
      </c>
      <c r="H478" s="5">
        <v>45992</v>
      </c>
      <c r="I478" t="s">
        <v>175</v>
      </c>
      <c r="J478">
        <v>335.25</v>
      </c>
      <c r="L478">
        <v>18</v>
      </c>
      <c r="M478" s="5">
        <v>46139</v>
      </c>
      <c r="N478" t="s">
        <v>179</v>
      </c>
      <c r="O478">
        <v>3065.82</v>
      </c>
      <c r="Q478" t="s">
        <v>213</v>
      </c>
      <c r="R478" s="5">
        <v>45992</v>
      </c>
      <c r="S478" t="s">
        <v>150</v>
      </c>
      <c r="T478">
        <v>345.73</v>
      </c>
      <c r="X478"/>
    </row>
    <row r="479" spans="2:24" ht="18.75" hidden="1">
      <c r="B479">
        <v>25</v>
      </c>
      <c r="C479" s="5">
        <v>46188</v>
      </c>
      <c r="D479" t="s">
        <v>134</v>
      </c>
      <c r="E479">
        <v>371.38</v>
      </c>
      <c r="G479">
        <v>49</v>
      </c>
      <c r="H479" s="5">
        <v>45992</v>
      </c>
      <c r="I479" t="s">
        <v>174</v>
      </c>
      <c r="J479">
        <v>487.91</v>
      </c>
      <c r="L479">
        <v>18</v>
      </c>
      <c r="M479" s="5">
        <v>46139</v>
      </c>
      <c r="N479" t="s">
        <v>180</v>
      </c>
      <c r="O479">
        <v>182.25</v>
      </c>
      <c r="Q479" t="s">
        <v>213</v>
      </c>
      <c r="R479" s="5">
        <v>45992</v>
      </c>
      <c r="S479" t="s">
        <v>220</v>
      </c>
      <c r="T479">
        <v>425.36</v>
      </c>
      <c r="X479"/>
    </row>
    <row r="480" spans="2:24" ht="18.75" hidden="1">
      <c r="B480">
        <v>25</v>
      </c>
      <c r="C480" s="5">
        <v>46188</v>
      </c>
      <c r="D480" t="s">
        <v>136</v>
      </c>
      <c r="E480">
        <v>122.4</v>
      </c>
      <c r="G480">
        <v>49</v>
      </c>
      <c r="H480" s="5">
        <v>45992</v>
      </c>
      <c r="I480" t="s">
        <v>158</v>
      </c>
      <c r="J480">
        <v>383.8</v>
      </c>
      <c r="L480">
        <v>18</v>
      </c>
      <c r="M480" s="5">
        <v>46139</v>
      </c>
      <c r="N480" t="s">
        <v>181</v>
      </c>
      <c r="O480">
        <v>1626.6</v>
      </c>
      <c r="Q480" t="s">
        <v>214</v>
      </c>
      <c r="R480" s="5">
        <v>45658</v>
      </c>
      <c r="S480" t="s">
        <v>111</v>
      </c>
      <c r="T480">
        <v>676.72</v>
      </c>
      <c r="X480"/>
    </row>
    <row r="481" spans="2:24" ht="18.75" hidden="1">
      <c r="B481">
        <v>25</v>
      </c>
      <c r="C481" s="5">
        <v>46188</v>
      </c>
      <c r="D481" t="s">
        <v>137</v>
      </c>
      <c r="E481">
        <v>104.99</v>
      </c>
      <c r="G481">
        <v>50</v>
      </c>
      <c r="H481" s="5">
        <v>45999</v>
      </c>
      <c r="I481" t="s">
        <v>160</v>
      </c>
      <c r="J481">
        <v>4415.1400000000003</v>
      </c>
      <c r="L481">
        <v>18</v>
      </c>
      <c r="M481" s="5">
        <v>46139</v>
      </c>
      <c r="N481" t="s">
        <v>182</v>
      </c>
      <c r="O481">
        <v>1577.4</v>
      </c>
      <c r="Q481" t="s">
        <v>214</v>
      </c>
      <c r="R481" s="5">
        <v>45658</v>
      </c>
      <c r="S481" t="s">
        <v>112</v>
      </c>
      <c r="T481">
        <v>352.06</v>
      </c>
      <c r="X481"/>
    </row>
    <row r="482" spans="2:24" ht="18.75" hidden="1">
      <c r="B482">
        <v>25</v>
      </c>
      <c r="C482" s="5">
        <v>46188</v>
      </c>
      <c r="D482" t="s">
        <v>138</v>
      </c>
      <c r="E482">
        <v>430.66</v>
      </c>
      <c r="G482">
        <v>50</v>
      </c>
      <c r="H482" s="5">
        <v>45999</v>
      </c>
      <c r="I482" t="s">
        <v>198</v>
      </c>
      <c r="J482">
        <v>1855.42</v>
      </c>
      <c r="L482">
        <v>18</v>
      </c>
      <c r="M482" s="5">
        <v>46139</v>
      </c>
      <c r="N482" t="s">
        <v>183</v>
      </c>
      <c r="O482">
        <v>920.65</v>
      </c>
      <c r="Q482" t="s">
        <v>214</v>
      </c>
      <c r="R482" s="5">
        <v>45658</v>
      </c>
      <c r="S482" t="s">
        <v>113</v>
      </c>
      <c r="T482">
        <v>894.22</v>
      </c>
      <c r="X482"/>
    </row>
    <row r="483" spans="2:24" ht="18.75" hidden="1">
      <c r="B483">
        <v>25</v>
      </c>
      <c r="C483" s="5">
        <v>46188</v>
      </c>
      <c r="D483" t="s">
        <v>141</v>
      </c>
      <c r="E483">
        <v>460.62</v>
      </c>
      <c r="G483">
        <v>50</v>
      </c>
      <c r="H483" s="5">
        <v>45999</v>
      </c>
      <c r="I483" t="s">
        <v>158</v>
      </c>
      <c r="J483">
        <v>618.12</v>
      </c>
      <c r="L483">
        <v>18</v>
      </c>
      <c r="M483" s="5">
        <v>46139</v>
      </c>
      <c r="N483" t="s">
        <v>184</v>
      </c>
      <c r="O483">
        <v>799.3</v>
      </c>
      <c r="Q483" t="s">
        <v>214</v>
      </c>
      <c r="R483" s="5">
        <v>45658</v>
      </c>
      <c r="S483" t="s">
        <v>114</v>
      </c>
      <c r="T483">
        <v>979.11</v>
      </c>
      <c r="X483"/>
    </row>
    <row r="484" spans="2:24" ht="18.75" hidden="1">
      <c r="B484">
        <v>25</v>
      </c>
      <c r="C484" s="5">
        <v>46188</v>
      </c>
      <c r="D484" t="s">
        <v>142</v>
      </c>
      <c r="E484">
        <v>124.79</v>
      </c>
      <c r="G484">
        <v>50</v>
      </c>
      <c r="H484" s="5">
        <v>45999</v>
      </c>
      <c r="I484" t="s">
        <v>165</v>
      </c>
      <c r="J484">
        <v>356.8</v>
      </c>
      <c r="L484">
        <v>18</v>
      </c>
      <c r="M484" s="5">
        <v>46139</v>
      </c>
      <c r="N484" t="s">
        <v>185</v>
      </c>
      <c r="O484">
        <v>684</v>
      </c>
      <c r="Q484" t="s">
        <v>214</v>
      </c>
      <c r="R484" s="5">
        <v>45658</v>
      </c>
      <c r="S484" t="s">
        <v>117</v>
      </c>
      <c r="T484">
        <v>799.05</v>
      </c>
      <c r="X484"/>
    </row>
    <row r="485" spans="2:24" ht="18.75" hidden="1">
      <c r="B485">
        <v>25</v>
      </c>
      <c r="C485" s="5">
        <v>46188</v>
      </c>
      <c r="D485" t="s">
        <v>139</v>
      </c>
      <c r="E485">
        <v>234.85</v>
      </c>
      <c r="G485">
        <v>50</v>
      </c>
      <c r="H485" s="5">
        <v>45999</v>
      </c>
      <c r="I485" t="s">
        <v>171</v>
      </c>
      <c r="J485">
        <v>463.32</v>
      </c>
      <c r="L485">
        <v>19</v>
      </c>
      <c r="M485" s="5">
        <v>46146</v>
      </c>
      <c r="N485" t="s">
        <v>178</v>
      </c>
      <c r="O485">
        <v>1404.2</v>
      </c>
      <c r="Q485" t="s">
        <v>214</v>
      </c>
      <c r="R485" s="5">
        <v>45658</v>
      </c>
      <c r="S485" t="s">
        <v>118</v>
      </c>
      <c r="T485">
        <v>618.05999999999995</v>
      </c>
      <c r="X485"/>
    </row>
    <row r="486" spans="2:24" ht="18.75" hidden="1">
      <c r="B486">
        <v>25</v>
      </c>
      <c r="C486" s="5">
        <v>46188</v>
      </c>
      <c r="D486" t="s">
        <v>143</v>
      </c>
      <c r="E486">
        <v>572.04999999999995</v>
      </c>
      <c r="G486">
        <v>50</v>
      </c>
      <c r="H486" s="5">
        <v>45999</v>
      </c>
      <c r="I486" t="s">
        <v>169</v>
      </c>
      <c r="J486">
        <v>1990.28</v>
      </c>
      <c r="L486">
        <v>19</v>
      </c>
      <c r="M486" s="5">
        <v>46146</v>
      </c>
      <c r="N486" t="s">
        <v>179</v>
      </c>
      <c r="O486">
        <v>2016.08</v>
      </c>
      <c r="Q486" t="s">
        <v>214</v>
      </c>
      <c r="R486" s="5">
        <v>45658</v>
      </c>
      <c r="S486" t="s">
        <v>119</v>
      </c>
      <c r="T486">
        <v>1476.24</v>
      </c>
      <c r="X486"/>
    </row>
    <row r="487" spans="2:24" ht="18.75" hidden="1">
      <c r="B487">
        <v>25</v>
      </c>
      <c r="C487" s="5">
        <v>46188</v>
      </c>
      <c r="D487" t="s">
        <v>144</v>
      </c>
      <c r="E487">
        <v>900.94</v>
      </c>
      <c r="G487">
        <v>50</v>
      </c>
      <c r="H487" s="5">
        <v>45999</v>
      </c>
      <c r="I487" t="s">
        <v>176</v>
      </c>
      <c r="J487">
        <v>179.2</v>
      </c>
      <c r="L487">
        <v>19</v>
      </c>
      <c r="M487" s="5">
        <v>46146</v>
      </c>
      <c r="N487" t="s">
        <v>180</v>
      </c>
      <c r="O487">
        <v>107.25</v>
      </c>
      <c r="Q487" t="s">
        <v>214</v>
      </c>
      <c r="R487" s="5">
        <v>45658</v>
      </c>
      <c r="S487" t="s">
        <v>120</v>
      </c>
      <c r="T487">
        <v>557.64</v>
      </c>
      <c r="X487"/>
    </row>
    <row r="488" spans="2:24" ht="18.75" hidden="1">
      <c r="B488">
        <v>25</v>
      </c>
      <c r="C488" s="5">
        <v>46188</v>
      </c>
      <c r="D488" t="s">
        <v>216</v>
      </c>
      <c r="E488">
        <v>499.6</v>
      </c>
      <c r="G488">
        <v>50</v>
      </c>
      <c r="H488" s="5">
        <v>45999</v>
      </c>
      <c r="I488" t="s">
        <v>164</v>
      </c>
      <c r="J488">
        <v>2.4</v>
      </c>
      <c r="L488">
        <v>19</v>
      </c>
      <c r="M488" s="5">
        <v>46146</v>
      </c>
      <c r="N488" t="s">
        <v>181</v>
      </c>
      <c r="O488">
        <v>1440.9</v>
      </c>
      <c r="Q488" t="s">
        <v>214</v>
      </c>
      <c r="R488" s="5">
        <v>45658</v>
      </c>
      <c r="S488" t="s">
        <v>121</v>
      </c>
      <c r="T488">
        <v>364.42</v>
      </c>
      <c r="X488"/>
    </row>
    <row r="489" spans="2:24" ht="18.75" hidden="1">
      <c r="B489">
        <v>25</v>
      </c>
      <c r="C489" s="5">
        <v>46188</v>
      </c>
      <c r="D489" t="s">
        <v>145</v>
      </c>
      <c r="E489">
        <v>181.72</v>
      </c>
      <c r="G489">
        <v>50</v>
      </c>
      <c r="H489" s="5">
        <v>45999</v>
      </c>
      <c r="I489" t="s">
        <v>163</v>
      </c>
      <c r="J489">
        <v>326.37</v>
      </c>
      <c r="L489">
        <v>19</v>
      </c>
      <c r="M489" s="5">
        <v>46146</v>
      </c>
      <c r="N489" t="s">
        <v>182</v>
      </c>
      <c r="O489">
        <v>1141.3499999999999</v>
      </c>
      <c r="Q489" t="s">
        <v>214</v>
      </c>
      <c r="R489" s="5">
        <v>45658</v>
      </c>
      <c r="S489" t="s">
        <v>122</v>
      </c>
      <c r="T489">
        <v>1006.82</v>
      </c>
      <c r="X489"/>
    </row>
    <row r="490" spans="2:24" ht="18.75" hidden="1">
      <c r="B490">
        <v>25</v>
      </c>
      <c r="C490" s="5">
        <v>46188</v>
      </c>
      <c r="D490" t="s">
        <v>146</v>
      </c>
      <c r="E490">
        <v>726.61</v>
      </c>
      <c r="G490">
        <v>50</v>
      </c>
      <c r="H490" s="5">
        <v>45999</v>
      </c>
      <c r="I490" t="s">
        <v>168</v>
      </c>
      <c r="J490">
        <v>350.62</v>
      </c>
      <c r="L490">
        <v>19</v>
      </c>
      <c r="M490" s="5">
        <v>46146</v>
      </c>
      <c r="N490" t="s">
        <v>183</v>
      </c>
      <c r="O490">
        <v>292.2</v>
      </c>
      <c r="Q490" t="s">
        <v>214</v>
      </c>
      <c r="R490" s="5">
        <v>45658</v>
      </c>
      <c r="S490" t="s">
        <v>123</v>
      </c>
      <c r="T490">
        <v>1862.46</v>
      </c>
      <c r="X490"/>
    </row>
    <row r="491" spans="2:24" ht="18.75" hidden="1">
      <c r="B491">
        <v>25</v>
      </c>
      <c r="C491" s="5">
        <v>46188</v>
      </c>
      <c r="D491" t="s">
        <v>148</v>
      </c>
      <c r="E491">
        <v>90.67</v>
      </c>
      <c r="G491">
        <v>50</v>
      </c>
      <c r="H491" s="5">
        <v>45999</v>
      </c>
      <c r="I491" t="s">
        <v>172</v>
      </c>
      <c r="J491">
        <v>105.47</v>
      </c>
      <c r="L491">
        <v>19</v>
      </c>
      <c r="M491" s="5">
        <v>46146</v>
      </c>
      <c r="N491" t="s">
        <v>184</v>
      </c>
      <c r="O491">
        <v>485.1</v>
      </c>
      <c r="Q491" t="s">
        <v>214</v>
      </c>
      <c r="R491" s="5">
        <v>45658</v>
      </c>
      <c r="S491" t="s">
        <v>124</v>
      </c>
      <c r="T491">
        <v>1584.47</v>
      </c>
      <c r="X491"/>
    </row>
    <row r="492" spans="2:24" ht="18.75" hidden="1">
      <c r="B492">
        <v>25</v>
      </c>
      <c r="C492" s="5">
        <v>46188</v>
      </c>
      <c r="D492" t="s">
        <v>147</v>
      </c>
      <c r="E492">
        <v>363.48</v>
      </c>
      <c r="G492">
        <v>50</v>
      </c>
      <c r="H492" s="5">
        <v>45999</v>
      </c>
      <c r="I492" t="s">
        <v>173</v>
      </c>
      <c r="J492">
        <v>786.9</v>
      </c>
      <c r="L492">
        <v>19</v>
      </c>
      <c r="M492" s="5">
        <v>46146</v>
      </c>
      <c r="N492" t="s">
        <v>185</v>
      </c>
      <c r="O492">
        <v>438</v>
      </c>
      <c r="Q492" t="s">
        <v>214</v>
      </c>
      <c r="R492" s="5">
        <v>45658</v>
      </c>
      <c r="S492" t="s">
        <v>126</v>
      </c>
      <c r="T492">
        <v>647.58000000000004</v>
      </c>
      <c r="X492"/>
    </row>
    <row r="493" spans="2:24" ht="18.75" hidden="1">
      <c r="B493">
        <v>25</v>
      </c>
      <c r="C493" s="5">
        <v>46188</v>
      </c>
      <c r="D493" t="s">
        <v>150</v>
      </c>
      <c r="E493">
        <v>79.23</v>
      </c>
      <c r="G493">
        <v>50</v>
      </c>
      <c r="H493" s="5">
        <v>45999</v>
      </c>
      <c r="I493" t="s">
        <v>175</v>
      </c>
      <c r="J493">
        <v>339.75</v>
      </c>
      <c r="L493">
        <v>19</v>
      </c>
      <c r="M493" s="5">
        <v>46146</v>
      </c>
      <c r="N493" t="s">
        <v>202</v>
      </c>
      <c r="O493">
        <v>174.42</v>
      </c>
      <c r="Q493" t="s">
        <v>214</v>
      </c>
      <c r="R493" s="5">
        <v>45658</v>
      </c>
      <c r="S493" t="s">
        <v>132</v>
      </c>
      <c r="T493">
        <v>823.8</v>
      </c>
      <c r="X493"/>
    </row>
    <row r="494" spans="2:24" ht="18.75" hidden="1">
      <c r="B494">
        <v>25</v>
      </c>
      <c r="C494" s="5">
        <v>46188</v>
      </c>
      <c r="D494" t="s">
        <v>151</v>
      </c>
      <c r="E494">
        <v>688.5</v>
      </c>
      <c r="G494">
        <v>51</v>
      </c>
      <c r="H494" s="5">
        <v>46006</v>
      </c>
      <c r="I494" t="s">
        <v>160</v>
      </c>
      <c r="J494">
        <v>4214.75</v>
      </c>
      <c r="L494">
        <v>43</v>
      </c>
      <c r="M494" s="5">
        <v>45950</v>
      </c>
      <c r="N494" t="s">
        <v>179</v>
      </c>
      <c r="O494">
        <v>2487.42</v>
      </c>
      <c r="Q494" t="s">
        <v>214</v>
      </c>
      <c r="R494" s="5">
        <v>45658</v>
      </c>
      <c r="S494" t="s">
        <v>133</v>
      </c>
      <c r="T494">
        <v>1097.6600000000001</v>
      </c>
      <c r="X494"/>
    </row>
    <row r="495" spans="2:24" ht="18.75" hidden="1">
      <c r="B495">
        <v>25</v>
      </c>
      <c r="C495" s="5">
        <v>46188</v>
      </c>
      <c r="D495" t="s">
        <v>111</v>
      </c>
      <c r="E495">
        <v>183.69</v>
      </c>
      <c r="G495">
        <v>51</v>
      </c>
      <c r="H495" s="5">
        <v>46006</v>
      </c>
      <c r="I495" t="s">
        <v>165</v>
      </c>
      <c r="J495">
        <v>277</v>
      </c>
      <c r="L495">
        <v>43</v>
      </c>
      <c r="M495" s="5">
        <v>45950</v>
      </c>
      <c r="N495" t="s">
        <v>180</v>
      </c>
      <c r="O495">
        <v>188.2</v>
      </c>
      <c r="Q495" t="s">
        <v>214</v>
      </c>
      <c r="R495" s="5">
        <v>45658</v>
      </c>
      <c r="S495" t="s">
        <v>134</v>
      </c>
      <c r="T495">
        <v>1166.6199999999999</v>
      </c>
      <c r="X495"/>
    </row>
    <row r="496" spans="2:24" ht="18.75" hidden="1">
      <c r="B496">
        <v>25</v>
      </c>
      <c r="C496" s="5">
        <v>46188</v>
      </c>
      <c r="D496" t="s">
        <v>119</v>
      </c>
      <c r="E496">
        <v>413.92</v>
      </c>
      <c r="G496">
        <v>51</v>
      </c>
      <c r="H496" s="5">
        <v>46006</v>
      </c>
      <c r="I496" t="s">
        <v>169</v>
      </c>
      <c r="J496">
        <v>1881.24</v>
      </c>
      <c r="L496">
        <v>43</v>
      </c>
      <c r="M496" s="5">
        <v>45950</v>
      </c>
      <c r="N496" t="s">
        <v>181</v>
      </c>
      <c r="O496">
        <v>1277.31</v>
      </c>
      <c r="Q496" t="s">
        <v>214</v>
      </c>
      <c r="R496" s="5">
        <v>45658</v>
      </c>
      <c r="S496" t="s">
        <v>138</v>
      </c>
      <c r="T496">
        <v>1763.02</v>
      </c>
      <c r="X496"/>
    </row>
    <row r="497" spans="2:24" ht="18.75" hidden="1">
      <c r="B497">
        <v>25</v>
      </c>
      <c r="C497" s="5">
        <v>46188</v>
      </c>
      <c r="D497" t="s">
        <v>135</v>
      </c>
      <c r="E497">
        <v>60.94</v>
      </c>
      <c r="G497">
        <v>51</v>
      </c>
      <c r="H497" s="5">
        <v>46006</v>
      </c>
      <c r="I497" t="s">
        <v>176</v>
      </c>
      <c r="J497">
        <v>77.760000000000005</v>
      </c>
      <c r="L497">
        <v>43</v>
      </c>
      <c r="M497" s="5">
        <v>45950</v>
      </c>
      <c r="N497" t="s">
        <v>182</v>
      </c>
      <c r="O497">
        <v>1692.27</v>
      </c>
      <c r="Q497" t="s">
        <v>214</v>
      </c>
      <c r="R497" s="5">
        <v>45658</v>
      </c>
      <c r="S497" t="s">
        <v>139</v>
      </c>
      <c r="T497">
        <v>1096.18</v>
      </c>
      <c r="X497"/>
    </row>
    <row r="498" spans="2:24" ht="18.75" hidden="1">
      <c r="B498">
        <v>25</v>
      </c>
      <c r="C498" s="5">
        <v>46188</v>
      </c>
      <c r="D498" t="s">
        <v>116</v>
      </c>
      <c r="E498">
        <v>88.44</v>
      </c>
      <c r="G498">
        <v>51</v>
      </c>
      <c r="H498" s="5">
        <v>46006</v>
      </c>
      <c r="I498" t="s">
        <v>163</v>
      </c>
      <c r="J498">
        <v>294.12</v>
      </c>
      <c r="L498">
        <v>43</v>
      </c>
      <c r="M498" s="5">
        <v>45950</v>
      </c>
      <c r="N498" t="s">
        <v>183</v>
      </c>
      <c r="O498">
        <v>654.04</v>
      </c>
      <c r="Q498" t="s">
        <v>214</v>
      </c>
      <c r="R498" s="5">
        <v>45658</v>
      </c>
      <c r="S498" t="s">
        <v>143</v>
      </c>
      <c r="T498">
        <v>5971.6</v>
      </c>
      <c r="X498"/>
    </row>
    <row r="499" spans="2:24" ht="18.75" hidden="1">
      <c r="B499">
        <v>25</v>
      </c>
      <c r="C499" s="5">
        <v>46188</v>
      </c>
      <c r="D499" t="s">
        <v>127</v>
      </c>
      <c r="E499">
        <v>203.88</v>
      </c>
      <c r="G499">
        <v>51</v>
      </c>
      <c r="H499" s="5">
        <v>46006</v>
      </c>
      <c r="I499" t="s">
        <v>168</v>
      </c>
      <c r="J499">
        <v>317.97000000000003</v>
      </c>
      <c r="L499">
        <v>43</v>
      </c>
      <c r="M499" s="5">
        <v>45950</v>
      </c>
      <c r="N499" t="s">
        <v>184</v>
      </c>
      <c r="O499">
        <v>417.49</v>
      </c>
      <c r="Q499" t="s">
        <v>214</v>
      </c>
      <c r="R499" s="5">
        <v>45658</v>
      </c>
      <c r="S499" t="s">
        <v>145</v>
      </c>
      <c r="T499">
        <v>1034.8800000000001</v>
      </c>
      <c r="X499"/>
    </row>
    <row r="500" spans="2:24" ht="18.75" hidden="1">
      <c r="B500">
        <v>25</v>
      </c>
      <c r="C500" s="5">
        <v>46188</v>
      </c>
      <c r="D500" t="s">
        <v>113</v>
      </c>
      <c r="E500">
        <v>277.64999999999998</v>
      </c>
      <c r="G500">
        <v>51</v>
      </c>
      <c r="H500" s="5">
        <v>46006</v>
      </c>
      <c r="I500" t="s">
        <v>172</v>
      </c>
      <c r="J500">
        <v>89.55</v>
      </c>
      <c r="L500">
        <v>43</v>
      </c>
      <c r="M500" s="5">
        <v>45950</v>
      </c>
      <c r="N500" t="s">
        <v>185</v>
      </c>
      <c r="O500">
        <v>458.7</v>
      </c>
      <c r="Q500" t="s">
        <v>214</v>
      </c>
      <c r="R500" s="5">
        <v>45658</v>
      </c>
      <c r="S500" t="s">
        <v>146</v>
      </c>
      <c r="T500">
        <v>2107.12</v>
      </c>
      <c r="X500"/>
    </row>
    <row r="501" spans="2:24" ht="18.75" hidden="1">
      <c r="B501">
        <v>25</v>
      </c>
      <c r="C501" s="5">
        <v>46188</v>
      </c>
      <c r="D501" t="s">
        <v>115</v>
      </c>
      <c r="E501">
        <v>438.7</v>
      </c>
      <c r="G501">
        <v>51</v>
      </c>
      <c r="H501" s="5">
        <v>46006</v>
      </c>
      <c r="I501" t="s">
        <v>173</v>
      </c>
      <c r="J501">
        <v>798.2</v>
      </c>
      <c r="L501">
        <v>43</v>
      </c>
      <c r="M501" s="5">
        <v>45950</v>
      </c>
      <c r="N501" t="s">
        <v>178</v>
      </c>
      <c r="O501">
        <v>1808.8</v>
      </c>
      <c r="Q501" t="s">
        <v>214</v>
      </c>
      <c r="R501" s="5">
        <v>45658</v>
      </c>
      <c r="S501" t="s">
        <v>148</v>
      </c>
      <c r="T501">
        <v>349.98</v>
      </c>
      <c r="X501"/>
    </row>
    <row r="502" spans="2:24" ht="18.75" hidden="1">
      <c r="B502">
        <v>26</v>
      </c>
      <c r="C502" s="5">
        <v>46195</v>
      </c>
      <c r="D502" t="s">
        <v>111</v>
      </c>
      <c r="E502">
        <v>152.59</v>
      </c>
      <c r="G502">
        <v>51</v>
      </c>
      <c r="H502" s="5">
        <v>46006</v>
      </c>
      <c r="I502" t="s">
        <v>175</v>
      </c>
      <c r="J502">
        <v>303.75</v>
      </c>
      <c r="L502">
        <v>44</v>
      </c>
      <c r="M502" s="5">
        <v>45957</v>
      </c>
      <c r="N502" t="s">
        <v>178</v>
      </c>
      <c r="O502">
        <v>1850.45</v>
      </c>
      <c r="Q502" t="s">
        <v>214</v>
      </c>
      <c r="R502" s="5">
        <v>45658</v>
      </c>
      <c r="S502" t="s">
        <v>147</v>
      </c>
      <c r="T502">
        <v>1279.94</v>
      </c>
      <c r="X502"/>
    </row>
    <row r="503" spans="2:24" ht="18.75" hidden="1">
      <c r="B503">
        <v>26</v>
      </c>
      <c r="C503" s="5">
        <v>46195</v>
      </c>
      <c r="D503" t="s">
        <v>112</v>
      </c>
      <c r="E503">
        <v>71.239999999999995</v>
      </c>
      <c r="G503">
        <v>51</v>
      </c>
      <c r="H503" s="5">
        <v>46006</v>
      </c>
      <c r="I503" t="s">
        <v>158</v>
      </c>
      <c r="J503">
        <v>529.24</v>
      </c>
      <c r="L503">
        <v>44</v>
      </c>
      <c r="M503" s="5">
        <v>45957</v>
      </c>
      <c r="N503" t="s">
        <v>179</v>
      </c>
      <c r="O503">
        <v>3052.56</v>
      </c>
      <c r="Q503" t="s">
        <v>214</v>
      </c>
      <c r="R503" s="5">
        <v>45658</v>
      </c>
      <c r="S503" t="s">
        <v>149</v>
      </c>
      <c r="T503">
        <v>665.77</v>
      </c>
      <c r="X503"/>
    </row>
    <row r="504" spans="2:24" ht="18.75" hidden="1">
      <c r="B504">
        <v>26</v>
      </c>
      <c r="C504" s="5">
        <v>46195</v>
      </c>
      <c r="D504" t="s">
        <v>114</v>
      </c>
      <c r="E504">
        <v>394.44</v>
      </c>
      <c r="G504">
        <v>51</v>
      </c>
      <c r="H504" s="5">
        <v>46006</v>
      </c>
      <c r="I504" t="s">
        <v>198</v>
      </c>
      <c r="J504">
        <v>362.95</v>
      </c>
      <c r="L504">
        <v>44</v>
      </c>
      <c r="M504" s="5">
        <v>45957</v>
      </c>
      <c r="N504" t="s">
        <v>182</v>
      </c>
      <c r="O504">
        <v>1729.83</v>
      </c>
      <c r="Q504" t="s">
        <v>214</v>
      </c>
      <c r="R504" s="5">
        <v>45658</v>
      </c>
      <c r="S504" t="s">
        <v>151</v>
      </c>
      <c r="T504">
        <v>1947.81</v>
      </c>
      <c r="X504"/>
    </row>
    <row r="505" spans="2:24" ht="18.75" hidden="1">
      <c r="B505">
        <v>26</v>
      </c>
      <c r="C505" s="5">
        <v>46195</v>
      </c>
      <c r="D505" t="s">
        <v>218</v>
      </c>
      <c r="E505">
        <v>128.13</v>
      </c>
      <c r="G505">
        <v>51</v>
      </c>
      <c r="H505" s="5">
        <v>46006</v>
      </c>
      <c r="I505" t="s">
        <v>174</v>
      </c>
      <c r="J505">
        <v>348.3</v>
      </c>
      <c r="L505">
        <v>44</v>
      </c>
      <c r="M505" s="5">
        <v>45957</v>
      </c>
      <c r="N505" t="s">
        <v>183</v>
      </c>
      <c r="O505">
        <v>564.16</v>
      </c>
      <c r="Q505" t="s">
        <v>214</v>
      </c>
      <c r="R505" s="5">
        <v>45658</v>
      </c>
      <c r="S505" t="s">
        <v>116</v>
      </c>
      <c r="T505">
        <v>367.17</v>
      </c>
      <c r="X505"/>
    </row>
    <row r="506" spans="2:24" ht="18.75" hidden="1">
      <c r="B506">
        <v>26</v>
      </c>
      <c r="C506" s="5">
        <v>46195</v>
      </c>
      <c r="D506" t="s">
        <v>116</v>
      </c>
      <c r="E506">
        <v>103.22</v>
      </c>
      <c r="G506">
        <v>51</v>
      </c>
      <c r="H506" s="5">
        <v>46006</v>
      </c>
      <c r="I506" t="s">
        <v>171</v>
      </c>
      <c r="J506">
        <v>748.16</v>
      </c>
      <c r="L506">
        <v>44</v>
      </c>
      <c r="M506" s="5">
        <v>45957</v>
      </c>
      <c r="N506" t="s">
        <v>184</v>
      </c>
      <c r="O506">
        <v>443.71</v>
      </c>
      <c r="Q506" t="s">
        <v>214</v>
      </c>
      <c r="R506" s="5">
        <v>45658</v>
      </c>
      <c r="S506" t="s">
        <v>125</v>
      </c>
      <c r="T506">
        <v>273.63</v>
      </c>
      <c r="X506"/>
    </row>
    <row r="507" spans="2:24" ht="18.75" hidden="1">
      <c r="B507">
        <v>26</v>
      </c>
      <c r="C507" s="5">
        <v>46195</v>
      </c>
      <c r="D507" t="s">
        <v>117</v>
      </c>
      <c r="E507">
        <v>236.86</v>
      </c>
      <c r="G507">
        <v>51</v>
      </c>
      <c r="H507" s="5">
        <v>46006</v>
      </c>
      <c r="I507" t="s">
        <v>170</v>
      </c>
      <c r="J507">
        <v>84</v>
      </c>
      <c r="L507">
        <v>44</v>
      </c>
      <c r="M507" s="5">
        <v>45957</v>
      </c>
      <c r="N507" t="s">
        <v>185</v>
      </c>
      <c r="O507">
        <v>724.4</v>
      </c>
      <c r="Q507" t="s">
        <v>214</v>
      </c>
      <c r="R507" s="5">
        <v>45658</v>
      </c>
      <c r="S507" t="s">
        <v>127</v>
      </c>
      <c r="T507">
        <v>915.07</v>
      </c>
      <c r="X507"/>
    </row>
    <row r="508" spans="2:24" ht="18.75" hidden="1">
      <c r="B508">
        <v>26</v>
      </c>
      <c r="C508" s="5">
        <v>46195</v>
      </c>
      <c r="D508" t="s">
        <v>118</v>
      </c>
      <c r="E508">
        <v>196.76</v>
      </c>
      <c r="G508">
        <v>51</v>
      </c>
      <c r="H508" s="5">
        <v>46006</v>
      </c>
      <c r="I508" t="s">
        <v>164</v>
      </c>
      <c r="J508">
        <v>-1.2</v>
      </c>
      <c r="L508">
        <v>44</v>
      </c>
      <c r="M508" s="5">
        <v>45957</v>
      </c>
      <c r="N508" t="s">
        <v>180</v>
      </c>
      <c r="O508">
        <v>492.7</v>
      </c>
      <c r="Q508" t="s">
        <v>214</v>
      </c>
      <c r="R508" s="5">
        <v>45658</v>
      </c>
      <c r="S508" t="s">
        <v>129</v>
      </c>
      <c r="T508">
        <v>1560.91</v>
      </c>
      <c r="X508"/>
    </row>
    <row r="509" spans="2:24" ht="18.75" hidden="1">
      <c r="B509">
        <v>26</v>
      </c>
      <c r="C509" s="5">
        <v>46195</v>
      </c>
      <c r="D509" t="s">
        <v>120</v>
      </c>
      <c r="E509">
        <v>88.52</v>
      </c>
      <c r="G509">
        <v>52</v>
      </c>
      <c r="H509" s="5">
        <v>46013</v>
      </c>
      <c r="I509" t="s">
        <v>158</v>
      </c>
      <c r="J509">
        <v>2273.44</v>
      </c>
      <c r="L509">
        <v>44</v>
      </c>
      <c r="M509" s="5">
        <v>45957</v>
      </c>
      <c r="N509" t="s">
        <v>181</v>
      </c>
      <c r="O509">
        <v>1566.47</v>
      </c>
      <c r="Q509" t="s">
        <v>214</v>
      </c>
      <c r="R509" s="5">
        <v>45658</v>
      </c>
      <c r="S509" t="s">
        <v>135</v>
      </c>
      <c r="T509">
        <v>268.60000000000002</v>
      </c>
      <c r="X509"/>
    </row>
    <row r="510" spans="2:24" ht="18.75" hidden="1">
      <c r="B510">
        <v>26</v>
      </c>
      <c r="C510" s="5">
        <v>46195</v>
      </c>
      <c r="D510" t="s">
        <v>121</v>
      </c>
      <c r="E510">
        <v>143.19999999999999</v>
      </c>
      <c r="G510">
        <v>52</v>
      </c>
      <c r="H510" s="5">
        <v>46013</v>
      </c>
      <c r="I510" t="s">
        <v>165</v>
      </c>
      <c r="J510">
        <v>360.9</v>
      </c>
      <c r="L510">
        <v>45</v>
      </c>
      <c r="M510" s="5">
        <v>45964</v>
      </c>
      <c r="N510" t="s">
        <v>178</v>
      </c>
      <c r="O510">
        <v>1922.9</v>
      </c>
      <c r="Q510" t="s">
        <v>214</v>
      </c>
      <c r="R510" s="5">
        <v>45658</v>
      </c>
      <c r="S510" t="s">
        <v>136</v>
      </c>
      <c r="T510">
        <v>423.39</v>
      </c>
      <c r="X510"/>
    </row>
    <row r="511" spans="2:24" ht="18.75" hidden="1">
      <c r="B511">
        <v>26</v>
      </c>
      <c r="C511" s="5">
        <v>46195</v>
      </c>
      <c r="D511" t="s">
        <v>122</v>
      </c>
      <c r="E511">
        <v>273.35000000000002</v>
      </c>
      <c r="G511">
        <v>52</v>
      </c>
      <c r="H511" s="5">
        <v>46013</v>
      </c>
      <c r="I511" t="s">
        <v>171</v>
      </c>
      <c r="J511">
        <v>626.34</v>
      </c>
      <c r="L511">
        <v>45</v>
      </c>
      <c r="M511" s="5">
        <v>45964</v>
      </c>
      <c r="N511" t="s">
        <v>179</v>
      </c>
      <c r="O511">
        <v>2812.67</v>
      </c>
      <c r="Q511" t="s">
        <v>214</v>
      </c>
      <c r="R511" s="5">
        <v>45658</v>
      </c>
      <c r="S511" t="s">
        <v>137</v>
      </c>
      <c r="T511">
        <v>228.98</v>
      </c>
      <c r="X511"/>
    </row>
    <row r="512" spans="2:24" ht="18.75" hidden="1">
      <c r="B512">
        <v>26</v>
      </c>
      <c r="C512" s="5">
        <v>46195</v>
      </c>
      <c r="D512" t="s">
        <v>123</v>
      </c>
      <c r="E512">
        <v>469.78</v>
      </c>
      <c r="G512">
        <v>52</v>
      </c>
      <c r="H512" s="5">
        <v>46013</v>
      </c>
      <c r="I512" t="s">
        <v>169</v>
      </c>
      <c r="J512">
        <v>527.5</v>
      </c>
      <c r="L512">
        <v>45</v>
      </c>
      <c r="M512" s="5">
        <v>45964</v>
      </c>
      <c r="N512" t="s">
        <v>180</v>
      </c>
      <c r="O512">
        <v>210.9</v>
      </c>
      <c r="Q512" t="s">
        <v>214</v>
      </c>
      <c r="R512" s="5">
        <v>46023</v>
      </c>
      <c r="S512" t="s">
        <v>140</v>
      </c>
      <c r="T512">
        <v>353.65</v>
      </c>
      <c r="X512"/>
    </row>
    <row r="513" spans="2:24" ht="18.75" hidden="1">
      <c r="B513">
        <v>26</v>
      </c>
      <c r="C513" s="5">
        <v>46195</v>
      </c>
      <c r="D513" t="s">
        <v>124</v>
      </c>
      <c r="E513">
        <v>427.96</v>
      </c>
      <c r="G513">
        <v>52</v>
      </c>
      <c r="H513" s="5">
        <v>46013</v>
      </c>
      <c r="I513" t="s">
        <v>170</v>
      </c>
      <c r="J513">
        <v>32</v>
      </c>
      <c r="L513">
        <v>45</v>
      </c>
      <c r="M513" s="5">
        <v>45964</v>
      </c>
      <c r="N513" t="s">
        <v>182</v>
      </c>
      <c r="O513">
        <v>1724.95</v>
      </c>
      <c r="Q513" t="s">
        <v>214</v>
      </c>
      <c r="R513" s="5">
        <v>46023</v>
      </c>
      <c r="S513" t="s">
        <v>141</v>
      </c>
      <c r="T513">
        <v>1679.01</v>
      </c>
      <c r="X513"/>
    </row>
    <row r="514" spans="2:24" ht="18.75" hidden="1">
      <c r="B514">
        <v>26</v>
      </c>
      <c r="C514" s="5">
        <v>46195</v>
      </c>
      <c r="D514" t="s">
        <v>125</v>
      </c>
      <c r="E514">
        <v>78.36</v>
      </c>
      <c r="G514">
        <v>52</v>
      </c>
      <c r="H514" s="5">
        <v>46013</v>
      </c>
      <c r="I514" t="s">
        <v>176</v>
      </c>
      <c r="J514">
        <v>61.56</v>
      </c>
      <c r="L514">
        <v>45</v>
      </c>
      <c r="M514" s="5">
        <v>45964</v>
      </c>
      <c r="N514" t="s">
        <v>183</v>
      </c>
      <c r="O514">
        <v>711.4</v>
      </c>
      <c r="Q514" t="s">
        <v>214</v>
      </c>
      <c r="R514" s="5">
        <v>46023</v>
      </c>
      <c r="S514" t="s">
        <v>142</v>
      </c>
      <c r="T514">
        <v>685.95</v>
      </c>
      <c r="X514"/>
    </row>
    <row r="515" spans="2:24" ht="18.75" hidden="1">
      <c r="B515">
        <v>26</v>
      </c>
      <c r="C515" s="5">
        <v>46195</v>
      </c>
      <c r="D515" t="s">
        <v>126</v>
      </c>
      <c r="E515">
        <v>147.93</v>
      </c>
      <c r="G515">
        <v>52</v>
      </c>
      <c r="H515" s="5">
        <v>46013</v>
      </c>
      <c r="I515" t="s">
        <v>163</v>
      </c>
      <c r="J515">
        <v>141.9</v>
      </c>
      <c r="L515">
        <v>45</v>
      </c>
      <c r="M515" s="5">
        <v>45964</v>
      </c>
      <c r="N515" t="s">
        <v>184</v>
      </c>
      <c r="O515">
        <v>500.98</v>
      </c>
      <c r="Q515" t="s">
        <v>214</v>
      </c>
      <c r="R515" s="5">
        <v>46023</v>
      </c>
      <c r="S515" t="s">
        <v>150</v>
      </c>
      <c r="T515">
        <v>297.64999999999998</v>
      </c>
      <c r="X515"/>
    </row>
    <row r="516" spans="2:24" ht="18.75" hidden="1">
      <c r="B516">
        <v>26</v>
      </c>
      <c r="C516" s="5">
        <v>46195</v>
      </c>
      <c r="D516" t="s">
        <v>128</v>
      </c>
      <c r="E516">
        <v>208.09</v>
      </c>
      <c r="G516">
        <v>52</v>
      </c>
      <c r="H516" s="5">
        <v>46013</v>
      </c>
      <c r="I516" t="s">
        <v>168</v>
      </c>
      <c r="J516">
        <v>154.80000000000001</v>
      </c>
      <c r="L516">
        <v>45</v>
      </c>
      <c r="M516" s="5">
        <v>45964</v>
      </c>
      <c r="N516" t="s">
        <v>185</v>
      </c>
      <c r="O516">
        <v>557.75</v>
      </c>
      <c r="Q516" t="s">
        <v>214</v>
      </c>
      <c r="R516" s="5">
        <v>46023</v>
      </c>
      <c r="S516" t="s">
        <v>221</v>
      </c>
      <c r="T516">
        <v>283.08999999999997</v>
      </c>
      <c r="X516"/>
    </row>
    <row r="517" spans="2:24" ht="18.75" hidden="1">
      <c r="B517">
        <v>26</v>
      </c>
      <c r="C517" s="5">
        <v>46195</v>
      </c>
      <c r="D517" t="s">
        <v>130</v>
      </c>
      <c r="E517">
        <v>363.28</v>
      </c>
      <c r="G517">
        <v>52</v>
      </c>
      <c r="H517" s="5">
        <v>46013</v>
      </c>
      <c r="I517" t="s">
        <v>172</v>
      </c>
      <c r="J517">
        <v>41.79</v>
      </c>
      <c r="L517">
        <v>45</v>
      </c>
      <c r="M517" s="5">
        <v>45964</v>
      </c>
      <c r="N517" t="s">
        <v>181</v>
      </c>
      <c r="O517">
        <v>1549.73</v>
      </c>
      <c r="Q517" t="s">
        <v>214</v>
      </c>
      <c r="R517" s="5">
        <v>46023</v>
      </c>
      <c r="S517" t="s">
        <v>130</v>
      </c>
      <c r="T517">
        <v>596.09</v>
      </c>
      <c r="X517"/>
    </row>
    <row r="518" spans="2:24" ht="18.75" hidden="1">
      <c r="B518">
        <v>26</v>
      </c>
      <c r="C518" s="5">
        <v>46195</v>
      </c>
      <c r="D518" t="s">
        <v>131</v>
      </c>
      <c r="E518">
        <v>235.27</v>
      </c>
      <c r="G518">
        <v>52</v>
      </c>
      <c r="H518" s="5">
        <v>46013</v>
      </c>
      <c r="I518" t="s">
        <v>173</v>
      </c>
      <c r="J518">
        <v>392.1</v>
      </c>
      <c r="L518">
        <v>46</v>
      </c>
      <c r="M518" s="5">
        <v>45971</v>
      </c>
      <c r="N518" t="s">
        <v>178</v>
      </c>
      <c r="O518">
        <v>1612.45</v>
      </c>
      <c r="Q518" t="s">
        <v>215</v>
      </c>
      <c r="R518" s="5">
        <v>46054</v>
      </c>
      <c r="S518" t="s">
        <v>111</v>
      </c>
      <c r="T518">
        <v>488.88</v>
      </c>
      <c r="X518"/>
    </row>
    <row r="519" spans="2:24" ht="18.75" hidden="1">
      <c r="B519">
        <v>26</v>
      </c>
      <c r="C519" s="5">
        <v>46195</v>
      </c>
      <c r="D519" t="s">
        <v>132</v>
      </c>
      <c r="E519">
        <v>181.68</v>
      </c>
      <c r="G519">
        <v>52</v>
      </c>
      <c r="H519" s="5">
        <v>46013</v>
      </c>
      <c r="I519" t="s">
        <v>175</v>
      </c>
      <c r="J519">
        <v>206.8</v>
      </c>
      <c r="L519">
        <v>46</v>
      </c>
      <c r="M519" s="5">
        <v>45971</v>
      </c>
      <c r="N519" t="s">
        <v>179</v>
      </c>
      <c r="O519">
        <v>2250.5700000000002</v>
      </c>
      <c r="Q519" t="s">
        <v>215</v>
      </c>
      <c r="R519" s="5">
        <v>46054</v>
      </c>
      <c r="S519" t="s">
        <v>113</v>
      </c>
      <c r="T519">
        <v>442.99</v>
      </c>
      <c r="X519"/>
    </row>
    <row r="520" spans="2:24" ht="18.75" hidden="1">
      <c r="B520">
        <v>26</v>
      </c>
      <c r="C520" s="5">
        <v>46195</v>
      </c>
      <c r="D520" t="s">
        <v>133</v>
      </c>
      <c r="E520">
        <v>374.15</v>
      </c>
      <c r="G520">
        <v>52</v>
      </c>
      <c r="H520" s="5">
        <v>46013</v>
      </c>
      <c r="I520" t="s">
        <v>164</v>
      </c>
      <c r="J520">
        <v>1.2</v>
      </c>
      <c r="L520">
        <v>46</v>
      </c>
      <c r="M520" s="5">
        <v>45971</v>
      </c>
      <c r="N520" t="s">
        <v>181</v>
      </c>
      <c r="O520">
        <v>1316.96</v>
      </c>
      <c r="Q520" t="s">
        <v>215</v>
      </c>
      <c r="R520" s="5">
        <v>46054</v>
      </c>
      <c r="S520" t="s">
        <v>114</v>
      </c>
      <c r="T520">
        <v>638.70000000000005</v>
      </c>
      <c r="X520"/>
    </row>
    <row r="521" spans="2:24" ht="18.75" hidden="1">
      <c r="B521">
        <v>26</v>
      </c>
      <c r="C521" s="5">
        <v>46195</v>
      </c>
      <c r="D521" t="s">
        <v>134</v>
      </c>
      <c r="E521">
        <v>372.97</v>
      </c>
      <c r="G521">
        <v>1</v>
      </c>
      <c r="H521" s="5">
        <v>46020</v>
      </c>
      <c r="I521" t="s">
        <v>158</v>
      </c>
      <c r="J521">
        <v>1577.01</v>
      </c>
      <c r="L521">
        <v>46</v>
      </c>
      <c r="M521" s="5">
        <v>45971</v>
      </c>
      <c r="N521" t="s">
        <v>182</v>
      </c>
      <c r="O521">
        <v>1485</v>
      </c>
      <c r="Q521" t="s">
        <v>215</v>
      </c>
      <c r="R521" s="5">
        <v>46054</v>
      </c>
      <c r="S521" t="s">
        <v>116</v>
      </c>
      <c r="T521">
        <v>169.04</v>
      </c>
      <c r="X521"/>
    </row>
    <row r="522" spans="2:24" ht="18.75" hidden="1">
      <c r="B522">
        <v>26</v>
      </c>
      <c r="C522" s="5">
        <v>46195</v>
      </c>
      <c r="D522" t="s">
        <v>136</v>
      </c>
      <c r="E522">
        <v>145.74</v>
      </c>
      <c r="G522">
        <v>1</v>
      </c>
      <c r="H522" s="5">
        <v>46020</v>
      </c>
      <c r="I522" t="s">
        <v>165</v>
      </c>
      <c r="J522">
        <v>160.4</v>
      </c>
      <c r="L522">
        <v>46</v>
      </c>
      <c r="M522" s="5">
        <v>45971</v>
      </c>
      <c r="N522" t="s">
        <v>183</v>
      </c>
      <c r="O522">
        <v>562.35</v>
      </c>
      <c r="Q522" t="s">
        <v>215</v>
      </c>
      <c r="R522" s="5">
        <v>46054</v>
      </c>
      <c r="S522" t="s">
        <v>117</v>
      </c>
      <c r="T522">
        <v>570.77</v>
      </c>
      <c r="X522"/>
    </row>
    <row r="523" spans="2:24" ht="18.75" hidden="1">
      <c r="B523">
        <v>26</v>
      </c>
      <c r="C523" s="5">
        <v>46195</v>
      </c>
      <c r="D523" t="s">
        <v>137</v>
      </c>
      <c r="E523">
        <v>126.24</v>
      </c>
      <c r="G523">
        <v>1</v>
      </c>
      <c r="H523" s="5">
        <v>46020</v>
      </c>
      <c r="I523" t="s">
        <v>171</v>
      </c>
      <c r="J523">
        <v>568.61</v>
      </c>
      <c r="L523">
        <v>46</v>
      </c>
      <c r="M523" s="5">
        <v>45971</v>
      </c>
      <c r="N523" t="s">
        <v>184</v>
      </c>
      <c r="O523">
        <v>411.94</v>
      </c>
      <c r="Q523" t="s">
        <v>215</v>
      </c>
      <c r="R523" s="5">
        <v>46054</v>
      </c>
      <c r="S523" t="s">
        <v>118</v>
      </c>
      <c r="T523">
        <v>343.43</v>
      </c>
      <c r="X523"/>
    </row>
    <row r="524" spans="2:24" ht="18.75" hidden="1">
      <c r="B524">
        <v>26</v>
      </c>
      <c r="C524" s="5">
        <v>46195</v>
      </c>
      <c r="D524" t="s">
        <v>138</v>
      </c>
      <c r="E524">
        <v>528.32000000000005</v>
      </c>
      <c r="G524">
        <v>1</v>
      </c>
      <c r="H524" s="5">
        <v>46020</v>
      </c>
      <c r="I524" t="s">
        <v>169</v>
      </c>
      <c r="J524">
        <v>562.36</v>
      </c>
      <c r="L524">
        <v>46</v>
      </c>
      <c r="M524" s="5">
        <v>45971</v>
      </c>
      <c r="N524" t="s">
        <v>185</v>
      </c>
      <c r="O524">
        <v>502.85</v>
      </c>
      <c r="Q524" t="s">
        <v>215</v>
      </c>
      <c r="R524" s="5">
        <v>46054</v>
      </c>
      <c r="S524" t="s">
        <v>119</v>
      </c>
      <c r="T524">
        <v>949.03</v>
      </c>
      <c r="X524"/>
    </row>
    <row r="525" spans="2:24" ht="18.75" hidden="1">
      <c r="B525">
        <v>26</v>
      </c>
      <c r="C525" s="5">
        <v>46195</v>
      </c>
      <c r="D525" t="s">
        <v>141</v>
      </c>
      <c r="E525">
        <v>481.94</v>
      </c>
      <c r="G525">
        <v>1</v>
      </c>
      <c r="H525" s="5">
        <v>46020</v>
      </c>
      <c r="I525" t="s">
        <v>170</v>
      </c>
      <c r="J525">
        <v>18</v>
      </c>
      <c r="L525">
        <v>46</v>
      </c>
      <c r="M525" s="5">
        <v>45971</v>
      </c>
      <c r="N525" t="s">
        <v>186</v>
      </c>
      <c r="O525">
        <v>238.84</v>
      </c>
      <c r="Q525" t="s">
        <v>215</v>
      </c>
      <c r="R525" s="5">
        <v>46054</v>
      </c>
      <c r="S525" t="s">
        <v>121</v>
      </c>
      <c r="T525">
        <v>466.95</v>
      </c>
      <c r="X525"/>
    </row>
    <row r="526" spans="2:24" ht="18.75" hidden="1">
      <c r="B526">
        <v>26</v>
      </c>
      <c r="C526" s="5">
        <v>46195</v>
      </c>
      <c r="D526" t="s">
        <v>142</v>
      </c>
      <c r="E526">
        <v>120.26</v>
      </c>
      <c r="G526">
        <v>1</v>
      </c>
      <c r="H526" s="5">
        <v>46020</v>
      </c>
      <c r="I526" t="s">
        <v>176</v>
      </c>
      <c r="J526">
        <v>20.64</v>
      </c>
      <c r="L526">
        <v>46</v>
      </c>
      <c r="M526" s="5">
        <v>45971</v>
      </c>
      <c r="N526" t="s">
        <v>180</v>
      </c>
      <c r="O526">
        <v>384.05</v>
      </c>
      <c r="Q526" t="s">
        <v>215</v>
      </c>
      <c r="R526" s="5">
        <v>46054</v>
      </c>
      <c r="S526" t="s">
        <v>122</v>
      </c>
      <c r="T526">
        <v>569.32000000000005</v>
      </c>
      <c r="X526"/>
    </row>
    <row r="527" spans="2:24" ht="18.75" hidden="1">
      <c r="B527">
        <v>26</v>
      </c>
      <c r="C527" s="5">
        <v>46195</v>
      </c>
      <c r="D527" t="s">
        <v>143</v>
      </c>
      <c r="E527">
        <v>556.42999999999995</v>
      </c>
      <c r="G527">
        <v>1</v>
      </c>
      <c r="H527" s="5">
        <v>46020</v>
      </c>
      <c r="I527" t="s">
        <v>164</v>
      </c>
      <c r="J527">
        <v>6</v>
      </c>
      <c r="L527">
        <v>47</v>
      </c>
      <c r="M527" s="5">
        <v>45978</v>
      </c>
      <c r="N527" t="s">
        <v>178</v>
      </c>
      <c r="O527">
        <v>2048.5100000000002</v>
      </c>
      <c r="Q527" t="s">
        <v>215</v>
      </c>
      <c r="R527" s="5">
        <v>46054</v>
      </c>
      <c r="S527" t="s">
        <v>123</v>
      </c>
      <c r="T527">
        <v>830.1</v>
      </c>
      <c r="X527"/>
    </row>
    <row r="528" spans="2:24" ht="18.75" hidden="1">
      <c r="B528">
        <v>26</v>
      </c>
      <c r="C528" s="5">
        <v>46195</v>
      </c>
      <c r="D528" t="s">
        <v>144</v>
      </c>
      <c r="E528">
        <v>1019.07</v>
      </c>
      <c r="G528">
        <v>1</v>
      </c>
      <c r="H528" s="5">
        <v>46020</v>
      </c>
      <c r="I528" t="s">
        <v>163</v>
      </c>
      <c r="J528">
        <v>113.52</v>
      </c>
      <c r="L528">
        <v>47</v>
      </c>
      <c r="M528" s="5">
        <v>45978</v>
      </c>
      <c r="N528" t="s">
        <v>179</v>
      </c>
      <c r="O528">
        <v>2966.35</v>
      </c>
      <c r="Q528" t="s">
        <v>215</v>
      </c>
      <c r="R528" s="5">
        <v>46054</v>
      </c>
      <c r="S528" t="s">
        <v>124</v>
      </c>
      <c r="T528">
        <v>877.88</v>
      </c>
      <c r="X528"/>
    </row>
    <row r="529" spans="2:24" ht="18.75" hidden="1">
      <c r="B529">
        <v>26</v>
      </c>
      <c r="C529" s="5">
        <v>46195</v>
      </c>
      <c r="D529" t="s">
        <v>216</v>
      </c>
      <c r="E529">
        <v>416.68</v>
      </c>
      <c r="G529">
        <v>1</v>
      </c>
      <c r="H529" s="5">
        <v>46020</v>
      </c>
      <c r="I529" t="s">
        <v>168</v>
      </c>
      <c r="J529">
        <v>116.24</v>
      </c>
      <c r="L529">
        <v>47</v>
      </c>
      <c r="M529" s="5">
        <v>45978</v>
      </c>
      <c r="N529" t="s">
        <v>180</v>
      </c>
      <c r="O529">
        <v>90.25</v>
      </c>
      <c r="Q529" t="s">
        <v>215</v>
      </c>
      <c r="R529" s="5">
        <v>46054</v>
      </c>
      <c r="S529" t="s">
        <v>125</v>
      </c>
      <c r="T529">
        <v>151.15</v>
      </c>
      <c r="X529"/>
    </row>
    <row r="530" spans="2:24" ht="18.75" hidden="1">
      <c r="B530">
        <v>26</v>
      </c>
      <c r="C530" s="5">
        <v>46195</v>
      </c>
      <c r="D530" t="s">
        <v>145</v>
      </c>
      <c r="E530">
        <v>155.9</v>
      </c>
      <c r="G530">
        <v>1</v>
      </c>
      <c r="H530" s="5">
        <v>46020</v>
      </c>
      <c r="I530" t="s">
        <v>173</v>
      </c>
      <c r="J530">
        <v>54.25</v>
      </c>
      <c r="L530">
        <v>47</v>
      </c>
      <c r="M530" s="5">
        <v>45978</v>
      </c>
      <c r="N530" t="s">
        <v>181</v>
      </c>
      <c r="O530">
        <v>1523.1</v>
      </c>
      <c r="Q530" t="s">
        <v>215</v>
      </c>
      <c r="R530" s="5">
        <v>46054</v>
      </c>
      <c r="S530" t="s">
        <v>126</v>
      </c>
      <c r="T530">
        <v>458.9</v>
      </c>
      <c r="X530"/>
    </row>
    <row r="531" spans="2:24" ht="18.75" hidden="1">
      <c r="B531">
        <v>26</v>
      </c>
      <c r="C531" s="5">
        <v>46195</v>
      </c>
      <c r="D531" t="s">
        <v>146</v>
      </c>
      <c r="E531">
        <v>604.17999999999995</v>
      </c>
      <c r="G531">
        <v>1</v>
      </c>
      <c r="H531" s="5">
        <v>46020</v>
      </c>
      <c r="I531" t="s">
        <v>160</v>
      </c>
      <c r="J531">
        <v>372.51</v>
      </c>
      <c r="L531">
        <v>47</v>
      </c>
      <c r="M531" s="5">
        <v>45978</v>
      </c>
      <c r="N531" t="s">
        <v>182</v>
      </c>
      <c r="O531">
        <v>1915.2</v>
      </c>
      <c r="Q531" t="s">
        <v>215</v>
      </c>
      <c r="R531" s="5">
        <v>46054</v>
      </c>
      <c r="S531" t="s">
        <v>130</v>
      </c>
      <c r="T531">
        <v>1147.8599999999999</v>
      </c>
      <c r="X531"/>
    </row>
    <row r="532" spans="2:24" ht="18.75" hidden="1">
      <c r="B532">
        <v>26</v>
      </c>
      <c r="C532" s="5">
        <v>46195</v>
      </c>
      <c r="D532" t="s">
        <v>148</v>
      </c>
      <c r="E532">
        <v>68.09</v>
      </c>
      <c r="G532">
        <v>2</v>
      </c>
      <c r="H532" s="5">
        <v>46027</v>
      </c>
      <c r="I532" t="s">
        <v>160</v>
      </c>
      <c r="J532">
        <v>4116.9799999999996</v>
      </c>
      <c r="L532">
        <v>47</v>
      </c>
      <c r="M532" s="5">
        <v>45978</v>
      </c>
      <c r="N532" t="s">
        <v>183</v>
      </c>
      <c r="O532">
        <v>611.07000000000005</v>
      </c>
      <c r="Q532" t="s">
        <v>215</v>
      </c>
      <c r="R532" s="5">
        <v>46054</v>
      </c>
      <c r="S532" t="s">
        <v>132</v>
      </c>
      <c r="T532">
        <v>339.14</v>
      </c>
      <c r="X532"/>
    </row>
    <row r="533" spans="2:24" ht="18.75" hidden="1">
      <c r="B533">
        <v>26</v>
      </c>
      <c r="C533" s="5">
        <v>46195</v>
      </c>
      <c r="D533" t="s">
        <v>147</v>
      </c>
      <c r="E533">
        <v>364</v>
      </c>
      <c r="G533">
        <v>2</v>
      </c>
      <c r="H533" s="5">
        <v>46027</v>
      </c>
      <c r="I533" t="s">
        <v>158</v>
      </c>
      <c r="J533">
        <v>541.36</v>
      </c>
      <c r="L533">
        <v>47</v>
      </c>
      <c r="M533" s="5">
        <v>45978</v>
      </c>
      <c r="N533" t="s">
        <v>184</v>
      </c>
      <c r="O533">
        <v>484.63</v>
      </c>
      <c r="Q533" t="s">
        <v>215</v>
      </c>
      <c r="R533" s="5">
        <v>46054</v>
      </c>
      <c r="S533" t="s">
        <v>133</v>
      </c>
      <c r="T533">
        <v>644.08000000000004</v>
      </c>
      <c r="X533"/>
    </row>
    <row r="534" spans="2:24" ht="18.75" hidden="1">
      <c r="B534">
        <v>26</v>
      </c>
      <c r="C534" s="5">
        <v>46195</v>
      </c>
      <c r="D534" t="s">
        <v>150</v>
      </c>
      <c r="E534">
        <v>141.01</v>
      </c>
      <c r="G534">
        <v>2</v>
      </c>
      <c r="H534" s="5">
        <v>46027</v>
      </c>
      <c r="I534" t="s">
        <v>198</v>
      </c>
      <c r="J534">
        <v>434.35</v>
      </c>
      <c r="L534">
        <v>47</v>
      </c>
      <c r="M534" s="5">
        <v>45978</v>
      </c>
      <c r="N534" t="s">
        <v>185</v>
      </c>
      <c r="O534">
        <v>742.15</v>
      </c>
      <c r="Q534" t="s">
        <v>215</v>
      </c>
      <c r="R534" s="5">
        <v>46054</v>
      </c>
      <c r="S534" t="s">
        <v>134</v>
      </c>
      <c r="T534">
        <v>700.63</v>
      </c>
      <c r="X534"/>
    </row>
    <row r="535" spans="2:24" ht="18.75" hidden="1">
      <c r="B535">
        <v>26</v>
      </c>
      <c r="C535" s="5">
        <v>46195</v>
      </c>
      <c r="D535" t="s">
        <v>151</v>
      </c>
      <c r="E535">
        <v>863.77</v>
      </c>
      <c r="G535">
        <v>2</v>
      </c>
      <c r="H535" s="5">
        <v>46027</v>
      </c>
      <c r="I535" t="s">
        <v>171</v>
      </c>
      <c r="J535">
        <v>880.7</v>
      </c>
      <c r="L535">
        <v>47</v>
      </c>
      <c r="M535" s="5">
        <v>45978</v>
      </c>
      <c r="N535" t="s">
        <v>186</v>
      </c>
      <c r="O535">
        <v>311.75</v>
      </c>
      <c r="Q535" t="s">
        <v>215</v>
      </c>
      <c r="R535" s="5">
        <v>46054</v>
      </c>
      <c r="S535" t="s">
        <v>136</v>
      </c>
      <c r="T535">
        <v>272.83999999999997</v>
      </c>
      <c r="X535"/>
    </row>
    <row r="536" spans="2:24" ht="18.75" hidden="1">
      <c r="B536">
        <v>26</v>
      </c>
      <c r="C536" s="5">
        <v>46195</v>
      </c>
      <c r="D536" t="s">
        <v>119</v>
      </c>
      <c r="E536">
        <v>330.3</v>
      </c>
      <c r="G536">
        <v>2</v>
      </c>
      <c r="H536" s="5">
        <v>46027</v>
      </c>
      <c r="I536" t="s">
        <v>174</v>
      </c>
      <c r="J536">
        <v>392.34</v>
      </c>
      <c r="L536">
        <v>48</v>
      </c>
      <c r="M536" s="5">
        <v>45985</v>
      </c>
      <c r="N536" t="s">
        <v>178</v>
      </c>
      <c r="O536">
        <v>1630.3</v>
      </c>
      <c r="Q536" t="s">
        <v>215</v>
      </c>
      <c r="R536" s="5">
        <v>46054</v>
      </c>
      <c r="S536" t="s">
        <v>138</v>
      </c>
      <c r="T536">
        <v>1104.73</v>
      </c>
      <c r="X536"/>
    </row>
    <row r="537" spans="2:24" ht="18.75" hidden="1">
      <c r="B537">
        <v>26</v>
      </c>
      <c r="C537" s="5">
        <v>46195</v>
      </c>
      <c r="D537" t="s">
        <v>135</v>
      </c>
      <c r="E537">
        <v>81.67</v>
      </c>
      <c r="G537">
        <v>2</v>
      </c>
      <c r="H537" s="5">
        <v>46027</v>
      </c>
      <c r="I537" t="s">
        <v>169</v>
      </c>
      <c r="J537">
        <v>1733.76</v>
      </c>
      <c r="L537">
        <v>48</v>
      </c>
      <c r="M537" s="5">
        <v>45985</v>
      </c>
      <c r="N537" t="s">
        <v>179</v>
      </c>
      <c r="O537">
        <v>2444.02</v>
      </c>
      <c r="Q537" t="s">
        <v>215</v>
      </c>
      <c r="R537" s="5">
        <v>46054</v>
      </c>
      <c r="S537" t="s">
        <v>140</v>
      </c>
      <c r="T537">
        <v>185.05</v>
      </c>
      <c r="X537"/>
    </row>
    <row r="538" spans="2:24" ht="18.75" hidden="1">
      <c r="B538">
        <v>26</v>
      </c>
      <c r="C538" s="5">
        <v>46195</v>
      </c>
      <c r="D538" t="s">
        <v>139</v>
      </c>
      <c r="E538">
        <v>255.49</v>
      </c>
      <c r="G538">
        <v>2</v>
      </c>
      <c r="H538" s="5">
        <v>46027</v>
      </c>
      <c r="I538" t="s">
        <v>170</v>
      </c>
      <c r="J538">
        <v>36</v>
      </c>
      <c r="L538">
        <v>48</v>
      </c>
      <c r="M538" s="5">
        <v>45985</v>
      </c>
      <c r="N538" t="s">
        <v>180</v>
      </c>
      <c r="O538">
        <v>852.3</v>
      </c>
      <c r="Q538" t="s">
        <v>215</v>
      </c>
      <c r="R538" s="5">
        <v>46054</v>
      </c>
      <c r="S538" t="s">
        <v>141</v>
      </c>
      <c r="T538">
        <v>1308.5999999999999</v>
      </c>
      <c r="X538"/>
    </row>
    <row r="539" spans="2:24" ht="18.75" hidden="1">
      <c r="B539">
        <v>26</v>
      </c>
      <c r="C539" s="5">
        <v>46195</v>
      </c>
      <c r="D539" t="s">
        <v>129</v>
      </c>
      <c r="E539">
        <v>410.42</v>
      </c>
      <c r="G539">
        <v>2</v>
      </c>
      <c r="H539" s="5">
        <v>46027</v>
      </c>
      <c r="I539" t="s">
        <v>176</v>
      </c>
      <c r="J539">
        <v>48.48</v>
      </c>
      <c r="L539">
        <v>48</v>
      </c>
      <c r="M539" s="5">
        <v>45985</v>
      </c>
      <c r="N539" t="s">
        <v>181</v>
      </c>
      <c r="O539">
        <v>1477.54</v>
      </c>
      <c r="Q539" t="s">
        <v>215</v>
      </c>
      <c r="R539" s="5">
        <v>46054</v>
      </c>
      <c r="S539" t="s">
        <v>142</v>
      </c>
      <c r="T539">
        <v>314.01</v>
      </c>
      <c r="X539"/>
    </row>
    <row r="540" spans="2:24" ht="18.75" hidden="1">
      <c r="B540">
        <v>26</v>
      </c>
      <c r="C540" s="5">
        <v>46195</v>
      </c>
      <c r="D540" t="s">
        <v>113</v>
      </c>
      <c r="E540">
        <v>253.37</v>
      </c>
      <c r="G540">
        <v>2</v>
      </c>
      <c r="H540" s="5">
        <v>46027</v>
      </c>
      <c r="I540" t="s">
        <v>163</v>
      </c>
      <c r="J540">
        <v>105.78</v>
      </c>
      <c r="L540">
        <v>48</v>
      </c>
      <c r="M540" s="5">
        <v>45985</v>
      </c>
      <c r="N540" t="s">
        <v>182</v>
      </c>
      <c r="O540">
        <v>1871.45</v>
      </c>
      <c r="Q540" t="s">
        <v>215</v>
      </c>
      <c r="R540" s="5">
        <v>46054</v>
      </c>
      <c r="S540" t="s">
        <v>139</v>
      </c>
      <c r="T540">
        <v>636.45000000000005</v>
      </c>
      <c r="X540"/>
    </row>
    <row r="541" spans="2:24" ht="18.75" hidden="1">
      <c r="B541">
        <v>26</v>
      </c>
      <c r="C541" s="5">
        <v>46195</v>
      </c>
      <c r="D541" t="s">
        <v>127</v>
      </c>
      <c r="E541">
        <v>288.02999999999997</v>
      </c>
      <c r="G541">
        <v>2</v>
      </c>
      <c r="H541" s="5">
        <v>46027</v>
      </c>
      <c r="I541" t="s">
        <v>168</v>
      </c>
      <c r="J541">
        <v>241.22</v>
      </c>
      <c r="L541">
        <v>48</v>
      </c>
      <c r="M541" s="5">
        <v>45985</v>
      </c>
      <c r="N541" t="s">
        <v>183</v>
      </c>
      <c r="O541">
        <v>586.51</v>
      </c>
      <c r="Q541" t="s">
        <v>215</v>
      </c>
      <c r="R541" s="5">
        <v>46054</v>
      </c>
      <c r="S541" t="s">
        <v>143</v>
      </c>
      <c r="T541">
        <v>4607.99</v>
      </c>
      <c r="X541"/>
    </row>
    <row r="542" spans="2:24" ht="18.75" hidden="1">
      <c r="B542">
        <v>26</v>
      </c>
      <c r="C542" s="5">
        <v>46195</v>
      </c>
      <c r="D542" t="s">
        <v>115</v>
      </c>
      <c r="E542">
        <v>380.65</v>
      </c>
      <c r="G542">
        <v>2</v>
      </c>
      <c r="H542" s="5">
        <v>46027</v>
      </c>
      <c r="I542" t="s">
        <v>201</v>
      </c>
      <c r="J542">
        <v>372.68</v>
      </c>
      <c r="L542">
        <v>48</v>
      </c>
      <c r="M542" s="5">
        <v>45985</v>
      </c>
      <c r="N542" t="s">
        <v>184</v>
      </c>
      <c r="O542">
        <v>505.34</v>
      </c>
      <c r="Q542" t="s">
        <v>215</v>
      </c>
      <c r="R542" s="5">
        <v>46054</v>
      </c>
      <c r="S542" t="s">
        <v>145</v>
      </c>
      <c r="T542">
        <v>656.79</v>
      </c>
      <c r="X542"/>
    </row>
    <row r="543" spans="2:24" ht="18.75" hidden="1">
      <c r="B543">
        <v>27</v>
      </c>
      <c r="C543" s="5">
        <v>46202</v>
      </c>
      <c r="D543" t="s">
        <v>111</v>
      </c>
      <c r="E543">
        <v>117.15</v>
      </c>
      <c r="G543">
        <v>2</v>
      </c>
      <c r="H543" s="5">
        <v>46027</v>
      </c>
      <c r="I543" t="s">
        <v>165</v>
      </c>
      <c r="J543">
        <v>143.30000000000001</v>
      </c>
      <c r="L543">
        <v>48</v>
      </c>
      <c r="M543" s="5">
        <v>45985</v>
      </c>
      <c r="N543" t="s">
        <v>185</v>
      </c>
      <c r="O543">
        <v>510.95</v>
      </c>
      <c r="Q543" t="s">
        <v>215</v>
      </c>
      <c r="R543" s="5">
        <v>46054</v>
      </c>
      <c r="S543" t="s">
        <v>146</v>
      </c>
      <c r="T543">
        <v>1222.29</v>
      </c>
      <c r="X543"/>
    </row>
    <row r="544" spans="2:24" ht="18.75" hidden="1">
      <c r="B544">
        <v>27</v>
      </c>
      <c r="C544" s="5">
        <v>46202</v>
      </c>
      <c r="D544" t="s">
        <v>112</v>
      </c>
      <c r="E544">
        <v>63.8</v>
      </c>
      <c r="G544">
        <v>2</v>
      </c>
      <c r="H544" s="5">
        <v>46027</v>
      </c>
      <c r="I544" t="s">
        <v>173</v>
      </c>
      <c r="J544">
        <v>268.5</v>
      </c>
      <c r="L544">
        <v>48</v>
      </c>
      <c r="M544" s="5">
        <v>45985</v>
      </c>
      <c r="N544" t="s">
        <v>186</v>
      </c>
      <c r="O544">
        <v>96.8</v>
      </c>
      <c r="Q544" t="s">
        <v>215</v>
      </c>
      <c r="R544" s="5">
        <v>46054</v>
      </c>
      <c r="S544" t="s">
        <v>147</v>
      </c>
      <c r="T544">
        <v>699.02</v>
      </c>
      <c r="X544"/>
    </row>
    <row r="545" spans="2:24" ht="18.75" hidden="1">
      <c r="B545">
        <v>27</v>
      </c>
      <c r="C545" s="5">
        <v>46202</v>
      </c>
      <c r="D545" t="s">
        <v>114</v>
      </c>
      <c r="E545">
        <v>226.61</v>
      </c>
      <c r="G545">
        <v>2</v>
      </c>
      <c r="H545" s="5">
        <v>46027</v>
      </c>
      <c r="I545" t="s">
        <v>175</v>
      </c>
      <c r="J545">
        <v>129</v>
      </c>
      <c r="L545">
        <v>49</v>
      </c>
      <c r="M545" s="5">
        <v>45992</v>
      </c>
      <c r="N545" t="s">
        <v>178</v>
      </c>
      <c r="O545">
        <v>2177.41</v>
      </c>
      <c r="Q545" t="s">
        <v>215</v>
      </c>
      <c r="R545" s="5">
        <v>46054</v>
      </c>
      <c r="S545" t="s">
        <v>150</v>
      </c>
      <c r="T545">
        <v>139.97999999999999</v>
      </c>
      <c r="X545"/>
    </row>
    <row r="546" spans="2:24" ht="18.75" hidden="1">
      <c r="B546">
        <v>27</v>
      </c>
      <c r="C546" s="5">
        <v>46202</v>
      </c>
      <c r="D546" t="s">
        <v>218</v>
      </c>
      <c r="E546">
        <v>57.32</v>
      </c>
      <c r="G546">
        <v>3</v>
      </c>
      <c r="H546" s="5">
        <v>46034</v>
      </c>
      <c r="I546" t="s">
        <v>160</v>
      </c>
      <c r="J546">
        <v>3276.71</v>
      </c>
      <c r="L546">
        <v>49</v>
      </c>
      <c r="M546" s="5">
        <v>45992</v>
      </c>
      <c r="N546" t="s">
        <v>179</v>
      </c>
      <c r="O546">
        <v>2947.95</v>
      </c>
      <c r="Q546" t="s">
        <v>215</v>
      </c>
      <c r="R546" s="5">
        <v>46054</v>
      </c>
      <c r="S546" t="s">
        <v>151</v>
      </c>
      <c r="T546">
        <v>1618.69</v>
      </c>
      <c r="X546"/>
    </row>
    <row r="547" spans="2:24" ht="18.75" hidden="1">
      <c r="B547">
        <v>27</v>
      </c>
      <c r="C547" s="5">
        <v>46202</v>
      </c>
      <c r="D547" t="s">
        <v>117</v>
      </c>
      <c r="E547">
        <v>158.16999999999999</v>
      </c>
      <c r="G547">
        <v>3</v>
      </c>
      <c r="H547" s="5">
        <v>46034</v>
      </c>
      <c r="I547" t="s">
        <v>158</v>
      </c>
      <c r="J547">
        <v>492.88</v>
      </c>
      <c r="L547">
        <v>49</v>
      </c>
      <c r="M547" s="5">
        <v>45992</v>
      </c>
      <c r="N547" t="s">
        <v>180</v>
      </c>
      <c r="O547">
        <v>186</v>
      </c>
      <c r="Q547" t="s">
        <v>215</v>
      </c>
      <c r="R547" s="5">
        <v>46054</v>
      </c>
      <c r="S547" t="s">
        <v>112</v>
      </c>
      <c r="T547">
        <v>120.98</v>
      </c>
      <c r="X547"/>
    </row>
    <row r="548" spans="2:24" ht="18.75" hidden="1">
      <c r="B548">
        <v>27</v>
      </c>
      <c r="C548" s="5">
        <v>46202</v>
      </c>
      <c r="D548" t="s">
        <v>118</v>
      </c>
      <c r="E548">
        <v>109.06</v>
      </c>
      <c r="G548">
        <v>3</v>
      </c>
      <c r="H548" s="5">
        <v>46034</v>
      </c>
      <c r="I548" t="s">
        <v>198</v>
      </c>
      <c r="J548">
        <v>254.56</v>
      </c>
      <c r="L548">
        <v>49</v>
      </c>
      <c r="M548" s="5">
        <v>45992</v>
      </c>
      <c r="N548" t="s">
        <v>181</v>
      </c>
      <c r="O548">
        <v>1959.29</v>
      </c>
      <c r="Q548" t="s">
        <v>215</v>
      </c>
      <c r="R548" s="5">
        <v>46054</v>
      </c>
      <c r="S548" t="s">
        <v>120</v>
      </c>
      <c r="T548">
        <v>210.94</v>
      </c>
      <c r="X548"/>
    </row>
    <row r="549" spans="2:24" ht="18.75" hidden="1">
      <c r="B549">
        <v>27</v>
      </c>
      <c r="C549" s="5">
        <v>46202</v>
      </c>
      <c r="D549" t="s">
        <v>119</v>
      </c>
      <c r="E549">
        <v>192.3</v>
      </c>
      <c r="G549">
        <v>3</v>
      </c>
      <c r="H549" s="5">
        <v>46034</v>
      </c>
      <c r="I549" t="s">
        <v>171</v>
      </c>
      <c r="J549">
        <v>1030.5999999999999</v>
      </c>
      <c r="L549">
        <v>49</v>
      </c>
      <c r="M549" s="5">
        <v>45992</v>
      </c>
      <c r="N549" t="s">
        <v>182</v>
      </c>
      <c r="O549">
        <v>2231.5</v>
      </c>
      <c r="Q549" t="s">
        <v>215</v>
      </c>
      <c r="R549" s="5">
        <v>46054</v>
      </c>
      <c r="S549" t="s">
        <v>135</v>
      </c>
      <c r="T549">
        <v>134.49</v>
      </c>
      <c r="X549"/>
    </row>
    <row r="550" spans="2:24" ht="18.75" hidden="1">
      <c r="B550">
        <v>27</v>
      </c>
      <c r="C550" s="5">
        <v>46202</v>
      </c>
      <c r="D550" t="s">
        <v>120</v>
      </c>
      <c r="E550">
        <v>104.1</v>
      </c>
      <c r="G550">
        <v>3</v>
      </c>
      <c r="H550" s="5">
        <v>46034</v>
      </c>
      <c r="I550" t="s">
        <v>169</v>
      </c>
      <c r="J550">
        <v>1625.08</v>
      </c>
      <c r="L550">
        <v>49</v>
      </c>
      <c r="M550" s="5">
        <v>45992</v>
      </c>
      <c r="N550" t="s">
        <v>183</v>
      </c>
      <c r="O550">
        <v>462.89</v>
      </c>
      <c r="Q550" t="s">
        <v>215</v>
      </c>
      <c r="R550" s="5">
        <v>46054</v>
      </c>
      <c r="S550" t="s">
        <v>137</v>
      </c>
      <c r="T550">
        <v>140.07</v>
      </c>
      <c r="X550"/>
    </row>
    <row r="551" spans="2:24" ht="18.75" hidden="1">
      <c r="B551">
        <v>27</v>
      </c>
      <c r="C551" s="5">
        <v>46202</v>
      </c>
      <c r="D551" t="s">
        <v>121</v>
      </c>
      <c r="E551">
        <v>74.98</v>
      </c>
      <c r="G551">
        <v>3</v>
      </c>
      <c r="H551" s="5">
        <v>46034</v>
      </c>
      <c r="I551" t="s">
        <v>170</v>
      </c>
      <c r="J551">
        <v>72</v>
      </c>
      <c r="L551">
        <v>49</v>
      </c>
      <c r="M551" s="5">
        <v>45992</v>
      </c>
      <c r="N551" t="s">
        <v>184</v>
      </c>
      <c r="O551">
        <v>411.15</v>
      </c>
      <c r="Q551" t="s">
        <v>215</v>
      </c>
      <c r="R551" s="5">
        <v>46054</v>
      </c>
      <c r="S551" t="s">
        <v>148</v>
      </c>
      <c r="T551">
        <v>219.27</v>
      </c>
      <c r="X551"/>
    </row>
    <row r="552" spans="2:24" ht="18.75" hidden="1">
      <c r="B552">
        <v>27</v>
      </c>
      <c r="C552" s="5">
        <v>46202</v>
      </c>
      <c r="D552" t="s">
        <v>122</v>
      </c>
      <c r="E552">
        <v>304.11</v>
      </c>
      <c r="G552">
        <v>3</v>
      </c>
      <c r="H552" s="5">
        <v>46034</v>
      </c>
      <c r="I552" t="s">
        <v>176</v>
      </c>
      <c r="J552">
        <v>52.56</v>
      </c>
      <c r="L552">
        <v>49</v>
      </c>
      <c r="M552" s="5">
        <v>45992</v>
      </c>
      <c r="N552" t="s">
        <v>185</v>
      </c>
      <c r="O552">
        <v>820.9</v>
      </c>
      <c r="Q552" t="s">
        <v>215</v>
      </c>
      <c r="R552" s="5">
        <v>46054</v>
      </c>
      <c r="S552" t="s">
        <v>127</v>
      </c>
      <c r="T552">
        <v>724.82</v>
      </c>
      <c r="X552"/>
    </row>
    <row r="553" spans="2:24" ht="18.75" hidden="1">
      <c r="B553">
        <v>27</v>
      </c>
      <c r="C553" s="5">
        <v>46202</v>
      </c>
      <c r="D553" t="s">
        <v>123</v>
      </c>
      <c r="E553">
        <v>256.12</v>
      </c>
      <c r="G553">
        <v>3</v>
      </c>
      <c r="H553" s="5">
        <v>46034</v>
      </c>
      <c r="I553" t="s">
        <v>164</v>
      </c>
      <c r="J553">
        <v>18</v>
      </c>
      <c r="L553">
        <v>49</v>
      </c>
      <c r="M553" s="5">
        <v>45992</v>
      </c>
      <c r="N553" t="s">
        <v>186</v>
      </c>
      <c r="O553">
        <v>335.25</v>
      </c>
      <c r="Q553" t="s">
        <v>215</v>
      </c>
      <c r="R553" s="5">
        <v>46054</v>
      </c>
      <c r="S553" t="s">
        <v>129</v>
      </c>
      <c r="T553">
        <v>982.35</v>
      </c>
      <c r="X553"/>
    </row>
    <row r="554" spans="2:24" ht="18.75" hidden="1">
      <c r="B554">
        <v>27</v>
      </c>
      <c r="C554" s="5">
        <v>46202</v>
      </c>
      <c r="D554" t="s">
        <v>124</v>
      </c>
      <c r="E554">
        <v>247.42</v>
      </c>
      <c r="G554">
        <v>3</v>
      </c>
      <c r="H554" s="5">
        <v>46034</v>
      </c>
      <c r="I554" t="s">
        <v>163</v>
      </c>
      <c r="J554">
        <v>170.28</v>
      </c>
      <c r="L554">
        <v>50</v>
      </c>
      <c r="M554" s="5">
        <v>45999</v>
      </c>
      <c r="N554" t="s">
        <v>178</v>
      </c>
      <c r="O554">
        <v>2172.77</v>
      </c>
      <c r="Q554" t="s">
        <v>215</v>
      </c>
      <c r="R554" s="5">
        <v>46054</v>
      </c>
      <c r="S554" t="s">
        <v>149</v>
      </c>
      <c r="T554">
        <v>252.32</v>
      </c>
      <c r="X554"/>
    </row>
    <row r="555" spans="2:24" ht="18.75" hidden="1">
      <c r="B555">
        <v>27</v>
      </c>
      <c r="C555" s="5">
        <v>46202</v>
      </c>
      <c r="D555" t="s">
        <v>125</v>
      </c>
      <c r="E555">
        <v>81.05</v>
      </c>
      <c r="G555">
        <v>3</v>
      </c>
      <c r="H555" s="5">
        <v>46034</v>
      </c>
      <c r="I555" t="s">
        <v>168</v>
      </c>
      <c r="J555">
        <v>174.74</v>
      </c>
      <c r="L555">
        <v>50</v>
      </c>
      <c r="M555" s="5">
        <v>45999</v>
      </c>
      <c r="N555" t="s">
        <v>179</v>
      </c>
      <c r="O555">
        <v>3147.11</v>
      </c>
      <c r="Q555" t="s">
        <v>214</v>
      </c>
      <c r="R555" s="5">
        <v>46023</v>
      </c>
      <c r="S555" t="s">
        <v>128</v>
      </c>
      <c r="T555">
        <v>162.19999999999999</v>
      </c>
      <c r="X555"/>
    </row>
    <row r="556" spans="2:24" ht="18.75" hidden="1">
      <c r="B556">
        <v>27</v>
      </c>
      <c r="C556" s="5">
        <v>46202</v>
      </c>
      <c r="D556" t="s">
        <v>126</v>
      </c>
      <c r="E556">
        <v>112.83</v>
      </c>
      <c r="G556">
        <v>3</v>
      </c>
      <c r="H556" s="5">
        <v>46034</v>
      </c>
      <c r="I556" t="s">
        <v>172</v>
      </c>
      <c r="J556">
        <v>13.93</v>
      </c>
      <c r="L556">
        <v>50</v>
      </c>
      <c r="M556" s="5">
        <v>45999</v>
      </c>
      <c r="N556" t="s">
        <v>180</v>
      </c>
      <c r="O556">
        <v>356.8</v>
      </c>
      <c r="Q556" t="s">
        <v>215</v>
      </c>
      <c r="R556" s="5">
        <v>46054</v>
      </c>
      <c r="S556" t="s">
        <v>128</v>
      </c>
      <c r="T556">
        <v>233.66</v>
      </c>
      <c r="X556"/>
    </row>
    <row r="557" spans="2:24" ht="18.75" hidden="1">
      <c r="B557">
        <v>27</v>
      </c>
      <c r="C557" s="5">
        <v>46202</v>
      </c>
      <c r="D557" t="s">
        <v>128</v>
      </c>
      <c r="E557">
        <v>194.97</v>
      </c>
      <c r="G557">
        <v>3</v>
      </c>
      <c r="H557" s="5">
        <v>46034</v>
      </c>
      <c r="I557" t="s">
        <v>201</v>
      </c>
      <c r="J557">
        <v>98.56</v>
      </c>
      <c r="L557">
        <v>50</v>
      </c>
      <c r="M557" s="5">
        <v>45999</v>
      </c>
      <c r="N557" t="s">
        <v>181</v>
      </c>
      <c r="O557">
        <v>2032.12</v>
      </c>
      <c r="Q557" t="s">
        <v>199</v>
      </c>
      <c r="R557" s="5">
        <v>46082</v>
      </c>
      <c r="S557" t="s">
        <v>143</v>
      </c>
      <c r="T557">
        <v>2726.05</v>
      </c>
      <c r="X557"/>
    </row>
    <row r="558" spans="2:24" ht="18.75" hidden="1">
      <c r="B558">
        <v>27</v>
      </c>
      <c r="C558" s="5">
        <v>46202</v>
      </c>
      <c r="D558" t="s">
        <v>129</v>
      </c>
      <c r="E558">
        <v>233.25</v>
      </c>
      <c r="G558">
        <v>3</v>
      </c>
      <c r="H558" s="5">
        <v>46034</v>
      </c>
      <c r="I558" t="s">
        <v>173</v>
      </c>
      <c r="J558">
        <v>529.04999999999995</v>
      </c>
      <c r="L558">
        <v>50</v>
      </c>
      <c r="M558" s="5">
        <v>45999</v>
      </c>
      <c r="N558" t="s">
        <v>182</v>
      </c>
      <c r="O558">
        <v>1990.28</v>
      </c>
      <c r="Q558" t="s">
        <v>199</v>
      </c>
      <c r="R558" s="5">
        <v>46082</v>
      </c>
      <c r="S558" t="s">
        <v>126</v>
      </c>
      <c r="T558">
        <v>251.19</v>
      </c>
      <c r="X558"/>
    </row>
    <row r="559" spans="2:24" ht="18.75" hidden="1">
      <c r="B559">
        <v>27</v>
      </c>
      <c r="C559" s="5">
        <v>46202</v>
      </c>
      <c r="D559" t="s">
        <v>130</v>
      </c>
      <c r="E559">
        <v>219.42</v>
      </c>
      <c r="G559">
        <v>3</v>
      </c>
      <c r="H559" s="5">
        <v>46034</v>
      </c>
      <c r="I559" t="s">
        <v>175</v>
      </c>
      <c r="J559">
        <v>86</v>
      </c>
      <c r="L559">
        <v>50</v>
      </c>
      <c r="M559" s="5">
        <v>45999</v>
      </c>
      <c r="N559" t="s">
        <v>183</v>
      </c>
      <c r="O559">
        <v>507.97</v>
      </c>
      <c r="Q559" t="s">
        <v>199</v>
      </c>
      <c r="R559" s="5">
        <v>46082</v>
      </c>
      <c r="S559" t="s">
        <v>127</v>
      </c>
      <c r="T559">
        <v>398.15</v>
      </c>
      <c r="X559"/>
    </row>
    <row r="560" spans="2:24" ht="18.75" hidden="1">
      <c r="B560">
        <v>27</v>
      </c>
      <c r="C560" s="5">
        <v>46202</v>
      </c>
      <c r="D560" t="s">
        <v>131</v>
      </c>
      <c r="E560">
        <v>153.21</v>
      </c>
      <c r="G560">
        <v>3</v>
      </c>
      <c r="H560" s="5">
        <v>46034</v>
      </c>
      <c r="I560" t="s">
        <v>165</v>
      </c>
      <c r="J560">
        <v>22.7</v>
      </c>
      <c r="L560">
        <v>50</v>
      </c>
      <c r="M560" s="5">
        <v>45999</v>
      </c>
      <c r="N560" t="s">
        <v>184</v>
      </c>
      <c r="O560">
        <v>456.09</v>
      </c>
      <c r="Q560" t="s">
        <v>199</v>
      </c>
      <c r="R560" s="5">
        <v>46082</v>
      </c>
      <c r="S560" t="s">
        <v>114</v>
      </c>
      <c r="T560">
        <v>532.16999999999996</v>
      </c>
      <c r="X560"/>
    </row>
    <row r="561" spans="2:24" ht="18.75" hidden="1">
      <c r="B561">
        <v>27</v>
      </c>
      <c r="C561" s="5">
        <v>46202</v>
      </c>
      <c r="D561" t="s">
        <v>132</v>
      </c>
      <c r="E561">
        <v>174.18</v>
      </c>
      <c r="G561">
        <v>4</v>
      </c>
      <c r="H561" s="5">
        <v>46041</v>
      </c>
      <c r="I561" t="s">
        <v>160</v>
      </c>
      <c r="J561">
        <v>3602.94</v>
      </c>
      <c r="L561">
        <v>50</v>
      </c>
      <c r="M561" s="5">
        <v>45999</v>
      </c>
      <c r="N561" t="s">
        <v>185</v>
      </c>
      <c r="O561">
        <v>786.9</v>
      </c>
      <c r="Q561" t="s">
        <v>199</v>
      </c>
      <c r="R561" s="5">
        <v>46082</v>
      </c>
      <c r="S561" t="s">
        <v>133</v>
      </c>
      <c r="T561">
        <v>437.78</v>
      </c>
      <c r="X561"/>
    </row>
    <row r="562" spans="2:24" ht="18.75" hidden="1">
      <c r="B562">
        <v>27</v>
      </c>
      <c r="C562" s="5">
        <v>46202</v>
      </c>
      <c r="D562" t="s">
        <v>133</v>
      </c>
      <c r="E562">
        <v>230.22</v>
      </c>
      <c r="G562">
        <v>4</v>
      </c>
      <c r="H562" s="5">
        <v>46041</v>
      </c>
      <c r="I562" t="s">
        <v>158</v>
      </c>
      <c r="J562">
        <v>480.76</v>
      </c>
      <c r="L562">
        <v>50</v>
      </c>
      <c r="M562" s="5">
        <v>45999</v>
      </c>
      <c r="N562" t="s">
        <v>186</v>
      </c>
      <c r="O562">
        <v>339.75</v>
      </c>
      <c r="Q562" t="s">
        <v>199</v>
      </c>
      <c r="R562" s="5">
        <v>46082</v>
      </c>
      <c r="S562" t="s">
        <v>134</v>
      </c>
      <c r="T562">
        <v>485.72</v>
      </c>
      <c r="X562"/>
    </row>
    <row r="563" spans="2:24" ht="18.75" hidden="1">
      <c r="B563">
        <v>27</v>
      </c>
      <c r="C563" s="5">
        <v>46202</v>
      </c>
      <c r="D563" t="s">
        <v>134</v>
      </c>
      <c r="E563">
        <v>215.45</v>
      </c>
      <c r="G563">
        <v>4</v>
      </c>
      <c r="H563" s="5">
        <v>46041</v>
      </c>
      <c r="I563" t="s">
        <v>165</v>
      </c>
      <c r="J563">
        <v>62.3</v>
      </c>
      <c r="L563">
        <v>51</v>
      </c>
      <c r="M563" s="5">
        <v>46006</v>
      </c>
      <c r="N563" t="s">
        <v>178</v>
      </c>
      <c r="O563">
        <v>1850.45</v>
      </c>
      <c r="Q563" t="s">
        <v>199</v>
      </c>
      <c r="R563" s="5">
        <v>46082</v>
      </c>
      <c r="S563" t="s">
        <v>138</v>
      </c>
      <c r="T563">
        <v>805.45</v>
      </c>
      <c r="X563"/>
    </row>
    <row r="564" spans="2:24" ht="18.75" hidden="1">
      <c r="B564">
        <v>27</v>
      </c>
      <c r="C564" s="5">
        <v>46202</v>
      </c>
      <c r="D564" t="s">
        <v>135</v>
      </c>
      <c r="E564">
        <v>79.05</v>
      </c>
      <c r="G564">
        <v>4</v>
      </c>
      <c r="H564" s="5">
        <v>46041</v>
      </c>
      <c r="I564" t="s">
        <v>171</v>
      </c>
      <c r="J564">
        <v>397.5</v>
      </c>
      <c r="L564">
        <v>51</v>
      </c>
      <c r="M564" s="5">
        <v>46006</v>
      </c>
      <c r="N564" t="s">
        <v>179</v>
      </c>
      <c r="O564">
        <v>2893.54</v>
      </c>
      <c r="Q564" t="s">
        <v>199</v>
      </c>
      <c r="R564" s="5">
        <v>46082</v>
      </c>
      <c r="S564" t="s">
        <v>141</v>
      </c>
      <c r="T564">
        <v>1033.3599999999999</v>
      </c>
      <c r="X564"/>
    </row>
    <row r="565" spans="2:24" ht="18.75" hidden="1">
      <c r="B565">
        <v>27</v>
      </c>
      <c r="C565" s="5">
        <v>46202</v>
      </c>
      <c r="D565" t="s">
        <v>136</v>
      </c>
      <c r="E565">
        <v>151.55000000000001</v>
      </c>
      <c r="G565">
        <v>4</v>
      </c>
      <c r="H565" s="5">
        <v>46041</v>
      </c>
      <c r="I565" t="s">
        <v>167</v>
      </c>
      <c r="J565">
        <v>347.42</v>
      </c>
      <c r="L565">
        <v>51</v>
      </c>
      <c r="M565" s="5">
        <v>46006</v>
      </c>
      <c r="N565" t="s">
        <v>180</v>
      </c>
      <c r="O565">
        <v>277</v>
      </c>
      <c r="Q565" t="s">
        <v>199</v>
      </c>
      <c r="R565" s="5">
        <v>46082</v>
      </c>
      <c r="S565" t="s">
        <v>139</v>
      </c>
      <c r="T565">
        <v>493.48</v>
      </c>
      <c r="X565"/>
    </row>
    <row r="566" spans="2:24" ht="18.75" hidden="1">
      <c r="B566">
        <v>27</v>
      </c>
      <c r="C566" s="5">
        <v>46202</v>
      </c>
      <c r="D566" t="s">
        <v>137</v>
      </c>
      <c r="E566">
        <v>111.38</v>
      </c>
      <c r="G566">
        <v>4</v>
      </c>
      <c r="H566" s="5">
        <v>46041</v>
      </c>
      <c r="I566" t="s">
        <v>198</v>
      </c>
      <c r="J566">
        <v>351.05</v>
      </c>
      <c r="L566">
        <v>51</v>
      </c>
      <c r="M566" s="5">
        <v>46006</v>
      </c>
      <c r="N566" t="s">
        <v>182</v>
      </c>
      <c r="O566">
        <v>1881.24</v>
      </c>
      <c r="Q566" t="s">
        <v>199</v>
      </c>
      <c r="R566" s="5">
        <v>46082</v>
      </c>
      <c r="S566" t="s">
        <v>145</v>
      </c>
      <c r="T566">
        <v>466.3</v>
      </c>
      <c r="X566"/>
    </row>
    <row r="567" spans="2:24" ht="18.75" hidden="1">
      <c r="B567">
        <v>27</v>
      </c>
      <c r="C567" s="5">
        <v>46202</v>
      </c>
      <c r="D567" t="s">
        <v>138</v>
      </c>
      <c r="E567">
        <v>311.33999999999997</v>
      </c>
      <c r="G567">
        <v>4</v>
      </c>
      <c r="H567" s="5">
        <v>46041</v>
      </c>
      <c r="I567" t="s">
        <v>174</v>
      </c>
      <c r="J567">
        <v>436.32</v>
      </c>
      <c r="L567">
        <v>51</v>
      </c>
      <c r="M567" s="5">
        <v>46006</v>
      </c>
      <c r="N567" t="s">
        <v>183</v>
      </c>
      <c r="O567">
        <v>454.68</v>
      </c>
      <c r="Q567" t="s">
        <v>199</v>
      </c>
      <c r="R567" s="5">
        <v>46082</v>
      </c>
      <c r="S567" t="s">
        <v>146</v>
      </c>
      <c r="T567">
        <v>956.55</v>
      </c>
      <c r="X567"/>
    </row>
    <row r="568" spans="2:24" ht="18.75" hidden="1">
      <c r="B568">
        <v>27</v>
      </c>
      <c r="C568" s="5">
        <v>46202</v>
      </c>
      <c r="D568" t="s">
        <v>141</v>
      </c>
      <c r="E568">
        <v>234.75</v>
      </c>
      <c r="G568">
        <v>4</v>
      </c>
      <c r="H568" s="5">
        <v>46041</v>
      </c>
      <c r="I568" t="s">
        <v>169</v>
      </c>
      <c r="J568">
        <v>1561.04</v>
      </c>
      <c r="L568">
        <v>51</v>
      </c>
      <c r="M568" s="5">
        <v>46006</v>
      </c>
      <c r="N568" t="s">
        <v>184</v>
      </c>
      <c r="O568">
        <v>407.52</v>
      </c>
      <c r="Q568" t="s">
        <v>199</v>
      </c>
      <c r="R568" s="5">
        <v>46082</v>
      </c>
      <c r="S568" t="s">
        <v>151</v>
      </c>
      <c r="T568">
        <v>1179.54</v>
      </c>
      <c r="X568"/>
    </row>
    <row r="569" spans="2:24" ht="18.75" hidden="1">
      <c r="B569">
        <v>27</v>
      </c>
      <c r="C569" s="5">
        <v>46202</v>
      </c>
      <c r="D569" t="s">
        <v>142</v>
      </c>
      <c r="E569">
        <v>155.41999999999999</v>
      </c>
      <c r="G569">
        <v>4</v>
      </c>
      <c r="H569" s="5">
        <v>46041</v>
      </c>
      <c r="I569" t="s">
        <v>170</v>
      </c>
      <c r="J569">
        <v>44</v>
      </c>
      <c r="L569">
        <v>51</v>
      </c>
      <c r="M569" s="5">
        <v>46006</v>
      </c>
      <c r="N569" t="s">
        <v>185</v>
      </c>
      <c r="O569">
        <v>798.2</v>
      </c>
      <c r="Q569" t="s">
        <v>199</v>
      </c>
      <c r="R569" s="5">
        <v>46082</v>
      </c>
      <c r="S569" t="s">
        <v>111</v>
      </c>
      <c r="T569">
        <v>366.05</v>
      </c>
      <c r="X569"/>
    </row>
    <row r="570" spans="2:24" ht="18.75" hidden="1">
      <c r="B570">
        <v>27</v>
      </c>
      <c r="C570" s="5">
        <v>46202</v>
      </c>
      <c r="D570" t="s">
        <v>139</v>
      </c>
      <c r="E570">
        <v>177.35</v>
      </c>
      <c r="G570">
        <v>4</v>
      </c>
      <c r="H570" s="5">
        <v>46041</v>
      </c>
      <c r="I570" t="s">
        <v>164</v>
      </c>
      <c r="J570">
        <v>13.2</v>
      </c>
      <c r="L570">
        <v>51</v>
      </c>
      <c r="M570" s="5">
        <v>46006</v>
      </c>
      <c r="N570" t="s">
        <v>186</v>
      </c>
      <c r="O570">
        <v>303.75</v>
      </c>
      <c r="Q570" t="s">
        <v>199</v>
      </c>
      <c r="R570" s="5">
        <v>46082</v>
      </c>
      <c r="S570" t="s">
        <v>117</v>
      </c>
      <c r="T570">
        <v>418.5</v>
      </c>
      <c r="X570"/>
    </row>
    <row r="571" spans="2:24" ht="18.75" hidden="1">
      <c r="B571">
        <v>27</v>
      </c>
      <c r="C571" s="5">
        <v>46202</v>
      </c>
      <c r="D571" t="s">
        <v>143</v>
      </c>
      <c r="E571">
        <v>263.13</v>
      </c>
      <c r="G571">
        <v>4</v>
      </c>
      <c r="H571" s="5">
        <v>46041</v>
      </c>
      <c r="I571" t="s">
        <v>176</v>
      </c>
      <c r="J571">
        <v>54.12</v>
      </c>
      <c r="L571">
        <v>51</v>
      </c>
      <c r="M571" s="5">
        <v>46006</v>
      </c>
      <c r="N571" t="s">
        <v>181</v>
      </c>
      <c r="O571">
        <v>1459.41</v>
      </c>
      <c r="Q571" t="s">
        <v>199</v>
      </c>
      <c r="R571" s="5">
        <v>46082</v>
      </c>
      <c r="S571" t="s">
        <v>119</v>
      </c>
      <c r="T571">
        <v>686.89</v>
      </c>
      <c r="X571"/>
    </row>
    <row r="572" spans="2:24" ht="18.75" hidden="1">
      <c r="B572">
        <v>27</v>
      </c>
      <c r="C572" s="5">
        <v>46202</v>
      </c>
      <c r="D572" t="s">
        <v>144</v>
      </c>
      <c r="E572">
        <v>362.36</v>
      </c>
      <c r="G572">
        <v>4</v>
      </c>
      <c r="H572" s="5">
        <v>46041</v>
      </c>
      <c r="I572" t="s">
        <v>163</v>
      </c>
      <c r="J572">
        <v>206.4</v>
      </c>
      <c r="L572">
        <v>52</v>
      </c>
      <c r="M572" s="5">
        <v>46013</v>
      </c>
      <c r="N572" t="s">
        <v>178</v>
      </c>
      <c r="O572">
        <v>892.5</v>
      </c>
      <c r="Q572" t="s">
        <v>199</v>
      </c>
      <c r="R572" s="5">
        <v>46082</v>
      </c>
      <c r="S572" t="s">
        <v>130</v>
      </c>
      <c r="T572">
        <v>846.31</v>
      </c>
      <c r="X572"/>
    </row>
    <row r="573" spans="2:24" ht="18.75" hidden="1">
      <c r="B573">
        <v>27</v>
      </c>
      <c r="C573" s="5">
        <v>46202</v>
      </c>
      <c r="D573" t="s">
        <v>216</v>
      </c>
      <c r="E573">
        <v>260.57</v>
      </c>
      <c r="G573">
        <v>4</v>
      </c>
      <c r="H573" s="5">
        <v>46041</v>
      </c>
      <c r="I573" t="s">
        <v>168</v>
      </c>
      <c r="J573">
        <v>211.73</v>
      </c>
      <c r="L573">
        <v>52</v>
      </c>
      <c r="M573" s="5">
        <v>46013</v>
      </c>
      <c r="N573" t="s">
        <v>179</v>
      </c>
      <c r="O573">
        <v>1380.94</v>
      </c>
      <c r="Q573" t="s">
        <v>199</v>
      </c>
      <c r="R573" s="5">
        <v>46082</v>
      </c>
      <c r="S573" t="s">
        <v>129</v>
      </c>
      <c r="T573">
        <v>708.95</v>
      </c>
      <c r="X573"/>
    </row>
    <row r="574" spans="2:24" ht="18.75" hidden="1">
      <c r="B574">
        <v>27</v>
      </c>
      <c r="C574" s="5">
        <v>46202</v>
      </c>
      <c r="D574" t="s">
        <v>145</v>
      </c>
      <c r="E574">
        <v>137.66999999999999</v>
      </c>
      <c r="G574">
        <v>4</v>
      </c>
      <c r="H574" s="5">
        <v>46041</v>
      </c>
      <c r="I574" t="s">
        <v>172</v>
      </c>
      <c r="J574">
        <v>29.85</v>
      </c>
      <c r="L574">
        <v>52</v>
      </c>
      <c r="M574" s="5">
        <v>46013</v>
      </c>
      <c r="N574" t="s">
        <v>180</v>
      </c>
      <c r="O574">
        <v>360.9</v>
      </c>
      <c r="Q574" t="s">
        <v>199</v>
      </c>
      <c r="R574" s="5">
        <v>46082</v>
      </c>
      <c r="S574" t="s">
        <v>123</v>
      </c>
      <c r="T574">
        <v>719.45</v>
      </c>
      <c r="X574"/>
    </row>
    <row r="575" spans="2:24" ht="18.75" hidden="1">
      <c r="B575">
        <v>27</v>
      </c>
      <c r="C575" s="5">
        <v>46202</v>
      </c>
      <c r="D575" t="s">
        <v>146</v>
      </c>
      <c r="E575">
        <v>321.35000000000002</v>
      </c>
      <c r="G575">
        <v>4</v>
      </c>
      <c r="H575" s="5">
        <v>46041</v>
      </c>
      <c r="I575" t="s">
        <v>201</v>
      </c>
      <c r="J575">
        <v>181.72</v>
      </c>
      <c r="L575">
        <v>52</v>
      </c>
      <c r="M575" s="5">
        <v>46013</v>
      </c>
      <c r="N575" t="s">
        <v>181</v>
      </c>
      <c r="O575">
        <v>626.34</v>
      </c>
      <c r="Q575" t="s">
        <v>199</v>
      </c>
      <c r="R575" s="5">
        <v>46082</v>
      </c>
      <c r="S575" t="s">
        <v>124</v>
      </c>
      <c r="T575">
        <v>778.82</v>
      </c>
      <c r="X575"/>
    </row>
    <row r="576" spans="2:24" ht="18.75" hidden="1">
      <c r="B576">
        <v>27</v>
      </c>
      <c r="C576" s="5">
        <v>46202</v>
      </c>
      <c r="D576" t="s">
        <v>148</v>
      </c>
      <c r="E576">
        <v>90.77</v>
      </c>
      <c r="G576">
        <v>4</v>
      </c>
      <c r="H576" s="5">
        <v>46041</v>
      </c>
      <c r="I576" t="s">
        <v>173</v>
      </c>
      <c r="J576">
        <v>477.9</v>
      </c>
      <c r="L576">
        <v>52</v>
      </c>
      <c r="M576" s="5">
        <v>46013</v>
      </c>
      <c r="N576" t="s">
        <v>182</v>
      </c>
      <c r="O576">
        <v>527.5</v>
      </c>
      <c r="Q576" t="s">
        <v>199</v>
      </c>
      <c r="R576" s="5">
        <v>46082</v>
      </c>
      <c r="S576" t="s">
        <v>113</v>
      </c>
      <c r="T576">
        <v>345.02</v>
      </c>
      <c r="X576"/>
    </row>
    <row r="577" spans="2:24" ht="18.75" hidden="1">
      <c r="B577">
        <v>27</v>
      </c>
      <c r="C577" s="5">
        <v>46202</v>
      </c>
      <c r="D577" t="s">
        <v>147</v>
      </c>
      <c r="E577">
        <v>214.5</v>
      </c>
      <c r="G577">
        <v>4</v>
      </c>
      <c r="H577" s="5">
        <v>46041</v>
      </c>
      <c r="I577" t="s">
        <v>175</v>
      </c>
      <c r="J577">
        <v>54</v>
      </c>
      <c r="L577">
        <v>52</v>
      </c>
      <c r="M577" s="5">
        <v>46013</v>
      </c>
      <c r="N577" t="s">
        <v>183</v>
      </c>
      <c r="O577">
        <v>236.66</v>
      </c>
      <c r="Q577" t="s">
        <v>199</v>
      </c>
      <c r="R577" s="5">
        <v>46082</v>
      </c>
      <c r="S577" t="s">
        <v>118</v>
      </c>
      <c r="T577">
        <v>282.58999999999997</v>
      </c>
      <c r="X577"/>
    </row>
    <row r="578" spans="2:24" ht="18.75" hidden="1">
      <c r="B578">
        <v>27</v>
      </c>
      <c r="C578" s="5">
        <v>46202</v>
      </c>
      <c r="D578" t="s">
        <v>150</v>
      </c>
      <c r="E578">
        <v>107.54</v>
      </c>
      <c r="G578">
        <v>5</v>
      </c>
      <c r="H578" s="5">
        <v>46048</v>
      </c>
      <c r="I578" t="s">
        <v>160</v>
      </c>
      <c r="J578">
        <v>5185.26</v>
      </c>
      <c r="L578">
        <v>52</v>
      </c>
      <c r="M578" s="5">
        <v>46013</v>
      </c>
      <c r="N578" t="s">
        <v>184</v>
      </c>
      <c r="O578">
        <v>196.59</v>
      </c>
      <c r="Q578" t="s">
        <v>199</v>
      </c>
      <c r="R578" s="5">
        <v>46082</v>
      </c>
      <c r="S578" t="s">
        <v>121</v>
      </c>
      <c r="T578">
        <v>285.45</v>
      </c>
      <c r="X578"/>
    </row>
    <row r="579" spans="2:24" ht="18.75" hidden="1">
      <c r="B579">
        <v>27</v>
      </c>
      <c r="C579" s="5">
        <v>46202</v>
      </c>
      <c r="D579" t="s">
        <v>151</v>
      </c>
      <c r="E579">
        <v>421.3</v>
      </c>
      <c r="G579">
        <v>5</v>
      </c>
      <c r="H579" s="5">
        <v>46048</v>
      </c>
      <c r="I579" t="s">
        <v>158</v>
      </c>
      <c r="J579">
        <v>529.24</v>
      </c>
      <c r="L579">
        <v>52</v>
      </c>
      <c r="M579" s="5">
        <v>46013</v>
      </c>
      <c r="N579" t="s">
        <v>185</v>
      </c>
      <c r="O579">
        <v>392.1</v>
      </c>
      <c r="Q579" t="s">
        <v>199</v>
      </c>
      <c r="R579" s="5">
        <v>46082</v>
      </c>
      <c r="S579" t="s">
        <v>147</v>
      </c>
      <c r="T579">
        <v>541.64</v>
      </c>
      <c r="X579"/>
    </row>
    <row r="580" spans="2:24" ht="18.75" hidden="1">
      <c r="B580">
        <v>27</v>
      </c>
      <c r="C580" s="5">
        <v>46202</v>
      </c>
      <c r="D580" t="s">
        <v>116</v>
      </c>
      <c r="E580">
        <v>97.23</v>
      </c>
      <c r="G580">
        <v>5</v>
      </c>
      <c r="H580" s="5">
        <v>46048</v>
      </c>
      <c r="I580" t="s">
        <v>165</v>
      </c>
      <c r="J580">
        <v>220.4</v>
      </c>
      <c r="L580">
        <v>52</v>
      </c>
      <c r="M580" s="5">
        <v>46013</v>
      </c>
      <c r="N580" t="s">
        <v>186</v>
      </c>
      <c r="O580">
        <v>206.8</v>
      </c>
      <c r="Q580" t="s">
        <v>199</v>
      </c>
      <c r="R580" s="5">
        <v>46082</v>
      </c>
      <c r="S580" t="s">
        <v>112</v>
      </c>
      <c r="T580">
        <v>143.56</v>
      </c>
      <c r="X580"/>
    </row>
    <row r="581" spans="2:24" ht="18.75" hidden="1">
      <c r="B581">
        <v>27</v>
      </c>
      <c r="C581" s="5">
        <v>46202</v>
      </c>
      <c r="D581" t="s">
        <v>113</v>
      </c>
      <c r="E581">
        <v>123.47</v>
      </c>
      <c r="G581">
        <v>5</v>
      </c>
      <c r="H581" s="5">
        <v>46048</v>
      </c>
      <c r="I581" t="s">
        <v>198</v>
      </c>
      <c r="J581">
        <v>499.8</v>
      </c>
      <c r="L581">
        <v>1</v>
      </c>
      <c r="M581" s="5">
        <v>46020</v>
      </c>
      <c r="N581" t="s">
        <v>178</v>
      </c>
      <c r="O581">
        <v>749.7</v>
      </c>
      <c r="Q581" t="s">
        <v>199</v>
      </c>
      <c r="R581" s="5">
        <v>46082</v>
      </c>
      <c r="S581" t="s">
        <v>116</v>
      </c>
      <c r="T581">
        <v>213.81</v>
      </c>
      <c r="X581"/>
    </row>
    <row r="582" spans="2:24" ht="18.75" hidden="1">
      <c r="B582">
        <v>27</v>
      </c>
      <c r="C582" s="5">
        <v>46202</v>
      </c>
      <c r="D582" t="s">
        <v>127</v>
      </c>
      <c r="E582">
        <v>86</v>
      </c>
      <c r="G582">
        <v>5</v>
      </c>
      <c r="H582" s="5">
        <v>46048</v>
      </c>
      <c r="I582" t="s">
        <v>167</v>
      </c>
      <c r="J582">
        <v>89.85</v>
      </c>
      <c r="L582">
        <v>1</v>
      </c>
      <c r="M582" s="5">
        <v>46020</v>
      </c>
      <c r="N582" t="s">
        <v>179</v>
      </c>
      <c r="O582">
        <v>1199.82</v>
      </c>
      <c r="Q582" t="s">
        <v>199</v>
      </c>
      <c r="R582" s="5">
        <v>46082</v>
      </c>
      <c r="S582" t="s">
        <v>120</v>
      </c>
      <c r="T582">
        <v>282.02</v>
      </c>
      <c r="X582"/>
    </row>
    <row r="583" spans="2:24" ht="18.75" hidden="1">
      <c r="B583">
        <v>27</v>
      </c>
      <c r="C583" s="5">
        <v>46202</v>
      </c>
      <c r="D583" t="s">
        <v>115</v>
      </c>
      <c r="E583">
        <v>215.35</v>
      </c>
      <c r="G583">
        <v>5</v>
      </c>
      <c r="H583" s="5">
        <v>46048</v>
      </c>
      <c r="I583" t="s">
        <v>174</v>
      </c>
      <c r="J583">
        <v>1336.25</v>
      </c>
      <c r="L583">
        <v>1</v>
      </c>
      <c r="M583" s="5">
        <v>46020</v>
      </c>
      <c r="N583" t="s">
        <v>180</v>
      </c>
      <c r="O583">
        <v>160.4</v>
      </c>
      <c r="Q583" t="s">
        <v>199</v>
      </c>
      <c r="R583" s="5">
        <v>46082</v>
      </c>
      <c r="S583" t="s">
        <v>122</v>
      </c>
      <c r="T583">
        <v>548.41</v>
      </c>
      <c r="X583"/>
    </row>
    <row r="584" spans="2:24" ht="18.75" hidden="1">
      <c r="B584">
        <v>13</v>
      </c>
      <c r="C584" s="5">
        <v>46104</v>
      </c>
      <c r="D584" t="s">
        <v>151</v>
      </c>
      <c r="E584">
        <v>97.27</v>
      </c>
      <c r="G584">
        <v>5</v>
      </c>
      <c r="H584" s="5">
        <v>46048</v>
      </c>
      <c r="I584" t="s">
        <v>169</v>
      </c>
      <c r="J584">
        <v>2308.96</v>
      </c>
      <c r="L584">
        <v>1</v>
      </c>
      <c r="M584" s="5">
        <v>46020</v>
      </c>
      <c r="N584" t="s">
        <v>181</v>
      </c>
      <c r="O584">
        <v>568.61</v>
      </c>
      <c r="Q584" t="s">
        <v>199</v>
      </c>
      <c r="R584" s="5">
        <v>46082</v>
      </c>
      <c r="S584" t="s">
        <v>125</v>
      </c>
      <c r="T584">
        <v>123.08</v>
      </c>
      <c r="X584"/>
    </row>
    <row r="585" spans="2:24" ht="18.75" hidden="1">
      <c r="B585">
        <v>13</v>
      </c>
      <c r="C585" s="5">
        <v>46104</v>
      </c>
      <c r="D585" t="s">
        <v>114</v>
      </c>
      <c r="E585">
        <v>31.28</v>
      </c>
      <c r="G585">
        <v>5</v>
      </c>
      <c r="H585" s="5">
        <v>46048</v>
      </c>
      <c r="I585" t="s">
        <v>170</v>
      </c>
      <c r="J585">
        <v>92</v>
      </c>
      <c r="L585">
        <v>1</v>
      </c>
      <c r="M585" s="5">
        <v>46020</v>
      </c>
      <c r="N585" t="s">
        <v>182</v>
      </c>
      <c r="O585">
        <v>562.36</v>
      </c>
      <c r="Q585" t="s">
        <v>199</v>
      </c>
      <c r="R585" s="5">
        <v>46082</v>
      </c>
      <c r="S585" t="s">
        <v>128</v>
      </c>
      <c r="T585">
        <v>335.9</v>
      </c>
      <c r="X585"/>
    </row>
    <row r="586" spans="2:24" ht="18.75" hidden="1">
      <c r="B586">
        <v>13</v>
      </c>
      <c r="C586" s="5">
        <v>46104</v>
      </c>
      <c r="D586" t="s">
        <v>129</v>
      </c>
      <c r="E586">
        <v>64.22</v>
      </c>
      <c r="G586">
        <v>5</v>
      </c>
      <c r="H586" s="5">
        <v>46048</v>
      </c>
      <c r="I586" t="s">
        <v>164</v>
      </c>
      <c r="J586">
        <v>32.4</v>
      </c>
      <c r="L586">
        <v>1</v>
      </c>
      <c r="M586" s="5">
        <v>46020</v>
      </c>
      <c r="N586" t="s">
        <v>183</v>
      </c>
      <c r="O586">
        <v>158.16</v>
      </c>
      <c r="Q586" t="s">
        <v>199</v>
      </c>
      <c r="R586" s="5">
        <v>46082</v>
      </c>
      <c r="S586" t="s">
        <v>132</v>
      </c>
      <c r="T586">
        <v>395.03</v>
      </c>
      <c r="X586"/>
    </row>
    <row r="587" spans="2:24" ht="18.75" hidden="1">
      <c r="B587">
        <v>13</v>
      </c>
      <c r="C587" s="5">
        <v>46104</v>
      </c>
      <c r="D587" t="s">
        <v>133</v>
      </c>
      <c r="E587">
        <v>49.2</v>
      </c>
      <c r="G587">
        <v>5</v>
      </c>
      <c r="H587" s="5">
        <v>46048</v>
      </c>
      <c r="I587" t="s">
        <v>176</v>
      </c>
      <c r="J587">
        <v>136.08000000000001</v>
      </c>
      <c r="L587">
        <v>1</v>
      </c>
      <c r="M587" s="5">
        <v>46020</v>
      </c>
      <c r="N587" t="s">
        <v>184</v>
      </c>
      <c r="O587">
        <v>116.24</v>
      </c>
      <c r="Q587" t="s">
        <v>199</v>
      </c>
      <c r="R587" s="5">
        <v>46082</v>
      </c>
      <c r="S587" t="s">
        <v>135</v>
      </c>
      <c r="T587">
        <v>168.93</v>
      </c>
      <c r="X587"/>
    </row>
    <row r="588" spans="2:24" ht="18.75" hidden="1">
      <c r="B588">
        <v>13</v>
      </c>
      <c r="C588" s="5">
        <v>46104</v>
      </c>
      <c r="D588" t="s">
        <v>134</v>
      </c>
      <c r="E588">
        <v>47.18</v>
      </c>
      <c r="G588">
        <v>5</v>
      </c>
      <c r="H588" s="5">
        <v>46048</v>
      </c>
      <c r="I588" t="s">
        <v>163</v>
      </c>
      <c r="J588">
        <v>167.7</v>
      </c>
      <c r="L588">
        <v>1</v>
      </c>
      <c r="M588" s="5">
        <v>46020</v>
      </c>
      <c r="N588" t="s">
        <v>185</v>
      </c>
      <c r="O588">
        <v>54.25</v>
      </c>
      <c r="Q588" t="s">
        <v>199</v>
      </c>
      <c r="R588" s="5">
        <v>46082</v>
      </c>
      <c r="S588" t="s">
        <v>136</v>
      </c>
      <c r="T588">
        <v>423.29</v>
      </c>
      <c r="X588"/>
    </row>
    <row r="589" spans="2:24" ht="18.75" hidden="1">
      <c r="B589">
        <v>13</v>
      </c>
      <c r="C589" s="5">
        <v>46104</v>
      </c>
      <c r="D589" t="s">
        <v>143</v>
      </c>
      <c r="E589">
        <v>654.11</v>
      </c>
      <c r="G589">
        <v>5</v>
      </c>
      <c r="H589" s="5">
        <v>46048</v>
      </c>
      <c r="I589" t="s">
        <v>168</v>
      </c>
      <c r="J589">
        <v>694.25</v>
      </c>
      <c r="L589">
        <v>2</v>
      </c>
      <c r="M589" s="5">
        <v>46027</v>
      </c>
      <c r="N589" t="s">
        <v>178</v>
      </c>
      <c r="O589">
        <v>1951.6</v>
      </c>
      <c r="Q589" t="s">
        <v>199</v>
      </c>
      <c r="R589" s="5">
        <v>46082</v>
      </c>
      <c r="S589" t="s">
        <v>137</v>
      </c>
      <c r="T589">
        <v>154.9</v>
      </c>
      <c r="X589"/>
    </row>
    <row r="590" spans="2:24" ht="18.75" hidden="1">
      <c r="B590">
        <v>13</v>
      </c>
      <c r="C590" s="5">
        <v>46104</v>
      </c>
      <c r="D590" t="s">
        <v>145</v>
      </c>
      <c r="E590">
        <v>27.67</v>
      </c>
      <c r="G590">
        <v>5</v>
      </c>
      <c r="H590" s="5">
        <v>46048</v>
      </c>
      <c r="I590" t="s">
        <v>172</v>
      </c>
      <c r="J590">
        <v>121.39</v>
      </c>
      <c r="L590">
        <v>2</v>
      </c>
      <c r="M590" s="5">
        <v>46027</v>
      </c>
      <c r="N590" t="s">
        <v>179</v>
      </c>
      <c r="O590">
        <v>2706.74</v>
      </c>
      <c r="Q590" t="s">
        <v>199</v>
      </c>
      <c r="R590" s="5">
        <v>46082</v>
      </c>
      <c r="S590" t="s">
        <v>140</v>
      </c>
      <c r="T590">
        <v>147.99</v>
      </c>
      <c r="X590"/>
    </row>
    <row r="591" spans="2:24" ht="18.75" hidden="1">
      <c r="B591">
        <v>13</v>
      </c>
      <c r="C591" s="5">
        <v>46104</v>
      </c>
      <c r="D591" t="s">
        <v>146</v>
      </c>
      <c r="E591">
        <v>133.31</v>
      </c>
      <c r="G591">
        <v>5</v>
      </c>
      <c r="H591" s="5">
        <v>46048</v>
      </c>
      <c r="I591" t="s">
        <v>201</v>
      </c>
      <c r="J591">
        <v>154</v>
      </c>
      <c r="L591">
        <v>2</v>
      </c>
      <c r="M591" s="5">
        <v>46027</v>
      </c>
      <c r="N591" t="s">
        <v>181</v>
      </c>
      <c r="O591">
        <v>1707.39</v>
      </c>
      <c r="Q591" t="s">
        <v>199</v>
      </c>
      <c r="R591" s="5">
        <v>46082</v>
      </c>
      <c r="S591" t="s">
        <v>142</v>
      </c>
      <c r="T591">
        <v>445.3</v>
      </c>
      <c r="X591"/>
    </row>
    <row r="592" spans="2:24" ht="18.75" hidden="1">
      <c r="B592">
        <v>13</v>
      </c>
      <c r="C592" s="5">
        <v>46104</v>
      </c>
      <c r="D592" t="s">
        <v>117</v>
      </c>
      <c r="E592">
        <v>22.27</v>
      </c>
      <c r="G592">
        <v>5</v>
      </c>
      <c r="H592" s="5">
        <v>46048</v>
      </c>
      <c r="I592" t="s">
        <v>173</v>
      </c>
      <c r="J592">
        <v>675.25</v>
      </c>
      <c r="L592">
        <v>2</v>
      </c>
      <c r="M592" s="5">
        <v>46027</v>
      </c>
      <c r="N592" t="s">
        <v>182</v>
      </c>
      <c r="O592">
        <v>1733.76</v>
      </c>
      <c r="Q592" t="s">
        <v>199</v>
      </c>
      <c r="R592" s="5">
        <v>46082</v>
      </c>
      <c r="S592" t="s">
        <v>148</v>
      </c>
      <c r="T592">
        <v>227.28</v>
      </c>
      <c r="X592"/>
    </row>
    <row r="593" spans="2:24" ht="18.75" hidden="1">
      <c r="B593">
        <v>13</v>
      </c>
      <c r="C593" s="5">
        <v>46104</v>
      </c>
      <c r="D593" t="s">
        <v>141</v>
      </c>
      <c r="E593">
        <v>128.37</v>
      </c>
      <c r="G593">
        <v>5</v>
      </c>
      <c r="H593" s="5">
        <v>46048</v>
      </c>
      <c r="I593" t="s">
        <v>175</v>
      </c>
      <c r="J593">
        <v>350.9</v>
      </c>
      <c r="L593">
        <v>2</v>
      </c>
      <c r="M593" s="5">
        <v>46027</v>
      </c>
      <c r="N593" t="s">
        <v>183</v>
      </c>
      <c r="O593">
        <v>190.26</v>
      </c>
      <c r="Q593" t="s">
        <v>199</v>
      </c>
      <c r="R593" s="5">
        <v>46082</v>
      </c>
      <c r="S593" t="s">
        <v>150</v>
      </c>
      <c r="T593">
        <v>165.26</v>
      </c>
      <c r="X593"/>
    </row>
    <row r="594" spans="2:24" ht="18.75" hidden="1">
      <c r="B594">
        <v>13</v>
      </c>
      <c r="C594" s="5">
        <v>46104</v>
      </c>
      <c r="D594" t="s">
        <v>119</v>
      </c>
      <c r="E594">
        <v>53.17</v>
      </c>
      <c r="G594">
        <v>6</v>
      </c>
      <c r="H594" s="5">
        <v>46055</v>
      </c>
      <c r="I594" t="s">
        <v>160</v>
      </c>
      <c r="J594">
        <v>1820.16</v>
      </c>
      <c r="L594">
        <v>2</v>
      </c>
      <c r="M594" s="5">
        <v>46027</v>
      </c>
      <c r="N594" t="s">
        <v>184</v>
      </c>
      <c r="O594">
        <v>241.22</v>
      </c>
      <c r="Q594" t="s">
        <v>199</v>
      </c>
      <c r="R594" s="5">
        <v>46082</v>
      </c>
      <c r="S594" t="s">
        <v>149</v>
      </c>
      <c r="T594">
        <v>349.24</v>
      </c>
      <c r="X594"/>
    </row>
    <row r="595" spans="2:24" ht="18.75" hidden="1">
      <c r="B595">
        <v>13</v>
      </c>
      <c r="C595" s="5">
        <v>46104</v>
      </c>
      <c r="D595" t="s">
        <v>130</v>
      </c>
      <c r="E595">
        <v>57.37</v>
      </c>
      <c r="G595">
        <v>6</v>
      </c>
      <c r="H595" s="5">
        <v>46055</v>
      </c>
      <c r="I595" t="s">
        <v>165</v>
      </c>
      <c r="J595">
        <v>101.4</v>
      </c>
      <c r="L595">
        <v>2</v>
      </c>
      <c r="M595" s="5">
        <v>46027</v>
      </c>
      <c r="N595" t="s">
        <v>185</v>
      </c>
      <c r="O595">
        <v>641.17999999999995</v>
      </c>
      <c r="Q595" t="s">
        <v>210</v>
      </c>
      <c r="R595" s="5">
        <v>45931</v>
      </c>
      <c r="S595" t="s">
        <v>138</v>
      </c>
      <c r="T595">
        <v>713.59</v>
      </c>
      <c r="X595"/>
    </row>
    <row r="596" spans="2:24" ht="18.75" hidden="1">
      <c r="B596">
        <v>13</v>
      </c>
      <c r="C596" s="5">
        <v>46104</v>
      </c>
      <c r="D596" t="s">
        <v>138</v>
      </c>
      <c r="E596">
        <v>19.36</v>
      </c>
      <c r="G596">
        <v>6</v>
      </c>
      <c r="H596" s="5">
        <v>46055</v>
      </c>
      <c r="I596" t="s">
        <v>198</v>
      </c>
      <c r="J596">
        <v>177.6</v>
      </c>
      <c r="L596">
        <v>2</v>
      </c>
      <c r="M596" s="5">
        <v>46027</v>
      </c>
      <c r="N596" t="s">
        <v>180</v>
      </c>
      <c r="O596">
        <v>143.30000000000001</v>
      </c>
      <c r="Q596" t="s">
        <v>210</v>
      </c>
      <c r="R596" s="5">
        <v>45931</v>
      </c>
      <c r="S596" t="s">
        <v>141</v>
      </c>
      <c r="T596">
        <v>1018.83</v>
      </c>
      <c r="X596"/>
    </row>
    <row r="597" spans="2:24" ht="18.75" hidden="1">
      <c r="B597">
        <v>13</v>
      </c>
      <c r="C597" s="5">
        <v>46104</v>
      </c>
      <c r="D597" t="s">
        <v>111</v>
      </c>
      <c r="E597">
        <v>17.53</v>
      </c>
      <c r="G597">
        <v>6</v>
      </c>
      <c r="H597" s="5">
        <v>46055</v>
      </c>
      <c r="I597" t="s">
        <v>171</v>
      </c>
      <c r="J597">
        <v>206.57</v>
      </c>
      <c r="L597">
        <v>2</v>
      </c>
      <c r="M597" s="5">
        <v>46027</v>
      </c>
      <c r="N597" t="s">
        <v>186</v>
      </c>
      <c r="O597">
        <v>129</v>
      </c>
      <c r="Q597" t="s">
        <v>210</v>
      </c>
      <c r="R597" s="5">
        <v>45931</v>
      </c>
      <c r="S597" t="s">
        <v>143</v>
      </c>
      <c r="T597">
        <v>2281.69</v>
      </c>
      <c r="X597"/>
    </row>
    <row r="598" spans="2:24" ht="18.75" hidden="1">
      <c r="B598">
        <v>14</v>
      </c>
      <c r="C598" s="5">
        <v>46111</v>
      </c>
      <c r="D598" t="s">
        <v>111</v>
      </c>
      <c r="E598">
        <v>200.02</v>
      </c>
      <c r="G598">
        <v>6</v>
      </c>
      <c r="H598" s="5">
        <v>46055</v>
      </c>
      <c r="I598" t="s">
        <v>169</v>
      </c>
      <c r="J598">
        <v>541.24</v>
      </c>
      <c r="L598">
        <v>3</v>
      </c>
      <c r="M598" s="5">
        <v>46034</v>
      </c>
      <c r="N598" t="s">
        <v>178</v>
      </c>
      <c r="O598">
        <v>1523.2</v>
      </c>
      <c r="Q598" t="s">
        <v>210</v>
      </c>
      <c r="R598" s="5">
        <v>45931</v>
      </c>
      <c r="S598" t="s">
        <v>145</v>
      </c>
      <c r="T598">
        <v>649.17999999999995</v>
      </c>
      <c r="X598"/>
    </row>
    <row r="599" spans="2:24" ht="18.75" hidden="1">
      <c r="B599">
        <v>14</v>
      </c>
      <c r="C599" s="5">
        <v>46111</v>
      </c>
      <c r="D599" t="s">
        <v>114</v>
      </c>
      <c r="E599">
        <v>273.62</v>
      </c>
      <c r="G599">
        <v>6</v>
      </c>
      <c r="H599" s="5">
        <v>46055</v>
      </c>
      <c r="I599" t="s">
        <v>164</v>
      </c>
      <c r="J599">
        <v>22.8</v>
      </c>
      <c r="L599">
        <v>3</v>
      </c>
      <c r="M599" s="5">
        <v>46034</v>
      </c>
      <c r="N599" t="s">
        <v>179</v>
      </c>
      <c r="O599">
        <v>2246.39</v>
      </c>
      <c r="Q599" t="s">
        <v>210</v>
      </c>
      <c r="R599" s="5">
        <v>45931</v>
      </c>
      <c r="S599" t="s">
        <v>146</v>
      </c>
      <c r="T599">
        <v>981.11</v>
      </c>
      <c r="X599"/>
    </row>
    <row r="600" spans="2:24" ht="18.75" hidden="1">
      <c r="B600">
        <v>14</v>
      </c>
      <c r="C600" s="5">
        <v>46111</v>
      </c>
      <c r="D600" t="s">
        <v>117</v>
      </c>
      <c r="E600">
        <v>309.73</v>
      </c>
      <c r="G600">
        <v>6</v>
      </c>
      <c r="H600" s="5">
        <v>46055</v>
      </c>
      <c r="I600" t="s">
        <v>176</v>
      </c>
      <c r="J600">
        <v>62.64</v>
      </c>
      <c r="L600">
        <v>3</v>
      </c>
      <c r="M600" s="5">
        <v>46034</v>
      </c>
      <c r="N600" t="s">
        <v>181</v>
      </c>
      <c r="O600">
        <v>1285.1600000000001</v>
      </c>
      <c r="Q600" t="s">
        <v>210</v>
      </c>
      <c r="R600" s="5">
        <v>45931</v>
      </c>
      <c r="S600" t="s">
        <v>111</v>
      </c>
      <c r="T600">
        <v>491.11</v>
      </c>
      <c r="X600"/>
    </row>
    <row r="601" spans="2:24" ht="18.75" hidden="1">
      <c r="B601">
        <v>14</v>
      </c>
      <c r="C601" s="5">
        <v>46111</v>
      </c>
      <c r="D601" t="s">
        <v>119</v>
      </c>
      <c r="E601">
        <v>435.01</v>
      </c>
      <c r="G601">
        <v>6</v>
      </c>
      <c r="H601" s="5">
        <v>46055</v>
      </c>
      <c r="I601" t="s">
        <v>163</v>
      </c>
      <c r="J601">
        <v>16.77</v>
      </c>
      <c r="L601">
        <v>3</v>
      </c>
      <c r="M601" s="5">
        <v>46034</v>
      </c>
      <c r="N601" t="s">
        <v>182</v>
      </c>
      <c r="O601">
        <v>1625.08</v>
      </c>
      <c r="Q601" t="s">
        <v>210</v>
      </c>
      <c r="R601" s="5">
        <v>45931</v>
      </c>
      <c r="S601" t="s">
        <v>117</v>
      </c>
      <c r="T601">
        <v>437.71</v>
      </c>
      <c r="X601"/>
    </row>
    <row r="602" spans="2:24" ht="18.75" hidden="1">
      <c r="B602">
        <v>14</v>
      </c>
      <c r="C602" s="5">
        <v>46111</v>
      </c>
      <c r="D602" t="s">
        <v>130</v>
      </c>
      <c r="E602">
        <v>436.99</v>
      </c>
      <c r="G602">
        <v>6</v>
      </c>
      <c r="H602" s="5">
        <v>46055</v>
      </c>
      <c r="I602" t="s">
        <v>168</v>
      </c>
      <c r="J602">
        <v>55.76</v>
      </c>
      <c r="L602">
        <v>3</v>
      </c>
      <c r="M602" s="5">
        <v>46034</v>
      </c>
      <c r="N602" t="s">
        <v>183</v>
      </c>
      <c r="O602">
        <v>312.83999999999997</v>
      </c>
      <c r="Q602" t="s">
        <v>210</v>
      </c>
      <c r="R602" s="5">
        <v>45931</v>
      </c>
      <c r="S602" t="s">
        <v>120</v>
      </c>
      <c r="T602">
        <v>369.24</v>
      </c>
      <c r="X602"/>
    </row>
    <row r="603" spans="2:24" ht="18.75" hidden="1">
      <c r="B603">
        <v>14</v>
      </c>
      <c r="C603" s="5">
        <v>46111</v>
      </c>
      <c r="D603" t="s">
        <v>133</v>
      </c>
      <c r="E603">
        <v>363.91</v>
      </c>
      <c r="G603">
        <v>6</v>
      </c>
      <c r="H603" s="5">
        <v>46055</v>
      </c>
      <c r="I603" t="s">
        <v>172</v>
      </c>
      <c r="J603">
        <v>11.94</v>
      </c>
      <c r="L603">
        <v>3</v>
      </c>
      <c r="M603" s="5">
        <v>46034</v>
      </c>
      <c r="N603" t="s">
        <v>184</v>
      </c>
      <c r="O603">
        <v>188.67</v>
      </c>
      <c r="Q603" t="s">
        <v>210</v>
      </c>
      <c r="R603" s="5">
        <v>45931</v>
      </c>
      <c r="S603" t="s">
        <v>127</v>
      </c>
      <c r="T603">
        <v>383.32</v>
      </c>
      <c r="X603"/>
    </row>
    <row r="604" spans="2:24" ht="18.75" hidden="1">
      <c r="B604">
        <v>14</v>
      </c>
      <c r="C604" s="5">
        <v>46111</v>
      </c>
      <c r="D604" t="s">
        <v>134</v>
      </c>
      <c r="E604">
        <v>369.54</v>
      </c>
      <c r="G604">
        <v>6</v>
      </c>
      <c r="H604" s="5">
        <v>46055</v>
      </c>
      <c r="I604" t="s">
        <v>173</v>
      </c>
      <c r="J604">
        <v>167.05</v>
      </c>
      <c r="L604">
        <v>3</v>
      </c>
      <c r="M604" s="5">
        <v>46034</v>
      </c>
      <c r="N604" t="s">
        <v>185</v>
      </c>
      <c r="O604">
        <v>627.61</v>
      </c>
      <c r="Q604" t="s">
        <v>210</v>
      </c>
      <c r="R604" s="5">
        <v>45931</v>
      </c>
      <c r="S604" t="s">
        <v>129</v>
      </c>
      <c r="T604">
        <v>714.4</v>
      </c>
      <c r="X604"/>
    </row>
    <row r="605" spans="2:24" ht="18.75" hidden="1">
      <c r="B605">
        <v>14</v>
      </c>
      <c r="C605" s="5">
        <v>46111</v>
      </c>
      <c r="D605" t="s">
        <v>138</v>
      </c>
      <c r="E605">
        <v>448.77</v>
      </c>
      <c r="G605">
        <v>6</v>
      </c>
      <c r="H605" s="5">
        <v>46055</v>
      </c>
      <c r="I605" t="s">
        <v>175</v>
      </c>
      <c r="J605">
        <v>96.6</v>
      </c>
      <c r="L605">
        <v>3</v>
      </c>
      <c r="M605" s="5">
        <v>46034</v>
      </c>
      <c r="N605" t="s">
        <v>186</v>
      </c>
      <c r="O605">
        <v>86</v>
      </c>
      <c r="Q605" t="s">
        <v>210</v>
      </c>
      <c r="R605" s="5">
        <v>45931</v>
      </c>
      <c r="S605" t="s">
        <v>133</v>
      </c>
      <c r="T605">
        <v>540.16</v>
      </c>
      <c r="X605"/>
    </row>
    <row r="606" spans="2:24" ht="18.75" hidden="1">
      <c r="B606">
        <v>14</v>
      </c>
      <c r="C606" s="5">
        <v>46111</v>
      </c>
      <c r="D606" t="s">
        <v>141</v>
      </c>
      <c r="E606">
        <v>546.54999999999995</v>
      </c>
      <c r="G606">
        <v>6</v>
      </c>
      <c r="H606" s="5">
        <v>46055</v>
      </c>
      <c r="I606" t="s">
        <v>158</v>
      </c>
      <c r="J606">
        <v>133.32</v>
      </c>
      <c r="L606">
        <v>3</v>
      </c>
      <c r="M606" s="5">
        <v>46034</v>
      </c>
      <c r="N606" t="s">
        <v>180</v>
      </c>
      <c r="O606">
        <v>22.7</v>
      </c>
      <c r="Q606" t="s">
        <v>210</v>
      </c>
      <c r="R606" s="5">
        <v>45931</v>
      </c>
      <c r="S606" t="s">
        <v>134</v>
      </c>
      <c r="T606">
        <v>555.16999999999996</v>
      </c>
      <c r="X606"/>
    </row>
    <row r="607" spans="2:24" ht="18.75" hidden="1">
      <c r="B607">
        <v>14</v>
      </c>
      <c r="C607" s="5">
        <v>46111</v>
      </c>
      <c r="D607" t="s">
        <v>143</v>
      </c>
      <c r="E607">
        <v>1716.93</v>
      </c>
      <c r="G607">
        <v>6</v>
      </c>
      <c r="H607" s="5">
        <v>46055</v>
      </c>
      <c r="I607" t="s">
        <v>174</v>
      </c>
      <c r="J607">
        <v>121.22</v>
      </c>
      <c r="L607">
        <v>4</v>
      </c>
      <c r="M607" s="5">
        <v>46041</v>
      </c>
      <c r="N607" t="s">
        <v>178</v>
      </c>
      <c r="O607">
        <v>1660.05</v>
      </c>
      <c r="Q607" t="s">
        <v>210</v>
      </c>
      <c r="R607" s="5">
        <v>45931</v>
      </c>
      <c r="S607" t="s">
        <v>114</v>
      </c>
      <c r="T607">
        <v>431.7</v>
      </c>
      <c r="X607"/>
    </row>
    <row r="608" spans="2:24" ht="18.75" hidden="1">
      <c r="B608">
        <v>14</v>
      </c>
      <c r="C608" s="5">
        <v>46111</v>
      </c>
      <c r="D608" t="s">
        <v>145</v>
      </c>
      <c r="E608">
        <v>248.22</v>
      </c>
      <c r="G608">
        <v>6</v>
      </c>
      <c r="H608" s="5">
        <v>46055</v>
      </c>
      <c r="I608" t="s">
        <v>170</v>
      </c>
      <c r="J608">
        <v>20</v>
      </c>
      <c r="L608">
        <v>4</v>
      </c>
      <c r="M608" s="5">
        <v>46041</v>
      </c>
      <c r="N608" t="s">
        <v>179</v>
      </c>
      <c r="O608">
        <v>2423.65</v>
      </c>
      <c r="Q608" t="s">
        <v>210</v>
      </c>
      <c r="R608" s="5">
        <v>45931</v>
      </c>
      <c r="S608" t="s">
        <v>119</v>
      </c>
      <c r="T608">
        <v>680.68</v>
      </c>
      <c r="X608"/>
    </row>
    <row r="609" spans="2:24" ht="18.75" hidden="1">
      <c r="B609">
        <v>14</v>
      </c>
      <c r="C609" s="5">
        <v>46111</v>
      </c>
      <c r="D609" t="s">
        <v>146</v>
      </c>
      <c r="E609">
        <v>608.29</v>
      </c>
      <c r="G609">
        <v>7</v>
      </c>
      <c r="H609" s="5">
        <v>46062</v>
      </c>
      <c r="I609" t="s">
        <v>160</v>
      </c>
      <c r="J609">
        <v>500.84</v>
      </c>
      <c r="L609">
        <v>4</v>
      </c>
      <c r="M609" s="5">
        <v>46041</v>
      </c>
      <c r="N609" t="s">
        <v>180</v>
      </c>
      <c r="O609">
        <v>62.3</v>
      </c>
      <c r="Q609" t="s">
        <v>210</v>
      </c>
      <c r="R609" s="5">
        <v>45931</v>
      </c>
      <c r="S609" t="s">
        <v>118</v>
      </c>
      <c r="T609">
        <v>287.54000000000002</v>
      </c>
      <c r="X609"/>
    </row>
    <row r="610" spans="2:24" ht="18.75" hidden="1">
      <c r="B610">
        <v>14</v>
      </c>
      <c r="C610" s="5">
        <v>46111</v>
      </c>
      <c r="D610" t="s">
        <v>151</v>
      </c>
      <c r="E610">
        <v>555.85</v>
      </c>
      <c r="G610">
        <v>7</v>
      </c>
      <c r="H610" s="5">
        <v>46062</v>
      </c>
      <c r="I610" t="s">
        <v>158</v>
      </c>
      <c r="J610">
        <v>48.48</v>
      </c>
      <c r="L610">
        <v>4</v>
      </c>
      <c r="M610" s="5">
        <v>46041</v>
      </c>
      <c r="N610" t="s">
        <v>181</v>
      </c>
      <c r="O610">
        <v>1532.29</v>
      </c>
      <c r="Q610" t="s">
        <v>210</v>
      </c>
      <c r="R610" s="5">
        <v>45931</v>
      </c>
      <c r="S610" t="s">
        <v>123</v>
      </c>
      <c r="T610">
        <v>774.45</v>
      </c>
      <c r="X610"/>
    </row>
    <row r="611" spans="2:24" ht="18.75">
      <c r="B611">
        <v>14</v>
      </c>
      <c r="C611" s="5">
        <v>46111</v>
      </c>
      <c r="D611" t="s">
        <v>129</v>
      </c>
      <c r="E611">
        <v>385.04</v>
      </c>
      <c r="G611">
        <v>7</v>
      </c>
      <c r="H611" s="5">
        <v>46062</v>
      </c>
      <c r="I611" t="s">
        <v>165</v>
      </c>
      <c r="J611">
        <v>0</v>
      </c>
      <c r="L611">
        <v>4</v>
      </c>
      <c r="M611" s="5">
        <v>46041</v>
      </c>
      <c r="N611" t="s">
        <v>182</v>
      </c>
      <c r="O611">
        <v>1561.04</v>
      </c>
      <c r="Q611" t="s">
        <v>210</v>
      </c>
      <c r="R611" s="5">
        <v>45931</v>
      </c>
      <c r="S611" t="s">
        <v>124</v>
      </c>
      <c r="T611">
        <v>754.17</v>
      </c>
      <c r="X611"/>
    </row>
    <row r="612" spans="2:24" ht="18.75" hidden="1">
      <c r="B612">
        <v>14</v>
      </c>
      <c r="C612" s="5">
        <v>46111</v>
      </c>
      <c r="D612" t="s">
        <v>126</v>
      </c>
      <c r="E612">
        <v>327.78</v>
      </c>
      <c r="G612">
        <v>7</v>
      </c>
      <c r="H612" s="5">
        <v>46062</v>
      </c>
      <c r="I612" t="s">
        <v>174</v>
      </c>
      <c r="J612">
        <v>68.16</v>
      </c>
      <c r="L612">
        <v>4</v>
      </c>
      <c r="M612" s="5">
        <v>46041</v>
      </c>
      <c r="N612" t="s">
        <v>183</v>
      </c>
      <c r="O612">
        <v>317.72000000000003</v>
      </c>
      <c r="Q612" t="s">
        <v>210</v>
      </c>
      <c r="R612" s="5">
        <v>45931</v>
      </c>
      <c r="S612" t="s">
        <v>126</v>
      </c>
      <c r="T612">
        <v>188.03</v>
      </c>
      <c r="X612"/>
    </row>
    <row r="613" spans="2:24" ht="18.75" hidden="1">
      <c r="B613">
        <v>14</v>
      </c>
      <c r="C613" s="5">
        <v>46111</v>
      </c>
      <c r="D613" t="s">
        <v>113</v>
      </c>
      <c r="E613">
        <v>207.99</v>
      </c>
      <c r="G613">
        <v>7</v>
      </c>
      <c r="H613" s="5">
        <v>46062</v>
      </c>
      <c r="I613" t="s">
        <v>171</v>
      </c>
      <c r="J613">
        <v>77.84</v>
      </c>
      <c r="L613">
        <v>4</v>
      </c>
      <c r="M613" s="5">
        <v>46041</v>
      </c>
      <c r="N613" t="s">
        <v>184</v>
      </c>
      <c r="O613">
        <v>241.58</v>
      </c>
      <c r="Q613" t="s">
        <v>210</v>
      </c>
      <c r="R613" s="5">
        <v>45931</v>
      </c>
      <c r="S613" t="s">
        <v>139</v>
      </c>
      <c r="T613">
        <v>429.94</v>
      </c>
      <c r="X613"/>
    </row>
    <row r="614" spans="2:24" ht="18.75" hidden="1">
      <c r="B614">
        <v>14</v>
      </c>
      <c r="C614" s="5">
        <v>46111</v>
      </c>
      <c r="D614" t="s">
        <v>118</v>
      </c>
      <c r="E614">
        <v>181.13</v>
      </c>
      <c r="G614">
        <v>7</v>
      </c>
      <c r="H614" s="5">
        <v>46062</v>
      </c>
      <c r="I614" t="s">
        <v>169</v>
      </c>
      <c r="J614">
        <v>213.89</v>
      </c>
      <c r="L614">
        <v>4</v>
      </c>
      <c r="M614" s="5">
        <v>46041</v>
      </c>
      <c r="N614" t="s">
        <v>185</v>
      </c>
      <c r="O614">
        <v>659.62</v>
      </c>
      <c r="Q614" t="s">
        <v>210</v>
      </c>
      <c r="R614" s="5">
        <v>45931</v>
      </c>
      <c r="S614" t="s">
        <v>219</v>
      </c>
      <c r="T614">
        <v>500.7</v>
      </c>
      <c r="X614"/>
    </row>
    <row r="615" spans="2:24" ht="18.75" hidden="1">
      <c r="B615">
        <v>14</v>
      </c>
      <c r="C615" s="5">
        <v>46111</v>
      </c>
      <c r="D615" t="s">
        <v>123</v>
      </c>
      <c r="E615">
        <v>486.06</v>
      </c>
      <c r="G615">
        <v>7</v>
      </c>
      <c r="H615" s="5">
        <v>46062</v>
      </c>
      <c r="I615" t="s">
        <v>176</v>
      </c>
      <c r="J615">
        <v>1.2</v>
      </c>
      <c r="L615">
        <v>4</v>
      </c>
      <c r="M615" s="5">
        <v>46041</v>
      </c>
      <c r="N615" t="s">
        <v>186</v>
      </c>
      <c r="O615">
        <v>54</v>
      </c>
      <c r="Q615" t="s">
        <v>210</v>
      </c>
      <c r="R615" s="5">
        <v>45931</v>
      </c>
      <c r="S615" t="s">
        <v>113</v>
      </c>
      <c r="T615">
        <v>341.2</v>
      </c>
      <c r="X615"/>
    </row>
    <row r="616" spans="2:24" ht="18.75" hidden="1">
      <c r="B616">
        <v>14</v>
      </c>
      <c r="C616" s="5">
        <v>46111</v>
      </c>
      <c r="D616" t="s">
        <v>124</v>
      </c>
      <c r="E616">
        <v>350.6</v>
      </c>
      <c r="G616">
        <v>7</v>
      </c>
      <c r="H616" s="5">
        <v>46062</v>
      </c>
      <c r="I616" t="s">
        <v>168</v>
      </c>
      <c r="J616">
        <v>72.510000000000005</v>
      </c>
      <c r="L616">
        <v>5</v>
      </c>
      <c r="M616" s="5">
        <v>46048</v>
      </c>
      <c r="N616" t="s">
        <v>178</v>
      </c>
      <c r="O616">
        <v>2421.65</v>
      </c>
      <c r="Q616" t="s">
        <v>210</v>
      </c>
      <c r="R616" s="5">
        <v>45931</v>
      </c>
      <c r="S616" t="s">
        <v>112</v>
      </c>
      <c r="T616">
        <v>129.38999999999999</v>
      </c>
      <c r="X616"/>
    </row>
    <row r="617" spans="2:24" ht="18.75" hidden="1">
      <c r="B617">
        <v>14</v>
      </c>
      <c r="C617" s="5">
        <v>46111</v>
      </c>
      <c r="D617" t="s">
        <v>147</v>
      </c>
      <c r="E617">
        <v>376.73</v>
      </c>
      <c r="G617">
        <v>7</v>
      </c>
      <c r="H617" s="5">
        <v>46062</v>
      </c>
      <c r="I617" t="s">
        <v>201</v>
      </c>
      <c r="J617">
        <v>9.24</v>
      </c>
      <c r="L617">
        <v>5</v>
      </c>
      <c r="M617" s="5">
        <v>46048</v>
      </c>
      <c r="N617" t="s">
        <v>179</v>
      </c>
      <c r="O617">
        <v>3292.85</v>
      </c>
      <c r="Q617" t="s">
        <v>210</v>
      </c>
      <c r="R617" s="5">
        <v>45931</v>
      </c>
      <c r="S617" t="s">
        <v>116</v>
      </c>
      <c r="T617">
        <v>147.93</v>
      </c>
      <c r="X617"/>
    </row>
    <row r="618" spans="2:24" ht="18.75" hidden="1">
      <c r="B618">
        <v>14</v>
      </c>
      <c r="C618" s="5">
        <v>46111</v>
      </c>
      <c r="D618" t="s">
        <v>121</v>
      </c>
      <c r="E618">
        <v>180.43</v>
      </c>
      <c r="G618">
        <v>7</v>
      </c>
      <c r="H618" s="5">
        <v>46062</v>
      </c>
      <c r="I618" t="s">
        <v>172</v>
      </c>
      <c r="J618">
        <v>3.98</v>
      </c>
      <c r="L618">
        <v>5</v>
      </c>
      <c r="M618" s="5">
        <v>46048</v>
      </c>
      <c r="N618" t="s">
        <v>180</v>
      </c>
      <c r="O618">
        <v>220.4</v>
      </c>
      <c r="Q618" t="s">
        <v>210</v>
      </c>
      <c r="R618" s="5">
        <v>45931</v>
      </c>
      <c r="S618" t="s">
        <v>121</v>
      </c>
      <c r="T618">
        <v>366.05</v>
      </c>
      <c r="X618"/>
    </row>
    <row r="619" spans="2:24" ht="18.75" hidden="1">
      <c r="B619">
        <v>14</v>
      </c>
      <c r="C619" s="5">
        <v>46111</v>
      </c>
      <c r="D619" t="s">
        <v>139</v>
      </c>
      <c r="E619">
        <v>291.89999999999998</v>
      </c>
      <c r="G619">
        <v>7</v>
      </c>
      <c r="H619" s="5">
        <v>46062</v>
      </c>
      <c r="I619" t="s">
        <v>173</v>
      </c>
      <c r="J619">
        <v>80.849999999999994</v>
      </c>
      <c r="L619">
        <v>5</v>
      </c>
      <c r="M619" s="5">
        <v>46048</v>
      </c>
      <c r="N619" t="s">
        <v>181</v>
      </c>
      <c r="O619">
        <v>1925.9</v>
      </c>
      <c r="Q619" t="s">
        <v>210</v>
      </c>
      <c r="R619" s="5">
        <v>45931</v>
      </c>
      <c r="S619" t="s">
        <v>122</v>
      </c>
      <c r="T619">
        <v>416.36</v>
      </c>
      <c r="X619"/>
    </row>
    <row r="620" spans="2:24" ht="18.75" hidden="1">
      <c r="B620">
        <v>14</v>
      </c>
      <c r="C620" s="5">
        <v>46111</v>
      </c>
      <c r="D620" t="s">
        <v>127</v>
      </c>
      <c r="E620">
        <v>195.57</v>
      </c>
      <c r="G620">
        <v>7</v>
      </c>
      <c r="H620" s="5">
        <v>46062</v>
      </c>
      <c r="I620" t="s">
        <v>175</v>
      </c>
      <c r="J620">
        <v>9</v>
      </c>
      <c r="L620">
        <v>5</v>
      </c>
      <c r="M620" s="5">
        <v>46048</v>
      </c>
      <c r="N620" t="s">
        <v>182</v>
      </c>
      <c r="O620">
        <v>2308.96</v>
      </c>
      <c r="Q620" t="s">
        <v>210</v>
      </c>
      <c r="R620" s="5">
        <v>45931</v>
      </c>
      <c r="S620" t="s">
        <v>125</v>
      </c>
      <c r="T620">
        <v>93.76</v>
      </c>
      <c r="X620"/>
    </row>
    <row r="621" spans="2:24" ht="18.75" hidden="1">
      <c r="B621">
        <v>15</v>
      </c>
      <c r="C621" s="5">
        <v>46118</v>
      </c>
      <c r="D621" t="s">
        <v>143</v>
      </c>
      <c r="E621">
        <v>1662.09</v>
      </c>
      <c r="G621">
        <v>8</v>
      </c>
      <c r="H621" s="5">
        <v>46069</v>
      </c>
      <c r="I621" t="s">
        <v>160</v>
      </c>
      <c r="J621">
        <v>4403.16</v>
      </c>
      <c r="L621">
        <v>5</v>
      </c>
      <c r="M621" s="5">
        <v>46048</v>
      </c>
      <c r="N621" t="s">
        <v>183</v>
      </c>
      <c r="O621">
        <v>428.18</v>
      </c>
      <c r="Q621" t="s">
        <v>210</v>
      </c>
      <c r="R621" s="5">
        <v>45931</v>
      </c>
      <c r="S621" t="s">
        <v>128</v>
      </c>
      <c r="T621">
        <v>258.24</v>
      </c>
      <c r="X621"/>
    </row>
    <row r="622" spans="2:24" ht="18.75" hidden="1">
      <c r="B622">
        <v>15</v>
      </c>
      <c r="C622" s="5">
        <v>46118</v>
      </c>
      <c r="D622" t="s">
        <v>111</v>
      </c>
      <c r="E622">
        <v>104.85</v>
      </c>
      <c r="G622">
        <v>8</v>
      </c>
      <c r="H622" s="5">
        <v>46069</v>
      </c>
      <c r="I622" t="s">
        <v>158</v>
      </c>
      <c r="J622">
        <v>464.6</v>
      </c>
      <c r="L622">
        <v>5</v>
      </c>
      <c r="M622" s="5">
        <v>46048</v>
      </c>
      <c r="N622" t="s">
        <v>184</v>
      </c>
      <c r="O622">
        <v>815.64</v>
      </c>
      <c r="Q622" t="s">
        <v>210</v>
      </c>
      <c r="R622" s="5">
        <v>45931</v>
      </c>
      <c r="S622" t="s">
        <v>132</v>
      </c>
      <c r="T622">
        <v>358.3</v>
      </c>
      <c r="X622"/>
    </row>
    <row r="623" spans="2:24" ht="18.75" hidden="1">
      <c r="B623">
        <v>15</v>
      </c>
      <c r="C623" s="5">
        <v>46118</v>
      </c>
      <c r="D623" t="s">
        <v>112</v>
      </c>
      <c r="E623">
        <v>67.48</v>
      </c>
      <c r="G623">
        <v>8</v>
      </c>
      <c r="H623" s="5">
        <v>46069</v>
      </c>
      <c r="I623" t="s">
        <v>165</v>
      </c>
      <c r="J623">
        <v>228.5</v>
      </c>
      <c r="L623">
        <v>5</v>
      </c>
      <c r="M623" s="5">
        <v>46048</v>
      </c>
      <c r="N623" t="s">
        <v>185</v>
      </c>
      <c r="O623">
        <v>829.25</v>
      </c>
      <c r="Q623" t="s">
        <v>210</v>
      </c>
      <c r="R623" s="5">
        <v>45931</v>
      </c>
      <c r="S623" t="s">
        <v>135</v>
      </c>
      <c r="T623">
        <v>89.94</v>
      </c>
      <c r="X623"/>
    </row>
    <row r="624" spans="2:24" ht="18.75" hidden="1">
      <c r="B624">
        <v>15</v>
      </c>
      <c r="C624" s="5">
        <v>46118</v>
      </c>
      <c r="D624" t="s">
        <v>113</v>
      </c>
      <c r="E624">
        <v>131.47</v>
      </c>
      <c r="G624">
        <v>8</v>
      </c>
      <c r="H624" s="5">
        <v>46069</v>
      </c>
      <c r="I624" t="s">
        <v>198</v>
      </c>
      <c r="J624">
        <v>327.25</v>
      </c>
      <c r="L624">
        <v>5</v>
      </c>
      <c r="M624" s="5">
        <v>46048</v>
      </c>
      <c r="N624" t="s">
        <v>186</v>
      </c>
      <c r="O624">
        <v>350.9</v>
      </c>
      <c r="Q624" t="s">
        <v>210</v>
      </c>
      <c r="R624" s="5">
        <v>45931</v>
      </c>
      <c r="S624" t="s">
        <v>136</v>
      </c>
      <c r="T624">
        <v>142.08000000000001</v>
      </c>
      <c r="X624"/>
    </row>
    <row r="625" spans="2:24" ht="18.75" hidden="1">
      <c r="B625">
        <v>15</v>
      </c>
      <c r="C625" s="5">
        <v>46118</v>
      </c>
      <c r="D625" t="s">
        <v>114</v>
      </c>
      <c r="E625">
        <v>300.5</v>
      </c>
      <c r="G625">
        <v>8</v>
      </c>
      <c r="H625" s="5">
        <v>46069</v>
      </c>
      <c r="I625" t="s">
        <v>171</v>
      </c>
      <c r="J625">
        <v>672.12</v>
      </c>
      <c r="L625">
        <v>6</v>
      </c>
      <c r="M625" s="5">
        <v>46055</v>
      </c>
      <c r="N625" t="s">
        <v>178</v>
      </c>
      <c r="O625">
        <v>838.95</v>
      </c>
      <c r="Q625" t="s">
        <v>210</v>
      </c>
      <c r="R625" s="5">
        <v>45931</v>
      </c>
      <c r="S625" t="s">
        <v>137</v>
      </c>
      <c r="T625">
        <v>153.04</v>
      </c>
      <c r="X625"/>
    </row>
    <row r="626" spans="2:24" ht="18.75" hidden="1">
      <c r="B626">
        <v>15</v>
      </c>
      <c r="C626" s="5">
        <v>46118</v>
      </c>
      <c r="D626" t="s">
        <v>117</v>
      </c>
      <c r="E626">
        <v>224.53</v>
      </c>
      <c r="G626">
        <v>8</v>
      </c>
      <c r="H626" s="5">
        <v>46069</v>
      </c>
      <c r="I626" t="s">
        <v>174</v>
      </c>
      <c r="J626">
        <v>388</v>
      </c>
      <c r="L626">
        <v>6</v>
      </c>
      <c r="M626" s="5">
        <v>46055</v>
      </c>
      <c r="N626" t="s">
        <v>179</v>
      </c>
      <c r="O626">
        <v>1114.53</v>
      </c>
      <c r="Q626" t="s">
        <v>210</v>
      </c>
      <c r="R626" s="5">
        <v>45931</v>
      </c>
      <c r="S626" t="s">
        <v>140</v>
      </c>
      <c r="T626">
        <v>119.48</v>
      </c>
      <c r="X626"/>
    </row>
    <row r="627" spans="2:24" ht="18.75" hidden="1">
      <c r="B627">
        <v>15</v>
      </c>
      <c r="C627" s="5">
        <v>46118</v>
      </c>
      <c r="D627" t="s">
        <v>121</v>
      </c>
      <c r="E627">
        <v>97.07</v>
      </c>
      <c r="G627">
        <v>8</v>
      </c>
      <c r="H627" s="5">
        <v>46069</v>
      </c>
      <c r="I627" t="s">
        <v>169</v>
      </c>
      <c r="J627">
        <v>2087.71</v>
      </c>
      <c r="L627">
        <v>6</v>
      </c>
      <c r="M627" s="5">
        <v>46055</v>
      </c>
      <c r="N627" t="s">
        <v>180</v>
      </c>
      <c r="O627">
        <v>101.4</v>
      </c>
      <c r="Q627" t="s">
        <v>210</v>
      </c>
      <c r="R627" s="5">
        <v>45931</v>
      </c>
      <c r="S627" t="s">
        <v>142</v>
      </c>
      <c r="T627">
        <v>332.27</v>
      </c>
      <c r="X627"/>
    </row>
    <row r="628" spans="2:24" ht="18.75" hidden="1">
      <c r="B628">
        <v>15</v>
      </c>
      <c r="C628" s="5">
        <v>46118</v>
      </c>
      <c r="D628" t="s">
        <v>122</v>
      </c>
      <c r="E628">
        <v>191.57</v>
      </c>
      <c r="G628">
        <v>8</v>
      </c>
      <c r="H628" s="5">
        <v>46069</v>
      </c>
      <c r="I628" t="s">
        <v>176</v>
      </c>
      <c r="J628">
        <v>141.96</v>
      </c>
      <c r="L628">
        <v>6</v>
      </c>
      <c r="M628" s="5">
        <v>46055</v>
      </c>
      <c r="N628" t="s">
        <v>181</v>
      </c>
      <c r="O628">
        <v>505.39</v>
      </c>
      <c r="Q628" t="s">
        <v>210</v>
      </c>
      <c r="R628" s="5">
        <v>45931</v>
      </c>
      <c r="S628" t="s">
        <v>149</v>
      </c>
      <c r="T628">
        <v>199.69</v>
      </c>
      <c r="X628"/>
    </row>
    <row r="629" spans="2:24" ht="18.75" hidden="1">
      <c r="B629">
        <v>15</v>
      </c>
      <c r="C629" s="5">
        <v>46118</v>
      </c>
      <c r="D629" t="s">
        <v>125</v>
      </c>
      <c r="E629">
        <v>68.73</v>
      </c>
      <c r="G629">
        <v>8</v>
      </c>
      <c r="H629" s="5">
        <v>46069</v>
      </c>
      <c r="I629" t="s">
        <v>163</v>
      </c>
      <c r="J629">
        <v>290.25</v>
      </c>
      <c r="L629">
        <v>6</v>
      </c>
      <c r="M629" s="5">
        <v>46055</v>
      </c>
      <c r="N629" t="s">
        <v>182</v>
      </c>
      <c r="O629">
        <v>541.24</v>
      </c>
      <c r="Q629" t="s">
        <v>210</v>
      </c>
      <c r="R629" s="5">
        <v>45931</v>
      </c>
      <c r="S629" t="s">
        <v>150</v>
      </c>
      <c r="T629">
        <v>99.68</v>
      </c>
      <c r="X629"/>
    </row>
    <row r="630" spans="2:24" ht="18.75" hidden="1">
      <c r="B630">
        <v>15</v>
      </c>
      <c r="C630" s="5">
        <v>46118</v>
      </c>
      <c r="D630" t="s">
        <v>126</v>
      </c>
      <c r="E630">
        <v>63.83</v>
      </c>
      <c r="G630">
        <v>8</v>
      </c>
      <c r="H630" s="5">
        <v>46069</v>
      </c>
      <c r="I630" t="s">
        <v>168</v>
      </c>
      <c r="J630">
        <v>250.36</v>
      </c>
      <c r="L630">
        <v>6</v>
      </c>
      <c r="M630" s="5">
        <v>46055</v>
      </c>
      <c r="N630" t="s">
        <v>183</v>
      </c>
      <c r="O630">
        <v>122.21</v>
      </c>
      <c r="Q630" t="s">
        <v>211</v>
      </c>
      <c r="R630" s="5">
        <v>45962</v>
      </c>
      <c r="S630" t="s">
        <v>111</v>
      </c>
      <c r="T630">
        <v>976.09</v>
      </c>
      <c r="X630"/>
    </row>
    <row r="631" spans="2:24" ht="18.75" hidden="1">
      <c r="B631">
        <v>15</v>
      </c>
      <c r="C631" s="5">
        <v>46118</v>
      </c>
      <c r="D631" t="s">
        <v>129</v>
      </c>
      <c r="E631">
        <v>319.93</v>
      </c>
      <c r="G631">
        <v>8</v>
      </c>
      <c r="H631" s="5">
        <v>46069</v>
      </c>
      <c r="I631" t="s">
        <v>201</v>
      </c>
      <c r="J631">
        <v>129.36000000000001</v>
      </c>
      <c r="L631">
        <v>6</v>
      </c>
      <c r="M631" s="5">
        <v>46055</v>
      </c>
      <c r="N631" t="s">
        <v>184</v>
      </c>
      <c r="O631">
        <v>67.7</v>
      </c>
      <c r="Q631" t="s">
        <v>211</v>
      </c>
      <c r="R631" s="5">
        <v>45962</v>
      </c>
      <c r="S631" t="s">
        <v>143</v>
      </c>
      <c r="T631">
        <v>6633.2</v>
      </c>
      <c r="X631"/>
    </row>
    <row r="632" spans="2:24" ht="18.75" hidden="1">
      <c r="B632">
        <v>15</v>
      </c>
      <c r="C632" s="5">
        <v>46118</v>
      </c>
      <c r="D632" t="s">
        <v>130</v>
      </c>
      <c r="E632">
        <v>342.58</v>
      </c>
      <c r="G632">
        <v>8</v>
      </c>
      <c r="H632" s="5">
        <v>46069</v>
      </c>
      <c r="I632" t="s">
        <v>173</v>
      </c>
      <c r="J632">
        <v>800.7</v>
      </c>
      <c r="L632">
        <v>6</v>
      </c>
      <c r="M632" s="5">
        <v>46055</v>
      </c>
      <c r="N632" t="s">
        <v>185</v>
      </c>
      <c r="O632">
        <v>167.05</v>
      </c>
      <c r="Q632" t="s">
        <v>211</v>
      </c>
      <c r="R632" s="5">
        <v>45962</v>
      </c>
      <c r="S632" t="s">
        <v>127</v>
      </c>
      <c r="T632">
        <v>1060.0999999999999</v>
      </c>
      <c r="X632"/>
    </row>
    <row r="633" spans="2:24" ht="18.75" hidden="1">
      <c r="B633">
        <v>15</v>
      </c>
      <c r="C633" s="5">
        <v>46118</v>
      </c>
      <c r="D633" t="s">
        <v>132</v>
      </c>
      <c r="E633">
        <v>147.46</v>
      </c>
      <c r="G633">
        <v>8</v>
      </c>
      <c r="H633" s="5">
        <v>46069</v>
      </c>
      <c r="I633" t="s">
        <v>172</v>
      </c>
      <c r="J633">
        <v>5.97</v>
      </c>
      <c r="L633">
        <v>6</v>
      </c>
      <c r="M633" s="5">
        <v>46055</v>
      </c>
      <c r="N633" t="s">
        <v>186</v>
      </c>
      <c r="O633">
        <v>96.6</v>
      </c>
      <c r="Q633" t="s">
        <v>211</v>
      </c>
      <c r="R633" s="5">
        <v>45962</v>
      </c>
      <c r="S633" t="s">
        <v>117</v>
      </c>
      <c r="T633">
        <v>1117.6500000000001</v>
      </c>
      <c r="X633"/>
    </row>
    <row r="634" spans="2:24" ht="18.75" hidden="1">
      <c r="B634">
        <v>15</v>
      </c>
      <c r="C634" s="5">
        <v>46118</v>
      </c>
      <c r="D634" t="s">
        <v>133</v>
      </c>
      <c r="E634">
        <v>336.8</v>
      </c>
      <c r="G634">
        <v>9</v>
      </c>
      <c r="H634" s="5">
        <v>46076</v>
      </c>
      <c r="I634" t="s">
        <v>160</v>
      </c>
      <c r="J634">
        <v>4541</v>
      </c>
      <c r="L634">
        <v>7</v>
      </c>
      <c r="M634" s="5">
        <v>46062</v>
      </c>
      <c r="N634" t="s">
        <v>178</v>
      </c>
      <c r="O634">
        <v>172.55</v>
      </c>
      <c r="Q634" t="s">
        <v>211</v>
      </c>
      <c r="R634" s="5">
        <v>45962</v>
      </c>
      <c r="S634" t="s">
        <v>119</v>
      </c>
      <c r="T634">
        <v>1670.96</v>
      </c>
      <c r="X634"/>
    </row>
    <row r="635" spans="2:24" ht="18.75" hidden="1">
      <c r="B635">
        <v>15</v>
      </c>
      <c r="C635" s="5">
        <v>46118</v>
      </c>
      <c r="D635" t="s">
        <v>134</v>
      </c>
      <c r="E635">
        <v>342.42</v>
      </c>
      <c r="G635">
        <v>9</v>
      </c>
      <c r="H635" s="5">
        <v>46076</v>
      </c>
      <c r="I635" t="s">
        <v>171</v>
      </c>
      <c r="J635">
        <v>719.95</v>
      </c>
      <c r="L635">
        <v>7</v>
      </c>
      <c r="M635" s="5">
        <v>46062</v>
      </c>
      <c r="N635" t="s">
        <v>179</v>
      </c>
      <c r="O635">
        <v>376.77</v>
      </c>
      <c r="Q635" t="s">
        <v>211</v>
      </c>
      <c r="R635" s="5">
        <v>45962</v>
      </c>
      <c r="S635" t="s">
        <v>120</v>
      </c>
      <c r="T635">
        <v>596.94000000000005</v>
      </c>
      <c r="X635"/>
    </row>
    <row r="636" spans="2:24" ht="18.75" hidden="1">
      <c r="B636">
        <v>15</v>
      </c>
      <c r="C636" s="5">
        <v>46118</v>
      </c>
      <c r="D636" t="s">
        <v>138</v>
      </c>
      <c r="E636">
        <v>392.17</v>
      </c>
      <c r="G636">
        <v>9</v>
      </c>
      <c r="H636" s="5">
        <v>46076</v>
      </c>
      <c r="I636" t="s">
        <v>198</v>
      </c>
      <c r="J636">
        <v>380.8</v>
      </c>
      <c r="L636">
        <v>7</v>
      </c>
      <c r="M636" s="5">
        <v>46062</v>
      </c>
      <c r="N636" t="s">
        <v>180</v>
      </c>
      <c r="O636">
        <v>0</v>
      </c>
      <c r="Q636" t="s">
        <v>211</v>
      </c>
      <c r="R636" s="5">
        <v>45962</v>
      </c>
      <c r="S636" t="s">
        <v>121</v>
      </c>
      <c r="T636">
        <v>700.68</v>
      </c>
      <c r="X636"/>
    </row>
    <row r="637" spans="2:24" ht="18.75" hidden="1">
      <c r="B637">
        <v>15</v>
      </c>
      <c r="C637" s="5">
        <v>46118</v>
      </c>
      <c r="D637" t="s">
        <v>141</v>
      </c>
      <c r="E637">
        <v>513.05999999999995</v>
      </c>
      <c r="G637">
        <v>9</v>
      </c>
      <c r="H637" s="5">
        <v>46076</v>
      </c>
      <c r="I637" t="s">
        <v>169</v>
      </c>
      <c r="J637">
        <v>2196.65</v>
      </c>
      <c r="L637">
        <v>7</v>
      </c>
      <c r="M637" s="5">
        <v>46062</v>
      </c>
      <c r="N637" t="s">
        <v>181</v>
      </c>
      <c r="O637">
        <v>146</v>
      </c>
      <c r="Q637" t="s">
        <v>211</v>
      </c>
      <c r="R637" s="5">
        <v>45962</v>
      </c>
      <c r="S637" t="s">
        <v>133</v>
      </c>
      <c r="T637">
        <v>1334.21</v>
      </c>
      <c r="X637"/>
    </row>
    <row r="638" spans="2:24" ht="18.75" hidden="1">
      <c r="B638">
        <v>15</v>
      </c>
      <c r="C638" s="5">
        <v>46118</v>
      </c>
      <c r="D638" t="s">
        <v>142</v>
      </c>
      <c r="E638">
        <v>94.6</v>
      </c>
      <c r="G638">
        <v>9</v>
      </c>
      <c r="H638" s="5">
        <v>46076</v>
      </c>
      <c r="I638" t="s">
        <v>176</v>
      </c>
      <c r="J638">
        <v>137.16</v>
      </c>
      <c r="L638">
        <v>7</v>
      </c>
      <c r="M638" s="5">
        <v>46062</v>
      </c>
      <c r="N638" t="s">
        <v>182</v>
      </c>
      <c r="O638">
        <v>213.89</v>
      </c>
      <c r="Q638" t="s">
        <v>211</v>
      </c>
      <c r="R638" s="5">
        <v>45962</v>
      </c>
      <c r="S638" t="s">
        <v>134</v>
      </c>
      <c r="T638">
        <v>1335.07</v>
      </c>
      <c r="X638"/>
    </row>
    <row r="639" spans="2:24" ht="18.75" hidden="1">
      <c r="B639">
        <v>15</v>
      </c>
      <c r="C639" s="5">
        <v>46118</v>
      </c>
      <c r="D639" t="s">
        <v>139</v>
      </c>
      <c r="E639">
        <v>78.39</v>
      </c>
      <c r="G639">
        <v>9</v>
      </c>
      <c r="H639" s="5">
        <v>46076</v>
      </c>
      <c r="I639" t="s">
        <v>163</v>
      </c>
      <c r="J639">
        <v>272.19</v>
      </c>
      <c r="L639">
        <v>7</v>
      </c>
      <c r="M639" s="5">
        <v>46062</v>
      </c>
      <c r="N639" t="s">
        <v>183</v>
      </c>
      <c r="O639">
        <v>1.2</v>
      </c>
      <c r="Q639" t="s">
        <v>211</v>
      </c>
      <c r="R639" s="5">
        <v>45962</v>
      </c>
      <c r="S639" t="s">
        <v>141</v>
      </c>
      <c r="T639">
        <v>2318.31</v>
      </c>
      <c r="X639"/>
    </row>
    <row r="640" spans="2:24" ht="18.75" hidden="1">
      <c r="B640">
        <v>15</v>
      </c>
      <c r="C640" s="5">
        <v>46118</v>
      </c>
      <c r="D640" t="s">
        <v>145</v>
      </c>
      <c r="E640">
        <v>216.23</v>
      </c>
      <c r="G640">
        <v>9</v>
      </c>
      <c r="H640" s="5">
        <v>46076</v>
      </c>
      <c r="I640" t="s">
        <v>201</v>
      </c>
      <c r="J640">
        <v>172.48</v>
      </c>
      <c r="L640">
        <v>7</v>
      </c>
      <c r="M640" s="5">
        <v>46062</v>
      </c>
      <c r="N640" t="s">
        <v>184</v>
      </c>
      <c r="O640">
        <v>85.73</v>
      </c>
      <c r="Q640" t="s">
        <v>211</v>
      </c>
      <c r="R640" s="5">
        <v>45962</v>
      </c>
      <c r="S640" t="s">
        <v>145</v>
      </c>
      <c r="T640">
        <v>1470.42</v>
      </c>
      <c r="X640"/>
    </row>
    <row r="641" spans="2:24" ht="18.75" hidden="1">
      <c r="B641">
        <v>15</v>
      </c>
      <c r="C641" s="5">
        <v>46118</v>
      </c>
      <c r="D641" t="s">
        <v>146</v>
      </c>
      <c r="E641">
        <v>555.52</v>
      </c>
      <c r="G641">
        <v>9</v>
      </c>
      <c r="H641" s="5">
        <v>46076</v>
      </c>
      <c r="I641" t="s">
        <v>168</v>
      </c>
      <c r="J641">
        <v>295.42</v>
      </c>
      <c r="L641">
        <v>7</v>
      </c>
      <c r="M641" s="5">
        <v>46062</v>
      </c>
      <c r="N641" t="s">
        <v>185</v>
      </c>
      <c r="O641">
        <v>80.849999999999994</v>
      </c>
      <c r="Q641" t="s">
        <v>211</v>
      </c>
      <c r="R641" s="5">
        <v>45962</v>
      </c>
      <c r="S641" t="s">
        <v>146</v>
      </c>
      <c r="T641">
        <v>2518.2399999999998</v>
      </c>
      <c r="X641"/>
    </row>
    <row r="642" spans="2:24" ht="18.75" hidden="1">
      <c r="B642">
        <v>15</v>
      </c>
      <c r="C642" s="5">
        <v>46118</v>
      </c>
      <c r="D642" t="s">
        <v>147</v>
      </c>
      <c r="E642">
        <v>139.63999999999999</v>
      </c>
      <c r="G642">
        <v>9</v>
      </c>
      <c r="H642" s="5">
        <v>46076</v>
      </c>
      <c r="I642" t="s">
        <v>173</v>
      </c>
      <c r="J642">
        <v>595.04999999999995</v>
      </c>
      <c r="L642">
        <v>7</v>
      </c>
      <c r="M642" s="5">
        <v>46062</v>
      </c>
      <c r="N642" t="s">
        <v>186</v>
      </c>
      <c r="O642">
        <v>9</v>
      </c>
      <c r="Q642" t="s">
        <v>211</v>
      </c>
      <c r="R642" s="5">
        <v>45962</v>
      </c>
      <c r="S642" t="s">
        <v>114</v>
      </c>
      <c r="T642">
        <v>1019.77</v>
      </c>
      <c r="X642"/>
    </row>
    <row r="643" spans="2:24" ht="18.75" hidden="1">
      <c r="B643">
        <v>15</v>
      </c>
      <c r="C643" s="5">
        <v>46118</v>
      </c>
      <c r="D643" t="s">
        <v>151</v>
      </c>
      <c r="E643">
        <v>690.79</v>
      </c>
      <c r="G643">
        <v>9</v>
      </c>
      <c r="H643" s="5">
        <v>46076</v>
      </c>
      <c r="I643" t="s">
        <v>158</v>
      </c>
      <c r="J643">
        <v>573.67999999999995</v>
      </c>
      <c r="L643">
        <v>8</v>
      </c>
      <c r="M643" s="5">
        <v>46069</v>
      </c>
      <c r="N643" t="s">
        <v>178</v>
      </c>
      <c r="O643">
        <v>1963.5</v>
      </c>
      <c r="Q643" t="s">
        <v>211</v>
      </c>
      <c r="R643" s="5">
        <v>45962</v>
      </c>
      <c r="S643" t="s">
        <v>138</v>
      </c>
      <c r="T643">
        <v>1842.54</v>
      </c>
      <c r="X643"/>
    </row>
    <row r="644" spans="2:24" ht="18.75" hidden="1">
      <c r="B644">
        <v>15</v>
      </c>
      <c r="C644" s="5">
        <v>46118</v>
      </c>
      <c r="D644" t="s">
        <v>119</v>
      </c>
      <c r="E644">
        <v>297.7</v>
      </c>
      <c r="G644">
        <v>9</v>
      </c>
      <c r="H644" s="5">
        <v>46076</v>
      </c>
      <c r="I644" t="s">
        <v>165</v>
      </c>
      <c r="J644">
        <v>124.5</v>
      </c>
      <c r="L644">
        <v>8</v>
      </c>
      <c r="M644" s="5">
        <v>46069</v>
      </c>
      <c r="N644" t="s">
        <v>179</v>
      </c>
      <c r="O644">
        <v>2904.26</v>
      </c>
      <c r="Q644" t="s">
        <v>211</v>
      </c>
      <c r="R644" s="5">
        <v>45962</v>
      </c>
      <c r="S644" t="s">
        <v>129</v>
      </c>
      <c r="T644">
        <v>2031.67</v>
      </c>
      <c r="X644"/>
    </row>
    <row r="645" spans="2:24" ht="18.75" hidden="1">
      <c r="B645">
        <v>15</v>
      </c>
      <c r="C645" s="5">
        <v>46118</v>
      </c>
      <c r="D645" t="s">
        <v>120</v>
      </c>
      <c r="E645">
        <v>95.37</v>
      </c>
      <c r="G645">
        <v>9</v>
      </c>
      <c r="H645" s="5">
        <v>46076</v>
      </c>
      <c r="I645" t="s">
        <v>174</v>
      </c>
      <c r="J645">
        <v>362.16</v>
      </c>
      <c r="L645">
        <v>8</v>
      </c>
      <c r="M645" s="5">
        <v>46069</v>
      </c>
      <c r="N645" t="s">
        <v>180</v>
      </c>
      <c r="O645">
        <v>228.5</v>
      </c>
      <c r="Q645" t="s">
        <v>211</v>
      </c>
      <c r="R645" s="5">
        <v>45962</v>
      </c>
      <c r="S645" t="s">
        <v>122</v>
      </c>
      <c r="T645">
        <v>1108.45</v>
      </c>
      <c r="X645"/>
    </row>
    <row r="646" spans="2:24" ht="18.75" hidden="1">
      <c r="B646">
        <v>15</v>
      </c>
      <c r="C646" s="5">
        <v>46118</v>
      </c>
      <c r="D646" t="s">
        <v>123</v>
      </c>
      <c r="E646">
        <v>194.83</v>
      </c>
      <c r="G646">
        <v>9</v>
      </c>
      <c r="H646" s="5">
        <v>46076</v>
      </c>
      <c r="I646" t="s">
        <v>170</v>
      </c>
      <c r="J646">
        <v>6</v>
      </c>
      <c r="L646">
        <v>8</v>
      </c>
      <c r="M646" s="5">
        <v>46069</v>
      </c>
      <c r="N646" t="s">
        <v>181</v>
      </c>
      <c r="O646">
        <v>1387.37</v>
      </c>
      <c r="Q646" t="s">
        <v>211</v>
      </c>
      <c r="R646" s="5">
        <v>45962</v>
      </c>
      <c r="S646" t="s">
        <v>123</v>
      </c>
      <c r="T646">
        <v>2133.94</v>
      </c>
      <c r="X646"/>
    </row>
    <row r="647" spans="2:24" ht="18.75" hidden="1">
      <c r="B647">
        <v>15</v>
      </c>
      <c r="C647" s="5">
        <v>46118</v>
      </c>
      <c r="D647" t="s">
        <v>128</v>
      </c>
      <c r="E647">
        <v>96.03</v>
      </c>
      <c r="G647">
        <v>9</v>
      </c>
      <c r="H647" s="5">
        <v>46076</v>
      </c>
      <c r="I647" t="s">
        <v>172</v>
      </c>
      <c r="J647">
        <v>57.71</v>
      </c>
      <c r="L647">
        <v>8</v>
      </c>
      <c r="M647" s="5">
        <v>46069</v>
      </c>
      <c r="N647" t="s">
        <v>182</v>
      </c>
      <c r="O647">
        <v>2087.71</v>
      </c>
      <c r="Q647" t="s">
        <v>211</v>
      </c>
      <c r="R647" s="5">
        <v>45962</v>
      </c>
      <c r="S647" t="s">
        <v>124</v>
      </c>
      <c r="T647">
        <v>2102.61</v>
      </c>
      <c r="X647"/>
    </row>
    <row r="648" spans="2:24" ht="18.75" hidden="1">
      <c r="B648">
        <v>15</v>
      </c>
      <c r="C648" s="5">
        <v>46118</v>
      </c>
      <c r="D648" t="s">
        <v>135</v>
      </c>
      <c r="E648">
        <v>68.06</v>
      </c>
      <c r="G648">
        <v>10</v>
      </c>
      <c r="H648" s="5">
        <v>46083</v>
      </c>
      <c r="I648" t="s">
        <v>160</v>
      </c>
      <c r="J648">
        <v>4847.32</v>
      </c>
      <c r="L648">
        <v>8</v>
      </c>
      <c r="M648" s="5">
        <v>46069</v>
      </c>
      <c r="N648" t="s">
        <v>183</v>
      </c>
      <c r="O648">
        <v>432.21</v>
      </c>
      <c r="Q648" t="s">
        <v>211</v>
      </c>
      <c r="R648" s="5">
        <v>45962</v>
      </c>
      <c r="S648" t="s">
        <v>128</v>
      </c>
      <c r="T648">
        <v>722.41</v>
      </c>
      <c r="X648"/>
    </row>
    <row r="649" spans="2:24" ht="18.75" hidden="1">
      <c r="B649">
        <v>15</v>
      </c>
      <c r="C649" s="5">
        <v>46118</v>
      </c>
      <c r="D649" t="s">
        <v>136</v>
      </c>
      <c r="E649">
        <v>122.45</v>
      </c>
      <c r="G649">
        <v>10</v>
      </c>
      <c r="H649" s="5">
        <v>46083</v>
      </c>
      <c r="I649" t="s">
        <v>158</v>
      </c>
      <c r="J649">
        <v>682.76</v>
      </c>
      <c r="L649">
        <v>8</v>
      </c>
      <c r="M649" s="5">
        <v>46069</v>
      </c>
      <c r="N649" t="s">
        <v>184</v>
      </c>
      <c r="O649">
        <v>385.69</v>
      </c>
      <c r="Q649" t="s">
        <v>211</v>
      </c>
      <c r="R649" s="5">
        <v>45962</v>
      </c>
      <c r="S649" t="s">
        <v>132</v>
      </c>
      <c r="T649">
        <v>770.27</v>
      </c>
      <c r="X649"/>
    </row>
    <row r="650" spans="2:24" ht="18.75" hidden="1">
      <c r="B650">
        <v>15</v>
      </c>
      <c r="C650" s="5">
        <v>46118</v>
      </c>
      <c r="D650" t="s">
        <v>137</v>
      </c>
      <c r="E650">
        <v>54.05</v>
      </c>
      <c r="G650">
        <v>10</v>
      </c>
      <c r="H650" s="5">
        <v>46083</v>
      </c>
      <c r="I650" t="s">
        <v>165</v>
      </c>
      <c r="J650">
        <v>146.69999999999999</v>
      </c>
      <c r="L650">
        <v>8</v>
      </c>
      <c r="M650" s="5">
        <v>46069</v>
      </c>
      <c r="N650" t="s">
        <v>185</v>
      </c>
      <c r="O650">
        <v>800.7</v>
      </c>
      <c r="Q650" t="s">
        <v>211</v>
      </c>
      <c r="R650" s="5">
        <v>45962</v>
      </c>
      <c r="S650" t="s">
        <v>142</v>
      </c>
      <c r="T650">
        <v>893.79</v>
      </c>
      <c r="X650"/>
    </row>
    <row r="651" spans="2:24" ht="18.75" hidden="1">
      <c r="B651">
        <v>15</v>
      </c>
      <c r="C651" s="5">
        <v>46118</v>
      </c>
      <c r="D651" t="s">
        <v>148</v>
      </c>
      <c r="E651">
        <v>92.3</v>
      </c>
      <c r="G651">
        <v>10</v>
      </c>
      <c r="H651" s="5">
        <v>46083</v>
      </c>
      <c r="I651" t="s">
        <v>198</v>
      </c>
      <c r="J651">
        <v>301.92</v>
      </c>
      <c r="L651">
        <v>9</v>
      </c>
      <c r="M651" s="5">
        <v>46076</v>
      </c>
      <c r="N651" t="s">
        <v>178</v>
      </c>
      <c r="O651">
        <v>2106.3000000000002</v>
      </c>
      <c r="Q651" t="s">
        <v>211</v>
      </c>
      <c r="R651" s="5">
        <v>45962</v>
      </c>
      <c r="S651" t="s">
        <v>219</v>
      </c>
      <c r="T651">
        <v>1222.68</v>
      </c>
      <c r="X651"/>
    </row>
    <row r="652" spans="2:24" ht="18.75" hidden="1">
      <c r="B652">
        <v>15</v>
      </c>
      <c r="C652" s="5">
        <v>46118</v>
      </c>
      <c r="D652" t="s">
        <v>150</v>
      </c>
      <c r="E652">
        <v>94.53</v>
      </c>
      <c r="G652">
        <v>10</v>
      </c>
      <c r="H652" s="5">
        <v>46083</v>
      </c>
      <c r="I652" t="s">
        <v>174</v>
      </c>
      <c r="J652">
        <v>979.95</v>
      </c>
      <c r="L652">
        <v>9</v>
      </c>
      <c r="M652" s="5">
        <v>46076</v>
      </c>
      <c r="N652" t="s">
        <v>179</v>
      </c>
      <c r="O652">
        <v>3008.38</v>
      </c>
      <c r="Q652" t="s">
        <v>211</v>
      </c>
      <c r="R652" s="5">
        <v>45962</v>
      </c>
      <c r="S652" t="s">
        <v>112</v>
      </c>
      <c r="T652">
        <v>346.9</v>
      </c>
      <c r="X652"/>
    </row>
    <row r="653" spans="2:24" ht="18.75">
      <c r="B653">
        <v>15</v>
      </c>
      <c r="C653" s="5">
        <v>46118</v>
      </c>
      <c r="D653" t="s">
        <v>116</v>
      </c>
      <c r="E653">
        <v>102.6</v>
      </c>
      <c r="G653">
        <v>10</v>
      </c>
      <c r="H653" s="5">
        <v>46083</v>
      </c>
      <c r="I653" t="s">
        <v>171</v>
      </c>
      <c r="J653">
        <v>450.8</v>
      </c>
      <c r="L653">
        <v>9</v>
      </c>
      <c r="M653" s="5">
        <v>46076</v>
      </c>
      <c r="N653" t="s">
        <v>181</v>
      </c>
      <c r="O653">
        <v>1462.91</v>
      </c>
      <c r="Q653" t="s">
        <v>211</v>
      </c>
      <c r="R653" s="5">
        <v>45962</v>
      </c>
      <c r="S653" t="s">
        <v>113</v>
      </c>
      <c r="T653">
        <v>936.67</v>
      </c>
      <c r="X653"/>
    </row>
    <row r="654" spans="2:24" ht="18.75">
      <c r="B654">
        <v>15</v>
      </c>
      <c r="C654" s="5">
        <v>46118</v>
      </c>
      <c r="D654" t="s">
        <v>118</v>
      </c>
      <c r="E654">
        <v>87.94</v>
      </c>
      <c r="G654">
        <v>10</v>
      </c>
      <c r="H654" s="5">
        <v>46083</v>
      </c>
      <c r="I654" t="s">
        <v>169</v>
      </c>
      <c r="J654">
        <v>2169.88</v>
      </c>
      <c r="L654">
        <v>9</v>
      </c>
      <c r="M654" s="5">
        <v>46076</v>
      </c>
      <c r="N654" t="s">
        <v>182</v>
      </c>
      <c r="O654">
        <v>2196.65</v>
      </c>
      <c r="Q654" t="s">
        <v>211</v>
      </c>
      <c r="R654" s="5">
        <v>45962</v>
      </c>
      <c r="S654" t="s">
        <v>116</v>
      </c>
      <c r="T654">
        <v>378.46</v>
      </c>
      <c r="X654"/>
    </row>
    <row r="655" spans="2:24" ht="18.75">
      <c r="B655">
        <v>15</v>
      </c>
      <c r="C655" s="5">
        <v>46118</v>
      </c>
      <c r="D655" t="s">
        <v>127</v>
      </c>
      <c r="E655">
        <v>167.09</v>
      </c>
      <c r="G655">
        <v>10</v>
      </c>
      <c r="H655" s="5">
        <v>46083</v>
      </c>
      <c r="I655" t="s">
        <v>176</v>
      </c>
      <c r="J655">
        <v>59.4</v>
      </c>
      <c r="L655">
        <v>9</v>
      </c>
      <c r="M655" s="5">
        <v>46076</v>
      </c>
      <c r="N655" t="s">
        <v>183</v>
      </c>
      <c r="O655">
        <v>415.35</v>
      </c>
      <c r="Q655" t="s">
        <v>211</v>
      </c>
      <c r="R655" s="5">
        <v>45962</v>
      </c>
      <c r="S655" t="s">
        <v>118</v>
      </c>
      <c r="T655">
        <v>780.82</v>
      </c>
      <c r="X655"/>
    </row>
    <row r="656" spans="2:24" ht="18.75">
      <c r="B656">
        <v>15</v>
      </c>
      <c r="C656" s="5">
        <v>46118</v>
      </c>
      <c r="D656" t="s">
        <v>124</v>
      </c>
      <c r="E656">
        <v>177.55</v>
      </c>
      <c r="G656">
        <v>10</v>
      </c>
      <c r="H656" s="5">
        <v>46083</v>
      </c>
      <c r="I656" t="s">
        <v>170</v>
      </c>
      <c r="J656">
        <v>184</v>
      </c>
      <c r="L656">
        <v>9</v>
      </c>
      <c r="M656" s="5">
        <v>46076</v>
      </c>
      <c r="N656" t="s">
        <v>184</v>
      </c>
      <c r="O656">
        <v>525.61</v>
      </c>
      <c r="Q656" t="s">
        <v>211</v>
      </c>
      <c r="R656" s="5">
        <v>45962</v>
      </c>
      <c r="S656" t="s">
        <v>125</v>
      </c>
      <c r="T656">
        <v>260.45999999999998</v>
      </c>
      <c r="X656"/>
    </row>
    <row r="657" spans="2:24" ht="18.75">
      <c r="B657">
        <v>15</v>
      </c>
      <c r="C657" s="5">
        <v>46118</v>
      </c>
      <c r="D657" t="s">
        <v>140</v>
      </c>
      <c r="E657">
        <v>47.61</v>
      </c>
      <c r="G657">
        <v>10</v>
      </c>
      <c r="H657" s="5">
        <v>46083</v>
      </c>
      <c r="I657" t="s">
        <v>163</v>
      </c>
      <c r="J657">
        <v>307.02</v>
      </c>
      <c r="L657">
        <v>9</v>
      </c>
      <c r="M657" s="5">
        <v>46076</v>
      </c>
      <c r="N657" t="s">
        <v>185</v>
      </c>
      <c r="O657">
        <v>595.04999999999995</v>
      </c>
      <c r="Q657" t="s">
        <v>211</v>
      </c>
      <c r="R657" s="5">
        <v>45962</v>
      </c>
      <c r="S657" t="s">
        <v>126</v>
      </c>
      <c r="T657">
        <v>463.05</v>
      </c>
      <c r="X657"/>
    </row>
    <row r="658" spans="2:24" ht="18.75">
      <c r="B658">
        <v>15</v>
      </c>
      <c r="C658" s="5">
        <v>46118</v>
      </c>
      <c r="D658" t="s">
        <v>149</v>
      </c>
      <c r="E658">
        <v>75.95</v>
      </c>
      <c r="G658">
        <v>10</v>
      </c>
      <c r="H658" s="5">
        <v>46083</v>
      </c>
      <c r="I658" t="s">
        <v>168</v>
      </c>
      <c r="J658">
        <v>323.98</v>
      </c>
      <c r="L658">
        <v>9</v>
      </c>
      <c r="M658" s="5">
        <v>46076</v>
      </c>
      <c r="N658" t="s">
        <v>180</v>
      </c>
      <c r="O658">
        <v>124.5</v>
      </c>
      <c r="Q658" t="s">
        <v>211</v>
      </c>
      <c r="R658" s="5">
        <v>45962</v>
      </c>
      <c r="S658" t="s">
        <v>136</v>
      </c>
      <c r="T658">
        <v>390.96</v>
      </c>
      <c r="X658"/>
    </row>
    <row r="659" spans="2:24" ht="18.75">
      <c r="B659">
        <v>14</v>
      </c>
      <c r="C659" s="5">
        <v>46111</v>
      </c>
      <c r="D659" t="s">
        <v>112</v>
      </c>
      <c r="E659">
        <v>69.44</v>
      </c>
      <c r="G659">
        <v>10</v>
      </c>
      <c r="H659" s="5">
        <v>46083</v>
      </c>
      <c r="I659" t="s">
        <v>204</v>
      </c>
      <c r="J659">
        <v>0.62</v>
      </c>
      <c r="L659">
        <v>10</v>
      </c>
      <c r="M659" s="5">
        <v>46083</v>
      </c>
      <c r="N659" t="s">
        <v>178</v>
      </c>
      <c r="O659">
        <v>2213.4</v>
      </c>
      <c r="Q659" t="s">
        <v>211</v>
      </c>
      <c r="R659" s="5">
        <v>45962</v>
      </c>
      <c r="S659" t="s">
        <v>137</v>
      </c>
      <c r="T659">
        <v>369.83</v>
      </c>
      <c r="X659"/>
    </row>
    <row r="660" spans="2:24" ht="18.75">
      <c r="B660">
        <v>14</v>
      </c>
      <c r="C660" s="5">
        <v>46111</v>
      </c>
      <c r="D660" t="s">
        <v>120</v>
      </c>
      <c r="E660">
        <v>100.6</v>
      </c>
      <c r="G660">
        <v>10</v>
      </c>
      <c r="H660" s="5">
        <v>46083</v>
      </c>
      <c r="I660" t="s">
        <v>201</v>
      </c>
      <c r="J660">
        <v>141.68</v>
      </c>
      <c r="L660">
        <v>10</v>
      </c>
      <c r="M660" s="5">
        <v>46083</v>
      </c>
      <c r="N660" t="s">
        <v>179</v>
      </c>
      <c r="O660">
        <v>3316.68</v>
      </c>
      <c r="Q660" t="s">
        <v>211</v>
      </c>
      <c r="R660" s="5">
        <v>45962</v>
      </c>
      <c r="S660" t="s">
        <v>140</v>
      </c>
      <c r="T660">
        <v>544.61</v>
      </c>
      <c r="X660"/>
    </row>
    <row r="661" spans="2:24" ht="18.75">
      <c r="B661">
        <v>14</v>
      </c>
      <c r="C661" s="5">
        <v>46111</v>
      </c>
      <c r="D661" t="s">
        <v>122</v>
      </c>
      <c r="E661">
        <v>274.31</v>
      </c>
      <c r="G661">
        <v>10</v>
      </c>
      <c r="H661" s="5">
        <v>46083</v>
      </c>
      <c r="I661" t="s">
        <v>172</v>
      </c>
      <c r="J661">
        <v>33.83</v>
      </c>
      <c r="L661">
        <v>10</v>
      </c>
      <c r="M661" s="5">
        <v>46083</v>
      </c>
      <c r="N661" t="s">
        <v>180</v>
      </c>
      <c r="O661">
        <v>146.69999999999999</v>
      </c>
      <c r="Q661" t="s">
        <v>211</v>
      </c>
      <c r="R661" s="5">
        <v>45962</v>
      </c>
      <c r="S661" t="s">
        <v>139</v>
      </c>
      <c r="T661">
        <v>1071.49</v>
      </c>
      <c r="X661"/>
    </row>
    <row r="662" spans="2:24" ht="18.75">
      <c r="B662">
        <v>14</v>
      </c>
      <c r="C662" s="5">
        <v>46111</v>
      </c>
      <c r="D662" t="s">
        <v>125</v>
      </c>
      <c r="E662">
        <v>54.84</v>
      </c>
      <c r="G662">
        <v>10</v>
      </c>
      <c r="H662" s="5">
        <v>46083</v>
      </c>
      <c r="I662" t="s">
        <v>173</v>
      </c>
      <c r="J662">
        <v>840.75</v>
      </c>
      <c r="L662">
        <v>10</v>
      </c>
      <c r="M662" s="5">
        <v>46083</v>
      </c>
      <c r="N662" t="s">
        <v>181</v>
      </c>
      <c r="O662">
        <v>1732.67</v>
      </c>
      <c r="Q662" t="s">
        <v>211</v>
      </c>
      <c r="R662" s="5">
        <v>45962</v>
      </c>
      <c r="S662" t="s">
        <v>149</v>
      </c>
      <c r="T662">
        <v>605.15</v>
      </c>
      <c r="X662"/>
    </row>
    <row r="663" spans="2:24" ht="18.75">
      <c r="B663">
        <v>14</v>
      </c>
      <c r="C663" s="5">
        <v>46111</v>
      </c>
      <c r="D663" t="s">
        <v>128</v>
      </c>
      <c r="E663">
        <v>181.42</v>
      </c>
      <c r="G663">
        <v>11</v>
      </c>
      <c r="H663" s="5">
        <v>46090</v>
      </c>
      <c r="I663" t="s">
        <v>160</v>
      </c>
      <c r="J663">
        <v>4971.88</v>
      </c>
      <c r="L663">
        <v>10</v>
      </c>
      <c r="M663" s="5">
        <v>46083</v>
      </c>
      <c r="N663" t="s">
        <v>182</v>
      </c>
      <c r="O663">
        <v>2169.88</v>
      </c>
      <c r="Q663" t="s">
        <v>211</v>
      </c>
      <c r="R663" s="5">
        <v>45962</v>
      </c>
      <c r="S663" t="s">
        <v>150</v>
      </c>
      <c r="T663">
        <v>274.89</v>
      </c>
      <c r="X663"/>
    </row>
    <row r="664" spans="2:24" ht="18.75">
      <c r="B664">
        <v>14</v>
      </c>
      <c r="C664" s="5">
        <v>46111</v>
      </c>
      <c r="D664" t="s">
        <v>132</v>
      </c>
      <c r="E664">
        <v>212.52</v>
      </c>
      <c r="G664">
        <v>11</v>
      </c>
      <c r="H664" s="5">
        <v>46090</v>
      </c>
      <c r="I664" t="s">
        <v>158</v>
      </c>
      <c r="J664">
        <v>601.96</v>
      </c>
      <c r="L664">
        <v>10</v>
      </c>
      <c r="M664" s="5">
        <v>46083</v>
      </c>
      <c r="N664" t="s">
        <v>183</v>
      </c>
      <c r="O664">
        <v>550.41999999999996</v>
      </c>
      <c r="Q664" t="s">
        <v>211</v>
      </c>
      <c r="R664" s="5">
        <v>45962</v>
      </c>
      <c r="S664" t="s">
        <v>135</v>
      </c>
      <c r="T664">
        <v>270.51</v>
      </c>
      <c r="X664"/>
    </row>
    <row r="665" spans="2:24" ht="18.75">
      <c r="B665">
        <v>14</v>
      </c>
      <c r="C665" s="5">
        <v>46111</v>
      </c>
      <c r="D665" t="s">
        <v>135</v>
      </c>
      <c r="E665">
        <v>84.67</v>
      </c>
      <c r="G665">
        <v>11</v>
      </c>
      <c r="H665" s="5">
        <v>46090</v>
      </c>
      <c r="I665" t="s">
        <v>165</v>
      </c>
      <c r="J665">
        <v>56.3</v>
      </c>
      <c r="L665">
        <v>10</v>
      </c>
      <c r="M665" s="5">
        <v>46083</v>
      </c>
      <c r="N665" t="s">
        <v>184</v>
      </c>
      <c r="O665">
        <v>500.11</v>
      </c>
      <c r="Q665" t="s">
        <v>211</v>
      </c>
      <c r="R665" s="5">
        <v>45962</v>
      </c>
      <c r="S665" t="s">
        <v>147</v>
      </c>
      <c r="T665">
        <v>129.09</v>
      </c>
      <c r="X665"/>
    </row>
    <row r="666" spans="2:24" ht="18.75">
      <c r="B666">
        <v>14</v>
      </c>
      <c r="C666" s="5">
        <v>46111</v>
      </c>
      <c r="D666" t="s">
        <v>136</v>
      </c>
      <c r="E666">
        <v>193.97</v>
      </c>
      <c r="G666">
        <v>11</v>
      </c>
      <c r="H666" s="5">
        <v>46090</v>
      </c>
      <c r="I666" t="s">
        <v>171</v>
      </c>
      <c r="J666">
        <v>390</v>
      </c>
      <c r="L666">
        <v>10</v>
      </c>
      <c r="M666" s="5">
        <v>46083</v>
      </c>
      <c r="N666" t="s">
        <v>185</v>
      </c>
      <c r="O666">
        <v>840.75</v>
      </c>
      <c r="Q666" t="s">
        <v>213</v>
      </c>
      <c r="R666" s="5">
        <v>45992</v>
      </c>
      <c r="S666" t="s">
        <v>113</v>
      </c>
      <c r="T666">
        <v>832.57</v>
      </c>
      <c r="X666"/>
    </row>
    <row r="667" spans="2:24" ht="18.75">
      <c r="B667">
        <v>14</v>
      </c>
      <c r="C667" s="5">
        <v>46111</v>
      </c>
      <c r="D667" t="s">
        <v>137</v>
      </c>
      <c r="E667">
        <v>63.41</v>
      </c>
      <c r="G667">
        <v>11</v>
      </c>
      <c r="H667" s="5">
        <v>46090</v>
      </c>
      <c r="I667" t="s">
        <v>174</v>
      </c>
      <c r="J667">
        <v>879.7</v>
      </c>
      <c r="L667">
        <v>11</v>
      </c>
      <c r="M667" s="5">
        <v>46090</v>
      </c>
      <c r="N667" t="s">
        <v>178</v>
      </c>
      <c r="O667">
        <v>1350.65</v>
      </c>
      <c r="Q667" t="s">
        <v>213</v>
      </c>
      <c r="R667" s="5">
        <v>45992</v>
      </c>
      <c r="S667" t="s">
        <v>118</v>
      </c>
      <c r="T667">
        <v>478.57</v>
      </c>
      <c r="X667"/>
    </row>
    <row r="668" spans="2:24" ht="18.75">
      <c r="B668">
        <v>14</v>
      </c>
      <c r="C668" s="5">
        <v>46111</v>
      </c>
      <c r="D668" t="s">
        <v>140</v>
      </c>
      <c r="E668">
        <v>96.2</v>
      </c>
      <c r="G668">
        <v>11</v>
      </c>
      <c r="H668" s="5">
        <v>46090</v>
      </c>
      <c r="I668" t="s">
        <v>198</v>
      </c>
      <c r="J668">
        <v>404.6</v>
      </c>
      <c r="L668">
        <v>11</v>
      </c>
      <c r="M668" s="5">
        <v>46090</v>
      </c>
      <c r="N668" t="s">
        <v>179</v>
      </c>
      <c r="O668">
        <v>1991.41</v>
      </c>
      <c r="Q668" t="s">
        <v>213</v>
      </c>
      <c r="R668" s="5">
        <v>45992</v>
      </c>
      <c r="S668" t="s">
        <v>123</v>
      </c>
      <c r="T668">
        <v>1911.02</v>
      </c>
      <c r="X668"/>
    </row>
    <row r="669" spans="2:24" ht="18.75">
      <c r="B669">
        <v>14</v>
      </c>
      <c r="C669" s="5">
        <v>46111</v>
      </c>
      <c r="D669" t="s">
        <v>142</v>
      </c>
      <c r="E669">
        <v>185.4</v>
      </c>
      <c r="G669">
        <v>11</v>
      </c>
      <c r="H669" s="5">
        <v>46090</v>
      </c>
      <c r="I669" t="s">
        <v>169</v>
      </c>
      <c r="J669">
        <v>2155.14</v>
      </c>
      <c r="L669">
        <v>11</v>
      </c>
      <c r="M669" s="5">
        <v>46090</v>
      </c>
      <c r="N669" t="s">
        <v>180</v>
      </c>
      <c r="O669">
        <v>28.2</v>
      </c>
      <c r="Q669" t="s">
        <v>213</v>
      </c>
      <c r="R669" s="5">
        <v>45992</v>
      </c>
      <c r="S669" t="s">
        <v>124</v>
      </c>
      <c r="T669">
        <v>1684.63</v>
      </c>
      <c r="X669"/>
    </row>
    <row r="670" spans="2:24" ht="18.75">
      <c r="B670">
        <v>14</v>
      </c>
      <c r="C670" s="5">
        <v>46111</v>
      </c>
      <c r="D670" t="s">
        <v>148</v>
      </c>
      <c r="E670">
        <v>127.75</v>
      </c>
      <c r="G670">
        <v>11</v>
      </c>
      <c r="H670" s="5">
        <v>46090</v>
      </c>
      <c r="I670" t="s">
        <v>176</v>
      </c>
      <c r="J670">
        <v>187.92</v>
      </c>
      <c r="L670">
        <v>11</v>
      </c>
      <c r="M670" s="5">
        <v>46090</v>
      </c>
      <c r="N670" t="s">
        <v>181</v>
      </c>
      <c r="O670">
        <v>1285.8800000000001</v>
      </c>
      <c r="Q670" t="s">
        <v>213</v>
      </c>
      <c r="R670" s="5">
        <v>45992</v>
      </c>
      <c r="S670" t="s">
        <v>139</v>
      </c>
      <c r="T670">
        <v>1219.1600000000001</v>
      </c>
      <c r="X670"/>
    </row>
    <row r="671" spans="2:24" ht="18.75">
      <c r="B671">
        <v>14</v>
      </c>
      <c r="C671" s="5">
        <v>46111</v>
      </c>
      <c r="D671" t="s">
        <v>150</v>
      </c>
      <c r="E671">
        <v>96.02</v>
      </c>
      <c r="G671">
        <v>11</v>
      </c>
      <c r="H671" s="5">
        <v>46090</v>
      </c>
      <c r="I671" t="s">
        <v>170</v>
      </c>
      <c r="J671">
        <v>98</v>
      </c>
      <c r="L671">
        <v>11</v>
      </c>
      <c r="M671" s="5">
        <v>46090</v>
      </c>
      <c r="N671" t="s">
        <v>182</v>
      </c>
      <c r="O671">
        <v>1170.3699999999999</v>
      </c>
      <c r="Q671" t="s">
        <v>213</v>
      </c>
      <c r="R671" s="5">
        <v>45992</v>
      </c>
      <c r="S671" t="s">
        <v>143</v>
      </c>
      <c r="T671">
        <v>5528.63</v>
      </c>
      <c r="X671"/>
    </row>
    <row r="672" spans="2:24" ht="18.75">
      <c r="B672">
        <v>14</v>
      </c>
      <c r="C672" s="5">
        <v>46111</v>
      </c>
      <c r="D672" t="s">
        <v>149</v>
      </c>
      <c r="E672">
        <v>148.09</v>
      </c>
      <c r="G672">
        <v>11</v>
      </c>
      <c r="H672" s="5">
        <v>46090</v>
      </c>
      <c r="I672" t="s">
        <v>163</v>
      </c>
      <c r="J672">
        <v>292.83</v>
      </c>
      <c r="L672">
        <v>11</v>
      </c>
      <c r="M672" s="5">
        <v>46090</v>
      </c>
      <c r="N672" t="s">
        <v>183</v>
      </c>
      <c r="O672">
        <v>275.52</v>
      </c>
      <c r="Q672" t="s">
        <v>213</v>
      </c>
      <c r="R672" s="5">
        <v>45992</v>
      </c>
      <c r="S672" t="s">
        <v>147</v>
      </c>
      <c r="T672">
        <v>1273.79</v>
      </c>
      <c r="X672"/>
    </row>
    <row r="673" spans="2:24" ht="18.75">
      <c r="B673">
        <v>14</v>
      </c>
      <c r="C673" s="5">
        <v>46111</v>
      </c>
      <c r="D673" t="s">
        <v>116</v>
      </c>
      <c r="E673">
        <v>100.19</v>
      </c>
      <c r="G673">
        <v>11</v>
      </c>
      <c r="H673" s="5">
        <v>46090</v>
      </c>
      <c r="I673" t="s">
        <v>168</v>
      </c>
      <c r="J673">
        <v>366.08</v>
      </c>
      <c r="L673">
        <v>11</v>
      </c>
      <c r="M673" s="5">
        <v>46090</v>
      </c>
      <c r="N673" t="s">
        <v>184</v>
      </c>
      <c r="O673">
        <v>274.93</v>
      </c>
      <c r="Q673" t="s">
        <v>213</v>
      </c>
      <c r="R673" s="5">
        <v>45992</v>
      </c>
      <c r="S673" t="s">
        <v>127</v>
      </c>
      <c r="T673">
        <v>884.46</v>
      </c>
      <c r="X673"/>
    </row>
    <row r="674" spans="2:24" ht="18.75">
      <c r="B674">
        <v>16</v>
      </c>
      <c r="C674" s="5">
        <v>46125</v>
      </c>
      <c r="D674" t="s">
        <v>111</v>
      </c>
      <c r="E674">
        <v>117.14</v>
      </c>
      <c r="G674">
        <v>11</v>
      </c>
      <c r="H674" s="5">
        <v>46090</v>
      </c>
      <c r="I674" t="s">
        <v>201</v>
      </c>
      <c r="J674">
        <v>110.88</v>
      </c>
      <c r="L674">
        <v>11</v>
      </c>
      <c r="M674" s="5">
        <v>46090</v>
      </c>
      <c r="N674" t="s">
        <v>185</v>
      </c>
      <c r="O674">
        <v>531.15</v>
      </c>
      <c r="Q674" t="s">
        <v>213</v>
      </c>
      <c r="R674" s="5">
        <v>45992</v>
      </c>
      <c r="S674" t="s">
        <v>126</v>
      </c>
      <c r="T674">
        <v>408.83</v>
      </c>
      <c r="X674"/>
    </row>
    <row r="675" spans="2:24" ht="18.75">
      <c r="B675">
        <v>16</v>
      </c>
      <c r="C675" s="5">
        <v>46125</v>
      </c>
      <c r="D675" t="s">
        <v>112</v>
      </c>
      <c r="E675">
        <v>45.54</v>
      </c>
      <c r="G675">
        <v>11</v>
      </c>
      <c r="H675" s="5">
        <v>46090</v>
      </c>
      <c r="I675" t="s">
        <v>172</v>
      </c>
      <c r="J675">
        <v>33.83</v>
      </c>
      <c r="L675">
        <v>43</v>
      </c>
      <c r="M675" s="5">
        <v>45950</v>
      </c>
      <c r="N675" t="s">
        <v>179</v>
      </c>
      <c r="O675">
        <v>2487.42</v>
      </c>
      <c r="Q675" t="s">
        <v>213</v>
      </c>
      <c r="R675" s="5">
        <v>45992</v>
      </c>
      <c r="S675" t="s">
        <v>141</v>
      </c>
      <c r="T675">
        <v>2286.71</v>
      </c>
      <c r="X675"/>
    </row>
    <row r="676" spans="2:24" ht="18.75">
      <c r="B676">
        <v>16</v>
      </c>
      <c r="C676" s="5">
        <v>46125</v>
      </c>
      <c r="D676" t="s">
        <v>114</v>
      </c>
      <c r="E676">
        <v>292.02999999999997</v>
      </c>
      <c r="G676">
        <v>11</v>
      </c>
      <c r="H676" s="5">
        <v>46090</v>
      </c>
      <c r="I676" t="s">
        <v>173</v>
      </c>
      <c r="J676">
        <v>884.3</v>
      </c>
      <c r="L676">
        <v>43</v>
      </c>
      <c r="M676" s="5">
        <v>45950</v>
      </c>
      <c r="N676" t="s">
        <v>180</v>
      </c>
      <c r="O676">
        <v>188.2</v>
      </c>
      <c r="Q676" t="s">
        <v>213</v>
      </c>
      <c r="R676" s="5">
        <v>45992</v>
      </c>
      <c r="S676" t="s">
        <v>111</v>
      </c>
      <c r="T676">
        <v>695.44</v>
      </c>
      <c r="X676"/>
    </row>
    <row r="677" spans="2:24" ht="18.75">
      <c r="B677">
        <v>16</v>
      </c>
      <c r="C677" s="5">
        <v>46125</v>
      </c>
      <c r="D677" t="s">
        <v>116</v>
      </c>
      <c r="E677">
        <v>67.97</v>
      </c>
      <c r="G677">
        <v>11</v>
      </c>
      <c r="H677" s="5">
        <v>46090</v>
      </c>
      <c r="I677" t="s">
        <v>204</v>
      </c>
      <c r="J677">
        <v>3.1</v>
      </c>
      <c r="L677">
        <v>43</v>
      </c>
      <c r="M677" s="5">
        <v>45950</v>
      </c>
      <c r="N677" t="s">
        <v>181</v>
      </c>
      <c r="O677">
        <v>1277.31</v>
      </c>
      <c r="Q677" t="s">
        <v>213</v>
      </c>
      <c r="R677" s="5">
        <v>45992</v>
      </c>
      <c r="S677" t="s">
        <v>114</v>
      </c>
      <c r="T677">
        <v>1120.8399999999999</v>
      </c>
      <c r="X677"/>
    </row>
    <row r="678" spans="2:24" ht="18.75">
      <c r="B678">
        <v>16</v>
      </c>
      <c r="C678" s="5">
        <v>46125</v>
      </c>
      <c r="D678" t="s">
        <v>117</v>
      </c>
      <c r="E678">
        <v>202.25</v>
      </c>
      <c r="G678">
        <v>11</v>
      </c>
      <c r="H678" s="5">
        <v>46090</v>
      </c>
      <c r="I678" t="s">
        <v>167</v>
      </c>
      <c r="J678">
        <v>12.2</v>
      </c>
      <c r="L678">
        <v>43</v>
      </c>
      <c r="M678" s="5">
        <v>45950</v>
      </c>
      <c r="N678" t="s">
        <v>182</v>
      </c>
      <c r="O678">
        <v>1692.27</v>
      </c>
      <c r="Q678" t="s">
        <v>213</v>
      </c>
      <c r="R678" s="5">
        <v>45992</v>
      </c>
      <c r="S678" t="s">
        <v>117</v>
      </c>
      <c r="T678">
        <v>880.78</v>
      </c>
      <c r="X678"/>
    </row>
    <row r="679" spans="2:24" ht="18.75">
      <c r="B679">
        <v>16</v>
      </c>
      <c r="C679" s="5">
        <v>46125</v>
      </c>
      <c r="D679" t="s">
        <v>119</v>
      </c>
      <c r="E679">
        <v>269.29000000000002</v>
      </c>
      <c r="G679">
        <v>12</v>
      </c>
      <c r="H679" s="5">
        <v>46097</v>
      </c>
      <c r="I679" t="s">
        <v>160</v>
      </c>
      <c r="J679">
        <v>4860.6400000000003</v>
      </c>
      <c r="L679">
        <v>43</v>
      </c>
      <c r="M679" s="5">
        <v>45950</v>
      </c>
      <c r="N679" t="s">
        <v>183</v>
      </c>
      <c r="O679">
        <v>654.04</v>
      </c>
      <c r="Q679" t="s">
        <v>213</v>
      </c>
      <c r="R679" s="5">
        <v>45992</v>
      </c>
      <c r="S679" t="s">
        <v>119</v>
      </c>
      <c r="T679">
        <v>1530.6</v>
      </c>
      <c r="X679"/>
    </row>
    <row r="680" spans="2:24" ht="18.75">
      <c r="B680">
        <v>16</v>
      </c>
      <c r="C680" s="5">
        <v>46125</v>
      </c>
      <c r="D680" t="s">
        <v>120</v>
      </c>
      <c r="E680">
        <v>78.540000000000006</v>
      </c>
      <c r="G680">
        <v>12</v>
      </c>
      <c r="H680" s="5">
        <v>46097</v>
      </c>
      <c r="I680" t="s">
        <v>158</v>
      </c>
      <c r="J680">
        <v>634.28</v>
      </c>
      <c r="L680">
        <v>43</v>
      </c>
      <c r="M680" s="5">
        <v>45950</v>
      </c>
      <c r="N680" t="s">
        <v>184</v>
      </c>
      <c r="O680">
        <v>417.49</v>
      </c>
      <c r="Q680" t="s">
        <v>213</v>
      </c>
      <c r="R680" s="5">
        <v>45992</v>
      </c>
      <c r="S680" t="s">
        <v>120</v>
      </c>
      <c r="T680">
        <v>577.19000000000005</v>
      </c>
      <c r="X680"/>
    </row>
    <row r="681" spans="2:24" ht="18.75">
      <c r="B681">
        <v>16</v>
      </c>
      <c r="C681" s="5">
        <v>46125</v>
      </c>
      <c r="D681" t="s">
        <v>122</v>
      </c>
      <c r="E681">
        <v>205.65</v>
      </c>
      <c r="G681">
        <v>12</v>
      </c>
      <c r="H681" s="5">
        <v>46097</v>
      </c>
      <c r="I681" t="s">
        <v>165</v>
      </c>
      <c r="J681">
        <v>260</v>
      </c>
      <c r="L681">
        <v>43</v>
      </c>
      <c r="M681" s="5">
        <v>45950</v>
      </c>
      <c r="N681" t="s">
        <v>185</v>
      </c>
      <c r="O681">
        <v>458.7</v>
      </c>
      <c r="Q681" t="s">
        <v>213</v>
      </c>
      <c r="R681" s="5">
        <v>45992</v>
      </c>
      <c r="S681" t="s">
        <v>129</v>
      </c>
      <c r="T681">
        <v>1748.55</v>
      </c>
      <c r="X681"/>
    </row>
    <row r="682" spans="2:24" ht="18.75">
      <c r="B682">
        <v>16</v>
      </c>
      <c r="C682" s="5">
        <v>46125</v>
      </c>
      <c r="D682" t="s">
        <v>123</v>
      </c>
      <c r="E682">
        <v>423.98</v>
      </c>
      <c r="G682">
        <v>12</v>
      </c>
      <c r="H682" s="5">
        <v>46097</v>
      </c>
      <c r="I682" t="s">
        <v>167</v>
      </c>
      <c r="J682">
        <v>518.5</v>
      </c>
      <c r="L682">
        <v>43</v>
      </c>
      <c r="M682" s="5">
        <v>45950</v>
      </c>
      <c r="N682" t="s">
        <v>178</v>
      </c>
      <c r="O682">
        <v>1808.8</v>
      </c>
      <c r="Q682" t="s">
        <v>213</v>
      </c>
      <c r="R682" s="5">
        <v>45992</v>
      </c>
      <c r="S682" t="s">
        <v>133</v>
      </c>
      <c r="T682">
        <v>1077.58</v>
      </c>
      <c r="X682"/>
    </row>
    <row r="683" spans="2:24" ht="18.75">
      <c r="B683">
        <v>16</v>
      </c>
      <c r="C683" s="5">
        <v>46125</v>
      </c>
      <c r="D683" t="s">
        <v>126</v>
      </c>
      <c r="E683">
        <v>118.75</v>
      </c>
      <c r="G683">
        <v>12</v>
      </c>
      <c r="H683" s="5">
        <v>46097</v>
      </c>
      <c r="I683" t="s">
        <v>174</v>
      </c>
      <c r="J683">
        <v>811.74</v>
      </c>
      <c r="L683">
        <v>44</v>
      </c>
      <c r="M683" s="5">
        <v>45957</v>
      </c>
      <c r="N683" t="s">
        <v>178</v>
      </c>
      <c r="O683">
        <v>1850.45</v>
      </c>
      <c r="Q683" t="s">
        <v>213</v>
      </c>
      <c r="R683" s="5">
        <v>45992</v>
      </c>
      <c r="S683" t="s">
        <v>134</v>
      </c>
      <c r="T683">
        <v>1122.75</v>
      </c>
      <c r="X683"/>
    </row>
    <row r="684" spans="2:24" ht="18.75">
      <c r="B684">
        <v>16</v>
      </c>
      <c r="C684" s="5">
        <v>46125</v>
      </c>
      <c r="D684" t="s">
        <v>128</v>
      </c>
      <c r="E684">
        <v>133.62</v>
      </c>
      <c r="G684">
        <v>12</v>
      </c>
      <c r="H684" s="5">
        <v>46097</v>
      </c>
      <c r="I684" t="s">
        <v>169</v>
      </c>
      <c r="J684">
        <v>2173.85</v>
      </c>
      <c r="L684">
        <v>44</v>
      </c>
      <c r="M684" s="5">
        <v>45957</v>
      </c>
      <c r="N684" t="s">
        <v>179</v>
      </c>
      <c r="O684">
        <v>3052.56</v>
      </c>
      <c r="Q684" t="s">
        <v>213</v>
      </c>
      <c r="R684" s="5">
        <v>45992</v>
      </c>
      <c r="S684" t="s">
        <v>138</v>
      </c>
      <c r="T684">
        <v>1840.16</v>
      </c>
      <c r="X684"/>
    </row>
    <row r="685" spans="2:24" ht="18.75">
      <c r="B685">
        <v>16</v>
      </c>
      <c r="C685" s="5">
        <v>46125</v>
      </c>
      <c r="D685" t="s">
        <v>130</v>
      </c>
      <c r="E685">
        <v>297.02</v>
      </c>
      <c r="G685">
        <v>12</v>
      </c>
      <c r="H685" s="5">
        <v>46097</v>
      </c>
      <c r="I685" t="s">
        <v>176</v>
      </c>
      <c r="J685">
        <v>114</v>
      </c>
      <c r="L685">
        <v>44</v>
      </c>
      <c r="M685" s="5">
        <v>45957</v>
      </c>
      <c r="N685" t="s">
        <v>182</v>
      </c>
      <c r="O685">
        <v>1729.83</v>
      </c>
      <c r="Q685" t="s">
        <v>213</v>
      </c>
      <c r="R685" s="5">
        <v>45992</v>
      </c>
      <c r="S685" t="s">
        <v>145</v>
      </c>
      <c r="T685">
        <v>1044.42</v>
      </c>
      <c r="X685"/>
    </row>
    <row r="686" spans="2:24" ht="18.75">
      <c r="B686">
        <v>16</v>
      </c>
      <c r="C686" s="5">
        <v>46125</v>
      </c>
      <c r="D686" t="s">
        <v>132</v>
      </c>
      <c r="E686">
        <v>176.26</v>
      </c>
      <c r="G686">
        <v>12</v>
      </c>
      <c r="H686" s="5">
        <v>46097</v>
      </c>
      <c r="I686" t="s">
        <v>170</v>
      </c>
      <c r="J686">
        <v>80</v>
      </c>
      <c r="L686">
        <v>44</v>
      </c>
      <c r="M686" s="5">
        <v>45957</v>
      </c>
      <c r="N686" t="s">
        <v>183</v>
      </c>
      <c r="O686">
        <v>564.16</v>
      </c>
      <c r="Q686" t="s">
        <v>213</v>
      </c>
      <c r="R686" s="5">
        <v>45992</v>
      </c>
      <c r="S686" t="s">
        <v>146</v>
      </c>
      <c r="T686">
        <v>2206.3000000000002</v>
      </c>
      <c r="X686"/>
    </row>
    <row r="687" spans="2:24" ht="18.75">
      <c r="B687">
        <v>16</v>
      </c>
      <c r="C687" s="5">
        <v>46125</v>
      </c>
      <c r="D687" t="s">
        <v>133</v>
      </c>
      <c r="E687">
        <v>320.89999999999998</v>
      </c>
      <c r="G687">
        <v>12</v>
      </c>
      <c r="H687" s="5">
        <v>46097</v>
      </c>
      <c r="I687" t="s">
        <v>163</v>
      </c>
      <c r="J687">
        <v>290.25</v>
      </c>
      <c r="L687">
        <v>44</v>
      </c>
      <c r="M687" s="5">
        <v>45957</v>
      </c>
      <c r="N687" t="s">
        <v>184</v>
      </c>
      <c r="O687">
        <v>443.71</v>
      </c>
      <c r="Q687" t="s">
        <v>213</v>
      </c>
      <c r="R687" s="5">
        <v>45992</v>
      </c>
      <c r="S687" t="s">
        <v>148</v>
      </c>
      <c r="T687">
        <v>572.15</v>
      </c>
      <c r="X687"/>
    </row>
    <row r="688" spans="2:24" ht="18.75">
      <c r="B688">
        <v>16</v>
      </c>
      <c r="C688" s="5">
        <v>46125</v>
      </c>
      <c r="D688" t="s">
        <v>134</v>
      </c>
      <c r="E688">
        <v>317.58999999999997</v>
      </c>
      <c r="G688">
        <v>12</v>
      </c>
      <c r="H688" s="5">
        <v>46097</v>
      </c>
      <c r="I688" t="s">
        <v>168</v>
      </c>
      <c r="J688">
        <v>528.64</v>
      </c>
      <c r="L688">
        <v>44</v>
      </c>
      <c r="M688" s="5">
        <v>45957</v>
      </c>
      <c r="N688" t="s">
        <v>185</v>
      </c>
      <c r="O688">
        <v>724.4</v>
      </c>
      <c r="Q688" t="s">
        <v>213</v>
      </c>
      <c r="R688" s="5">
        <v>45992</v>
      </c>
      <c r="S688" t="s">
        <v>151</v>
      </c>
      <c r="T688">
        <v>1784.71</v>
      </c>
      <c r="X688"/>
    </row>
    <row r="689" spans="2:24" ht="18.75">
      <c r="B689">
        <v>16</v>
      </c>
      <c r="C689" s="5">
        <v>46125</v>
      </c>
      <c r="D689" t="s">
        <v>135</v>
      </c>
      <c r="E689">
        <v>83.64</v>
      </c>
      <c r="G689">
        <v>12</v>
      </c>
      <c r="H689" s="5">
        <v>46097</v>
      </c>
      <c r="I689" t="s">
        <v>172</v>
      </c>
      <c r="J689">
        <v>67.66</v>
      </c>
      <c r="L689">
        <v>44</v>
      </c>
      <c r="M689" s="5">
        <v>45957</v>
      </c>
      <c r="N689" t="s">
        <v>180</v>
      </c>
      <c r="O689">
        <v>492.7</v>
      </c>
      <c r="Q689" t="s">
        <v>213</v>
      </c>
      <c r="R689" s="5">
        <v>45992</v>
      </c>
      <c r="S689" t="s">
        <v>112</v>
      </c>
      <c r="T689">
        <v>302.2</v>
      </c>
      <c r="X689"/>
    </row>
    <row r="690" spans="2:24" ht="18.75">
      <c r="B690">
        <v>16</v>
      </c>
      <c r="C690" s="5">
        <v>46125</v>
      </c>
      <c r="D690" t="s">
        <v>136</v>
      </c>
      <c r="E690">
        <v>104.76</v>
      </c>
      <c r="G690">
        <v>12</v>
      </c>
      <c r="H690" s="5">
        <v>46097</v>
      </c>
      <c r="I690" t="s">
        <v>173</v>
      </c>
      <c r="J690">
        <v>850.5</v>
      </c>
      <c r="L690">
        <v>44</v>
      </c>
      <c r="M690" s="5">
        <v>45957</v>
      </c>
      <c r="N690" t="s">
        <v>181</v>
      </c>
      <c r="O690">
        <v>1566.47</v>
      </c>
      <c r="Q690" t="s">
        <v>213</v>
      </c>
      <c r="R690" s="5">
        <v>45992</v>
      </c>
      <c r="S690" t="s">
        <v>116</v>
      </c>
      <c r="T690">
        <v>384.12</v>
      </c>
      <c r="X690"/>
    </row>
    <row r="691" spans="2:24" ht="18.75">
      <c r="B691">
        <v>16</v>
      </c>
      <c r="C691" s="5">
        <v>46125</v>
      </c>
      <c r="D691" t="s">
        <v>137</v>
      </c>
      <c r="E691">
        <v>64.98</v>
      </c>
      <c r="G691">
        <v>12</v>
      </c>
      <c r="H691" s="5">
        <v>46097</v>
      </c>
      <c r="I691" t="s">
        <v>198</v>
      </c>
      <c r="J691">
        <v>372.96</v>
      </c>
      <c r="L691">
        <v>45</v>
      </c>
      <c r="M691" s="5">
        <v>45964</v>
      </c>
      <c r="N691" t="s">
        <v>178</v>
      </c>
      <c r="O691">
        <v>1922.9</v>
      </c>
      <c r="Q691" t="s">
        <v>213</v>
      </c>
      <c r="R691" s="5">
        <v>45992</v>
      </c>
      <c r="S691" t="s">
        <v>121</v>
      </c>
      <c r="T691">
        <v>466.45</v>
      </c>
      <c r="X691"/>
    </row>
    <row r="692" spans="2:24" ht="18.75">
      <c r="B692">
        <v>16</v>
      </c>
      <c r="C692" s="5">
        <v>46125</v>
      </c>
      <c r="D692" t="s">
        <v>138</v>
      </c>
      <c r="E692">
        <v>370.96</v>
      </c>
      <c r="G692">
        <v>12</v>
      </c>
      <c r="H692" s="5">
        <v>46097</v>
      </c>
      <c r="I692" t="s">
        <v>204</v>
      </c>
      <c r="J692">
        <v>0.93</v>
      </c>
      <c r="L692">
        <v>45</v>
      </c>
      <c r="M692" s="5">
        <v>45964</v>
      </c>
      <c r="N692" t="s">
        <v>179</v>
      </c>
      <c r="O692">
        <v>2812.67</v>
      </c>
      <c r="Q692" t="s">
        <v>213</v>
      </c>
      <c r="R692" s="5">
        <v>45992</v>
      </c>
      <c r="S692" t="s">
        <v>122</v>
      </c>
      <c r="T692">
        <v>985.4</v>
      </c>
      <c r="X692"/>
    </row>
    <row r="693" spans="2:24" ht="18.75">
      <c r="B693">
        <v>16</v>
      </c>
      <c r="C693" s="5">
        <v>46125</v>
      </c>
      <c r="D693" t="s">
        <v>141</v>
      </c>
      <c r="E693">
        <v>495.5</v>
      </c>
      <c r="G693">
        <v>12</v>
      </c>
      <c r="H693" s="5">
        <v>46097</v>
      </c>
      <c r="I693" t="s">
        <v>171</v>
      </c>
      <c r="J693">
        <v>13.64</v>
      </c>
      <c r="L693">
        <v>45</v>
      </c>
      <c r="M693" s="5">
        <v>45964</v>
      </c>
      <c r="N693" t="s">
        <v>180</v>
      </c>
      <c r="O693">
        <v>210.9</v>
      </c>
      <c r="Q693" t="s">
        <v>213</v>
      </c>
      <c r="R693" s="5">
        <v>45992</v>
      </c>
      <c r="S693" t="s">
        <v>125</v>
      </c>
      <c r="T693">
        <v>265.22000000000003</v>
      </c>
      <c r="X693"/>
    </row>
    <row r="694" spans="2:24" ht="18.75">
      <c r="B694">
        <v>16</v>
      </c>
      <c r="C694" s="5">
        <v>46125</v>
      </c>
      <c r="D694" t="s">
        <v>142</v>
      </c>
      <c r="E694">
        <v>100.5</v>
      </c>
      <c r="G694">
        <v>12</v>
      </c>
      <c r="H694" s="5">
        <v>46097</v>
      </c>
      <c r="I694" t="s">
        <v>207</v>
      </c>
      <c r="J694">
        <v>237</v>
      </c>
      <c r="L694">
        <v>45</v>
      </c>
      <c r="M694" s="5">
        <v>45964</v>
      </c>
      <c r="N694" t="s">
        <v>182</v>
      </c>
      <c r="O694">
        <v>1724.95</v>
      </c>
      <c r="Q694" t="s">
        <v>213</v>
      </c>
      <c r="R694" s="5">
        <v>45992</v>
      </c>
      <c r="S694" t="s">
        <v>128</v>
      </c>
      <c r="T694">
        <v>249.67</v>
      </c>
      <c r="X694"/>
    </row>
    <row r="695" spans="2:24" ht="18.75">
      <c r="B695">
        <v>16</v>
      </c>
      <c r="C695" s="5">
        <v>46125</v>
      </c>
      <c r="D695" t="s">
        <v>143</v>
      </c>
      <c r="E695">
        <v>1743.4</v>
      </c>
      <c r="G695">
        <v>13</v>
      </c>
      <c r="H695" s="5">
        <v>46104</v>
      </c>
      <c r="I695" t="s">
        <v>160</v>
      </c>
      <c r="J695">
        <v>4969.01</v>
      </c>
      <c r="L695">
        <v>45</v>
      </c>
      <c r="M695" s="5">
        <v>45964</v>
      </c>
      <c r="N695" t="s">
        <v>183</v>
      </c>
      <c r="O695">
        <v>711.4</v>
      </c>
      <c r="Q695" t="s">
        <v>213</v>
      </c>
      <c r="R695" s="5">
        <v>45992</v>
      </c>
      <c r="S695" t="s">
        <v>132</v>
      </c>
      <c r="T695">
        <v>875.6</v>
      </c>
      <c r="X695"/>
    </row>
    <row r="696" spans="2:24" ht="18.75">
      <c r="B696">
        <v>16</v>
      </c>
      <c r="C696" s="5">
        <v>46125</v>
      </c>
      <c r="D696" t="s">
        <v>145</v>
      </c>
      <c r="E696">
        <v>189.05</v>
      </c>
      <c r="G696">
        <v>13</v>
      </c>
      <c r="H696" s="5">
        <v>46104</v>
      </c>
      <c r="I696" t="s">
        <v>158</v>
      </c>
      <c r="J696">
        <v>670.64</v>
      </c>
      <c r="L696">
        <v>45</v>
      </c>
      <c r="M696" s="5">
        <v>45964</v>
      </c>
      <c r="N696" t="s">
        <v>184</v>
      </c>
      <c r="O696">
        <v>500.98</v>
      </c>
      <c r="Q696" t="s">
        <v>213</v>
      </c>
      <c r="R696" s="5">
        <v>45992</v>
      </c>
      <c r="S696" t="s">
        <v>135</v>
      </c>
      <c r="T696">
        <v>278.87</v>
      </c>
      <c r="X696"/>
    </row>
    <row r="697" spans="2:24" ht="18.75">
      <c r="B697">
        <v>16</v>
      </c>
      <c r="C697" s="5">
        <v>46125</v>
      </c>
      <c r="D697" t="s">
        <v>146</v>
      </c>
      <c r="E697">
        <v>569.42999999999995</v>
      </c>
      <c r="G697">
        <v>13</v>
      </c>
      <c r="H697" s="5">
        <v>46104</v>
      </c>
      <c r="I697" t="s">
        <v>165</v>
      </c>
      <c r="J697">
        <v>266.5</v>
      </c>
      <c r="L697">
        <v>45</v>
      </c>
      <c r="M697" s="5">
        <v>45964</v>
      </c>
      <c r="N697" t="s">
        <v>185</v>
      </c>
      <c r="O697">
        <v>557.75</v>
      </c>
      <c r="Q697" t="s">
        <v>213</v>
      </c>
      <c r="R697" s="5">
        <v>45992</v>
      </c>
      <c r="S697" t="s">
        <v>136</v>
      </c>
      <c r="T697">
        <v>421.31</v>
      </c>
      <c r="X697"/>
    </row>
    <row r="698" spans="2:24" ht="18.75">
      <c r="B698">
        <v>16</v>
      </c>
      <c r="C698" s="5">
        <v>46125</v>
      </c>
      <c r="D698" t="s">
        <v>148</v>
      </c>
      <c r="E698">
        <v>105.16</v>
      </c>
      <c r="G698">
        <v>13</v>
      </c>
      <c r="H698" s="5">
        <v>46104</v>
      </c>
      <c r="I698" t="s">
        <v>198</v>
      </c>
      <c r="J698">
        <v>378.88</v>
      </c>
      <c r="L698">
        <v>45</v>
      </c>
      <c r="M698" s="5">
        <v>45964</v>
      </c>
      <c r="N698" t="s">
        <v>181</v>
      </c>
      <c r="O698">
        <v>1549.73</v>
      </c>
      <c r="Q698" t="s">
        <v>213</v>
      </c>
      <c r="R698" s="5">
        <v>45992</v>
      </c>
      <c r="S698" t="s">
        <v>137</v>
      </c>
      <c r="T698">
        <v>295.58</v>
      </c>
      <c r="X698"/>
    </row>
    <row r="699" spans="2:24" ht="18.75">
      <c r="B699">
        <v>16</v>
      </c>
      <c r="C699" s="5">
        <v>46125</v>
      </c>
      <c r="D699" t="s">
        <v>150</v>
      </c>
      <c r="E699">
        <v>89.51</v>
      </c>
      <c r="G699">
        <v>13</v>
      </c>
      <c r="H699" s="5">
        <v>46104</v>
      </c>
      <c r="I699" t="s">
        <v>171</v>
      </c>
      <c r="J699">
        <v>710.04</v>
      </c>
      <c r="L699">
        <v>46</v>
      </c>
      <c r="M699" s="5">
        <v>45971</v>
      </c>
      <c r="N699" t="s">
        <v>178</v>
      </c>
      <c r="O699">
        <v>1612.45</v>
      </c>
      <c r="Q699" t="s">
        <v>213</v>
      </c>
      <c r="R699" s="5">
        <v>45992</v>
      </c>
      <c r="S699" t="s">
        <v>140</v>
      </c>
      <c r="T699">
        <v>324.69</v>
      </c>
      <c r="X699"/>
    </row>
    <row r="700" spans="2:24" ht="18.75">
      <c r="B700">
        <v>16</v>
      </c>
      <c r="C700" s="5">
        <v>46125</v>
      </c>
      <c r="D700" t="s">
        <v>151</v>
      </c>
      <c r="E700">
        <v>688.99</v>
      </c>
      <c r="G700">
        <v>13</v>
      </c>
      <c r="H700" s="5">
        <v>46104</v>
      </c>
      <c r="I700" t="s">
        <v>174</v>
      </c>
      <c r="J700">
        <v>480.15</v>
      </c>
      <c r="L700">
        <v>46</v>
      </c>
      <c r="M700" s="5">
        <v>45971</v>
      </c>
      <c r="N700" t="s">
        <v>179</v>
      </c>
      <c r="O700">
        <v>2250.5700000000002</v>
      </c>
      <c r="Q700" t="s">
        <v>213</v>
      </c>
      <c r="R700" s="5">
        <v>45992</v>
      </c>
      <c r="S700" t="s">
        <v>142</v>
      </c>
      <c r="T700">
        <v>555.54</v>
      </c>
      <c r="X700"/>
    </row>
    <row r="701" spans="2:24" ht="18.75">
      <c r="B701">
        <v>16</v>
      </c>
      <c r="C701" s="5">
        <v>46125</v>
      </c>
      <c r="D701" t="s">
        <v>113</v>
      </c>
      <c r="E701">
        <v>212.17</v>
      </c>
      <c r="G701">
        <v>13</v>
      </c>
      <c r="H701" s="5">
        <v>46104</v>
      </c>
      <c r="I701" t="s">
        <v>169</v>
      </c>
      <c r="J701">
        <v>2170.52</v>
      </c>
      <c r="L701">
        <v>46</v>
      </c>
      <c r="M701" s="5">
        <v>45971</v>
      </c>
      <c r="N701" t="s">
        <v>181</v>
      </c>
      <c r="O701">
        <v>1316.96</v>
      </c>
      <c r="Q701" t="s">
        <v>213</v>
      </c>
      <c r="R701" s="5">
        <v>45992</v>
      </c>
      <c r="S701" t="s">
        <v>149</v>
      </c>
      <c r="T701">
        <v>602.54</v>
      </c>
      <c r="X701"/>
    </row>
    <row r="702" spans="2:24" ht="18.75">
      <c r="B702">
        <v>16</v>
      </c>
      <c r="C702" s="5">
        <v>46125</v>
      </c>
      <c r="D702" t="s">
        <v>121</v>
      </c>
      <c r="E702">
        <v>213.9</v>
      </c>
      <c r="G702">
        <v>13</v>
      </c>
      <c r="H702" s="5">
        <v>46104</v>
      </c>
      <c r="I702" t="s">
        <v>176</v>
      </c>
      <c r="J702">
        <v>108.84</v>
      </c>
      <c r="L702">
        <v>46</v>
      </c>
      <c r="M702" s="5">
        <v>45971</v>
      </c>
      <c r="N702" t="s">
        <v>182</v>
      </c>
      <c r="O702">
        <v>1485</v>
      </c>
      <c r="Q702" t="s">
        <v>213</v>
      </c>
      <c r="R702" s="5">
        <v>45992</v>
      </c>
      <c r="S702" t="s">
        <v>150</v>
      </c>
      <c r="T702">
        <v>345.73</v>
      </c>
      <c r="X702"/>
    </row>
    <row r="703" spans="2:24" ht="18.75">
      <c r="B703">
        <v>16</v>
      </c>
      <c r="C703" s="5">
        <v>46125</v>
      </c>
      <c r="D703" t="s">
        <v>124</v>
      </c>
      <c r="E703">
        <v>325.35000000000002</v>
      </c>
      <c r="G703">
        <v>13</v>
      </c>
      <c r="H703" s="5">
        <v>46104</v>
      </c>
      <c r="I703" t="s">
        <v>170</v>
      </c>
      <c r="J703">
        <v>66</v>
      </c>
      <c r="L703">
        <v>46</v>
      </c>
      <c r="M703" s="5">
        <v>45971</v>
      </c>
      <c r="N703" t="s">
        <v>183</v>
      </c>
      <c r="O703">
        <v>562.35</v>
      </c>
      <c r="Q703" t="s">
        <v>213</v>
      </c>
      <c r="R703" s="5">
        <v>45992</v>
      </c>
      <c r="S703" t="s">
        <v>220</v>
      </c>
      <c r="T703">
        <v>425.36</v>
      </c>
      <c r="X703"/>
    </row>
    <row r="704" spans="2:24" ht="18.75">
      <c r="B704">
        <v>16</v>
      </c>
      <c r="C704" s="5">
        <v>46125</v>
      </c>
      <c r="D704" t="s">
        <v>129</v>
      </c>
      <c r="E704">
        <v>331.55</v>
      </c>
      <c r="G704">
        <v>13</v>
      </c>
      <c r="H704" s="5">
        <v>46104</v>
      </c>
      <c r="I704" t="s">
        <v>163</v>
      </c>
      <c r="J704">
        <v>357.33</v>
      </c>
      <c r="L704">
        <v>46</v>
      </c>
      <c r="M704" s="5">
        <v>45971</v>
      </c>
      <c r="N704" t="s">
        <v>184</v>
      </c>
      <c r="O704">
        <v>411.94</v>
      </c>
      <c r="Q704" t="s">
        <v>214</v>
      </c>
      <c r="R704" s="5">
        <v>45658</v>
      </c>
      <c r="S704" t="s">
        <v>111</v>
      </c>
      <c r="T704">
        <v>676.72</v>
      </c>
      <c r="X704"/>
    </row>
    <row r="705" spans="2:24" ht="18.75">
      <c r="B705">
        <v>16</v>
      </c>
      <c r="C705" s="5">
        <v>46125</v>
      </c>
      <c r="D705" t="s">
        <v>139</v>
      </c>
      <c r="E705">
        <v>266.16000000000003</v>
      </c>
      <c r="G705">
        <v>13</v>
      </c>
      <c r="H705" s="5">
        <v>46104</v>
      </c>
      <c r="I705" t="s">
        <v>168</v>
      </c>
      <c r="J705">
        <v>514.59</v>
      </c>
      <c r="L705">
        <v>46</v>
      </c>
      <c r="M705" s="5">
        <v>45971</v>
      </c>
      <c r="N705" t="s">
        <v>185</v>
      </c>
      <c r="O705">
        <v>502.85</v>
      </c>
      <c r="Q705" t="s">
        <v>214</v>
      </c>
      <c r="R705" s="5">
        <v>45658</v>
      </c>
      <c r="S705" t="s">
        <v>112</v>
      </c>
      <c r="T705">
        <v>352.06</v>
      </c>
      <c r="X705"/>
    </row>
    <row r="706" spans="2:24" ht="18.75">
      <c r="B706">
        <v>16</v>
      </c>
      <c r="C706" s="5">
        <v>46125</v>
      </c>
      <c r="D706" t="s">
        <v>147</v>
      </c>
      <c r="E706">
        <v>334.63</v>
      </c>
      <c r="G706">
        <v>13</v>
      </c>
      <c r="H706" s="5">
        <v>46104</v>
      </c>
      <c r="I706" t="s">
        <v>201</v>
      </c>
      <c r="J706">
        <v>33.880000000000003</v>
      </c>
      <c r="L706">
        <v>46</v>
      </c>
      <c r="M706" s="5">
        <v>45971</v>
      </c>
      <c r="N706" t="s">
        <v>186</v>
      </c>
      <c r="O706">
        <v>238.84</v>
      </c>
      <c r="Q706" t="s">
        <v>214</v>
      </c>
      <c r="R706" s="5">
        <v>45658</v>
      </c>
      <c r="S706" t="s">
        <v>113</v>
      </c>
      <c r="T706">
        <v>894.22</v>
      </c>
      <c r="X706"/>
    </row>
    <row r="707" spans="2:24" ht="18.75">
      <c r="B707">
        <v>16</v>
      </c>
      <c r="C707" s="5">
        <v>46125</v>
      </c>
      <c r="D707" t="s">
        <v>118</v>
      </c>
      <c r="E707">
        <v>150.51</v>
      </c>
      <c r="G707">
        <v>13</v>
      </c>
      <c r="H707" s="5">
        <v>46104</v>
      </c>
      <c r="I707" t="s">
        <v>172</v>
      </c>
      <c r="J707">
        <v>17.91</v>
      </c>
      <c r="L707">
        <v>46</v>
      </c>
      <c r="M707" s="5">
        <v>45971</v>
      </c>
      <c r="N707" t="s">
        <v>180</v>
      </c>
      <c r="O707">
        <v>384.05</v>
      </c>
      <c r="Q707" t="s">
        <v>214</v>
      </c>
      <c r="R707" s="5">
        <v>45658</v>
      </c>
      <c r="S707" t="s">
        <v>114</v>
      </c>
      <c r="T707">
        <v>979.11</v>
      </c>
      <c r="X707"/>
    </row>
    <row r="708" spans="2:24" ht="18.75">
      <c r="B708">
        <v>16</v>
      </c>
      <c r="C708" s="5">
        <v>46125</v>
      </c>
      <c r="D708" t="s">
        <v>127</v>
      </c>
      <c r="E708">
        <v>258.01</v>
      </c>
      <c r="G708">
        <v>13</v>
      </c>
      <c r="H708" s="5">
        <v>46104</v>
      </c>
      <c r="I708" t="s">
        <v>173</v>
      </c>
      <c r="J708">
        <v>885.1</v>
      </c>
      <c r="L708">
        <v>47</v>
      </c>
      <c r="M708" s="5">
        <v>45978</v>
      </c>
      <c r="N708" t="s">
        <v>178</v>
      </c>
      <c r="O708">
        <v>2048.5100000000002</v>
      </c>
      <c r="Q708" t="s">
        <v>214</v>
      </c>
      <c r="R708" s="5">
        <v>45658</v>
      </c>
      <c r="S708" t="s">
        <v>117</v>
      </c>
      <c r="T708">
        <v>799.05</v>
      </c>
      <c r="X708"/>
    </row>
    <row r="709" spans="2:24" ht="18.75">
      <c r="B709">
        <v>16</v>
      </c>
      <c r="C709" s="5">
        <v>46125</v>
      </c>
      <c r="D709" t="s">
        <v>125</v>
      </c>
      <c r="E709">
        <v>35.85</v>
      </c>
      <c r="G709">
        <v>13</v>
      </c>
      <c r="H709" s="5">
        <v>46104</v>
      </c>
      <c r="I709" t="s">
        <v>204</v>
      </c>
      <c r="J709">
        <v>0.93</v>
      </c>
      <c r="L709">
        <v>47</v>
      </c>
      <c r="M709" s="5">
        <v>45978</v>
      </c>
      <c r="N709" t="s">
        <v>179</v>
      </c>
      <c r="O709">
        <v>2966.35</v>
      </c>
      <c r="Q709" t="s">
        <v>214</v>
      </c>
      <c r="R709" s="5">
        <v>45658</v>
      </c>
      <c r="S709" t="s">
        <v>118</v>
      </c>
      <c r="T709">
        <v>618.05999999999995</v>
      </c>
      <c r="X709"/>
    </row>
    <row r="710" spans="2:24" ht="18.75">
      <c r="B710">
        <v>16</v>
      </c>
      <c r="C710" s="5">
        <v>46125</v>
      </c>
      <c r="D710" t="s">
        <v>140</v>
      </c>
      <c r="E710">
        <v>15.52</v>
      </c>
      <c r="G710">
        <v>14</v>
      </c>
      <c r="H710" s="5">
        <v>46111</v>
      </c>
      <c r="I710" t="s">
        <v>160</v>
      </c>
      <c r="J710">
        <v>5066.24</v>
      </c>
      <c r="L710">
        <v>47</v>
      </c>
      <c r="M710" s="5">
        <v>45978</v>
      </c>
      <c r="N710" t="s">
        <v>180</v>
      </c>
      <c r="O710">
        <v>90.25</v>
      </c>
      <c r="Q710" t="s">
        <v>214</v>
      </c>
      <c r="R710" s="5">
        <v>45658</v>
      </c>
      <c r="S710" t="s">
        <v>119</v>
      </c>
      <c r="T710">
        <v>1476.24</v>
      </c>
      <c r="X710"/>
    </row>
    <row r="711" spans="2:24" ht="18.75">
      <c r="B711">
        <v>16</v>
      </c>
      <c r="C711" s="5">
        <v>46125</v>
      </c>
      <c r="D711" t="s">
        <v>149</v>
      </c>
      <c r="E711">
        <v>64.709999999999994</v>
      </c>
      <c r="G711">
        <v>14</v>
      </c>
      <c r="H711" s="5">
        <v>46111</v>
      </c>
      <c r="I711" t="s">
        <v>158</v>
      </c>
      <c r="J711">
        <v>678.72</v>
      </c>
      <c r="L711">
        <v>47</v>
      </c>
      <c r="M711" s="5">
        <v>45978</v>
      </c>
      <c r="N711" t="s">
        <v>181</v>
      </c>
      <c r="O711">
        <v>1523.1</v>
      </c>
      <c r="Q711" t="s">
        <v>214</v>
      </c>
      <c r="R711" s="5">
        <v>45658</v>
      </c>
      <c r="S711" t="s">
        <v>120</v>
      </c>
      <c r="T711">
        <v>557.64</v>
      </c>
      <c r="X711"/>
    </row>
    <row r="712" spans="2:24" ht="18.75">
      <c r="B712">
        <v>16</v>
      </c>
      <c r="C712" s="5">
        <v>46125</v>
      </c>
      <c r="D712" t="s">
        <v>144</v>
      </c>
      <c r="E712">
        <v>436.81</v>
      </c>
      <c r="G712">
        <v>14</v>
      </c>
      <c r="H712" s="5">
        <v>46111</v>
      </c>
      <c r="I712" t="s">
        <v>165</v>
      </c>
      <c r="J712">
        <v>214.3</v>
      </c>
      <c r="L712">
        <v>47</v>
      </c>
      <c r="M712" s="5">
        <v>45978</v>
      </c>
      <c r="N712" t="s">
        <v>182</v>
      </c>
      <c r="O712">
        <v>1915.2</v>
      </c>
      <c r="Q712" t="s">
        <v>214</v>
      </c>
      <c r="R712" s="5">
        <v>45658</v>
      </c>
      <c r="S712" t="s">
        <v>121</v>
      </c>
      <c r="T712">
        <v>364.42</v>
      </c>
      <c r="X712"/>
    </row>
    <row r="713" spans="2:24" ht="18.75">
      <c r="B713">
        <v>17</v>
      </c>
      <c r="C713" s="5">
        <v>46132</v>
      </c>
      <c r="D713" t="s">
        <v>111</v>
      </c>
      <c r="E713">
        <v>181.98</v>
      </c>
      <c r="G713">
        <v>14</v>
      </c>
      <c r="H713" s="5">
        <v>46111</v>
      </c>
      <c r="I713" t="s">
        <v>174</v>
      </c>
      <c r="J713">
        <v>422.73</v>
      </c>
      <c r="L713">
        <v>47</v>
      </c>
      <c r="M713" s="5">
        <v>45978</v>
      </c>
      <c r="N713" t="s">
        <v>183</v>
      </c>
      <c r="O713">
        <v>611.07000000000005</v>
      </c>
      <c r="Q713" t="s">
        <v>214</v>
      </c>
      <c r="R713" s="5">
        <v>45658</v>
      </c>
      <c r="S713" t="s">
        <v>122</v>
      </c>
      <c r="T713">
        <v>1006.82</v>
      </c>
      <c r="X713"/>
    </row>
    <row r="714" spans="2:24" ht="18.75">
      <c r="B714">
        <v>17</v>
      </c>
      <c r="C714" s="5">
        <v>46132</v>
      </c>
      <c r="D714" t="s">
        <v>112</v>
      </c>
      <c r="E714">
        <v>75.48</v>
      </c>
      <c r="G714">
        <v>14</v>
      </c>
      <c r="H714" s="5">
        <v>46111</v>
      </c>
      <c r="I714" t="s">
        <v>198</v>
      </c>
      <c r="J714">
        <v>426.69</v>
      </c>
      <c r="L714">
        <v>47</v>
      </c>
      <c r="M714" s="5">
        <v>45978</v>
      </c>
      <c r="N714" t="s">
        <v>184</v>
      </c>
      <c r="O714">
        <v>484.63</v>
      </c>
      <c r="Q714" t="s">
        <v>214</v>
      </c>
      <c r="R714" s="5">
        <v>45658</v>
      </c>
      <c r="S714" t="s">
        <v>123</v>
      </c>
      <c r="T714">
        <v>1862.46</v>
      </c>
      <c r="X714"/>
    </row>
    <row r="715" spans="2:24" ht="18.75">
      <c r="B715">
        <v>17</v>
      </c>
      <c r="C715" s="5">
        <v>46132</v>
      </c>
      <c r="D715" t="s">
        <v>113</v>
      </c>
      <c r="E715">
        <v>210.98</v>
      </c>
      <c r="G715">
        <v>14</v>
      </c>
      <c r="H715" s="5">
        <v>46111</v>
      </c>
      <c r="I715" t="s">
        <v>171</v>
      </c>
      <c r="J715">
        <v>727.28</v>
      </c>
      <c r="L715">
        <v>47</v>
      </c>
      <c r="M715" s="5">
        <v>45978</v>
      </c>
      <c r="N715" t="s">
        <v>185</v>
      </c>
      <c r="O715">
        <v>742.15</v>
      </c>
      <c r="Q715" t="s">
        <v>214</v>
      </c>
      <c r="R715" s="5">
        <v>45658</v>
      </c>
      <c r="S715" t="s">
        <v>124</v>
      </c>
      <c r="T715">
        <v>1584.47</v>
      </c>
      <c r="X715"/>
    </row>
    <row r="716" spans="2:24" ht="18.75">
      <c r="B716">
        <v>17</v>
      </c>
      <c r="C716" s="5">
        <v>46132</v>
      </c>
      <c r="D716" t="s">
        <v>114</v>
      </c>
      <c r="E716">
        <v>327.87</v>
      </c>
      <c r="G716">
        <v>14</v>
      </c>
      <c r="H716" s="5">
        <v>46111</v>
      </c>
      <c r="I716" t="s">
        <v>169</v>
      </c>
      <c r="J716">
        <v>2035.77</v>
      </c>
      <c r="L716">
        <v>47</v>
      </c>
      <c r="M716" s="5">
        <v>45978</v>
      </c>
      <c r="N716" t="s">
        <v>186</v>
      </c>
      <c r="O716">
        <v>311.75</v>
      </c>
      <c r="Q716" t="s">
        <v>214</v>
      </c>
      <c r="R716" s="5">
        <v>45658</v>
      </c>
      <c r="S716" t="s">
        <v>126</v>
      </c>
      <c r="T716">
        <v>647.58000000000004</v>
      </c>
      <c r="X716"/>
    </row>
    <row r="717" spans="2:24" ht="18.75">
      <c r="B717">
        <v>17</v>
      </c>
      <c r="C717" s="5">
        <v>46132</v>
      </c>
      <c r="D717" t="s">
        <v>116</v>
      </c>
      <c r="E717">
        <v>112.28</v>
      </c>
      <c r="G717">
        <v>14</v>
      </c>
      <c r="H717" s="5">
        <v>46111</v>
      </c>
      <c r="I717" t="s">
        <v>176</v>
      </c>
      <c r="J717">
        <v>170.04</v>
      </c>
      <c r="L717">
        <v>48</v>
      </c>
      <c r="M717" s="5">
        <v>45985</v>
      </c>
      <c r="N717" t="s">
        <v>178</v>
      </c>
      <c r="O717">
        <v>1630.3</v>
      </c>
      <c r="Q717" t="s">
        <v>214</v>
      </c>
      <c r="R717" s="5">
        <v>45658</v>
      </c>
      <c r="S717" t="s">
        <v>132</v>
      </c>
      <c r="T717">
        <v>823.8</v>
      </c>
      <c r="X717"/>
    </row>
    <row r="718" spans="2:24" ht="18.75">
      <c r="B718">
        <v>17</v>
      </c>
      <c r="C718" s="5">
        <v>46132</v>
      </c>
      <c r="D718" t="s">
        <v>117</v>
      </c>
      <c r="E718">
        <v>242.21</v>
      </c>
      <c r="G718">
        <v>14</v>
      </c>
      <c r="H718" s="5">
        <v>46111</v>
      </c>
      <c r="I718" t="s">
        <v>170</v>
      </c>
      <c r="J718">
        <v>62</v>
      </c>
      <c r="L718">
        <v>48</v>
      </c>
      <c r="M718" s="5">
        <v>45985</v>
      </c>
      <c r="N718" t="s">
        <v>179</v>
      </c>
      <c r="O718">
        <v>2444.02</v>
      </c>
      <c r="Q718" t="s">
        <v>214</v>
      </c>
      <c r="R718" s="5">
        <v>45658</v>
      </c>
      <c r="S718" t="s">
        <v>133</v>
      </c>
      <c r="T718">
        <v>1097.6600000000001</v>
      </c>
      <c r="X718"/>
    </row>
    <row r="719" spans="2:24" ht="18.75">
      <c r="B719">
        <v>17</v>
      </c>
      <c r="C719" s="5">
        <v>46132</v>
      </c>
      <c r="D719" t="s">
        <v>118</v>
      </c>
      <c r="E719">
        <v>160.09</v>
      </c>
      <c r="G719">
        <v>14</v>
      </c>
      <c r="H719" s="5">
        <v>46111</v>
      </c>
      <c r="I719" t="s">
        <v>163</v>
      </c>
      <c r="J719">
        <v>322.5</v>
      </c>
      <c r="L719">
        <v>48</v>
      </c>
      <c r="M719" s="5">
        <v>45985</v>
      </c>
      <c r="N719" t="s">
        <v>180</v>
      </c>
      <c r="O719">
        <v>852.3</v>
      </c>
      <c r="Q719" t="s">
        <v>214</v>
      </c>
      <c r="R719" s="5">
        <v>45658</v>
      </c>
      <c r="S719" t="s">
        <v>134</v>
      </c>
      <c r="T719">
        <v>1166.6199999999999</v>
      </c>
      <c r="X719"/>
    </row>
    <row r="720" spans="2:24" ht="18.75">
      <c r="B720">
        <v>17</v>
      </c>
      <c r="C720" s="5">
        <v>46132</v>
      </c>
      <c r="D720" t="s">
        <v>119</v>
      </c>
      <c r="E720">
        <v>368.4</v>
      </c>
      <c r="G720">
        <v>14</v>
      </c>
      <c r="H720" s="5">
        <v>46111</v>
      </c>
      <c r="I720" t="s">
        <v>168</v>
      </c>
      <c r="J720">
        <v>526.54999999999995</v>
      </c>
      <c r="L720">
        <v>48</v>
      </c>
      <c r="M720" s="5">
        <v>45985</v>
      </c>
      <c r="N720" t="s">
        <v>181</v>
      </c>
      <c r="O720">
        <v>1477.54</v>
      </c>
      <c r="Q720" t="s">
        <v>214</v>
      </c>
      <c r="R720" s="5">
        <v>45658</v>
      </c>
      <c r="S720" t="s">
        <v>138</v>
      </c>
      <c r="T720">
        <v>1763.02</v>
      </c>
      <c r="X720"/>
    </row>
    <row r="721" spans="2:24" ht="18.75">
      <c r="B721">
        <v>17</v>
      </c>
      <c r="C721" s="5">
        <v>46132</v>
      </c>
      <c r="D721" t="s">
        <v>120</v>
      </c>
      <c r="E721">
        <v>76.58</v>
      </c>
      <c r="G721">
        <v>14</v>
      </c>
      <c r="H721" s="5">
        <v>46111</v>
      </c>
      <c r="I721" t="s">
        <v>172</v>
      </c>
      <c r="J721">
        <v>43.78</v>
      </c>
      <c r="L721">
        <v>48</v>
      </c>
      <c r="M721" s="5">
        <v>45985</v>
      </c>
      <c r="N721" t="s">
        <v>182</v>
      </c>
      <c r="O721">
        <v>1871.45</v>
      </c>
      <c r="Q721" t="s">
        <v>214</v>
      </c>
      <c r="R721" s="5">
        <v>45658</v>
      </c>
      <c r="S721" t="s">
        <v>139</v>
      </c>
      <c r="T721">
        <v>1096.18</v>
      </c>
      <c r="X721"/>
    </row>
    <row r="722" spans="2:24" ht="18.75">
      <c r="B722">
        <v>17</v>
      </c>
      <c r="C722" s="5">
        <v>46132</v>
      </c>
      <c r="D722" t="s">
        <v>121</v>
      </c>
      <c r="E722">
        <v>176.39</v>
      </c>
      <c r="G722">
        <v>14</v>
      </c>
      <c r="H722" s="5">
        <v>46111</v>
      </c>
      <c r="I722" t="s">
        <v>173</v>
      </c>
      <c r="J722">
        <v>775.95</v>
      </c>
      <c r="L722">
        <v>48</v>
      </c>
      <c r="M722" s="5">
        <v>45985</v>
      </c>
      <c r="N722" t="s">
        <v>183</v>
      </c>
      <c r="O722">
        <v>586.51</v>
      </c>
      <c r="Q722" t="s">
        <v>214</v>
      </c>
      <c r="R722" s="5">
        <v>45658</v>
      </c>
      <c r="S722" t="s">
        <v>143</v>
      </c>
      <c r="T722">
        <v>5971.6</v>
      </c>
      <c r="X722"/>
    </row>
    <row r="723" spans="2:24" ht="18.75">
      <c r="B723">
        <v>17</v>
      </c>
      <c r="C723" s="5">
        <v>46132</v>
      </c>
      <c r="D723" t="s">
        <v>122</v>
      </c>
      <c r="E723">
        <v>313.57</v>
      </c>
      <c r="G723">
        <v>14</v>
      </c>
      <c r="H723" s="5">
        <v>46111</v>
      </c>
      <c r="I723" t="s">
        <v>204</v>
      </c>
      <c r="J723">
        <v>0.62</v>
      </c>
      <c r="L723">
        <v>48</v>
      </c>
      <c r="M723" s="5">
        <v>45985</v>
      </c>
      <c r="N723" t="s">
        <v>184</v>
      </c>
      <c r="O723">
        <v>505.34</v>
      </c>
      <c r="Q723" t="s">
        <v>214</v>
      </c>
      <c r="R723" s="5">
        <v>45658</v>
      </c>
      <c r="S723" t="s">
        <v>145</v>
      </c>
      <c r="T723">
        <v>1034.8800000000001</v>
      </c>
      <c r="X723"/>
    </row>
    <row r="724" spans="2:24" ht="18.75">
      <c r="B724">
        <v>17</v>
      </c>
      <c r="C724" s="5">
        <v>46132</v>
      </c>
      <c r="D724" t="s">
        <v>123</v>
      </c>
      <c r="E724">
        <v>480.35</v>
      </c>
      <c r="G724">
        <v>15</v>
      </c>
      <c r="H724" s="5">
        <v>46118</v>
      </c>
      <c r="I724" t="s">
        <v>160</v>
      </c>
      <c r="J724">
        <v>3821.64</v>
      </c>
      <c r="L724">
        <v>48</v>
      </c>
      <c r="M724" s="5">
        <v>45985</v>
      </c>
      <c r="N724" t="s">
        <v>185</v>
      </c>
      <c r="O724">
        <v>510.95</v>
      </c>
      <c r="Q724" t="s">
        <v>214</v>
      </c>
      <c r="R724" s="5">
        <v>45658</v>
      </c>
      <c r="S724" t="s">
        <v>146</v>
      </c>
      <c r="T724">
        <v>2107.12</v>
      </c>
      <c r="X724"/>
    </row>
    <row r="725" spans="2:24" ht="18.75">
      <c r="B725">
        <v>17</v>
      </c>
      <c r="C725" s="5">
        <v>46132</v>
      </c>
      <c r="D725" t="s">
        <v>124</v>
      </c>
      <c r="E725">
        <v>277.58</v>
      </c>
      <c r="G725">
        <v>15</v>
      </c>
      <c r="H725" s="5">
        <v>46118</v>
      </c>
      <c r="I725" t="s">
        <v>158</v>
      </c>
      <c r="J725">
        <v>549.44000000000005</v>
      </c>
      <c r="L725">
        <v>48</v>
      </c>
      <c r="M725" s="5">
        <v>45985</v>
      </c>
      <c r="N725" t="s">
        <v>186</v>
      </c>
      <c r="O725">
        <v>96.8</v>
      </c>
      <c r="Q725" t="s">
        <v>214</v>
      </c>
      <c r="R725" s="5">
        <v>45658</v>
      </c>
      <c r="S725" t="s">
        <v>148</v>
      </c>
      <c r="T725">
        <v>349.98</v>
      </c>
      <c r="X725"/>
    </row>
    <row r="726" spans="2:24" ht="18.75">
      <c r="B726">
        <v>17</v>
      </c>
      <c r="C726" s="5">
        <v>46132</v>
      </c>
      <c r="D726" t="s">
        <v>125</v>
      </c>
      <c r="E726">
        <v>68.56</v>
      </c>
      <c r="G726">
        <v>15</v>
      </c>
      <c r="H726" s="5">
        <v>46118</v>
      </c>
      <c r="I726" t="s">
        <v>165</v>
      </c>
      <c r="J726">
        <v>203.2</v>
      </c>
      <c r="L726">
        <v>49</v>
      </c>
      <c r="M726" s="5">
        <v>45992</v>
      </c>
      <c r="N726" t="s">
        <v>178</v>
      </c>
      <c r="O726">
        <v>2177.41</v>
      </c>
      <c r="Q726" t="s">
        <v>214</v>
      </c>
      <c r="R726" s="5">
        <v>45658</v>
      </c>
      <c r="S726" t="s">
        <v>147</v>
      </c>
      <c r="T726">
        <v>1279.94</v>
      </c>
      <c r="X726"/>
    </row>
    <row r="727" spans="2:24" ht="18.75">
      <c r="B727">
        <v>17</v>
      </c>
      <c r="C727" s="5">
        <v>46132</v>
      </c>
      <c r="D727" t="s">
        <v>126</v>
      </c>
      <c r="E727">
        <v>161.41999999999999</v>
      </c>
      <c r="G727">
        <v>15</v>
      </c>
      <c r="H727" s="5">
        <v>46118</v>
      </c>
      <c r="I727" t="s">
        <v>174</v>
      </c>
      <c r="J727">
        <v>849.44</v>
      </c>
      <c r="L727">
        <v>49</v>
      </c>
      <c r="M727" s="5">
        <v>45992</v>
      </c>
      <c r="N727" t="s">
        <v>179</v>
      </c>
      <c r="O727">
        <v>2947.95</v>
      </c>
      <c r="Q727" t="s">
        <v>214</v>
      </c>
      <c r="R727" s="5">
        <v>45658</v>
      </c>
      <c r="S727" t="s">
        <v>149</v>
      </c>
      <c r="T727">
        <v>665.77</v>
      </c>
      <c r="X727"/>
    </row>
    <row r="728" spans="2:24" ht="18.75">
      <c r="B728">
        <v>17</v>
      </c>
      <c r="C728" s="5">
        <v>46132</v>
      </c>
      <c r="D728" t="s">
        <v>128</v>
      </c>
      <c r="E728">
        <v>185.02</v>
      </c>
      <c r="G728">
        <v>15</v>
      </c>
      <c r="H728" s="5">
        <v>46118</v>
      </c>
      <c r="I728" t="s">
        <v>198</v>
      </c>
      <c r="J728">
        <v>355.41</v>
      </c>
      <c r="L728">
        <v>49</v>
      </c>
      <c r="M728" s="5">
        <v>45992</v>
      </c>
      <c r="N728" t="s">
        <v>180</v>
      </c>
      <c r="O728">
        <v>186</v>
      </c>
      <c r="Q728" t="s">
        <v>214</v>
      </c>
      <c r="R728" s="5">
        <v>45658</v>
      </c>
      <c r="S728" t="s">
        <v>151</v>
      </c>
      <c r="T728">
        <v>1947.81</v>
      </c>
      <c r="X728"/>
    </row>
    <row r="729" spans="2:24" ht="18.75">
      <c r="B729">
        <v>17</v>
      </c>
      <c r="C729" s="5">
        <v>46132</v>
      </c>
      <c r="D729" t="s">
        <v>129</v>
      </c>
      <c r="E729">
        <v>437.81</v>
      </c>
      <c r="G729">
        <v>15</v>
      </c>
      <c r="H729" s="5">
        <v>46118</v>
      </c>
      <c r="I729" t="s">
        <v>169</v>
      </c>
      <c r="J729">
        <v>1405.89</v>
      </c>
      <c r="L729">
        <v>49</v>
      </c>
      <c r="M729" s="5">
        <v>45992</v>
      </c>
      <c r="N729" t="s">
        <v>181</v>
      </c>
      <c r="O729">
        <v>1959.29</v>
      </c>
      <c r="Q729" t="s">
        <v>214</v>
      </c>
      <c r="R729" s="5">
        <v>45658</v>
      </c>
      <c r="S729" t="s">
        <v>116</v>
      </c>
      <c r="T729">
        <v>367.17</v>
      </c>
      <c r="X729"/>
    </row>
    <row r="730" spans="2:24" ht="18.75">
      <c r="B730">
        <v>17</v>
      </c>
      <c r="C730" s="5">
        <v>46132</v>
      </c>
      <c r="D730" t="s">
        <v>130</v>
      </c>
      <c r="E730">
        <v>414.98</v>
      </c>
      <c r="G730">
        <v>15</v>
      </c>
      <c r="H730" s="5">
        <v>46118</v>
      </c>
      <c r="I730" t="s">
        <v>176</v>
      </c>
      <c r="J730">
        <v>109.44</v>
      </c>
      <c r="L730">
        <v>49</v>
      </c>
      <c r="M730" s="5">
        <v>45992</v>
      </c>
      <c r="N730" t="s">
        <v>182</v>
      </c>
      <c r="O730">
        <v>2231.5</v>
      </c>
      <c r="Q730" t="s">
        <v>214</v>
      </c>
      <c r="R730" s="5">
        <v>45658</v>
      </c>
      <c r="S730" t="s">
        <v>125</v>
      </c>
      <c r="T730">
        <v>273.63</v>
      </c>
      <c r="X730"/>
    </row>
    <row r="731" spans="2:24" ht="18.75">
      <c r="B731">
        <v>17</v>
      </c>
      <c r="C731" s="5">
        <v>46132</v>
      </c>
      <c r="D731" t="s">
        <v>132</v>
      </c>
      <c r="E731">
        <v>204.5</v>
      </c>
      <c r="G731">
        <v>15</v>
      </c>
      <c r="H731" s="5">
        <v>46118</v>
      </c>
      <c r="I731" t="s">
        <v>170</v>
      </c>
      <c r="J731">
        <v>24</v>
      </c>
      <c r="L731">
        <v>49</v>
      </c>
      <c r="M731" s="5">
        <v>45992</v>
      </c>
      <c r="N731" t="s">
        <v>183</v>
      </c>
      <c r="O731">
        <v>462.89</v>
      </c>
      <c r="Q731" t="s">
        <v>214</v>
      </c>
      <c r="R731" s="5">
        <v>45658</v>
      </c>
      <c r="S731" t="s">
        <v>127</v>
      </c>
      <c r="T731">
        <v>915.07</v>
      </c>
      <c r="X731"/>
    </row>
    <row r="732" spans="2:24" ht="18.75">
      <c r="B732">
        <v>17</v>
      </c>
      <c r="C732" s="5">
        <v>46132</v>
      </c>
      <c r="D732" t="s">
        <v>133</v>
      </c>
      <c r="E732">
        <v>417.28</v>
      </c>
      <c r="G732">
        <v>15</v>
      </c>
      <c r="H732" s="5">
        <v>46118</v>
      </c>
      <c r="I732" t="s">
        <v>163</v>
      </c>
      <c r="J732">
        <v>192.21</v>
      </c>
      <c r="L732">
        <v>49</v>
      </c>
      <c r="M732" s="5">
        <v>45992</v>
      </c>
      <c r="N732" t="s">
        <v>184</v>
      </c>
      <c r="O732">
        <v>411.15</v>
      </c>
      <c r="Q732" t="s">
        <v>214</v>
      </c>
      <c r="R732" s="5">
        <v>45658</v>
      </c>
      <c r="S732" t="s">
        <v>129</v>
      </c>
      <c r="T732">
        <v>1560.91</v>
      </c>
      <c r="X732"/>
    </row>
    <row r="733" spans="2:24" ht="18.75">
      <c r="B733">
        <v>17</v>
      </c>
      <c r="C733" s="5">
        <v>46132</v>
      </c>
      <c r="D733" t="s">
        <v>134</v>
      </c>
      <c r="E733">
        <v>384.48</v>
      </c>
      <c r="G733">
        <v>15</v>
      </c>
      <c r="H733" s="5">
        <v>46118</v>
      </c>
      <c r="I733" t="s">
        <v>168</v>
      </c>
      <c r="J733">
        <v>325.93</v>
      </c>
      <c r="L733">
        <v>49</v>
      </c>
      <c r="M733" s="5">
        <v>45992</v>
      </c>
      <c r="N733" t="s">
        <v>185</v>
      </c>
      <c r="O733">
        <v>820.9</v>
      </c>
      <c r="Q733" t="s">
        <v>214</v>
      </c>
      <c r="R733" s="5">
        <v>45658</v>
      </c>
      <c r="S733" t="s">
        <v>135</v>
      </c>
      <c r="T733">
        <v>268.60000000000002</v>
      </c>
      <c r="X733"/>
    </row>
    <row r="734" spans="2:24" ht="18.75">
      <c r="B734">
        <v>17</v>
      </c>
      <c r="C734" s="5">
        <v>46132</v>
      </c>
      <c r="D734" t="s">
        <v>135</v>
      </c>
      <c r="E734">
        <v>68.75</v>
      </c>
      <c r="G734">
        <v>15</v>
      </c>
      <c r="H734" s="5">
        <v>46118</v>
      </c>
      <c r="I734" t="s">
        <v>173</v>
      </c>
      <c r="J734">
        <v>845.7</v>
      </c>
      <c r="L734">
        <v>49</v>
      </c>
      <c r="M734" s="5">
        <v>45992</v>
      </c>
      <c r="N734" t="s">
        <v>186</v>
      </c>
      <c r="O734">
        <v>335.25</v>
      </c>
      <c r="Q734" t="s">
        <v>214</v>
      </c>
      <c r="R734" s="5">
        <v>45658</v>
      </c>
      <c r="S734" t="s">
        <v>136</v>
      </c>
      <c r="T734">
        <v>423.39</v>
      </c>
      <c r="X734"/>
    </row>
    <row r="735" spans="2:24" ht="18.75">
      <c r="B735">
        <v>17</v>
      </c>
      <c r="C735" s="5">
        <v>46132</v>
      </c>
      <c r="D735" t="s">
        <v>136</v>
      </c>
      <c r="E735">
        <v>165</v>
      </c>
      <c r="G735">
        <v>15</v>
      </c>
      <c r="H735" s="5">
        <v>46118</v>
      </c>
      <c r="I735" t="s">
        <v>172</v>
      </c>
      <c r="J735">
        <v>19.899999999999999</v>
      </c>
      <c r="L735">
        <v>50</v>
      </c>
      <c r="M735" s="5">
        <v>45999</v>
      </c>
      <c r="N735" t="s">
        <v>178</v>
      </c>
      <c r="O735">
        <v>2172.77</v>
      </c>
      <c r="Q735" t="s">
        <v>214</v>
      </c>
      <c r="R735" s="5">
        <v>45658</v>
      </c>
      <c r="S735" t="s">
        <v>137</v>
      </c>
      <c r="T735">
        <v>228.98</v>
      </c>
      <c r="X735"/>
    </row>
    <row r="736" spans="2:24" ht="18.75">
      <c r="B736">
        <v>17</v>
      </c>
      <c r="C736" s="5">
        <v>46132</v>
      </c>
      <c r="D736" t="s">
        <v>137</v>
      </c>
      <c r="E736">
        <v>86.82</v>
      </c>
      <c r="G736">
        <v>14</v>
      </c>
      <c r="H736" s="5">
        <v>46111</v>
      </c>
      <c r="I736" t="s">
        <v>201</v>
      </c>
      <c r="J736">
        <v>12.32</v>
      </c>
      <c r="L736">
        <v>50</v>
      </c>
      <c r="M736" s="5">
        <v>45999</v>
      </c>
      <c r="N736" t="s">
        <v>179</v>
      </c>
      <c r="O736">
        <v>3147.11</v>
      </c>
      <c r="Q736" t="s">
        <v>214</v>
      </c>
      <c r="R736" s="5">
        <v>46023</v>
      </c>
      <c r="S736" t="s">
        <v>140</v>
      </c>
      <c r="T736">
        <v>353.65</v>
      </c>
      <c r="X736"/>
    </row>
    <row r="737" spans="2:24" ht="18.75">
      <c r="B737">
        <v>17</v>
      </c>
      <c r="C737" s="5">
        <v>46132</v>
      </c>
      <c r="D737" t="s">
        <v>138</v>
      </c>
      <c r="E737">
        <v>478.09</v>
      </c>
      <c r="G737">
        <v>16</v>
      </c>
      <c r="H737" s="5">
        <v>46125</v>
      </c>
      <c r="I737" t="s">
        <v>160</v>
      </c>
      <c r="J737">
        <v>3999.48</v>
      </c>
      <c r="L737">
        <v>50</v>
      </c>
      <c r="M737" s="5">
        <v>45999</v>
      </c>
      <c r="N737" t="s">
        <v>180</v>
      </c>
      <c r="O737">
        <v>356.8</v>
      </c>
      <c r="Q737" t="s">
        <v>214</v>
      </c>
      <c r="R737" s="5">
        <v>46023</v>
      </c>
      <c r="S737" t="s">
        <v>141</v>
      </c>
      <c r="T737">
        <v>1679.01</v>
      </c>
      <c r="X737"/>
    </row>
    <row r="738" spans="2:24" ht="18.75">
      <c r="B738">
        <v>17</v>
      </c>
      <c r="C738" s="5">
        <v>46132</v>
      </c>
      <c r="D738" t="s">
        <v>141</v>
      </c>
      <c r="E738">
        <v>649.15</v>
      </c>
      <c r="G738">
        <v>16</v>
      </c>
      <c r="H738" s="5">
        <v>46125</v>
      </c>
      <c r="I738" t="s">
        <v>198</v>
      </c>
      <c r="J738">
        <v>524.62</v>
      </c>
      <c r="L738">
        <v>50</v>
      </c>
      <c r="M738" s="5">
        <v>45999</v>
      </c>
      <c r="N738" t="s">
        <v>181</v>
      </c>
      <c r="O738">
        <v>2032.12</v>
      </c>
      <c r="Q738" t="s">
        <v>214</v>
      </c>
      <c r="R738" s="5">
        <v>46023</v>
      </c>
      <c r="S738" t="s">
        <v>142</v>
      </c>
      <c r="T738">
        <v>685.95</v>
      </c>
      <c r="X738"/>
    </row>
    <row r="739" spans="2:24" ht="18.75">
      <c r="B739">
        <v>17</v>
      </c>
      <c r="C739" s="5">
        <v>46132</v>
      </c>
      <c r="D739" t="s">
        <v>142</v>
      </c>
      <c r="E739">
        <v>176.01</v>
      </c>
      <c r="G739">
        <v>16</v>
      </c>
      <c r="H739" s="5">
        <v>46125</v>
      </c>
      <c r="I739" t="s">
        <v>158</v>
      </c>
      <c r="J739">
        <v>658.52</v>
      </c>
      <c r="L739">
        <v>50</v>
      </c>
      <c r="M739" s="5">
        <v>45999</v>
      </c>
      <c r="N739" t="s">
        <v>182</v>
      </c>
      <c r="O739">
        <v>1990.28</v>
      </c>
      <c r="Q739" t="s">
        <v>214</v>
      </c>
      <c r="R739" s="5">
        <v>46023</v>
      </c>
      <c r="S739" t="s">
        <v>150</v>
      </c>
      <c r="T739">
        <v>297.64999999999998</v>
      </c>
      <c r="X739"/>
    </row>
    <row r="740" spans="2:24" ht="18.75">
      <c r="B740">
        <v>17</v>
      </c>
      <c r="C740" s="5">
        <v>46132</v>
      </c>
      <c r="D740" t="s">
        <v>139</v>
      </c>
      <c r="E740">
        <v>265</v>
      </c>
      <c r="G740">
        <v>16</v>
      </c>
      <c r="H740" s="5">
        <v>46125</v>
      </c>
      <c r="I740" t="s">
        <v>165</v>
      </c>
      <c r="J740">
        <v>141.6</v>
      </c>
      <c r="L740">
        <v>50</v>
      </c>
      <c r="M740" s="5">
        <v>45999</v>
      </c>
      <c r="N740" t="s">
        <v>183</v>
      </c>
      <c r="O740">
        <v>507.97</v>
      </c>
      <c r="Q740" t="s">
        <v>214</v>
      </c>
      <c r="R740" s="5">
        <v>46023</v>
      </c>
      <c r="S740" t="s">
        <v>221</v>
      </c>
      <c r="T740">
        <v>283.08999999999997</v>
      </c>
      <c r="X740"/>
    </row>
    <row r="741" spans="2:24" ht="18.75">
      <c r="B741">
        <v>17</v>
      </c>
      <c r="C741" s="5">
        <v>46132</v>
      </c>
      <c r="D741" t="s">
        <v>143</v>
      </c>
      <c r="E741">
        <v>2020.19</v>
      </c>
      <c r="G741">
        <v>16</v>
      </c>
      <c r="H741" s="5">
        <v>46125</v>
      </c>
      <c r="I741" t="s">
        <v>171</v>
      </c>
      <c r="J741">
        <v>893.52</v>
      </c>
      <c r="L741">
        <v>50</v>
      </c>
      <c r="M741" s="5">
        <v>45999</v>
      </c>
      <c r="N741" t="s">
        <v>184</v>
      </c>
      <c r="O741">
        <v>456.09</v>
      </c>
      <c r="Q741" t="s">
        <v>214</v>
      </c>
      <c r="R741" s="5">
        <v>46023</v>
      </c>
      <c r="S741" t="s">
        <v>130</v>
      </c>
      <c r="T741">
        <v>596.09</v>
      </c>
      <c r="X741"/>
    </row>
    <row r="742" spans="2:24" ht="18.75">
      <c r="B742">
        <v>17</v>
      </c>
      <c r="C742" s="5">
        <v>46132</v>
      </c>
      <c r="D742" t="s">
        <v>144</v>
      </c>
      <c r="E742">
        <v>505.96</v>
      </c>
      <c r="G742">
        <v>16</v>
      </c>
      <c r="H742" s="5">
        <v>46125</v>
      </c>
      <c r="I742" t="s">
        <v>174</v>
      </c>
      <c r="J742">
        <v>470.73</v>
      </c>
      <c r="L742">
        <v>50</v>
      </c>
      <c r="M742" s="5">
        <v>45999</v>
      </c>
      <c r="N742" t="s">
        <v>185</v>
      </c>
      <c r="O742">
        <v>786.9</v>
      </c>
      <c r="Q742" t="s">
        <v>215</v>
      </c>
      <c r="R742" s="5">
        <v>46054</v>
      </c>
      <c r="S742" t="s">
        <v>111</v>
      </c>
      <c r="T742">
        <v>488.88</v>
      </c>
      <c r="X742"/>
    </row>
    <row r="743" spans="2:24" ht="18.75">
      <c r="B743">
        <v>17</v>
      </c>
      <c r="C743" s="5">
        <v>46132</v>
      </c>
      <c r="D743" t="s">
        <v>145</v>
      </c>
      <c r="E743">
        <v>240.35</v>
      </c>
      <c r="G743">
        <v>16</v>
      </c>
      <c r="H743" s="5">
        <v>46125</v>
      </c>
      <c r="I743" t="s">
        <v>169</v>
      </c>
      <c r="J743">
        <v>1878.44</v>
      </c>
      <c r="L743">
        <v>50</v>
      </c>
      <c r="M743" s="5">
        <v>45999</v>
      </c>
      <c r="N743" t="s">
        <v>186</v>
      </c>
      <c r="O743">
        <v>339.75</v>
      </c>
      <c r="Q743" t="s">
        <v>215</v>
      </c>
      <c r="R743" s="5">
        <v>46054</v>
      </c>
      <c r="S743" t="s">
        <v>113</v>
      </c>
      <c r="T743">
        <v>442.99</v>
      </c>
      <c r="X743"/>
    </row>
    <row r="744" spans="2:24" ht="18.75">
      <c r="B744">
        <v>17</v>
      </c>
      <c r="C744" s="5">
        <v>46132</v>
      </c>
      <c r="D744" t="s">
        <v>146</v>
      </c>
      <c r="E744">
        <v>610.71</v>
      </c>
      <c r="G744">
        <v>16</v>
      </c>
      <c r="H744" s="5">
        <v>46125</v>
      </c>
      <c r="I744" t="s">
        <v>176</v>
      </c>
      <c r="J744">
        <v>103.68</v>
      </c>
      <c r="L744">
        <v>51</v>
      </c>
      <c r="M744" s="5">
        <v>46006</v>
      </c>
      <c r="N744" t="s">
        <v>178</v>
      </c>
      <c r="O744">
        <v>1850.45</v>
      </c>
      <c r="Q744" t="s">
        <v>215</v>
      </c>
      <c r="R744" s="5">
        <v>46054</v>
      </c>
      <c r="S744" t="s">
        <v>114</v>
      </c>
      <c r="T744">
        <v>638.70000000000005</v>
      </c>
      <c r="X744"/>
    </row>
    <row r="745" spans="2:24" ht="18.75">
      <c r="B745">
        <v>17</v>
      </c>
      <c r="C745" s="5">
        <v>46132</v>
      </c>
      <c r="D745" t="s">
        <v>148</v>
      </c>
      <c r="E745">
        <v>131.05000000000001</v>
      </c>
      <c r="G745">
        <v>16</v>
      </c>
      <c r="H745" s="5">
        <v>46125</v>
      </c>
      <c r="I745" t="s">
        <v>170</v>
      </c>
      <c r="J745">
        <v>36</v>
      </c>
      <c r="L745">
        <v>51</v>
      </c>
      <c r="M745" s="5">
        <v>46006</v>
      </c>
      <c r="N745" t="s">
        <v>179</v>
      </c>
      <c r="O745">
        <v>2893.54</v>
      </c>
      <c r="Q745" t="s">
        <v>215</v>
      </c>
      <c r="R745" s="5">
        <v>46054</v>
      </c>
      <c r="S745" t="s">
        <v>116</v>
      </c>
      <c r="T745">
        <v>169.04</v>
      </c>
      <c r="X745"/>
    </row>
    <row r="746" spans="2:24" ht="18.75">
      <c r="B746">
        <v>17</v>
      </c>
      <c r="C746" s="5">
        <v>46132</v>
      </c>
      <c r="D746" t="s">
        <v>147</v>
      </c>
      <c r="E746">
        <v>340.44</v>
      </c>
      <c r="G746">
        <v>16</v>
      </c>
      <c r="H746" s="5">
        <v>46125</v>
      </c>
      <c r="I746" t="s">
        <v>163</v>
      </c>
      <c r="J746">
        <v>248.97</v>
      </c>
      <c r="L746">
        <v>51</v>
      </c>
      <c r="M746" s="5">
        <v>46006</v>
      </c>
      <c r="N746" t="s">
        <v>180</v>
      </c>
      <c r="O746">
        <v>277</v>
      </c>
      <c r="Q746" t="s">
        <v>215</v>
      </c>
      <c r="R746" s="5">
        <v>46054</v>
      </c>
      <c r="S746" t="s">
        <v>117</v>
      </c>
      <c r="T746">
        <v>570.77</v>
      </c>
      <c r="X746"/>
    </row>
    <row r="747" spans="2:24" ht="18.75">
      <c r="B747">
        <v>17</v>
      </c>
      <c r="C747" s="5">
        <v>46132</v>
      </c>
      <c r="D747" t="s">
        <v>150</v>
      </c>
      <c r="E747">
        <v>94.04</v>
      </c>
      <c r="G747">
        <v>16</v>
      </c>
      <c r="H747" s="5">
        <v>46125</v>
      </c>
      <c r="I747" t="s">
        <v>168</v>
      </c>
      <c r="J747">
        <v>435.51</v>
      </c>
      <c r="L747">
        <v>51</v>
      </c>
      <c r="M747" s="5">
        <v>46006</v>
      </c>
      <c r="N747" t="s">
        <v>182</v>
      </c>
      <c r="O747">
        <v>1881.24</v>
      </c>
      <c r="Q747" t="s">
        <v>215</v>
      </c>
      <c r="R747" s="5">
        <v>46054</v>
      </c>
      <c r="S747" t="s">
        <v>118</v>
      </c>
      <c r="T747">
        <v>343.43</v>
      </c>
      <c r="X747"/>
    </row>
    <row r="748" spans="2:24" ht="18.75">
      <c r="B748">
        <v>17</v>
      </c>
      <c r="C748" s="5">
        <v>46132</v>
      </c>
      <c r="D748" t="s">
        <v>151</v>
      </c>
      <c r="E748">
        <v>721.24</v>
      </c>
      <c r="G748">
        <v>16</v>
      </c>
      <c r="H748" s="5">
        <v>46125</v>
      </c>
      <c r="I748" t="s">
        <v>172</v>
      </c>
      <c r="J748">
        <v>67.66</v>
      </c>
      <c r="L748">
        <v>51</v>
      </c>
      <c r="M748" s="5">
        <v>46006</v>
      </c>
      <c r="N748" t="s">
        <v>183</v>
      </c>
      <c r="O748">
        <v>454.68</v>
      </c>
      <c r="Q748" t="s">
        <v>215</v>
      </c>
      <c r="R748" s="5">
        <v>46054</v>
      </c>
      <c r="S748" t="s">
        <v>119</v>
      </c>
      <c r="T748">
        <v>949.03</v>
      </c>
      <c r="X748"/>
    </row>
    <row r="749" spans="2:24" ht="18.75">
      <c r="B749">
        <v>17</v>
      </c>
      <c r="C749" s="5">
        <v>46132</v>
      </c>
      <c r="D749" t="s">
        <v>127</v>
      </c>
      <c r="E749">
        <v>301.81</v>
      </c>
      <c r="G749">
        <v>16</v>
      </c>
      <c r="H749" s="5">
        <v>46125</v>
      </c>
      <c r="I749" t="s">
        <v>173</v>
      </c>
      <c r="J749">
        <v>858.85</v>
      </c>
      <c r="L749">
        <v>51</v>
      </c>
      <c r="M749" s="5">
        <v>46006</v>
      </c>
      <c r="N749" t="s">
        <v>184</v>
      </c>
      <c r="O749">
        <v>407.52</v>
      </c>
      <c r="Q749" t="s">
        <v>215</v>
      </c>
      <c r="R749" s="5">
        <v>46054</v>
      </c>
      <c r="S749" t="s">
        <v>121</v>
      </c>
      <c r="T749">
        <v>466.95</v>
      </c>
      <c r="X749"/>
    </row>
    <row r="750" spans="2:24" ht="18.75">
      <c r="B750">
        <v>17</v>
      </c>
      <c r="C750" s="5">
        <v>46132</v>
      </c>
      <c r="D750" t="s">
        <v>115</v>
      </c>
      <c r="E750">
        <v>184.05</v>
      </c>
      <c r="G750">
        <v>15</v>
      </c>
      <c r="H750" s="5">
        <v>46118</v>
      </c>
      <c r="I750" t="s">
        <v>171</v>
      </c>
      <c r="J750">
        <v>153.57</v>
      </c>
      <c r="L750">
        <v>51</v>
      </c>
      <c r="M750" s="5">
        <v>46006</v>
      </c>
      <c r="N750" t="s">
        <v>185</v>
      </c>
      <c r="O750">
        <v>798.2</v>
      </c>
      <c r="Q750" t="s">
        <v>215</v>
      </c>
      <c r="R750" s="5">
        <v>46054</v>
      </c>
      <c r="S750" t="s">
        <v>122</v>
      </c>
      <c r="T750">
        <v>569.32000000000005</v>
      </c>
      <c r="X750"/>
    </row>
    <row r="751" spans="2:24" ht="18.75">
      <c r="B751">
        <v>18</v>
      </c>
      <c r="C751" s="5">
        <v>46139</v>
      </c>
      <c r="D751" t="s">
        <v>112</v>
      </c>
      <c r="E751">
        <v>83.31</v>
      </c>
      <c r="G751">
        <v>17</v>
      </c>
      <c r="H751" s="5">
        <v>46132</v>
      </c>
      <c r="I751" t="s">
        <v>160</v>
      </c>
      <c r="J751">
        <v>4896.09</v>
      </c>
      <c r="L751">
        <v>51</v>
      </c>
      <c r="M751" s="5">
        <v>46006</v>
      </c>
      <c r="N751" t="s">
        <v>186</v>
      </c>
      <c r="O751">
        <v>303.75</v>
      </c>
      <c r="Q751" t="s">
        <v>215</v>
      </c>
      <c r="R751" s="5">
        <v>46054</v>
      </c>
      <c r="S751" t="s">
        <v>123</v>
      </c>
      <c r="T751">
        <v>830.1</v>
      </c>
      <c r="X751"/>
    </row>
    <row r="752" spans="2:24" ht="18.75">
      <c r="B752">
        <v>18</v>
      </c>
      <c r="C752" s="5">
        <v>46139</v>
      </c>
      <c r="D752" t="s">
        <v>114</v>
      </c>
      <c r="E752">
        <v>314.3</v>
      </c>
      <c r="G752">
        <v>17</v>
      </c>
      <c r="H752" s="5">
        <v>46132</v>
      </c>
      <c r="I752" t="s">
        <v>158</v>
      </c>
      <c r="J752">
        <v>759.52</v>
      </c>
      <c r="L752">
        <v>51</v>
      </c>
      <c r="M752" s="5">
        <v>46006</v>
      </c>
      <c r="N752" t="s">
        <v>181</v>
      </c>
      <c r="O752">
        <v>1459.41</v>
      </c>
      <c r="Q752" t="s">
        <v>215</v>
      </c>
      <c r="R752" s="5">
        <v>46054</v>
      </c>
      <c r="S752" t="s">
        <v>124</v>
      </c>
      <c r="T752">
        <v>877.88</v>
      </c>
      <c r="X752"/>
    </row>
    <row r="753" spans="2:24" ht="18.75">
      <c r="B753">
        <v>18</v>
      </c>
      <c r="C753" s="5">
        <v>46139</v>
      </c>
      <c r="D753" t="s">
        <v>117</v>
      </c>
      <c r="E753">
        <v>165.89</v>
      </c>
      <c r="G753">
        <v>17</v>
      </c>
      <c r="H753" s="5">
        <v>46132</v>
      </c>
      <c r="I753" t="s">
        <v>165</v>
      </c>
      <c r="J753">
        <v>84</v>
      </c>
      <c r="L753">
        <v>52</v>
      </c>
      <c r="M753" s="5">
        <v>46013</v>
      </c>
      <c r="N753" t="s">
        <v>178</v>
      </c>
      <c r="O753">
        <v>892.5</v>
      </c>
      <c r="Q753" t="s">
        <v>215</v>
      </c>
      <c r="R753" s="5">
        <v>46054</v>
      </c>
      <c r="S753" t="s">
        <v>125</v>
      </c>
      <c r="T753">
        <v>151.15</v>
      </c>
      <c r="X753"/>
    </row>
    <row r="754" spans="2:24" ht="18.75">
      <c r="B754">
        <v>18</v>
      </c>
      <c r="C754" s="5">
        <v>46139</v>
      </c>
      <c r="D754" t="s">
        <v>119</v>
      </c>
      <c r="E754">
        <v>419.15</v>
      </c>
      <c r="G754">
        <v>17</v>
      </c>
      <c r="H754" s="5">
        <v>46132</v>
      </c>
      <c r="I754" t="s">
        <v>198</v>
      </c>
      <c r="J754">
        <v>464.1</v>
      </c>
      <c r="L754">
        <v>52</v>
      </c>
      <c r="M754" s="5">
        <v>46013</v>
      </c>
      <c r="N754" t="s">
        <v>179</v>
      </c>
      <c r="O754">
        <v>1380.94</v>
      </c>
      <c r="Q754" t="s">
        <v>215</v>
      </c>
      <c r="R754" s="5">
        <v>46054</v>
      </c>
      <c r="S754" t="s">
        <v>126</v>
      </c>
      <c r="T754">
        <v>458.9</v>
      </c>
      <c r="X754"/>
    </row>
    <row r="755" spans="2:24" ht="18.75">
      <c r="B755">
        <v>18</v>
      </c>
      <c r="C755" s="5">
        <v>46139</v>
      </c>
      <c r="D755" t="s">
        <v>120</v>
      </c>
      <c r="E755">
        <v>85.05</v>
      </c>
      <c r="G755">
        <v>17</v>
      </c>
      <c r="H755" s="5">
        <v>46132</v>
      </c>
      <c r="I755" t="s">
        <v>174</v>
      </c>
      <c r="J755">
        <v>1490.88</v>
      </c>
      <c r="L755">
        <v>52</v>
      </c>
      <c r="M755" s="5">
        <v>46013</v>
      </c>
      <c r="N755" t="s">
        <v>180</v>
      </c>
      <c r="O755">
        <v>360.9</v>
      </c>
      <c r="Q755" t="s">
        <v>215</v>
      </c>
      <c r="R755" s="5">
        <v>46054</v>
      </c>
      <c r="S755" t="s">
        <v>130</v>
      </c>
      <c r="T755">
        <v>1147.8599999999999</v>
      </c>
      <c r="X755"/>
    </row>
    <row r="756" spans="2:24" ht="18.75">
      <c r="B756">
        <v>18</v>
      </c>
      <c r="C756" s="5">
        <v>46139</v>
      </c>
      <c r="D756" t="s">
        <v>122</v>
      </c>
      <c r="E756">
        <v>133.97999999999999</v>
      </c>
      <c r="G756">
        <v>17</v>
      </c>
      <c r="H756" s="5">
        <v>46132</v>
      </c>
      <c r="I756" t="s">
        <v>169</v>
      </c>
      <c r="J756">
        <v>2028.45</v>
      </c>
      <c r="L756">
        <v>52</v>
      </c>
      <c r="M756" s="5">
        <v>46013</v>
      </c>
      <c r="N756" t="s">
        <v>181</v>
      </c>
      <c r="O756">
        <v>626.34</v>
      </c>
      <c r="Q756" t="s">
        <v>215</v>
      </c>
      <c r="R756" s="5">
        <v>46054</v>
      </c>
      <c r="S756" t="s">
        <v>132</v>
      </c>
      <c r="T756">
        <v>339.14</v>
      </c>
      <c r="X756"/>
    </row>
    <row r="757" spans="2:24" ht="18.75">
      <c r="B757">
        <v>18</v>
      </c>
      <c r="C757" s="5">
        <v>46139</v>
      </c>
      <c r="D757" t="s">
        <v>123</v>
      </c>
      <c r="E757">
        <v>557.74</v>
      </c>
      <c r="G757">
        <v>17</v>
      </c>
      <c r="H757" s="5">
        <v>46132</v>
      </c>
      <c r="I757" t="s">
        <v>176</v>
      </c>
      <c r="J757">
        <v>160.08000000000001</v>
      </c>
      <c r="L757">
        <v>52</v>
      </c>
      <c r="M757" s="5">
        <v>46013</v>
      </c>
      <c r="N757" t="s">
        <v>182</v>
      </c>
      <c r="O757">
        <v>527.5</v>
      </c>
      <c r="Q757" t="s">
        <v>215</v>
      </c>
      <c r="R757" s="5">
        <v>46054</v>
      </c>
      <c r="S757" t="s">
        <v>133</v>
      </c>
      <c r="T757">
        <v>644.08000000000004</v>
      </c>
      <c r="X757"/>
    </row>
    <row r="758" spans="2:24" ht="18.75">
      <c r="B758">
        <v>18</v>
      </c>
      <c r="C758" s="5">
        <v>46139</v>
      </c>
      <c r="D758" t="s">
        <v>125</v>
      </c>
      <c r="E758">
        <v>75.209999999999994</v>
      </c>
      <c r="G758">
        <v>17</v>
      </c>
      <c r="H758" s="5">
        <v>46132</v>
      </c>
      <c r="I758" t="s">
        <v>170</v>
      </c>
      <c r="J758">
        <v>64</v>
      </c>
      <c r="L758">
        <v>52</v>
      </c>
      <c r="M758" s="5">
        <v>46013</v>
      </c>
      <c r="N758" t="s">
        <v>183</v>
      </c>
      <c r="O758">
        <v>236.66</v>
      </c>
      <c r="Q758" t="s">
        <v>215</v>
      </c>
      <c r="R758" s="5">
        <v>46054</v>
      </c>
      <c r="S758" t="s">
        <v>134</v>
      </c>
      <c r="T758">
        <v>700.63</v>
      </c>
      <c r="X758"/>
    </row>
    <row r="759" spans="2:24" ht="18.75">
      <c r="B759">
        <v>18</v>
      </c>
      <c r="C759" s="5">
        <v>46139</v>
      </c>
      <c r="D759" t="s">
        <v>126</v>
      </c>
      <c r="E759">
        <v>132.16</v>
      </c>
      <c r="G759">
        <v>17</v>
      </c>
      <c r="H759" s="5">
        <v>46132</v>
      </c>
      <c r="I759" t="s">
        <v>163</v>
      </c>
      <c r="J759">
        <v>365.07</v>
      </c>
      <c r="L759">
        <v>52</v>
      </c>
      <c r="M759" s="5">
        <v>46013</v>
      </c>
      <c r="N759" t="s">
        <v>184</v>
      </c>
      <c r="O759">
        <v>196.59</v>
      </c>
      <c r="Q759" t="s">
        <v>215</v>
      </c>
      <c r="R759" s="5">
        <v>46054</v>
      </c>
      <c r="S759" t="s">
        <v>136</v>
      </c>
      <c r="T759">
        <v>272.83999999999997</v>
      </c>
      <c r="X759"/>
    </row>
    <row r="760" spans="2:24" ht="18.75">
      <c r="B760">
        <v>18</v>
      </c>
      <c r="C760" s="5">
        <v>46139</v>
      </c>
      <c r="D760" t="s">
        <v>128</v>
      </c>
      <c r="E760">
        <v>104.32</v>
      </c>
      <c r="G760">
        <v>17</v>
      </c>
      <c r="H760" s="5">
        <v>46132</v>
      </c>
      <c r="I760" t="s">
        <v>168</v>
      </c>
      <c r="J760">
        <v>524.22</v>
      </c>
      <c r="L760">
        <v>52</v>
      </c>
      <c r="M760" s="5">
        <v>46013</v>
      </c>
      <c r="N760" t="s">
        <v>185</v>
      </c>
      <c r="O760">
        <v>392.1</v>
      </c>
      <c r="Q760" t="s">
        <v>215</v>
      </c>
      <c r="R760" s="5">
        <v>46054</v>
      </c>
      <c r="S760" t="s">
        <v>138</v>
      </c>
      <c r="T760">
        <v>1104.73</v>
      </c>
      <c r="X760"/>
    </row>
    <row r="761" spans="2:24" ht="18.75">
      <c r="B761">
        <v>18</v>
      </c>
      <c r="C761" s="5">
        <v>46139</v>
      </c>
      <c r="D761" t="s">
        <v>129</v>
      </c>
      <c r="E761">
        <v>415.79</v>
      </c>
      <c r="G761">
        <v>17</v>
      </c>
      <c r="H761" s="5">
        <v>46132</v>
      </c>
      <c r="I761" t="s">
        <v>172</v>
      </c>
      <c r="J761">
        <v>27.86</v>
      </c>
      <c r="L761">
        <v>52</v>
      </c>
      <c r="M761" s="5">
        <v>46013</v>
      </c>
      <c r="N761" t="s">
        <v>186</v>
      </c>
      <c r="O761">
        <v>206.8</v>
      </c>
      <c r="Q761" t="s">
        <v>215</v>
      </c>
      <c r="R761" s="5">
        <v>46054</v>
      </c>
      <c r="S761" t="s">
        <v>140</v>
      </c>
      <c r="T761">
        <v>185.05</v>
      </c>
      <c r="X761"/>
    </row>
    <row r="762" spans="2:24" ht="18.75">
      <c r="B762">
        <v>18</v>
      </c>
      <c r="C762" s="5">
        <v>46139</v>
      </c>
      <c r="D762" t="s">
        <v>130</v>
      </c>
      <c r="E762">
        <v>254.44</v>
      </c>
      <c r="G762">
        <v>17</v>
      </c>
      <c r="H762" s="5">
        <v>46132</v>
      </c>
      <c r="I762" t="s">
        <v>173</v>
      </c>
      <c r="J762">
        <v>991.65</v>
      </c>
      <c r="L762">
        <v>1</v>
      </c>
      <c r="M762" s="5">
        <v>46020</v>
      </c>
      <c r="N762" t="s">
        <v>178</v>
      </c>
      <c r="O762">
        <v>749.7</v>
      </c>
      <c r="Q762" t="s">
        <v>215</v>
      </c>
      <c r="R762" s="5">
        <v>46054</v>
      </c>
      <c r="S762" t="s">
        <v>141</v>
      </c>
      <c r="T762">
        <v>1308.5999999999999</v>
      </c>
      <c r="X762"/>
    </row>
    <row r="763" spans="2:24" ht="18.75">
      <c r="B763">
        <v>18</v>
      </c>
      <c r="C763" s="5">
        <v>46139</v>
      </c>
      <c r="D763" t="s">
        <v>212</v>
      </c>
      <c r="E763">
        <v>200.19</v>
      </c>
      <c r="G763">
        <v>17</v>
      </c>
      <c r="H763" s="5">
        <v>46132</v>
      </c>
      <c r="I763" t="s">
        <v>206</v>
      </c>
      <c r="J763">
        <v>184.05</v>
      </c>
      <c r="L763">
        <v>1</v>
      </c>
      <c r="M763" s="5">
        <v>46020</v>
      </c>
      <c r="N763" t="s">
        <v>179</v>
      </c>
      <c r="O763">
        <v>1199.82</v>
      </c>
      <c r="Q763" t="s">
        <v>215</v>
      </c>
      <c r="R763" s="5">
        <v>46054</v>
      </c>
      <c r="S763" t="s">
        <v>142</v>
      </c>
      <c r="T763">
        <v>314.01</v>
      </c>
      <c r="X763"/>
    </row>
    <row r="764" spans="2:24" ht="18.75">
      <c r="B764">
        <v>18</v>
      </c>
      <c r="C764" s="5">
        <v>46139</v>
      </c>
      <c r="D764" t="s">
        <v>133</v>
      </c>
      <c r="E764">
        <v>250.5</v>
      </c>
      <c r="G764">
        <v>17</v>
      </c>
      <c r="H764" s="5">
        <v>46132</v>
      </c>
      <c r="I764" t="s">
        <v>207</v>
      </c>
      <c r="J764">
        <v>276.5</v>
      </c>
      <c r="L764">
        <v>1</v>
      </c>
      <c r="M764" s="5">
        <v>46020</v>
      </c>
      <c r="N764" t="s">
        <v>180</v>
      </c>
      <c r="O764">
        <v>160.4</v>
      </c>
      <c r="Q764" t="s">
        <v>215</v>
      </c>
      <c r="R764" s="5">
        <v>46054</v>
      </c>
      <c r="S764" t="s">
        <v>139</v>
      </c>
      <c r="T764">
        <v>636.45000000000005</v>
      </c>
      <c r="X764"/>
    </row>
    <row r="765" spans="2:24" ht="18.75">
      <c r="B765">
        <v>18</v>
      </c>
      <c r="C765" s="5">
        <v>46139</v>
      </c>
      <c r="D765" t="s">
        <v>134</v>
      </c>
      <c r="E765">
        <v>246.25</v>
      </c>
      <c r="G765">
        <v>18</v>
      </c>
      <c r="H765" s="5">
        <v>46139</v>
      </c>
      <c r="I765" t="s">
        <v>160</v>
      </c>
      <c r="J765">
        <v>4360</v>
      </c>
      <c r="L765">
        <v>1</v>
      </c>
      <c r="M765" s="5">
        <v>46020</v>
      </c>
      <c r="N765" t="s">
        <v>181</v>
      </c>
      <c r="O765">
        <v>568.61</v>
      </c>
      <c r="Q765" t="s">
        <v>215</v>
      </c>
      <c r="R765" s="5">
        <v>46054</v>
      </c>
      <c r="S765" t="s">
        <v>143</v>
      </c>
      <c r="T765">
        <v>4607.99</v>
      </c>
      <c r="X765"/>
    </row>
    <row r="766" spans="2:24" ht="18.75">
      <c r="B766">
        <v>18</v>
      </c>
      <c r="C766" s="5">
        <v>46139</v>
      </c>
      <c r="D766" t="s">
        <v>136</v>
      </c>
      <c r="E766">
        <v>85.55</v>
      </c>
      <c r="G766">
        <v>18</v>
      </c>
      <c r="H766" s="5">
        <v>46139</v>
      </c>
      <c r="I766" t="s">
        <v>158</v>
      </c>
      <c r="J766">
        <v>597.91999999999996</v>
      </c>
      <c r="L766">
        <v>1</v>
      </c>
      <c r="M766" s="5">
        <v>46020</v>
      </c>
      <c r="N766" t="s">
        <v>182</v>
      </c>
      <c r="O766">
        <v>562.36</v>
      </c>
      <c r="Q766" t="s">
        <v>215</v>
      </c>
      <c r="R766" s="5">
        <v>46054</v>
      </c>
      <c r="S766" t="s">
        <v>145</v>
      </c>
      <c r="T766">
        <v>656.79</v>
      </c>
      <c r="X766"/>
    </row>
    <row r="767" spans="2:24" ht="18.75">
      <c r="B767">
        <v>18</v>
      </c>
      <c r="C767" s="5">
        <v>46139</v>
      </c>
      <c r="D767" t="s">
        <v>138</v>
      </c>
      <c r="E767">
        <v>395.41</v>
      </c>
      <c r="G767">
        <v>18</v>
      </c>
      <c r="H767" s="5">
        <v>46139</v>
      </c>
      <c r="I767" t="s">
        <v>165</v>
      </c>
      <c r="J767">
        <v>182.25</v>
      </c>
      <c r="L767">
        <v>1</v>
      </c>
      <c r="M767" s="5">
        <v>46020</v>
      </c>
      <c r="N767" t="s">
        <v>183</v>
      </c>
      <c r="O767">
        <v>158.16</v>
      </c>
      <c r="Q767" t="s">
        <v>215</v>
      </c>
      <c r="R767" s="5">
        <v>46054</v>
      </c>
      <c r="S767" t="s">
        <v>146</v>
      </c>
      <c r="T767">
        <v>1222.29</v>
      </c>
      <c r="X767"/>
    </row>
    <row r="768" spans="2:24" ht="18.75">
      <c r="B768">
        <v>18</v>
      </c>
      <c r="C768" s="5">
        <v>46139</v>
      </c>
      <c r="D768" t="s">
        <v>141</v>
      </c>
      <c r="E768">
        <v>519.37</v>
      </c>
      <c r="G768">
        <v>18</v>
      </c>
      <c r="H768" s="5">
        <v>46139</v>
      </c>
      <c r="I768" t="s">
        <v>174</v>
      </c>
      <c r="J768">
        <v>462.84</v>
      </c>
      <c r="L768">
        <v>1</v>
      </c>
      <c r="M768" s="5">
        <v>46020</v>
      </c>
      <c r="N768" t="s">
        <v>184</v>
      </c>
      <c r="O768">
        <v>116.24</v>
      </c>
      <c r="Q768" t="s">
        <v>215</v>
      </c>
      <c r="R768" s="5">
        <v>46054</v>
      </c>
      <c r="S768" t="s">
        <v>147</v>
      </c>
      <c r="T768">
        <v>699.02</v>
      </c>
      <c r="X768"/>
    </row>
    <row r="769" spans="2:24" ht="18.75">
      <c r="B769">
        <v>18</v>
      </c>
      <c r="C769" s="5">
        <v>46139</v>
      </c>
      <c r="D769" t="s">
        <v>142</v>
      </c>
      <c r="E769">
        <v>136.04</v>
      </c>
      <c r="G769">
        <v>18</v>
      </c>
      <c r="H769" s="5">
        <v>46139</v>
      </c>
      <c r="I769" t="s">
        <v>171</v>
      </c>
      <c r="J769">
        <v>806.76</v>
      </c>
      <c r="L769">
        <v>1</v>
      </c>
      <c r="M769" s="5">
        <v>46020</v>
      </c>
      <c r="N769" t="s">
        <v>185</v>
      </c>
      <c r="O769">
        <v>54.25</v>
      </c>
      <c r="Q769" t="s">
        <v>215</v>
      </c>
      <c r="R769" s="5">
        <v>46054</v>
      </c>
      <c r="S769" t="s">
        <v>150</v>
      </c>
      <c r="T769">
        <v>139.97999999999999</v>
      </c>
      <c r="X769"/>
    </row>
    <row r="770" spans="2:24" ht="18.75">
      <c r="B770">
        <v>18</v>
      </c>
      <c r="C770" s="5">
        <v>46139</v>
      </c>
      <c r="D770" t="s">
        <v>139</v>
      </c>
      <c r="E770">
        <v>269.98</v>
      </c>
      <c r="G770">
        <v>18</v>
      </c>
      <c r="H770" s="5">
        <v>46139</v>
      </c>
      <c r="I770" t="s">
        <v>198</v>
      </c>
      <c r="J770">
        <v>357</v>
      </c>
      <c r="L770">
        <v>2</v>
      </c>
      <c r="M770" s="5">
        <v>46027</v>
      </c>
      <c r="N770" t="s">
        <v>178</v>
      </c>
      <c r="O770">
        <v>1951.6</v>
      </c>
      <c r="Q770" t="s">
        <v>215</v>
      </c>
      <c r="R770" s="5">
        <v>46054</v>
      </c>
      <c r="S770" t="s">
        <v>151</v>
      </c>
      <c r="T770">
        <v>1618.69</v>
      </c>
      <c r="X770"/>
    </row>
    <row r="771" spans="2:24" ht="18.75">
      <c r="B771">
        <v>18</v>
      </c>
      <c r="C771" s="5">
        <v>46139</v>
      </c>
      <c r="D771" t="s">
        <v>143</v>
      </c>
      <c r="E771">
        <v>1706.6</v>
      </c>
      <c r="G771">
        <v>18</v>
      </c>
      <c r="H771" s="5">
        <v>46139</v>
      </c>
      <c r="I771" t="s">
        <v>169</v>
      </c>
      <c r="J771">
        <v>1577.4</v>
      </c>
      <c r="L771">
        <v>2</v>
      </c>
      <c r="M771" s="5">
        <v>46027</v>
      </c>
      <c r="N771" t="s">
        <v>179</v>
      </c>
      <c r="O771">
        <v>2706.74</v>
      </c>
      <c r="Q771" t="s">
        <v>215</v>
      </c>
      <c r="R771" s="5">
        <v>46054</v>
      </c>
      <c r="S771" t="s">
        <v>112</v>
      </c>
      <c r="T771">
        <v>120.98</v>
      </c>
      <c r="X771"/>
    </row>
    <row r="772" spans="2:24" ht="18.75">
      <c r="B772">
        <v>18</v>
      </c>
      <c r="C772" s="5">
        <v>46139</v>
      </c>
      <c r="D772" t="s">
        <v>144</v>
      </c>
      <c r="E772">
        <v>216.2</v>
      </c>
      <c r="G772">
        <v>18</v>
      </c>
      <c r="H772" s="5">
        <v>46139</v>
      </c>
      <c r="I772" t="s">
        <v>176</v>
      </c>
      <c r="J772">
        <v>224.28</v>
      </c>
      <c r="L772">
        <v>2</v>
      </c>
      <c r="M772" s="5">
        <v>46027</v>
      </c>
      <c r="N772" t="s">
        <v>181</v>
      </c>
      <c r="O772">
        <v>1707.39</v>
      </c>
      <c r="Q772" t="s">
        <v>215</v>
      </c>
      <c r="R772" s="5">
        <v>46054</v>
      </c>
      <c r="S772" t="s">
        <v>120</v>
      </c>
      <c r="T772">
        <v>210.94</v>
      </c>
      <c r="X772"/>
    </row>
    <row r="773" spans="2:24" ht="18.75">
      <c r="B773">
        <v>18</v>
      </c>
      <c r="C773" s="5">
        <v>46139</v>
      </c>
      <c r="D773" t="s">
        <v>145</v>
      </c>
      <c r="E773">
        <v>153.72</v>
      </c>
      <c r="G773">
        <v>18</v>
      </c>
      <c r="H773" s="5">
        <v>46139</v>
      </c>
      <c r="I773" t="s">
        <v>209</v>
      </c>
      <c r="J773">
        <v>261.36</v>
      </c>
      <c r="L773">
        <v>2</v>
      </c>
      <c r="M773" s="5">
        <v>46027</v>
      </c>
      <c r="N773" t="s">
        <v>182</v>
      </c>
      <c r="O773">
        <v>1733.76</v>
      </c>
      <c r="Q773" t="s">
        <v>215</v>
      </c>
      <c r="R773" s="5">
        <v>46054</v>
      </c>
      <c r="S773" t="s">
        <v>135</v>
      </c>
      <c r="T773">
        <v>134.49</v>
      </c>
      <c r="X773"/>
    </row>
    <row r="774" spans="2:24" ht="18.75">
      <c r="B774">
        <v>18</v>
      </c>
      <c r="C774" s="5">
        <v>46139</v>
      </c>
      <c r="D774" t="s">
        <v>146</v>
      </c>
      <c r="E774">
        <v>610.55999999999995</v>
      </c>
      <c r="G774">
        <v>18</v>
      </c>
      <c r="H774" s="5">
        <v>46139</v>
      </c>
      <c r="I774" t="s">
        <v>170</v>
      </c>
      <c r="J774">
        <v>88</v>
      </c>
      <c r="L774">
        <v>2</v>
      </c>
      <c r="M774" s="5">
        <v>46027</v>
      </c>
      <c r="N774" t="s">
        <v>183</v>
      </c>
      <c r="O774">
        <v>190.26</v>
      </c>
      <c r="Q774" t="s">
        <v>215</v>
      </c>
      <c r="R774" s="5">
        <v>46054</v>
      </c>
      <c r="S774" t="s">
        <v>137</v>
      </c>
      <c r="T774">
        <v>140.07</v>
      </c>
      <c r="X774"/>
    </row>
    <row r="775" spans="2:24" ht="18.75">
      <c r="B775">
        <v>18</v>
      </c>
      <c r="C775" s="5">
        <v>46139</v>
      </c>
      <c r="D775" t="s">
        <v>148</v>
      </c>
      <c r="E775">
        <v>92.94</v>
      </c>
      <c r="G775">
        <v>18</v>
      </c>
      <c r="H775" s="5">
        <v>46139</v>
      </c>
      <c r="I775" t="s">
        <v>163</v>
      </c>
      <c r="J775">
        <v>347.01</v>
      </c>
      <c r="L775">
        <v>2</v>
      </c>
      <c r="M775" s="5">
        <v>46027</v>
      </c>
      <c r="N775" t="s">
        <v>184</v>
      </c>
      <c r="O775">
        <v>241.22</v>
      </c>
      <c r="Q775" t="s">
        <v>215</v>
      </c>
      <c r="R775" s="5">
        <v>46054</v>
      </c>
      <c r="S775" t="s">
        <v>148</v>
      </c>
      <c r="T775">
        <v>219.27</v>
      </c>
      <c r="X775"/>
    </row>
    <row r="776" spans="2:24" ht="18.75">
      <c r="B776">
        <v>18</v>
      </c>
      <c r="C776" s="5">
        <v>46139</v>
      </c>
      <c r="D776" t="s">
        <v>147</v>
      </c>
      <c r="E776">
        <v>367.41</v>
      </c>
      <c r="G776">
        <v>18</v>
      </c>
      <c r="H776" s="5">
        <v>46139</v>
      </c>
      <c r="I776" t="s">
        <v>168</v>
      </c>
      <c r="J776">
        <v>799.3</v>
      </c>
      <c r="L776">
        <v>2</v>
      </c>
      <c r="M776" s="5">
        <v>46027</v>
      </c>
      <c r="N776" t="s">
        <v>185</v>
      </c>
      <c r="O776">
        <v>641.17999999999995</v>
      </c>
      <c r="Q776" t="s">
        <v>215</v>
      </c>
      <c r="R776" s="5">
        <v>46054</v>
      </c>
      <c r="S776" t="s">
        <v>127</v>
      </c>
      <c r="T776">
        <v>724.82</v>
      </c>
      <c r="X776"/>
    </row>
    <row r="777" spans="2:24" ht="18.75">
      <c r="B777">
        <v>18</v>
      </c>
      <c r="C777" s="5">
        <v>46139</v>
      </c>
      <c r="D777" t="s">
        <v>150</v>
      </c>
      <c r="E777">
        <v>67.2</v>
      </c>
      <c r="G777">
        <v>18</v>
      </c>
      <c r="H777" s="5">
        <v>46139</v>
      </c>
      <c r="I777" t="s">
        <v>173</v>
      </c>
      <c r="J777">
        <v>684</v>
      </c>
      <c r="L777">
        <v>2</v>
      </c>
      <c r="M777" s="5">
        <v>46027</v>
      </c>
      <c r="N777" t="s">
        <v>180</v>
      </c>
      <c r="O777">
        <v>143.30000000000001</v>
      </c>
      <c r="Q777" t="s">
        <v>215</v>
      </c>
      <c r="R777" s="5">
        <v>46054</v>
      </c>
      <c r="S777" t="s">
        <v>129</v>
      </c>
      <c r="T777">
        <v>982.35</v>
      </c>
      <c r="X777"/>
    </row>
    <row r="778" spans="2:24" ht="18.75">
      <c r="B778">
        <v>18</v>
      </c>
      <c r="C778" s="5">
        <v>46139</v>
      </c>
      <c r="D778" t="s">
        <v>151</v>
      </c>
      <c r="E778">
        <v>577.30999999999995</v>
      </c>
      <c r="G778">
        <v>19</v>
      </c>
      <c r="H778" s="5">
        <v>46146</v>
      </c>
      <c r="I778" t="s">
        <v>160</v>
      </c>
      <c r="J778">
        <v>2939.52</v>
      </c>
      <c r="L778">
        <v>2</v>
      </c>
      <c r="M778" s="5">
        <v>46027</v>
      </c>
      <c r="N778" t="s">
        <v>186</v>
      </c>
      <c r="O778">
        <v>129</v>
      </c>
      <c r="Q778" t="s">
        <v>215</v>
      </c>
      <c r="R778" s="5">
        <v>46054</v>
      </c>
      <c r="S778" t="s">
        <v>149</v>
      </c>
      <c r="T778">
        <v>252.32</v>
      </c>
      <c r="X778"/>
    </row>
    <row r="779" spans="2:24" ht="18.75">
      <c r="B779">
        <v>18</v>
      </c>
      <c r="C779" s="5">
        <v>46139</v>
      </c>
      <c r="D779" t="s">
        <v>111</v>
      </c>
      <c r="E779">
        <v>233.97</v>
      </c>
      <c r="G779">
        <v>19</v>
      </c>
      <c r="H779" s="5">
        <v>46146</v>
      </c>
      <c r="I779" t="s">
        <v>158</v>
      </c>
      <c r="J779">
        <v>480.76</v>
      </c>
      <c r="L779">
        <v>3</v>
      </c>
      <c r="M779" s="5">
        <v>46034</v>
      </c>
      <c r="N779" t="s">
        <v>178</v>
      </c>
      <c r="O779">
        <v>1523.2</v>
      </c>
      <c r="Q779" t="s">
        <v>214</v>
      </c>
      <c r="R779" s="5">
        <v>46023</v>
      </c>
      <c r="S779" t="s">
        <v>128</v>
      </c>
      <c r="T779">
        <v>162.19999999999999</v>
      </c>
      <c r="X779"/>
    </row>
    <row r="780" spans="2:24" ht="18.75">
      <c r="B780">
        <v>18</v>
      </c>
      <c r="C780" s="5">
        <v>46139</v>
      </c>
      <c r="D780" t="s">
        <v>113</v>
      </c>
      <c r="E780">
        <v>223.19</v>
      </c>
      <c r="G780">
        <v>19</v>
      </c>
      <c r="H780" s="5">
        <v>46146</v>
      </c>
      <c r="I780" t="s">
        <v>165</v>
      </c>
      <c r="J780">
        <v>107.25</v>
      </c>
      <c r="L780">
        <v>3</v>
      </c>
      <c r="M780" s="5">
        <v>46034</v>
      </c>
      <c r="N780" t="s">
        <v>179</v>
      </c>
      <c r="O780">
        <v>2246.39</v>
      </c>
      <c r="Q780" t="s">
        <v>215</v>
      </c>
      <c r="R780" s="5">
        <v>46054</v>
      </c>
      <c r="S780" t="s">
        <v>128</v>
      </c>
      <c r="T780">
        <v>233.66</v>
      </c>
      <c r="X780"/>
    </row>
    <row r="781" spans="2:24" ht="18.75">
      <c r="B781">
        <v>18</v>
      </c>
      <c r="C781" s="5">
        <v>46139</v>
      </c>
      <c r="D781" t="s">
        <v>116</v>
      </c>
      <c r="E781">
        <v>106.22</v>
      </c>
      <c r="G781">
        <v>19</v>
      </c>
      <c r="H781" s="5">
        <v>46146</v>
      </c>
      <c r="I781" t="s">
        <v>171</v>
      </c>
      <c r="J781">
        <v>312.8</v>
      </c>
      <c r="L781">
        <v>3</v>
      </c>
      <c r="M781" s="5">
        <v>46034</v>
      </c>
      <c r="N781" t="s">
        <v>181</v>
      </c>
      <c r="O781">
        <v>1285.1600000000001</v>
      </c>
      <c r="Q781" t="s">
        <v>199</v>
      </c>
      <c r="R781" s="5">
        <v>46082</v>
      </c>
      <c r="S781" t="s">
        <v>143</v>
      </c>
      <c r="T781">
        <v>2726.05</v>
      </c>
      <c r="X781"/>
    </row>
    <row r="782" spans="2:24" ht="18.75">
      <c r="B782">
        <v>18</v>
      </c>
      <c r="C782" s="5">
        <v>46139</v>
      </c>
      <c r="D782" t="s">
        <v>118</v>
      </c>
      <c r="E782">
        <v>231.87</v>
      </c>
      <c r="G782">
        <v>19</v>
      </c>
      <c r="H782" s="5">
        <v>46146</v>
      </c>
      <c r="I782" t="s">
        <v>198</v>
      </c>
      <c r="J782">
        <v>1128.0999999999999</v>
      </c>
      <c r="L782">
        <v>3</v>
      </c>
      <c r="M782" s="5">
        <v>46034</v>
      </c>
      <c r="N782" t="s">
        <v>182</v>
      </c>
      <c r="O782">
        <v>1625.08</v>
      </c>
      <c r="Q782" t="s">
        <v>199</v>
      </c>
      <c r="R782" s="5">
        <v>46082</v>
      </c>
      <c r="S782" t="s">
        <v>126</v>
      </c>
      <c r="T782">
        <v>251.19</v>
      </c>
      <c r="X782"/>
    </row>
    <row r="783" spans="2:24" ht="18.75">
      <c r="B783">
        <v>18</v>
      </c>
      <c r="C783" s="5">
        <v>46139</v>
      </c>
      <c r="D783" t="s">
        <v>121</v>
      </c>
      <c r="E783">
        <v>234.18</v>
      </c>
      <c r="G783">
        <v>19</v>
      </c>
      <c r="H783" s="5">
        <v>46146</v>
      </c>
      <c r="I783" t="s">
        <v>169</v>
      </c>
      <c r="J783">
        <v>1141.3499999999999</v>
      </c>
      <c r="L783">
        <v>3</v>
      </c>
      <c r="M783" s="5">
        <v>46034</v>
      </c>
      <c r="N783" t="s">
        <v>183</v>
      </c>
      <c r="O783">
        <v>312.83999999999997</v>
      </c>
      <c r="Q783" t="s">
        <v>199</v>
      </c>
      <c r="R783" s="5">
        <v>46082</v>
      </c>
      <c r="S783" t="s">
        <v>127</v>
      </c>
      <c r="T783">
        <v>398.15</v>
      </c>
      <c r="X783"/>
    </row>
    <row r="784" spans="2:24" ht="18.75">
      <c r="B784">
        <v>18</v>
      </c>
      <c r="C784" s="5">
        <v>46139</v>
      </c>
      <c r="D784" t="s">
        <v>124</v>
      </c>
      <c r="E784">
        <v>477.7</v>
      </c>
      <c r="G784">
        <v>19</v>
      </c>
      <c r="H784" s="5">
        <v>46146</v>
      </c>
      <c r="I784" t="s">
        <v>176</v>
      </c>
      <c r="J784">
        <v>74.400000000000006</v>
      </c>
      <c r="L784">
        <v>3</v>
      </c>
      <c r="M784" s="5">
        <v>46034</v>
      </c>
      <c r="N784" t="s">
        <v>184</v>
      </c>
      <c r="O784">
        <v>188.67</v>
      </c>
      <c r="Q784" t="s">
        <v>199</v>
      </c>
      <c r="R784" s="5">
        <v>46082</v>
      </c>
      <c r="S784" t="s">
        <v>114</v>
      </c>
      <c r="T784">
        <v>532.16999999999996</v>
      </c>
      <c r="X784"/>
    </row>
    <row r="785" spans="2:24" ht="18.75">
      <c r="B785">
        <v>18</v>
      </c>
      <c r="C785" s="5">
        <v>46139</v>
      </c>
      <c r="D785" t="s">
        <v>132</v>
      </c>
      <c r="E785">
        <v>147.47999999999999</v>
      </c>
      <c r="G785">
        <v>19</v>
      </c>
      <c r="H785" s="5">
        <v>46146</v>
      </c>
      <c r="I785" t="s">
        <v>209</v>
      </c>
      <c r="J785">
        <v>27</v>
      </c>
      <c r="L785">
        <v>3</v>
      </c>
      <c r="M785" s="5">
        <v>46034</v>
      </c>
      <c r="N785" t="s">
        <v>185</v>
      </c>
      <c r="O785">
        <v>627.61</v>
      </c>
      <c r="Q785" t="s">
        <v>199</v>
      </c>
      <c r="R785" s="5">
        <v>46082</v>
      </c>
      <c r="S785" t="s">
        <v>133</v>
      </c>
      <c r="T785">
        <v>437.78</v>
      </c>
      <c r="X785"/>
    </row>
    <row r="786" spans="2:24" ht="18.75">
      <c r="B786">
        <v>18</v>
      </c>
      <c r="C786" s="5">
        <v>46139</v>
      </c>
      <c r="D786" t="s">
        <v>135</v>
      </c>
      <c r="E786">
        <v>72.930000000000007</v>
      </c>
      <c r="G786">
        <v>19</v>
      </c>
      <c r="H786" s="5">
        <v>46146</v>
      </c>
      <c r="I786" t="s">
        <v>170</v>
      </c>
      <c r="J786">
        <v>36</v>
      </c>
      <c r="L786">
        <v>3</v>
      </c>
      <c r="M786" s="5">
        <v>46034</v>
      </c>
      <c r="N786" t="s">
        <v>186</v>
      </c>
      <c r="O786">
        <v>86</v>
      </c>
      <c r="Q786" t="s">
        <v>199</v>
      </c>
      <c r="R786" s="5">
        <v>46082</v>
      </c>
      <c r="S786" t="s">
        <v>134</v>
      </c>
      <c r="T786">
        <v>485.72</v>
      </c>
      <c r="X786"/>
    </row>
    <row r="787" spans="2:24" ht="18.75">
      <c r="B787">
        <v>18</v>
      </c>
      <c r="C787" s="5">
        <v>46139</v>
      </c>
      <c r="D787" t="s">
        <v>137</v>
      </c>
      <c r="E787">
        <v>72.33</v>
      </c>
      <c r="G787">
        <v>19</v>
      </c>
      <c r="H787" s="5">
        <v>46146</v>
      </c>
      <c r="I787" t="s">
        <v>163</v>
      </c>
      <c r="J787">
        <v>154.80000000000001</v>
      </c>
      <c r="L787">
        <v>3</v>
      </c>
      <c r="M787" s="5">
        <v>46034</v>
      </c>
      <c r="N787" t="s">
        <v>180</v>
      </c>
      <c r="O787">
        <v>22.7</v>
      </c>
      <c r="Q787" t="s">
        <v>199</v>
      </c>
      <c r="R787" s="5">
        <v>46082</v>
      </c>
      <c r="S787" t="s">
        <v>138</v>
      </c>
      <c r="T787">
        <v>805.45</v>
      </c>
      <c r="X787"/>
    </row>
    <row r="788" spans="2:24" ht="18.75">
      <c r="B788">
        <v>18</v>
      </c>
      <c r="C788" s="5">
        <v>46139</v>
      </c>
      <c r="D788" t="s">
        <v>127</v>
      </c>
      <c r="E788">
        <v>307.36</v>
      </c>
      <c r="G788">
        <v>19</v>
      </c>
      <c r="H788" s="5">
        <v>46146</v>
      </c>
      <c r="I788" t="s">
        <v>204</v>
      </c>
      <c r="J788">
        <v>439.33</v>
      </c>
      <c r="L788">
        <v>4</v>
      </c>
      <c r="M788" s="5">
        <v>46041</v>
      </c>
      <c r="N788" t="s">
        <v>178</v>
      </c>
      <c r="O788">
        <v>1660.05</v>
      </c>
      <c r="Q788" t="s">
        <v>199</v>
      </c>
      <c r="R788" s="5">
        <v>46082</v>
      </c>
      <c r="S788" t="s">
        <v>141</v>
      </c>
      <c r="T788">
        <v>1033.3599999999999</v>
      </c>
      <c r="X788"/>
    </row>
    <row r="789" spans="2:24" ht="18.75">
      <c r="B789">
        <v>18</v>
      </c>
      <c r="C789" s="5">
        <v>46139</v>
      </c>
      <c r="D789" t="s">
        <v>115</v>
      </c>
      <c r="E789">
        <v>4.32</v>
      </c>
      <c r="G789">
        <v>19</v>
      </c>
      <c r="H789" s="5">
        <v>46146</v>
      </c>
      <c r="I789" t="s">
        <v>172</v>
      </c>
      <c r="J789">
        <v>45.77</v>
      </c>
      <c r="L789">
        <v>4</v>
      </c>
      <c r="M789" s="5">
        <v>46041</v>
      </c>
      <c r="N789" t="s">
        <v>179</v>
      </c>
      <c r="O789">
        <v>2423.65</v>
      </c>
      <c r="Q789" t="s">
        <v>199</v>
      </c>
      <c r="R789" s="5">
        <v>46082</v>
      </c>
      <c r="S789" t="s">
        <v>139</v>
      </c>
      <c r="T789">
        <v>493.48</v>
      </c>
      <c r="X789"/>
    </row>
    <row r="790" spans="2:24" ht="18.75">
      <c r="B790">
        <v>19</v>
      </c>
      <c r="C790" s="5">
        <v>46146</v>
      </c>
      <c r="D790" t="s">
        <v>111</v>
      </c>
      <c r="E790">
        <v>110.23</v>
      </c>
      <c r="G790">
        <v>19</v>
      </c>
      <c r="H790" s="5">
        <v>46146</v>
      </c>
      <c r="I790" t="s">
        <v>173</v>
      </c>
      <c r="J790">
        <v>438</v>
      </c>
      <c r="L790">
        <v>4</v>
      </c>
      <c r="M790" s="5">
        <v>46041</v>
      </c>
      <c r="N790" t="s">
        <v>180</v>
      </c>
      <c r="O790">
        <v>62.3</v>
      </c>
      <c r="Q790" t="s">
        <v>199</v>
      </c>
      <c r="R790" s="5">
        <v>46082</v>
      </c>
      <c r="S790" t="s">
        <v>145</v>
      </c>
      <c r="T790">
        <v>466.3</v>
      </c>
      <c r="X790"/>
    </row>
    <row r="791" spans="2:24" ht="18.75">
      <c r="B791">
        <v>19</v>
      </c>
      <c r="C791" s="5">
        <v>46146</v>
      </c>
      <c r="D791" t="s">
        <v>112</v>
      </c>
      <c r="E791">
        <v>78.709999999999994</v>
      </c>
      <c r="G791">
        <v>19</v>
      </c>
      <c r="H791" s="5">
        <v>46146</v>
      </c>
      <c r="I791" t="s">
        <v>206</v>
      </c>
      <c r="J791">
        <v>174.42</v>
      </c>
      <c r="L791">
        <v>4</v>
      </c>
      <c r="M791" s="5">
        <v>46041</v>
      </c>
      <c r="N791" t="s">
        <v>181</v>
      </c>
      <c r="O791">
        <v>1532.29</v>
      </c>
      <c r="Q791" t="s">
        <v>199</v>
      </c>
      <c r="R791" s="5">
        <v>46082</v>
      </c>
      <c r="S791" t="s">
        <v>146</v>
      </c>
      <c r="T791">
        <v>956.55</v>
      </c>
      <c r="X791"/>
    </row>
    <row r="792" spans="2:24" ht="18.75">
      <c r="B792">
        <v>19</v>
      </c>
      <c r="C792" s="5">
        <v>46146</v>
      </c>
      <c r="D792" t="s">
        <v>113</v>
      </c>
      <c r="E792">
        <v>230.98</v>
      </c>
      <c r="G792">
        <v>43</v>
      </c>
      <c r="H792" s="5">
        <v>45950</v>
      </c>
      <c r="I792" t="s">
        <v>160</v>
      </c>
      <c r="J792">
        <v>3510.22</v>
      </c>
      <c r="L792">
        <v>4</v>
      </c>
      <c r="M792" s="5">
        <v>46041</v>
      </c>
      <c r="N792" t="s">
        <v>182</v>
      </c>
      <c r="O792">
        <v>1561.04</v>
      </c>
      <c r="Q792" t="s">
        <v>199</v>
      </c>
      <c r="R792" s="5">
        <v>46082</v>
      </c>
      <c r="S792" t="s">
        <v>151</v>
      </c>
      <c r="T792">
        <v>1179.54</v>
      </c>
      <c r="X792"/>
    </row>
    <row r="793" spans="2:24" ht="18.75">
      <c r="B793">
        <v>19</v>
      </c>
      <c r="C793" s="5">
        <v>46146</v>
      </c>
      <c r="D793" t="s">
        <v>114</v>
      </c>
      <c r="E793">
        <v>305.64</v>
      </c>
      <c r="G793">
        <v>43</v>
      </c>
      <c r="H793" s="5">
        <v>45950</v>
      </c>
      <c r="I793" t="s">
        <v>165</v>
      </c>
      <c r="J793">
        <v>188.2</v>
      </c>
      <c r="L793">
        <v>4</v>
      </c>
      <c r="M793" s="5">
        <v>46041</v>
      </c>
      <c r="N793" t="s">
        <v>183</v>
      </c>
      <c r="O793">
        <v>317.72000000000003</v>
      </c>
      <c r="Q793" t="s">
        <v>199</v>
      </c>
      <c r="R793" s="5">
        <v>46082</v>
      </c>
      <c r="S793" t="s">
        <v>111</v>
      </c>
      <c r="T793">
        <v>366.05</v>
      </c>
      <c r="X793"/>
    </row>
    <row r="794" spans="2:24" ht="18.75">
      <c r="B794">
        <v>19</v>
      </c>
      <c r="C794" s="5">
        <v>46146</v>
      </c>
      <c r="D794" t="s">
        <v>116</v>
      </c>
      <c r="E794">
        <v>129.81</v>
      </c>
      <c r="G794">
        <v>43</v>
      </c>
      <c r="H794" s="5">
        <v>45950</v>
      </c>
      <c r="I794" t="s">
        <v>171</v>
      </c>
      <c r="J794">
        <v>640.5</v>
      </c>
      <c r="L794">
        <v>4</v>
      </c>
      <c r="M794" s="5">
        <v>46041</v>
      </c>
      <c r="N794" t="s">
        <v>184</v>
      </c>
      <c r="O794">
        <v>241.58</v>
      </c>
      <c r="Q794" t="s">
        <v>199</v>
      </c>
      <c r="R794" s="5">
        <v>46082</v>
      </c>
      <c r="S794" t="s">
        <v>117</v>
      </c>
      <c r="T794">
        <v>418.5</v>
      </c>
      <c r="X794"/>
    </row>
    <row r="795" spans="2:24" ht="18.75">
      <c r="B795">
        <v>19</v>
      </c>
      <c r="C795" s="5">
        <v>46146</v>
      </c>
      <c r="D795" t="s">
        <v>117</v>
      </c>
      <c r="E795">
        <v>199.22</v>
      </c>
      <c r="G795">
        <v>43</v>
      </c>
      <c r="H795" s="5">
        <v>45950</v>
      </c>
      <c r="I795" t="s">
        <v>174</v>
      </c>
      <c r="J795">
        <v>636.80999999999995</v>
      </c>
      <c r="L795">
        <v>4</v>
      </c>
      <c r="M795" s="5">
        <v>46041</v>
      </c>
      <c r="N795" t="s">
        <v>185</v>
      </c>
      <c r="O795">
        <v>659.62</v>
      </c>
      <c r="Q795" t="s">
        <v>199</v>
      </c>
      <c r="R795" s="5">
        <v>46082</v>
      </c>
      <c r="S795" t="s">
        <v>119</v>
      </c>
      <c r="T795">
        <v>686.89</v>
      </c>
      <c r="X795"/>
    </row>
    <row r="796" spans="2:24" ht="18.75">
      <c r="B796">
        <v>19</v>
      </c>
      <c r="C796" s="5">
        <v>46146</v>
      </c>
      <c r="D796" t="s">
        <v>118</v>
      </c>
      <c r="E796">
        <v>179.85</v>
      </c>
      <c r="G796">
        <v>43</v>
      </c>
      <c r="H796" s="5">
        <v>45950</v>
      </c>
      <c r="I796" t="s">
        <v>169</v>
      </c>
      <c r="J796">
        <v>1692.27</v>
      </c>
      <c r="L796">
        <v>4</v>
      </c>
      <c r="M796" s="5">
        <v>46041</v>
      </c>
      <c r="N796" t="s">
        <v>186</v>
      </c>
      <c r="O796">
        <v>54</v>
      </c>
      <c r="Q796" t="s">
        <v>199</v>
      </c>
      <c r="R796" s="5">
        <v>46082</v>
      </c>
      <c r="S796" t="s">
        <v>130</v>
      </c>
      <c r="T796">
        <v>846.31</v>
      </c>
      <c r="X796"/>
    </row>
    <row r="797" spans="2:24" ht="18.75">
      <c r="B797">
        <v>19</v>
      </c>
      <c r="C797" s="5">
        <v>46146</v>
      </c>
      <c r="D797" t="s">
        <v>119</v>
      </c>
      <c r="E797">
        <v>327.01</v>
      </c>
      <c r="G797">
        <v>43</v>
      </c>
      <c r="H797" s="5">
        <v>45950</v>
      </c>
      <c r="I797" t="s">
        <v>170</v>
      </c>
      <c r="J797">
        <v>42</v>
      </c>
      <c r="L797">
        <v>5</v>
      </c>
      <c r="M797" s="5">
        <v>46048</v>
      </c>
      <c r="N797" t="s">
        <v>178</v>
      </c>
      <c r="O797">
        <v>2421.65</v>
      </c>
      <c r="Q797" t="s">
        <v>199</v>
      </c>
      <c r="R797" s="5">
        <v>46082</v>
      </c>
      <c r="S797" t="s">
        <v>129</v>
      </c>
      <c r="T797">
        <v>708.95</v>
      </c>
      <c r="X797"/>
    </row>
    <row r="798" spans="2:24" ht="18.75">
      <c r="B798">
        <v>19</v>
      </c>
      <c r="C798" s="5">
        <v>46146</v>
      </c>
      <c r="D798" t="s">
        <v>120</v>
      </c>
      <c r="E798">
        <v>98.25</v>
      </c>
      <c r="G798">
        <v>43</v>
      </c>
      <c r="H798" s="5">
        <v>45950</v>
      </c>
      <c r="I798" t="s">
        <v>176</v>
      </c>
      <c r="J798">
        <v>175.24</v>
      </c>
      <c r="L798">
        <v>5</v>
      </c>
      <c r="M798" s="5">
        <v>46048</v>
      </c>
      <c r="N798" t="s">
        <v>179</v>
      </c>
      <c r="O798">
        <v>3292.85</v>
      </c>
      <c r="Q798" t="s">
        <v>199</v>
      </c>
      <c r="R798" s="5">
        <v>46082</v>
      </c>
      <c r="S798" t="s">
        <v>123</v>
      </c>
      <c r="T798">
        <v>719.45</v>
      </c>
      <c r="X798"/>
    </row>
    <row r="799" spans="2:24" ht="18.75">
      <c r="B799">
        <v>19</v>
      </c>
      <c r="C799" s="5">
        <v>46146</v>
      </c>
      <c r="D799" t="s">
        <v>121</v>
      </c>
      <c r="E799">
        <v>182.34</v>
      </c>
      <c r="G799">
        <v>43</v>
      </c>
      <c r="H799" s="5">
        <v>45950</v>
      </c>
      <c r="I799" t="s">
        <v>164</v>
      </c>
      <c r="J799">
        <v>14.4</v>
      </c>
      <c r="L799">
        <v>5</v>
      </c>
      <c r="M799" s="5">
        <v>46048</v>
      </c>
      <c r="N799" t="s">
        <v>180</v>
      </c>
      <c r="O799">
        <v>220.4</v>
      </c>
      <c r="Q799" t="s">
        <v>199</v>
      </c>
      <c r="R799" s="5">
        <v>46082</v>
      </c>
      <c r="S799" t="s">
        <v>124</v>
      </c>
      <c r="T799">
        <v>778.82</v>
      </c>
      <c r="X799"/>
    </row>
    <row r="800" spans="2:24" ht="18.75">
      <c r="B800">
        <v>19</v>
      </c>
      <c r="C800" s="5">
        <v>46146</v>
      </c>
      <c r="D800" t="s">
        <v>122</v>
      </c>
      <c r="E800">
        <v>224.8</v>
      </c>
      <c r="G800">
        <v>43</v>
      </c>
      <c r="H800" s="5">
        <v>45950</v>
      </c>
      <c r="I800" t="s">
        <v>163</v>
      </c>
      <c r="J800">
        <v>422.4</v>
      </c>
      <c r="L800">
        <v>5</v>
      </c>
      <c r="M800" s="5">
        <v>46048</v>
      </c>
      <c r="N800" t="s">
        <v>181</v>
      </c>
      <c r="O800">
        <v>1925.9</v>
      </c>
      <c r="Q800" t="s">
        <v>199</v>
      </c>
      <c r="R800" s="5">
        <v>46082</v>
      </c>
      <c r="S800" t="s">
        <v>113</v>
      </c>
      <c r="T800">
        <v>345.02</v>
      </c>
      <c r="X800"/>
    </row>
    <row r="801" spans="2:24" ht="18.75">
      <c r="B801">
        <v>19</v>
      </c>
      <c r="C801" s="5">
        <v>46146</v>
      </c>
      <c r="D801" t="s">
        <v>123</v>
      </c>
      <c r="E801">
        <v>540.25</v>
      </c>
      <c r="G801">
        <v>43</v>
      </c>
      <c r="H801" s="5">
        <v>45950</v>
      </c>
      <c r="I801" t="s">
        <v>168</v>
      </c>
      <c r="J801">
        <v>357.79</v>
      </c>
      <c r="L801">
        <v>5</v>
      </c>
      <c r="M801" s="5">
        <v>46048</v>
      </c>
      <c r="N801" t="s">
        <v>182</v>
      </c>
      <c r="O801">
        <v>2308.96</v>
      </c>
      <c r="Q801" t="s">
        <v>199</v>
      </c>
      <c r="R801" s="5">
        <v>46082</v>
      </c>
      <c r="S801" t="s">
        <v>118</v>
      </c>
      <c r="T801">
        <v>282.58999999999997</v>
      </c>
      <c r="X801"/>
    </row>
    <row r="802" spans="2:24" ht="18.75">
      <c r="B802">
        <v>19</v>
      </c>
      <c r="C802" s="5">
        <v>46146</v>
      </c>
      <c r="D802" t="s">
        <v>124</v>
      </c>
      <c r="E802">
        <v>386.03</v>
      </c>
      <c r="G802">
        <v>43</v>
      </c>
      <c r="H802" s="5">
        <v>45950</v>
      </c>
      <c r="I802" t="s">
        <v>172</v>
      </c>
      <c r="J802">
        <v>59.7</v>
      </c>
      <c r="L802">
        <v>5</v>
      </c>
      <c r="M802" s="5">
        <v>46048</v>
      </c>
      <c r="N802" t="s">
        <v>183</v>
      </c>
      <c r="O802">
        <v>428.18</v>
      </c>
      <c r="Q802" t="s">
        <v>199</v>
      </c>
      <c r="R802" s="5">
        <v>46082</v>
      </c>
      <c r="S802" t="s">
        <v>121</v>
      </c>
      <c r="T802">
        <v>285.45</v>
      </c>
      <c r="X802"/>
    </row>
    <row r="803" spans="2:24" ht="18.75">
      <c r="B803">
        <v>19</v>
      </c>
      <c r="C803" s="5">
        <v>46146</v>
      </c>
      <c r="D803" t="s">
        <v>125</v>
      </c>
      <c r="E803">
        <v>152.47</v>
      </c>
      <c r="G803">
        <v>43</v>
      </c>
      <c r="H803" s="5">
        <v>45950</v>
      </c>
      <c r="I803" t="s">
        <v>173</v>
      </c>
      <c r="J803">
        <v>458.7</v>
      </c>
      <c r="L803">
        <v>5</v>
      </c>
      <c r="M803" s="5">
        <v>46048</v>
      </c>
      <c r="N803" t="s">
        <v>184</v>
      </c>
      <c r="O803">
        <v>815.64</v>
      </c>
      <c r="Q803" t="s">
        <v>199</v>
      </c>
      <c r="R803" s="5">
        <v>46082</v>
      </c>
      <c r="S803" t="s">
        <v>147</v>
      </c>
      <c r="T803">
        <v>541.64</v>
      </c>
      <c r="X803"/>
    </row>
    <row r="804" spans="2:24" ht="18.75">
      <c r="B804">
        <v>19</v>
      </c>
      <c r="C804" s="5">
        <v>46146</v>
      </c>
      <c r="D804" t="s">
        <v>126</v>
      </c>
      <c r="E804">
        <v>149.12</v>
      </c>
      <c r="G804">
        <v>43</v>
      </c>
      <c r="H804" s="5">
        <v>45950</v>
      </c>
      <c r="I804" t="s">
        <v>158</v>
      </c>
      <c r="J804">
        <v>786</v>
      </c>
      <c r="L804">
        <v>5</v>
      </c>
      <c r="M804" s="5">
        <v>46048</v>
      </c>
      <c r="N804" t="s">
        <v>185</v>
      </c>
      <c r="O804">
        <v>829.25</v>
      </c>
      <c r="Q804" t="s">
        <v>199</v>
      </c>
      <c r="R804" s="5">
        <v>46082</v>
      </c>
      <c r="S804" t="s">
        <v>112</v>
      </c>
      <c r="T804">
        <v>143.56</v>
      </c>
      <c r="X804"/>
    </row>
    <row r="805" spans="2:24" ht="18.75">
      <c r="B805">
        <v>19</v>
      </c>
      <c r="C805" s="5">
        <v>46146</v>
      </c>
      <c r="D805" t="s">
        <v>128</v>
      </c>
      <c r="E805">
        <v>201.61</v>
      </c>
      <c r="G805">
        <v>44</v>
      </c>
      <c r="H805" s="5">
        <v>45957</v>
      </c>
      <c r="I805" t="s">
        <v>160</v>
      </c>
      <c r="J805">
        <v>4555.57</v>
      </c>
      <c r="L805">
        <v>5</v>
      </c>
      <c r="M805" s="5">
        <v>46048</v>
      </c>
      <c r="N805" t="s">
        <v>186</v>
      </c>
      <c r="O805">
        <v>350.9</v>
      </c>
      <c r="Q805" t="s">
        <v>199</v>
      </c>
      <c r="R805" s="5">
        <v>46082</v>
      </c>
      <c r="S805" t="s">
        <v>116</v>
      </c>
      <c r="T805">
        <v>213.81</v>
      </c>
      <c r="X805"/>
    </row>
    <row r="806" spans="2:24" ht="18.75">
      <c r="B806">
        <v>19</v>
      </c>
      <c r="C806" s="5">
        <v>46146</v>
      </c>
      <c r="D806" t="s">
        <v>129</v>
      </c>
      <c r="E806">
        <v>365.53</v>
      </c>
      <c r="G806">
        <v>44</v>
      </c>
      <c r="H806" s="5">
        <v>45957</v>
      </c>
      <c r="I806" t="s">
        <v>169</v>
      </c>
      <c r="J806">
        <v>1729.83</v>
      </c>
      <c r="L806">
        <v>6</v>
      </c>
      <c r="M806" s="5">
        <v>46055</v>
      </c>
      <c r="N806" t="s">
        <v>178</v>
      </c>
      <c r="O806">
        <v>838.95</v>
      </c>
      <c r="Q806" t="s">
        <v>199</v>
      </c>
      <c r="R806" s="5">
        <v>46082</v>
      </c>
      <c r="S806" t="s">
        <v>120</v>
      </c>
      <c r="T806">
        <v>282.02</v>
      </c>
      <c r="X806"/>
    </row>
    <row r="807" spans="2:24" ht="18.75">
      <c r="B807">
        <v>19</v>
      </c>
      <c r="C807" s="5">
        <v>46146</v>
      </c>
      <c r="D807" t="s">
        <v>130</v>
      </c>
      <c r="E807">
        <v>335.39</v>
      </c>
      <c r="G807">
        <v>44</v>
      </c>
      <c r="H807" s="5">
        <v>45957</v>
      </c>
      <c r="I807" t="s">
        <v>163</v>
      </c>
      <c r="J807">
        <v>426.24</v>
      </c>
      <c r="L807">
        <v>6</v>
      </c>
      <c r="M807" s="5">
        <v>46055</v>
      </c>
      <c r="N807" t="s">
        <v>179</v>
      </c>
      <c r="O807">
        <v>1114.53</v>
      </c>
      <c r="Q807" t="s">
        <v>199</v>
      </c>
      <c r="R807" s="5">
        <v>46082</v>
      </c>
      <c r="S807" t="s">
        <v>122</v>
      </c>
      <c r="T807">
        <v>548.41</v>
      </c>
      <c r="X807"/>
    </row>
    <row r="808" spans="2:24" ht="18.75">
      <c r="B808">
        <v>19</v>
      </c>
      <c r="C808" s="5">
        <v>46146</v>
      </c>
      <c r="D808" t="s">
        <v>131</v>
      </c>
      <c r="E808">
        <v>354.46</v>
      </c>
      <c r="G808">
        <v>44</v>
      </c>
      <c r="H808" s="5">
        <v>45957</v>
      </c>
      <c r="I808" t="s">
        <v>168</v>
      </c>
      <c r="J808">
        <v>368.4</v>
      </c>
      <c r="L808">
        <v>6</v>
      </c>
      <c r="M808" s="5">
        <v>46055</v>
      </c>
      <c r="N808" t="s">
        <v>180</v>
      </c>
      <c r="O808">
        <v>101.4</v>
      </c>
      <c r="Q808" t="s">
        <v>199</v>
      </c>
      <c r="R808" s="5">
        <v>46082</v>
      </c>
      <c r="S808" t="s">
        <v>125</v>
      </c>
      <c r="T808">
        <v>123.08</v>
      </c>
      <c r="X808"/>
    </row>
    <row r="809" spans="2:24" ht="18.75">
      <c r="B809">
        <v>19</v>
      </c>
      <c r="C809" s="5">
        <v>46146</v>
      </c>
      <c r="D809" t="s">
        <v>132</v>
      </c>
      <c r="E809">
        <v>159.5</v>
      </c>
      <c r="G809">
        <v>44</v>
      </c>
      <c r="H809" s="5">
        <v>45957</v>
      </c>
      <c r="I809" t="s">
        <v>172</v>
      </c>
      <c r="J809">
        <v>57.71</v>
      </c>
      <c r="L809">
        <v>6</v>
      </c>
      <c r="M809" s="5">
        <v>46055</v>
      </c>
      <c r="N809" t="s">
        <v>181</v>
      </c>
      <c r="O809">
        <v>505.39</v>
      </c>
      <c r="Q809" t="s">
        <v>199</v>
      </c>
      <c r="R809" s="5">
        <v>46082</v>
      </c>
      <c r="S809" t="s">
        <v>128</v>
      </c>
      <c r="T809">
        <v>335.9</v>
      </c>
      <c r="X809"/>
    </row>
    <row r="810" spans="2:24" ht="18.75">
      <c r="B810">
        <v>19</v>
      </c>
      <c r="C810" s="5">
        <v>46146</v>
      </c>
      <c r="D810" t="s">
        <v>133</v>
      </c>
      <c r="E810">
        <v>386.18</v>
      </c>
      <c r="G810">
        <v>44</v>
      </c>
      <c r="H810" s="5">
        <v>45957</v>
      </c>
      <c r="I810" t="s">
        <v>173</v>
      </c>
      <c r="J810">
        <v>724.4</v>
      </c>
      <c r="L810">
        <v>6</v>
      </c>
      <c r="M810" s="5">
        <v>46055</v>
      </c>
      <c r="N810" t="s">
        <v>182</v>
      </c>
      <c r="O810">
        <v>541.24</v>
      </c>
      <c r="Q810" t="s">
        <v>199</v>
      </c>
      <c r="R810" s="5">
        <v>46082</v>
      </c>
      <c r="S810" t="s">
        <v>132</v>
      </c>
      <c r="T810">
        <v>395.03</v>
      </c>
      <c r="X810"/>
    </row>
    <row r="811" spans="2:24" ht="18.75">
      <c r="B811">
        <v>19</v>
      </c>
      <c r="C811" s="5">
        <v>46146</v>
      </c>
      <c r="D811" t="s">
        <v>134</v>
      </c>
      <c r="E811">
        <v>373.63</v>
      </c>
      <c r="G811">
        <v>44</v>
      </c>
      <c r="H811" s="5">
        <v>45957</v>
      </c>
      <c r="I811" t="s">
        <v>165</v>
      </c>
      <c r="J811">
        <v>492.7</v>
      </c>
      <c r="L811">
        <v>6</v>
      </c>
      <c r="M811" s="5">
        <v>46055</v>
      </c>
      <c r="N811" t="s">
        <v>183</v>
      </c>
      <c r="O811">
        <v>122.21</v>
      </c>
      <c r="Q811" t="s">
        <v>199</v>
      </c>
      <c r="R811" s="5">
        <v>46082</v>
      </c>
      <c r="S811" t="s">
        <v>135</v>
      </c>
      <c r="T811">
        <v>168.93</v>
      </c>
      <c r="X811"/>
    </row>
    <row r="812" spans="2:24" ht="18.75">
      <c r="B812">
        <v>19</v>
      </c>
      <c r="C812" s="5">
        <v>46146</v>
      </c>
      <c r="D812" t="s">
        <v>135</v>
      </c>
      <c r="E812">
        <v>105.88</v>
      </c>
      <c r="G812">
        <v>44</v>
      </c>
      <c r="H812" s="5">
        <v>45957</v>
      </c>
      <c r="I812" t="s">
        <v>171</v>
      </c>
      <c r="J812">
        <v>925.25</v>
      </c>
      <c r="L812">
        <v>6</v>
      </c>
      <c r="M812" s="5">
        <v>46055</v>
      </c>
      <c r="N812" t="s">
        <v>184</v>
      </c>
      <c r="O812">
        <v>67.7</v>
      </c>
      <c r="Q812" t="s">
        <v>199</v>
      </c>
      <c r="R812" s="5">
        <v>46082</v>
      </c>
      <c r="S812" t="s">
        <v>136</v>
      </c>
      <c r="T812">
        <v>423.29</v>
      </c>
      <c r="X812"/>
    </row>
    <row r="813" spans="2:24" ht="18.75">
      <c r="B813">
        <v>19</v>
      </c>
      <c r="C813" s="5">
        <v>46146</v>
      </c>
      <c r="D813" t="s">
        <v>136</v>
      </c>
      <c r="E813">
        <v>146.26</v>
      </c>
      <c r="G813">
        <v>44</v>
      </c>
      <c r="H813" s="5">
        <v>45957</v>
      </c>
      <c r="I813" t="s">
        <v>174</v>
      </c>
      <c r="J813">
        <v>641.22</v>
      </c>
      <c r="L813">
        <v>6</v>
      </c>
      <c r="M813" s="5">
        <v>46055</v>
      </c>
      <c r="N813" t="s">
        <v>185</v>
      </c>
      <c r="O813">
        <v>167.05</v>
      </c>
      <c r="Q813" t="s">
        <v>199</v>
      </c>
      <c r="R813" s="5">
        <v>46082</v>
      </c>
      <c r="S813" t="s">
        <v>137</v>
      </c>
      <c r="T813">
        <v>154.9</v>
      </c>
      <c r="X813"/>
    </row>
    <row r="814" spans="2:24" ht="18.75">
      <c r="B814">
        <v>19</v>
      </c>
      <c r="C814" s="5">
        <v>46146</v>
      </c>
      <c r="D814" t="s">
        <v>137</v>
      </c>
      <c r="E814">
        <v>85.26</v>
      </c>
      <c r="G814">
        <v>44</v>
      </c>
      <c r="H814" s="5">
        <v>45957</v>
      </c>
      <c r="I814" t="s">
        <v>164</v>
      </c>
      <c r="J814">
        <v>24</v>
      </c>
      <c r="L814">
        <v>6</v>
      </c>
      <c r="M814" s="5">
        <v>46055</v>
      </c>
      <c r="N814" t="s">
        <v>186</v>
      </c>
      <c r="O814">
        <v>96.6</v>
      </c>
      <c r="Q814" t="s">
        <v>199</v>
      </c>
      <c r="R814" s="5">
        <v>46082</v>
      </c>
      <c r="S814" t="s">
        <v>140</v>
      </c>
      <c r="T814">
        <v>147.99</v>
      </c>
      <c r="X814"/>
    </row>
    <row r="815" spans="2:24" ht="18.75">
      <c r="B815">
        <v>19</v>
      </c>
      <c r="C815" s="5">
        <v>46146</v>
      </c>
      <c r="D815" t="s">
        <v>138</v>
      </c>
      <c r="E815">
        <v>416.11</v>
      </c>
      <c r="G815">
        <v>44</v>
      </c>
      <c r="H815" s="5">
        <v>45957</v>
      </c>
      <c r="I815" t="s">
        <v>176</v>
      </c>
      <c r="J815">
        <v>113.92</v>
      </c>
      <c r="L815">
        <v>7</v>
      </c>
      <c r="M815" s="5">
        <v>46062</v>
      </c>
      <c r="N815" t="s">
        <v>178</v>
      </c>
      <c r="O815">
        <v>172.55</v>
      </c>
      <c r="Q815" t="s">
        <v>199</v>
      </c>
      <c r="R815" s="5">
        <v>46082</v>
      </c>
      <c r="S815" t="s">
        <v>142</v>
      </c>
      <c r="T815">
        <v>445.3</v>
      </c>
      <c r="X815"/>
    </row>
    <row r="816" spans="2:24" ht="18.75">
      <c r="B816">
        <v>19</v>
      </c>
      <c r="C816" s="5">
        <v>46146</v>
      </c>
      <c r="D816" t="s">
        <v>141</v>
      </c>
      <c r="E816">
        <v>438.07</v>
      </c>
      <c r="G816">
        <v>44</v>
      </c>
      <c r="H816" s="5">
        <v>45957</v>
      </c>
      <c r="I816" t="s">
        <v>158</v>
      </c>
      <c r="J816">
        <v>347.44</v>
      </c>
      <c r="L816">
        <v>7</v>
      </c>
      <c r="M816" s="5">
        <v>46062</v>
      </c>
      <c r="N816" t="s">
        <v>179</v>
      </c>
      <c r="O816">
        <v>376.77</v>
      </c>
      <c r="Q816" t="s">
        <v>199</v>
      </c>
      <c r="R816" s="5">
        <v>46082</v>
      </c>
      <c r="S816" t="s">
        <v>148</v>
      </c>
      <c r="T816">
        <v>227.28</v>
      </c>
      <c r="X816"/>
    </row>
    <row r="817" spans="2:24" ht="18.75">
      <c r="B817">
        <v>19</v>
      </c>
      <c r="C817" s="5">
        <v>46146</v>
      </c>
      <c r="D817" t="s">
        <v>142</v>
      </c>
      <c r="E817">
        <v>157.76</v>
      </c>
      <c r="G817">
        <v>44</v>
      </c>
      <c r="H817" s="5">
        <v>45957</v>
      </c>
      <c r="I817" t="s">
        <v>204</v>
      </c>
      <c r="J817">
        <v>17.600000000000001</v>
      </c>
      <c r="L817">
        <v>7</v>
      </c>
      <c r="M817" s="5">
        <v>46062</v>
      </c>
      <c r="N817" t="s">
        <v>180</v>
      </c>
      <c r="O817">
        <v>0</v>
      </c>
      <c r="Q817" t="s">
        <v>199</v>
      </c>
      <c r="R817" s="5">
        <v>46082</v>
      </c>
      <c r="S817" t="s">
        <v>150</v>
      </c>
      <c r="T817">
        <v>165.26</v>
      </c>
      <c r="X817"/>
    </row>
    <row r="818" spans="2:24" ht="18.75">
      <c r="B818">
        <v>19</v>
      </c>
      <c r="C818" s="5">
        <v>46146</v>
      </c>
      <c r="D818" t="s">
        <v>139</v>
      </c>
      <c r="E818">
        <v>232.58</v>
      </c>
      <c r="G818">
        <v>45</v>
      </c>
      <c r="H818" s="5">
        <v>45964</v>
      </c>
      <c r="I818" t="s">
        <v>160</v>
      </c>
      <c r="J818">
        <v>3781.87</v>
      </c>
      <c r="L818">
        <v>7</v>
      </c>
      <c r="M818" s="5">
        <v>46062</v>
      </c>
      <c r="N818" t="s">
        <v>181</v>
      </c>
      <c r="O818">
        <v>146</v>
      </c>
      <c r="Q818" t="s">
        <v>199</v>
      </c>
      <c r="R818" s="5">
        <v>46082</v>
      </c>
      <c r="S818" t="s">
        <v>149</v>
      </c>
      <c r="T818">
        <v>349.24</v>
      </c>
      <c r="X818"/>
    </row>
    <row r="819" spans="2:24" ht="18.75">
      <c r="B819">
        <v>19</v>
      </c>
      <c r="C819" s="5">
        <v>46146</v>
      </c>
      <c r="D819" t="s">
        <v>143</v>
      </c>
      <c r="E819">
        <v>1219.1199999999999</v>
      </c>
      <c r="G819">
        <v>45</v>
      </c>
      <c r="H819" s="5">
        <v>45964</v>
      </c>
      <c r="I819" t="s">
        <v>165</v>
      </c>
      <c r="J819">
        <v>210.9</v>
      </c>
      <c r="L819">
        <v>7</v>
      </c>
      <c r="M819" s="5">
        <v>46062</v>
      </c>
      <c r="N819" t="s">
        <v>182</v>
      </c>
      <c r="O819">
        <v>213.89</v>
      </c>
      <c r="S819"/>
      <c r="X819"/>
    </row>
    <row r="820" spans="2:24" ht="18.75">
      <c r="B820">
        <v>19</v>
      </c>
      <c r="C820" s="5">
        <v>46146</v>
      </c>
      <c r="D820" t="s">
        <v>144</v>
      </c>
      <c r="E820">
        <v>193.99</v>
      </c>
      <c r="G820">
        <v>45</v>
      </c>
      <c r="H820" s="5">
        <v>45964</v>
      </c>
      <c r="I820" t="s">
        <v>169</v>
      </c>
      <c r="J820">
        <v>1724.95</v>
      </c>
      <c r="L820">
        <v>7</v>
      </c>
      <c r="M820" s="5">
        <v>46062</v>
      </c>
      <c r="N820" t="s">
        <v>183</v>
      </c>
      <c r="O820">
        <v>1.2</v>
      </c>
      <c r="S820"/>
      <c r="X820"/>
    </row>
    <row r="821" spans="2:24" ht="18.75">
      <c r="B821">
        <v>19</v>
      </c>
      <c r="C821" s="5">
        <v>46146</v>
      </c>
      <c r="D821" t="s">
        <v>145</v>
      </c>
      <c r="E821">
        <v>214.78</v>
      </c>
      <c r="G821">
        <v>45</v>
      </c>
      <c r="H821" s="5">
        <v>45964</v>
      </c>
      <c r="I821" t="s">
        <v>170</v>
      </c>
      <c r="J821">
        <v>104</v>
      </c>
      <c r="L821">
        <v>7</v>
      </c>
      <c r="M821" s="5">
        <v>46062</v>
      </c>
      <c r="N821" t="s">
        <v>184</v>
      </c>
      <c r="O821">
        <v>85.73</v>
      </c>
      <c r="S821"/>
      <c r="X821"/>
    </row>
    <row r="822" spans="2:24" ht="18.75">
      <c r="B822">
        <v>19</v>
      </c>
      <c r="C822" s="5">
        <v>46146</v>
      </c>
      <c r="D822" t="s">
        <v>146</v>
      </c>
      <c r="E822">
        <v>512.14</v>
      </c>
      <c r="G822">
        <v>45</v>
      </c>
      <c r="H822" s="5">
        <v>45964</v>
      </c>
      <c r="I822" t="s">
        <v>176</v>
      </c>
      <c r="J822">
        <v>227.88</v>
      </c>
      <c r="L822">
        <v>7</v>
      </c>
      <c r="M822" s="5">
        <v>46062</v>
      </c>
      <c r="N822" t="s">
        <v>185</v>
      </c>
      <c r="O822">
        <v>80.849999999999994</v>
      </c>
      <c r="S822"/>
      <c r="X822"/>
    </row>
    <row r="823" spans="2:24" ht="18.75">
      <c r="B823">
        <v>19</v>
      </c>
      <c r="C823" s="5">
        <v>46146</v>
      </c>
      <c r="D823" t="s">
        <v>148</v>
      </c>
      <c r="E823">
        <v>156.13</v>
      </c>
      <c r="G823">
        <v>45</v>
      </c>
      <c r="H823" s="5">
        <v>45964</v>
      </c>
      <c r="I823" t="s">
        <v>164</v>
      </c>
      <c r="J823">
        <v>9.6</v>
      </c>
      <c r="L823">
        <v>7</v>
      </c>
      <c r="M823" s="5">
        <v>46062</v>
      </c>
      <c r="N823" t="s">
        <v>186</v>
      </c>
      <c r="O823">
        <v>9</v>
      </c>
      <c r="S823"/>
      <c r="X823"/>
    </row>
    <row r="824" spans="2:24" ht="18.75">
      <c r="B824">
        <v>19</v>
      </c>
      <c r="C824" s="5">
        <v>46146</v>
      </c>
      <c r="D824" t="s">
        <v>147</v>
      </c>
      <c r="E824">
        <v>354.58</v>
      </c>
      <c r="G824">
        <v>45</v>
      </c>
      <c r="H824" s="5">
        <v>45964</v>
      </c>
      <c r="I824" t="s">
        <v>163</v>
      </c>
      <c r="J824">
        <v>369.92</v>
      </c>
      <c r="L824">
        <v>8</v>
      </c>
      <c r="M824" s="5">
        <v>46069</v>
      </c>
      <c r="N824" t="s">
        <v>178</v>
      </c>
      <c r="O824">
        <v>1963.5</v>
      </c>
      <c r="S824"/>
      <c r="X824"/>
    </row>
    <row r="825" spans="2:24" ht="18.75">
      <c r="B825">
        <v>19</v>
      </c>
      <c r="C825" s="5">
        <v>46146</v>
      </c>
      <c r="D825" t="s">
        <v>150</v>
      </c>
      <c r="E825">
        <v>92.92</v>
      </c>
      <c r="G825">
        <v>45</v>
      </c>
      <c r="H825" s="5">
        <v>45964</v>
      </c>
      <c r="I825" t="s">
        <v>168</v>
      </c>
      <c r="J825">
        <v>405.46</v>
      </c>
      <c r="L825">
        <v>8</v>
      </c>
      <c r="M825" s="5">
        <v>46069</v>
      </c>
      <c r="N825" t="s">
        <v>179</v>
      </c>
      <c r="O825">
        <v>2904.26</v>
      </c>
      <c r="S825"/>
      <c r="X825"/>
    </row>
    <row r="826" spans="2:24" ht="18.75">
      <c r="B826">
        <v>19</v>
      </c>
      <c r="C826" s="5">
        <v>46146</v>
      </c>
      <c r="D826" t="s">
        <v>151</v>
      </c>
      <c r="E826">
        <v>739.49</v>
      </c>
      <c r="G826">
        <v>45</v>
      </c>
      <c r="H826" s="5">
        <v>45964</v>
      </c>
      <c r="I826" t="s">
        <v>172</v>
      </c>
      <c r="J826">
        <v>95.52</v>
      </c>
      <c r="L826">
        <v>8</v>
      </c>
      <c r="M826" s="5">
        <v>46069</v>
      </c>
      <c r="N826" t="s">
        <v>180</v>
      </c>
      <c r="O826">
        <v>228.5</v>
      </c>
      <c r="S826"/>
      <c r="X826"/>
    </row>
    <row r="827" spans="2:24" ht="18.75">
      <c r="B827">
        <v>19</v>
      </c>
      <c r="C827" s="5">
        <v>46146</v>
      </c>
      <c r="D827" t="s">
        <v>127</v>
      </c>
      <c r="E827">
        <v>258</v>
      </c>
      <c r="G827">
        <v>45</v>
      </c>
      <c r="H827" s="5">
        <v>45964</v>
      </c>
      <c r="I827" t="s">
        <v>173</v>
      </c>
      <c r="J827">
        <v>557.75</v>
      </c>
      <c r="L827">
        <v>8</v>
      </c>
      <c r="M827" s="5">
        <v>46069</v>
      </c>
      <c r="N827" t="s">
        <v>181</v>
      </c>
      <c r="O827">
        <v>1387.37</v>
      </c>
      <c r="S827"/>
      <c r="X827"/>
    </row>
    <row r="828" spans="2:24" ht="18.75">
      <c r="B828">
        <v>13</v>
      </c>
      <c r="C828" s="5">
        <v>46104</v>
      </c>
      <c r="D828" t="s">
        <v>123</v>
      </c>
      <c r="E828">
        <v>258.14</v>
      </c>
      <c r="G828">
        <v>45</v>
      </c>
      <c r="H828" s="5">
        <v>45964</v>
      </c>
      <c r="I828" t="s">
        <v>198</v>
      </c>
      <c r="J828">
        <v>1063.7</v>
      </c>
      <c r="L828">
        <v>8</v>
      </c>
      <c r="M828" s="5">
        <v>46069</v>
      </c>
      <c r="N828" t="s">
        <v>182</v>
      </c>
      <c r="O828">
        <v>2087.71</v>
      </c>
      <c r="S828"/>
      <c r="X828"/>
    </row>
    <row r="829" spans="2:24" ht="18.75">
      <c r="B829">
        <v>13</v>
      </c>
      <c r="C829" s="5">
        <v>46104</v>
      </c>
      <c r="D829" t="s">
        <v>124</v>
      </c>
      <c r="E829">
        <v>170.74</v>
      </c>
      <c r="G829">
        <v>45</v>
      </c>
      <c r="H829" s="5">
        <v>45964</v>
      </c>
      <c r="I829" t="s">
        <v>158</v>
      </c>
      <c r="J829">
        <v>363.6</v>
      </c>
      <c r="L829">
        <v>8</v>
      </c>
      <c r="M829" s="5">
        <v>46069</v>
      </c>
      <c r="N829" t="s">
        <v>183</v>
      </c>
      <c r="O829">
        <v>432.21</v>
      </c>
      <c r="S829"/>
      <c r="X829"/>
    </row>
    <row r="830" spans="2:24" ht="18.75">
      <c r="B830">
        <v>13</v>
      </c>
      <c r="C830" s="5">
        <v>46104</v>
      </c>
      <c r="D830" t="s">
        <v>139</v>
      </c>
      <c r="E830">
        <v>106.32</v>
      </c>
      <c r="G830">
        <v>45</v>
      </c>
      <c r="H830" s="5">
        <v>45964</v>
      </c>
      <c r="I830" t="s">
        <v>171</v>
      </c>
      <c r="J830">
        <v>719</v>
      </c>
      <c r="L830">
        <v>8</v>
      </c>
      <c r="M830" s="5">
        <v>46069</v>
      </c>
      <c r="N830" t="s">
        <v>184</v>
      </c>
      <c r="O830">
        <v>385.69</v>
      </c>
      <c r="S830"/>
      <c r="X830"/>
    </row>
    <row r="831" spans="2:24" ht="18.75">
      <c r="B831">
        <v>13</v>
      </c>
      <c r="C831" s="5">
        <v>46104</v>
      </c>
      <c r="D831" t="s">
        <v>147</v>
      </c>
      <c r="E831">
        <v>106.11</v>
      </c>
      <c r="G831">
        <v>45</v>
      </c>
      <c r="H831" s="5">
        <v>45964</v>
      </c>
      <c r="I831" t="s">
        <v>174</v>
      </c>
      <c r="J831">
        <v>357.13</v>
      </c>
      <c r="L831">
        <v>8</v>
      </c>
      <c r="M831" s="5">
        <v>46069</v>
      </c>
      <c r="N831" t="s">
        <v>185</v>
      </c>
      <c r="O831">
        <v>800.7</v>
      </c>
      <c r="S831"/>
      <c r="X831"/>
    </row>
    <row r="832" spans="2:24" ht="18.75">
      <c r="B832">
        <v>13</v>
      </c>
      <c r="C832" s="5">
        <v>46104</v>
      </c>
      <c r="D832" t="s">
        <v>118</v>
      </c>
      <c r="E832">
        <v>55.1</v>
      </c>
      <c r="G832">
        <v>46</v>
      </c>
      <c r="H832" s="5">
        <v>45971</v>
      </c>
      <c r="I832" t="s">
        <v>160</v>
      </c>
      <c r="J832">
        <v>3543.86</v>
      </c>
      <c r="L832">
        <v>9</v>
      </c>
      <c r="M832" s="5">
        <v>46076</v>
      </c>
      <c r="N832" t="s">
        <v>178</v>
      </c>
      <c r="O832">
        <v>2106.3000000000002</v>
      </c>
      <c r="S832"/>
      <c r="X832"/>
    </row>
    <row r="833" spans="2:24" ht="18.75">
      <c r="B833">
        <v>13</v>
      </c>
      <c r="C833" s="5">
        <v>46104</v>
      </c>
      <c r="D833" t="s">
        <v>126</v>
      </c>
      <c r="E833">
        <v>43.12</v>
      </c>
      <c r="G833">
        <v>46</v>
      </c>
      <c r="H833" s="5">
        <v>45971</v>
      </c>
      <c r="I833" t="s">
        <v>158</v>
      </c>
      <c r="J833">
        <v>319.16000000000003</v>
      </c>
      <c r="L833">
        <v>9</v>
      </c>
      <c r="M833" s="5">
        <v>46076</v>
      </c>
      <c r="N833" t="s">
        <v>179</v>
      </c>
      <c r="O833">
        <v>3008.38</v>
      </c>
      <c r="S833"/>
      <c r="X833"/>
    </row>
    <row r="834" spans="2:24" ht="18.75">
      <c r="B834">
        <v>13</v>
      </c>
      <c r="C834" s="5">
        <v>46104</v>
      </c>
      <c r="D834" t="s">
        <v>113</v>
      </c>
      <c r="E834">
        <v>68.790000000000006</v>
      </c>
      <c r="G834">
        <v>46</v>
      </c>
      <c r="H834" s="5">
        <v>45971</v>
      </c>
      <c r="I834" t="s">
        <v>198</v>
      </c>
      <c r="J834">
        <v>284.16000000000003</v>
      </c>
      <c r="L834">
        <v>9</v>
      </c>
      <c r="M834" s="5">
        <v>46076</v>
      </c>
      <c r="N834" t="s">
        <v>181</v>
      </c>
      <c r="O834">
        <v>1462.91</v>
      </c>
      <c r="S834"/>
      <c r="X834"/>
    </row>
    <row r="835" spans="2:24" ht="18.75">
      <c r="B835">
        <v>13</v>
      </c>
      <c r="C835" s="5">
        <v>46104</v>
      </c>
      <c r="D835" t="s">
        <v>121</v>
      </c>
      <c r="E835">
        <v>65.19</v>
      </c>
      <c r="G835">
        <v>46</v>
      </c>
      <c r="H835" s="5">
        <v>45971</v>
      </c>
      <c r="I835" t="s">
        <v>174</v>
      </c>
      <c r="J835">
        <v>697.36</v>
      </c>
      <c r="L835">
        <v>9</v>
      </c>
      <c r="M835" s="5">
        <v>46076</v>
      </c>
      <c r="N835" t="s">
        <v>182</v>
      </c>
      <c r="O835">
        <v>2196.65</v>
      </c>
      <c r="S835"/>
      <c r="X835"/>
    </row>
    <row r="836" spans="2:24" ht="18.75">
      <c r="B836">
        <v>13</v>
      </c>
      <c r="C836" s="5">
        <v>46104</v>
      </c>
      <c r="D836" t="s">
        <v>127</v>
      </c>
      <c r="E836">
        <v>92.59</v>
      </c>
      <c r="G836">
        <v>46</v>
      </c>
      <c r="H836" s="5">
        <v>45971</v>
      </c>
      <c r="I836" t="s">
        <v>171</v>
      </c>
      <c r="J836">
        <v>335.44</v>
      </c>
      <c r="L836">
        <v>9</v>
      </c>
      <c r="M836" s="5">
        <v>46076</v>
      </c>
      <c r="N836" t="s">
        <v>183</v>
      </c>
      <c r="O836">
        <v>415.35</v>
      </c>
      <c r="S836"/>
      <c r="X836"/>
    </row>
    <row r="837" spans="2:24" ht="18.75">
      <c r="B837">
        <v>20</v>
      </c>
      <c r="C837" s="5">
        <v>46153</v>
      </c>
      <c r="D837" t="s">
        <v>111</v>
      </c>
      <c r="E837">
        <v>143.38999999999999</v>
      </c>
      <c r="G837">
        <v>46</v>
      </c>
      <c r="H837" s="5">
        <v>45971</v>
      </c>
      <c r="I837" t="s">
        <v>169</v>
      </c>
      <c r="J837">
        <v>1485</v>
      </c>
      <c r="L837">
        <v>9</v>
      </c>
      <c r="M837" s="5">
        <v>46076</v>
      </c>
      <c r="N837" t="s">
        <v>184</v>
      </c>
      <c r="O837">
        <v>525.61</v>
      </c>
      <c r="S837"/>
      <c r="X837"/>
    </row>
    <row r="838" spans="2:24" ht="18.75">
      <c r="B838">
        <v>20</v>
      </c>
      <c r="C838" s="5">
        <v>46153</v>
      </c>
      <c r="D838" t="s">
        <v>114</v>
      </c>
      <c r="E838">
        <v>327.74</v>
      </c>
      <c r="G838">
        <v>46</v>
      </c>
      <c r="H838" s="5">
        <v>45971</v>
      </c>
      <c r="I838" t="s">
        <v>170</v>
      </c>
      <c r="J838">
        <v>38</v>
      </c>
      <c r="L838">
        <v>9</v>
      </c>
      <c r="M838" s="5">
        <v>46076</v>
      </c>
      <c r="N838" t="s">
        <v>185</v>
      </c>
      <c r="O838">
        <v>595.04999999999995</v>
      </c>
      <c r="S838"/>
      <c r="X838"/>
    </row>
    <row r="839" spans="2:24" ht="18.75">
      <c r="B839">
        <v>20</v>
      </c>
      <c r="C839" s="5">
        <v>46153</v>
      </c>
      <c r="D839" t="s">
        <v>117</v>
      </c>
      <c r="E839">
        <v>175.89</v>
      </c>
      <c r="G839">
        <v>46</v>
      </c>
      <c r="H839" s="5">
        <v>45971</v>
      </c>
      <c r="I839" t="s">
        <v>176</v>
      </c>
      <c r="J839">
        <v>148.36000000000001</v>
      </c>
      <c r="L839">
        <v>9</v>
      </c>
      <c r="M839" s="5">
        <v>46076</v>
      </c>
      <c r="N839" t="s">
        <v>180</v>
      </c>
      <c r="O839">
        <v>124.5</v>
      </c>
      <c r="S839"/>
      <c r="X839"/>
    </row>
    <row r="840" spans="2:24" ht="18.75">
      <c r="B840">
        <v>20</v>
      </c>
      <c r="C840" s="5">
        <v>46153</v>
      </c>
      <c r="D840" t="s">
        <v>118</v>
      </c>
      <c r="E840">
        <v>144.80000000000001</v>
      </c>
      <c r="G840">
        <v>46</v>
      </c>
      <c r="H840" s="5">
        <v>45971</v>
      </c>
      <c r="I840" t="s">
        <v>164</v>
      </c>
      <c r="J840">
        <v>26.4</v>
      </c>
      <c r="L840">
        <v>10</v>
      </c>
      <c r="M840" s="5">
        <v>46083</v>
      </c>
      <c r="N840" t="s">
        <v>178</v>
      </c>
      <c r="O840">
        <v>2213.4</v>
      </c>
      <c r="S840"/>
      <c r="X840"/>
    </row>
    <row r="841" spans="2:24" ht="18.75">
      <c r="B841">
        <v>20</v>
      </c>
      <c r="C841" s="5">
        <v>46153</v>
      </c>
      <c r="D841" t="s">
        <v>119</v>
      </c>
      <c r="E841">
        <v>329.54</v>
      </c>
      <c r="G841">
        <v>46</v>
      </c>
      <c r="H841" s="5">
        <v>45971</v>
      </c>
      <c r="I841" t="s">
        <v>163</v>
      </c>
      <c r="J841">
        <v>349.59</v>
      </c>
      <c r="L841">
        <v>10</v>
      </c>
      <c r="M841" s="5">
        <v>46083</v>
      </c>
      <c r="N841" t="s">
        <v>179</v>
      </c>
      <c r="O841">
        <v>3316.68</v>
      </c>
      <c r="S841"/>
      <c r="X841"/>
    </row>
    <row r="842" spans="2:24" ht="18.75">
      <c r="B842">
        <v>20</v>
      </c>
      <c r="C842" s="5">
        <v>46153</v>
      </c>
      <c r="D842" t="s">
        <v>121</v>
      </c>
      <c r="E842">
        <v>172.73</v>
      </c>
      <c r="G842">
        <v>46</v>
      </c>
      <c r="H842" s="5">
        <v>45971</v>
      </c>
      <c r="I842" t="s">
        <v>168</v>
      </c>
      <c r="J842">
        <v>344.28</v>
      </c>
      <c r="L842">
        <v>10</v>
      </c>
      <c r="M842" s="5">
        <v>46083</v>
      </c>
      <c r="N842" t="s">
        <v>180</v>
      </c>
      <c r="O842">
        <v>146.69999999999999</v>
      </c>
      <c r="S842"/>
      <c r="X842"/>
    </row>
    <row r="843" spans="2:24" ht="18.75">
      <c r="B843">
        <v>20</v>
      </c>
      <c r="C843" s="5">
        <v>46153</v>
      </c>
      <c r="D843" t="s">
        <v>122</v>
      </c>
      <c r="E843">
        <v>196.8</v>
      </c>
      <c r="G843">
        <v>46</v>
      </c>
      <c r="H843" s="5">
        <v>45971</v>
      </c>
      <c r="I843" t="s">
        <v>172</v>
      </c>
      <c r="J843">
        <v>67.66</v>
      </c>
      <c r="L843">
        <v>10</v>
      </c>
      <c r="M843" s="5">
        <v>46083</v>
      </c>
      <c r="N843" t="s">
        <v>181</v>
      </c>
      <c r="O843">
        <v>1732.67</v>
      </c>
      <c r="S843"/>
      <c r="X843"/>
    </row>
    <row r="844" spans="2:24" ht="18.75">
      <c r="B844">
        <v>20</v>
      </c>
      <c r="C844" s="5">
        <v>46153</v>
      </c>
      <c r="D844" t="s">
        <v>123</v>
      </c>
      <c r="E844">
        <v>431.08</v>
      </c>
      <c r="G844">
        <v>46</v>
      </c>
      <c r="H844" s="5">
        <v>45971</v>
      </c>
      <c r="I844" t="s">
        <v>173</v>
      </c>
      <c r="J844">
        <v>502.85</v>
      </c>
      <c r="L844">
        <v>10</v>
      </c>
      <c r="M844" s="5">
        <v>46083</v>
      </c>
      <c r="N844" t="s">
        <v>182</v>
      </c>
      <c r="O844">
        <v>2169.88</v>
      </c>
      <c r="S844"/>
      <c r="X844"/>
    </row>
    <row r="845" spans="2:24" ht="18.75">
      <c r="B845">
        <v>20</v>
      </c>
      <c r="C845" s="5">
        <v>46153</v>
      </c>
      <c r="D845" t="s">
        <v>124</v>
      </c>
      <c r="E845">
        <v>358.22</v>
      </c>
      <c r="G845">
        <v>46</v>
      </c>
      <c r="H845" s="5">
        <v>45971</v>
      </c>
      <c r="I845" t="s">
        <v>175</v>
      </c>
      <c r="J845">
        <v>238.84</v>
      </c>
      <c r="L845">
        <v>10</v>
      </c>
      <c r="M845" s="5">
        <v>46083</v>
      </c>
      <c r="N845" t="s">
        <v>183</v>
      </c>
      <c r="O845">
        <v>550.41999999999996</v>
      </c>
      <c r="S845"/>
      <c r="X845"/>
    </row>
    <row r="846" spans="2:24" ht="18.75">
      <c r="B846">
        <v>20</v>
      </c>
      <c r="C846" s="5">
        <v>46153</v>
      </c>
      <c r="D846" t="s">
        <v>126</v>
      </c>
      <c r="E846">
        <v>115.31</v>
      </c>
      <c r="G846">
        <v>46</v>
      </c>
      <c r="H846" s="5">
        <v>45971</v>
      </c>
      <c r="I846" t="s">
        <v>165</v>
      </c>
      <c r="J846">
        <v>384.05</v>
      </c>
      <c r="L846">
        <v>10</v>
      </c>
      <c r="M846" s="5">
        <v>46083</v>
      </c>
      <c r="N846" t="s">
        <v>184</v>
      </c>
      <c r="O846">
        <v>500.11</v>
      </c>
      <c r="S846"/>
      <c r="X846"/>
    </row>
    <row r="847" spans="2:24" ht="18.75">
      <c r="B847">
        <v>20</v>
      </c>
      <c r="C847" s="5">
        <v>46153</v>
      </c>
      <c r="D847" t="s">
        <v>128</v>
      </c>
      <c r="E847">
        <v>130.41999999999999</v>
      </c>
      <c r="G847">
        <v>47</v>
      </c>
      <c r="H847" s="5">
        <v>45978</v>
      </c>
      <c r="I847" t="s">
        <v>160</v>
      </c>
      <c r="J847">
        <v>4080.48</v>
      </c>
      <c r="L847">
        <v>10</v>
      </c>
      <c r="M847" s="5">
        <v>46083</v>
      </c>
      <c r="N847" t="s">
        <v>185</v>
      </c>
      <c r="O847">
        <v>840.75</v>
      </c>
      <c r="S847"/>
      <c r="X847"/>
    </row>
    <row r="848" spans="2:24" ht="18.75">
      <c r="B848">
        <v>20</v>
      </c>
      <c r="C848" s="5">
        <v>46153</v>
      </c>
      <c r="D848" t="s">
        <v>130</v>
      </c>
      <c r="E848">
        <v>245.93</v>
      </c>
      <c r="G848">
        <v>47</v>
      </c>
      <c r="H848" s="5">
        <v>45978</v>
      </c>
      <c r="I848" t="s">
        <v>198</v>
      </c>
      <c r="J848">
        <v>1040.6199999999999</v>
      </c>
      <c r="L848">
        <v>11</v>
      </c>
      <c r="M848" s="5">
        <v>46090</v>
      </c>
      <c r="N848" t="s">
        <v>178</v>
      </c>
      <c r="O848">
        <v>1350.65</v>
      </c>
      <c r="S848"/>
      <c r="X848"/>
    </row>
    <row r="849" spans="2:24" ht="18.75">
      <c r="B849">
        <v>20</v>
      </c>
      <c r="C849" s="5">
        <v>46153</v>
      </c>
      <c r="D849" t="s">
        <v>131</v>
      </c>
      <c r="E849">
        <v>185.99</v>
      </c>
      <c r="G849">
        <v>47</v>
      </c>
      <c r="H849" s="5">
        <v>45978</v>
      </c>
      <c r="I849" t="s">
        <v>158</v>
      </c>
      <c r="J849">
        <v>355.52</v>
      </c>
      <c r="L849">
        <v>11</v>
      </c>
      <c r="M849" s="5">
        <v>46090</v>
      </c>
      <c r="N849" t="s">
        <v>179</v>
      </c>
      <c r="O849">
        <v>1991.41</v>
      </c>
      <c r="S849"/>
      <c r="X849"/>
    </row>
    <row r="850" spans="2:24" ht="18.75">
      <c r="B850">
        <v>20</v>
      </c>
      <c r="C850" s="5">
        <v>46153</v>
      </c>
      <c r="D850" t="s">
        <v>132</v>
      </c>
      <c r="E850">
        <v>136.05000000000001</v>
      </c>
      <c r="G850">
        <v>47</v>
      </c>
      <c r="H850" s="5">
        <v>45978</v>
      </c>
      <c r="I850" t="s">
        <v>165</v>
      </c>
      <c r="J850">
        <v>90.25</v>
      </c>
      <c r="L850">
        <v>11</v>
      </c>
      <c r="M850" s="5">
        <v>46090</v>
      </c>
      <c r="N850" t="s">
        <v>180</v>
      </c>
      <c r="O850">
        <v>28.2</v>
      </c>
      <c r="S850"/>
      <c r="X850"/>
    </row>
    <row r="851" spans="2:24" ht="18.75">
      <c r="B851">
        <v>20</v>
      </c>
      <c r="C851" s="5">
        <v>46153</v>
      </c>
      <c r="D851" t="s">
        <v>133</v>
      </c>
      <c r="E851">
        <v>267.63</v>
      </c>
      <c r="G851">
        <v>47</v>
      </c>
      <c r="H851" s="5">
        <v>45978</v>
      </c>
      <c r="I851" t="s">
        <v>174</v>
      </c>
      <c r="J851">
        <v>699.42</v>
      </c>
      <c r="L851">
        <v>11</v>
      </c>
      <c r="M851" s="5">
        <v>46090</v>
      </c>
      <c r="N851" t="s">
        <v>181</v>
      </c>
      <c r="O851">
        <v>1285.8800000000001</v>
      </c>
      <c r="S851"/>
      <c r="X851"/>
    </row>
    <row r="852" spans="2:24" ht="18.75">
      <c r="B852">
        <v>20</v>
      </c>
      <c r="C852" s="5">
        <v>46153</v>
      </c>
      <c r="D852" t="s">
        <v>134</v>
      </c>
      <c r="E852">
        <v>281.32</v>
      </c>
      <c r="G852">
        <v>47</v>
      </c>
      <c r="H852" s="5">
        <v>45978</v>
      </c>
      <c r="I852" t="s">
        <v>171</v>
      </c>
      <c r="J852">
        <v>361.92</v>
      </c>
      <c r="L852">
        <v>11</v>
      </c>
      <c r="M852" s="5">
        <v>46090</v>
      </c>
      <c r="N852" t="s">
        <v>182</v>
      </c>
      <c r="O852">
        <v>1170.3699999999999</v>
      </c>
      <c r="S852"/>
      <c r="X852"/>
    </row>
    <row r="853" spans="2:24" ht="18.75">
      <c r="B853">
        <v>20</v>
      </c>
      <c r="C853" s="5">
        <v>46153</v>
      </c>
      <c r="D853" t="s">
        <v>135</v>
      </c>
      <c r="E853">
        <v>83.95</v>
      </c>
      <c r="G853">
        <v>47</v>
      </c>
      <c r="H853" s="5">
        <v>45978</v>
      </c>
      <c r="I853" t="s">
        <v>169</v>
      </c>
      <c r="J853">
        <v>1915.2</v>
      </c>
      <c r="L853">
        <v>11</v>
      </c>
      <c r="M853" s="5">
        <v>46090</v>
      </c>
      <c r="N853" t="s">
        <v>183</v>
      </c>
      <c r="O853">
        <v>275.52</v>
      </c>
      <c r="S853"/>
      <c r="X853"/>
    </row>
    <row r="854" spans="2:24" ht="18.75">
      <c r="B854">
        <v>20</v>
      </c>
      <c r="C854" s="5">
        <v>46153</v>
      </c>
      <c r="D854" t="s">
        <v>136</v>
      </c>
      <c r="E854">
        <v>130.19</v>
      </c>
      <c r="G854">
        <v>47</v>
      </c>
      <c r="H854" s="5">
        <v>45978</v>
      </c>
      <c r="I854" t="s">
        <v>170</v>
      </c>
      <c r="J854">
        <v>50</v>
      </c>
      <c r="L854">
        <v>11</v>
      </c>
      <c r="M854" s="5">
        <v>46090</v>
      </c>
      <c r="N854" t="s">
        <v>184</v>
      </c>
      <c r="O854">
        <v>274.93</v>
      </c>
      <c r="S854"/>
      <c r="X854"/>
    </row>
    <row r="855" spans="2:24" ht="18.75">
      <c r="B855">
        <v>20</v>
      </c>
      <c r="C855" s="5">
        <v>46153</v>
      </c>
      <c r="D855" t="s">
        <v>137</v>
      </c>
      <c r="E855">
        <v>79.63</v>
      </c>
      <c r="G855">
        <v>47</v>
      </c>
      <c r="H855" s="5">
        <v>45978</v>
      </c>
      <c r="I855" t="s">
        <v>176</v>
      </c>
      <c r="J855">
        <v>158.56</v>
      </c>
      <c r="L855">
        <v>11</v>
      </c>
      <c r="M855" s="5">
        <v>46090</v>
      </c>
      <c r="N855" t="s">
        <v>185</v>
      </c>
      <c r="O855">
        <v>531.15</v>
      </c>
      <c r="S855"/>
      <c r="X855"/>
    </row>
    <row r="856" spans="2:24" ht="18.75">
      <c r="B856">
        <v>20</v>
      </c>
      <c r="C856" s="5">
        <v>46153</v>
      </c>
      <c r="D856" t="s">
        <v>138</v>
      </c>
      <c r="E856">
        <v>418.68</v>
      </c>
      <c r="G856">
        <v>47</v>
      </c>
      <c r="H856" s="5">
        <v>45978</v>
      </c>
      <c r="I856" t="s">
        <v>164</v>
      </c>
      <c r="J856">
        <v>16.8</v>
      </c>
      <c r="N856"/>
      <c r="S856"/>
      <c r="X856"/>
    </row>
    <row r="857" spans="2:24" ht="18.75">
      <c r="B857">
        <v>20</v>
      </c>
      <c r="C857" s="5">
        <v>46153</v>
      </c>
      <c r="D857" t="s">
        <v>141</v>
      </c>
      <c r="E857">
        <v>415.7</v>
      </c>
      <c r="G857">
        <v>47</v>
      </c>
      <c r="H857" s="5">
        <v>45978</v>
      </c>
      <c r="I857" t="s">
        <v>163</v>
      </c>
      <c r="J857">
        <v>385.71</v>
      </c>
      <c r="N857"/>
      <c r="S857"/>
      <c r="X857"/>
    </row>
    <row r="858" spans="2:24" ht="18.75">
      <c r="B858">
        <v>20</v>
      </c>
      <c r="C858" s="5">
        <v>46153</v>
      </c>
      <c r="D858" t="s">
        <v>142</v>
      </c>
      <c r="E858">
        <v>110.61</v>
      </c>
      <c r="G858">
        <v>47</v>
      </c>
      <c r="H858" s="5">
        <v>45978</v>
      </c>
      <c r="I858" t="s">
        <v>168</v>
      </c>
      <c r="J858">
        <v>392.02</v>
      </c>
      <c r="N858"/>
      <c r="S858"/>
      <c r="X858"/>
    </row>
    <row r="859" spans="2:24" ht="18.75">
      <c r="B859">
        <v>20</v>
      </c>
      <c r="C859" s="5">
        <v>46153</v>
      </c>
      <c r="D859" t="s">
        <v>139</v>
      </c>
      <c r="E859">
        <v>259.08999999999997</v>
      </c>
      <c r="G859">
        <v>47</v>
      </c>
      <c r="H859" s="5">
        <v>45978</v>
      </c>
      <c r="I859" t="s">
        <v>172</v>
      </c>
      <c r="J859">
        <v>67.66</v>
      </c>
      <c r="N859"/>
      <c r="S859"/>
      <c r="X859"/>
    </row>
    <row r="860" spans="2:24" ht="18.75">
      <c r="B860">
        <v>20</v>
      </c>
      <c r="C860" s="5">
        <v>46153</v>
      </c>
      <c r="D860" t="s">
        <v>143</v>
      </c>
      <c r="E860">
        <v>1213.42</v>
      </c>
      <c r="G860">
        <v>47</v>
      </c>
      <c r="H860" s="5">
        <v>45978</v>
      </c>
      <c r="I860" t="s">
        <v>173</v>
      </c>
      <c r="J860">
        <v>742.15</v>
      </c>
      <c r="N860"/>
      <c r="S860"/>
      <c r="X860"/>
    </row>
    <row r="861" spans="2:24" ht="18.75">
      <c r="B861">
        <v>20</v>
      </c>
      <c r="C861" s="5">
        <v>46153</v>
      </c>
      <c r="D861" t="s">
        <v>144</v>
      </c>
      <c r="E861">
        <v>531.84</v>
      </c>
      <c r="G861">
        <v>47</v>
      </c>
      <c r="H861" s="5">
        <v>45978</v>
      </c>
      <c r="I861" t="s">
        <v>175</v>
      </c>
      <c r="J861">
        <v>311.75</v>
      </c>
      <c r="N861"/>
      <c r="S861"/>
      <c r="X861"/>
    </row>
    <row r="862" spans="2:24" ht="18.75">
      <c r="B862">
        <v>20</v>
      </c>
      <c r="C862" s="5">
        <v>46153</v>
      </c>
      <c r="D862" t="s">
        <v>216</v>
      </c>
      <c r="E862">
        <v>707.57</v>
      </c>
      <c r="G862">
        <v>47</v>
      </c>
      <c r="H862" s="5">
        <v>45978</v>
      </c>
      <c r="I862" t="s">
        <v>204</v>
      </c>
      <c r="J862">
        <v>24.95</v>
      </c>
      <c r="N862"/>
      <c r="S862"/>
      <c r="X862"/>
    </row>
    <row r="863" spans="2:24" ht="18.75">
      <c r="B863">
        <v>20</v>
      </c>
      <c r="C863" s="5">
        <v>46153</v>
      </c>
      <c r="D863" t="s">
        <v>145</v>
      </c>
      <c r="E863">
        <v>203.88</v>
      </c>
      <c r="G863">
        <v>48</v>
      </c>
      <c r="H863" s="5">
        <v>45985</v>
      </c>
      <c r="I863" t="s">
        <v>160</v>
      </c>
      <c r="J863">
        <v>3767.28</v>
      </c>
      <c r="N863"/>
      <c r="S863"/>
      <c r="X863"/>
    </row>
    <row r="864" spans="2:24" ht="18.75">
      <c r="B864">
        <v>20</v>
      </c>
      <c r="C864" s="5">
        <v>46153</v>
      </c>
      <c r="D864" t="s">
        <v>146</v>
      </c>
      <c r="E864">
        <v>480.29</v>
      </c>
      <c r="G864">
        <v>48</v>
      </c>
      <c r="H864" s="5">
        <v>45985</v>
      </c>
      <c r="I864" t="s">
        <v>158</v>
      </c>
      <c r="J864">
        <v>307.04000000000002</v>
      </c>
      <c r="N864"/>
      <c r="S864"/>
      <c r="X864"/>
    </row>
    <row r="865" spans="2:24" ht="18.75">
      <c r="B865">
        <v>20</v>
      </c>
      <c r="C865" s="5">
        <v>46153</v>
      </c>
      <c r="D865" t="s">
        <v>148</v>
      </c>
      <c r="E865">
        <v>74.87</v>
      </c>
      <c r="G865">
        <v>48</v>
      </c>
      <c r="H865" s="5">
        <v>45985</v>
      </c>
      <c r="I865" t="s">
        <v>165</v>
      </c>
      <c r="J865">
        <v>852.3</v>
      </c>
      <c r="N865"/>
      <c r="S865"/>
      <c r="X865"/>
    </row>
    <row r="866" spans="2:24" ht="18.75">
      <c r="B866">
        <v>20</v>
      </c>
      <c r="C866" s="5">
        <v>46153</v>
      </c>
      <c r="D866" t="s">
        <v>147</v>
      </c>
      <c r="E866">
        <v>313.26</v>
      </c>
      <c r="G866">
        <v>48</v>
      </c>
      <c r="H866" s="5">
        <v>45985</v>
      </c>
      <c r="I866" t="s">
        <v>171</v>
      </c>
      <c r="J866">
        <v>694.62</v>
      </c>
      <c r="N866"/>
      <c r="S866"/>
      <c r="X866"/>
    </row>
    <row r="867" spans="2:24" ht="18.75">
      <c r="B867">
        <v>20</v>
      </c>
      <c r="C867" s="5">
        <v>46153</v>
      </c>
      <c r="D867" t="s">
        <v>150</v>
      </c>
      <c r="E867">
        <v>69.39</v>
      </c>
      <c r="G867">
        <v>48</v>
      </c>
      <c r="H867" s="5">
        <v>45985</v>
      </c>
      <c r="I867" t="s">
        <v>174</v>
      </c>
      <c r="J867">
        <v>309.32</v>
      </c>
      <c r="N867"/>
      <c r="S867"/>
      <c r="X867"/>
    </row>
    <row r="868" spans="2:24" ht="18.75">
      <c r="B868">
        <v>20</v>
      </c>
      <c r="C868" s="5">
        <v>46153</v>
      </c>
      <c r="D868" t="s">
        <v>151</v>
      </c>
      <c r="E868">
        <v>669.04</v>
      </c>
      <c r="G868">
        <v>48</v>
      </c>
      <c r="H868" s="5">
        <v>45985</v>
      </c>
      <c r="I868" t="s">
        <v>169</v>
      </c>
      <c r="J868">
        <v>1871.45</v>
      </c>
      <c r="N868"/>
      <c r="S868"/>
      <c r="X868"/>
    </row>
    <row r="869" spans="2:24" ht="18.75">
      <c r="B869">
        <v>20</v>
      </c>
      <c r="C869" s="5">
        <v>46153</v>
      </c>
      <c r="D869" t="s">
        <v>112</v>
      </c>
      <c r="E869">
        <v>63.54</v>
      </c>
      <c r="G869">
        <v>48</v>
      </c>
      <c r="H869" s="5">
        <v>45985</v>
      </c>
      <c r="I869" t="s">
        <v>170</v>
      </c>
      <c r="J869">
        <v>72</v>
      </c>
      <c r="N869"/>
      <c r="S869"/>
      <c r="X869"/>
    </row>
    <row r="870" spans="2:24" ht="18.75">
      <c r="B870">
        <v>20</v>
      </c>
      <c r="C870" s="5">
        <v>46153</v>
      </c>
      <c r="D870" t="s">
        <v>113</v>
      </c>
      <c r="E870">
        <v>187.95</v>
      </c>
      <c r="G870">
        <v>48</v>
      </c>
      <c r="H870" s="5">
        <v>45985</v>
      </c>
      <c r="I870" t="s">
        <v>176</v>
      </c>
      <c r="J870">
        <v>162.4</v>
      </c>
      <c r="N870"/>
      <c r="S870"/>
      <c r="X870"/>
    </row>
    <row r="871" spans="2:24" ht="18.75">
      <c r="B871">
        <v>20</v>
      </c>
      <c r="C871" s="5">
        <v>46153</v>
      </c>
      <c r="D871" t="s">
        <v>116</v>
      </c>
      <c r="E871">
        <v>56.79</v>
      </c>
      <c r="G871">
        <v>48</v>
      </c>
      <c r="H871" s="5">
        <v>45985</v>
      </c>
      <c r="I871" t="s">
        <v>164</v>
      </c>
      <c r="J871">
        <v>18</v>
      </c>
      <c r="N871"/>
      <c r="S871"/>
      <c r="X871"/>
    </row>
    <row r="872" spans="2:24" ht="18.75">
      <c r="B872">
        <v>20</v>
      </c>
      <c r="C872" s="5">
        <v>46153</v>
      </c>
      <c r="D872" t="s">
        <v>120</v>
      </c>
      <c r="E872">
        <v>92.99</v>
      </c>
      <c r="G872">
        <v>48</v>
      </c>
      <c r="H872" s="5">
        <v>45985</v>
      </c>
      <c r="I872" t="s">
        <v>163</v>
      </c>
      <c r="J872">
        <v>334.11</v>
      </c>
      <c r="N872"/>
      <c r="S872"/>
      <c r="X872"/>
    </row>
    <row r="873" spans="2:24" ht="18.75">
      <c r="B873">
        <v>20</v>
      </c>
      <c r="C873" s="5">
        <v>46153</v>
      </c>
      <c r="D873" t="s">
        <v>125</v>
      </c>
      <c r="E873">
        <v>67.819999999999993</v>
      </c>
      <c r="G873">
        <v>48</v>
      </c>
      <c r="H873" s="5">
        <v>45985</v>
      </c>
      <c r="I873" t="s">
        <v>168</v>
      </c>
      <c r="J873">
        <v>413.8</v>
      </c>
      <c r="N873"/>
      <c r="S873"/>
      <c r="X873"/>
    </row>
    <row r="874" spans="2:24" ht="18.75">
      <c r="B874">
        <v>20</v>
      </c>
      <c r="C874" s="5">
        <v>46153</v>
      </c>
      <c r="D874" t="s">
        <v>129</v>
      </c>
      <c r="E874">
        <v>423.2</v>
      </c>
      <c r="G874">
        <v>48</v>
      </c>
      <c r="H874" s="5">
        <v>45985</v>
      </c>
      <c r="I874" t="s">
        <v>172</v>
      </c>
      <c r="J874">
        <v>91.54</v>
      </c>
      <c r="N874"/>
      <c r="S874"/>
      <c r="X874"/>
    </row>
    <row r="875" spans="2:24" ht="18.75">
      <c r="B875">
        <v>20</v>
      </c>
      <c r="C875" s="5">
        <v>46153</v>
      </c>
      <c r="D875" t="s">
        <v>127</v>
      </c>
      <c r="E875">
        <v>155.52000000000001</v>
      </c>
      <c r="G875">
        <v>48</v>
      </c>
      <c r="H875" s="5">
        <v>45985</v>
      </c>
      <c r="I875" t="s">
        <v>173</v>
      </c>
      <c r="J875">
        <v>510.95</v>
      </c>
      <c r="N875"/>
      <c r="S875"/>
      <c r="X875"/>
    </row>
    <row r="876" spans="2:24" ht="18.75">
      <c r="B876">
        <v>20</v>
      </c>
      <c r="C876" s="5">
        <v>46153</v>
      </c>
      <c r="D876" t="s">
        <v>115</v>
      </c>
      <c r="E876">
        <v>513.29999999999995</v>
      </c>
      <c r="G876">
        <v>48</v>
      </c>
      <c r="H876" s="5">
        <v>45985</v>
      </c>
      <c r="I876" t="s">
        <v>175</v>
      </c>
      <c r="J876">
        <v>96.8</v>
      </c>
      <c r="N876"/>
      <c r="S876"/>
      <c r="X876"/>
    </row>
    <row r="877" spans="2:24" ht="18.75">
      <c r="B877">
        <v>21</v>
      </c>
      <c r="C877" s="5">
        <v>46160</v>
      </c>
      <c r="D877" t="s">
        <v>111</v>
      </c>
      <c r="E877">
        <v>176.53</v>
      </c>
      <c r="G877">
        <v>48</v>
      </c>
      <c r="H877" s="5">
        <v>45985</v>
      </c>
      <c r="I877" t="s">
        <v>198</v>
      </c>
      <c r="J877">
        <v>473.6</v>
      </c>
      <c r="N877"/>
      <c r="S877"/>
      <c r="X877"/>
    </row>
    <row r="878" spans="2:24" ht="18.75">
      <c r="B878">
        <v>21</v>
      </c>
      <c r="C878" s="5">
        <v>46160</v>
      </c>
      <c r="D878" t="s">
        <v>112</v>
      </c>
      <c r="E878">
        <v>88.62</v>
      </c>
      <c r="G878">
        <v>49</v>
      </c>
      <c r="H878" s="5">
        <v>45992</v>
      </c>
      <c r="I878" t="s">
        <v>160</v>
      </c>
      <c r="J878">
        <v>4331.3</v>
      </c>
      <c r="N878"/>
      <c r="S878"/>
      <c r="X878"/>
    </row>
    <row r="879" spans="2:24" ht="18.75">
      <c r="B879">
        <v>21</v>
      </c>
      <c r="C879" s="5">
        <v>46160</v>
      </c>
      <c r="D879" t="s">
        <v>113</v>
      </c>
      <c r="E879">
        <v>147.15</v>
      </c>
      <c r="G879">
        <v>49</v>
      </c>
      <c r="H879" s="5">
        <v>45992</v>
      </c>
      <c r="I879" t="s">
        <v>165</v>
      </c>
      <c r="J879">
        <v>186</v>
      </c>
      <c r="N879"/>
      <c r="S879"/>
      <c r="X879"/>
    </row>
    <row r="880" spans="2:24" ht="18.75">
      <c r="B880">
        <v>21</v>
      </c>
      <c r="C880" s="5">
        <v>46160</v>
      </c>
      <c r="D880" t="s">
        <v>114</v>
      </c>
      <c r="E880">
        <v>527.26</v>
      </c>
      <c r="G880">
        <v>49</v>
      </c>
      <c r="H880" s="5">
        <v>45992</v>
      </c>
      <c r="I880" t="s">
        <v>171</v>
      </c>
      <c r="J880">
        <v>749.14</v>
      </c>
      <c r="N880"/>
      <c r="S880"/>
      <c r="X880"/>
    </row>
    <row r="881" spans="2:24" ht="18.75">
      <c r="B881">
        <v>21</v>
      </c>
      <c r="C881" s="5">
        <v>46160</v>
      </c>
      <c r="D881" t="s">
        <v>116</v>
      </c>
      <c r="E881">
        <v>129.35</v>
      </c>
      <c r="G881">
        <v>49</v>
      </c>
      <c r="H881" s="5">
        <v>45992</v>
      </c>
      <c r="I881" t="s">
        <v>198</v>
      </c>
      <c r="J881">
        <v>1132.5</v>
      </c>
      <c r="N881"/>
      <c r="S881"/>
      <c r="X881"/>
    </row>
    <row r="882" spans="2:24" ht="18.75">
      <c r="B882">
        <v>21</v>
      </c>
      <c r="C882" s="5">
        <v>46160</v>
      </c>
      <c r="D882" t="s">
        <v>117</v>
      </c>
      <c r="E882">
        <v>262.58</v>
      </c>
      <c r="G882">
        <v>49</v>
      </c>
      <c r="H882" s="5">
        <v>45992</v>
      </c>
      <c r="I882" t="s">
        <v>169</v>
      </c>
      <c r="J882">
        <v>2231.5</v>
      </c>
      <c r="N882"/>
      <c r="S882"/>
      <c r="X882"/>
    </row>
    <row r="883" spans="2:24" ht="18.75">
      <c r="B883">
        <v>21</v>
      </c>
      <c r="C883" s="5">
        <v>46160</v>
      </c>
      <c r="D883" t="s">
        <v>118</v>
      </c>
      <c r="E883">
        <v>98.97</v>
      </c>
      <c r="G883">
        <v>49</v>
      </c>
      <c r="H883" s="5">
        <v>45992</v>
      </c>
      <c r="I883" t="s">
        <v>170</v>
      </c>
      <c r="J883">
        <v>16</v>
      </c>
      <c r="N883"/>
      <c r="S883"/>
      <c r="X883"/>
    </row>
    <row r="884" spans="2:24" ht="18.75">
      <c r="B884">
        <v>21</v>
      </c>
      <c r="C884" s="5">
        <v>46160</v>
      </c>
      <c r="D884" t="s">
        <v>119</v>
      </c>
      <c r="E884">
        <v>305.06</v>
      </c>
      <c r="G884">
        <v>49</v>
      </c>
      <c r="H884" s="5">
        <v>45992</v>
      </c>
      <c r="I884" t="s">
        <v>164</v>
      </c>
      <c r="J884">
        <v>18</v>
      </c>
      <c r="N884"/>
      <c r="S884"/>
      <c r="X884"/>
    </row>
    <row r="885" spans="2:24" ht="18.75">
      <c r="B885">
        <v>21</v>
      </c>
      <c r="C885" s="5">
        <v>46160</v>
      </c>
      <c r="D885" t="s">
        <v>120</v>
      </c>
      <c r="E885">
        <v>96.82</v>
      </c>
      <c r="G885">
        <v>49</v>
      </c>
      <c r="H885" s="5">
        <v>45992</v>
      </c>
      <c r="I885" t="s">
        <v>176</v>
      </c>
      <c r="J885">
        <v>107.68</v>
      </c>
      <c r="N885"/>
      <c r="S885"/>
      <c r="X885"/>
    </row>
    <row r="886" spans="2:24" ht="18.75">
      <c r="B886">
        <v>21</v>
      </c>
      <c r="C886" s="5">
        <v>46160</v>
      </c>
      <c r="D886" t="s">
        <v>121</v>
      </c>
      <c r="E886">
        <v>99.97</v>
      </c>
      <c r="G886">
        <v>49</v>
      </c>
      <c r="H886" s="5">
        <v>45992</v>
      </c>
      <c r="I886" t="s">
        <v>163</v>
      </c>
      <c r="J886">
        <v>321.20999999999998</v>
      </c>
      <c r="N886"/>
      <c r="S886"/>
      <c r="X886"/>
    </row>
    <row r="887" spans="2:24" ht="18.75">
      <c r="B887">
        <v>21</v>
      </c>
      <c r="C887" s="5">
        <v>46160</v>
      </c>
      <c r="D887" t="s">
        <v>122</v>
      </c>
      <c r="E887">
        <v>288.49</v>
      </c>
      <c r="G887">
        <v>49</v>
      </c>
      <c r="H887" s="5">
        <v>45992</v>
      </c>
      <c r="I887" t="s">
        <v>168</v>
      </c>
      <c r="J887">
        <v>345.48</v>
      </c>
      <c r="N887"/>
      <c r="S887"/>
      <c r="X887"/>
    </row>
    <row r="888" spans="2:24" ht="18.75">
      <c r="B888">
        <v>21</v>
      </c>
      <c r="C888" s="5">
        <v>46160</v>
      </c>
      <c r="D888" t="s">
        <v>123</v>
      </c>
      <c r="E888">
        <v>261.98</v>
      </c>
      <c r="G888">
        <v>49</v>
      </c>
      <c r="H888" s="5">
        <v>45992</v>
      </c>
      <c r="I888" t="s">
        <v>172</v>
      </c>
      <c r="J888">
        <v>65.67</v>
      </c>
      <c r="N888"/>
      <c r="S888"/>
      <c r="X888"/>
    </row>
    <row r="889" spans="2:24" ht="18.75">
      <c r="B889">
        <v>21</v>
      </c>
      <c r="C889" s="5">
        <v>46160</v>
      </c>
      <c r="D889" t="s">
        <v>125</v>
      </c>
      <c r="E889">
        <v>85.69</v>
      </c>
      <c r="G889">
        <v>49</v>
      </c>
      <c r="H889" s="5">
        <v>45992</v>
      </c>
      <c r="I889" t="s">
        <v>173</v>
      </c>
      <c r="J889">
        <v>820.9</v>
      </c>
      <c r="N889"/>
      <c r="S889"/>
      <c r="X889"/>
    </row>
    <row r="890" spans="2:24" ht="18.75">
      <c r="B890">
        <v>21</v>
      </c>
      <c r="C890" s="5">
        <v>46160</v>
      </c>
      <c r="D890" t="s">
        <v>126</v>
      </c>
      <c r="E890">
        <v>184.73</v>
      </c>
      <c r="G890">
        <v>49</v>
      </c>
      <c r="H890" s="5">
        <v>45992</v>
      </c>
      <c r="I890" t="s">
        <v>175</v>
      </c>
      <c r="J890">
        <v>335.25</v>
      </c>
      <c r="N890"/>
      <c r="S890"/>
      <c r="X890"/>
    </row>
    <row r="891" spans="2:24" ht="18.75">
      <c r="B891">
        <v>21</v>
      </c>
      <c r="C891" s="5">
        <v>46160</v>
      </c>
      <c r="D891" t="s">
        <v>130</v>
      </c>
      <c r="E891">
        <v>293.93</v>
      </c>
      <c r="G891">
        <v>49</v>
      </c>
      <c r="H891" s="5">
        <v>45992</v>
      </c>
      <c r="I891" t="s">
        <v>174</v>
      </c>
      <c r="J891">
        <v>487.91</v>
      </c>
      <c r="N891"/>
      <c r="S891"/>
      <c r="X891"/>
    </row>
    <row r="892" spans="2:24" ht="18.75">
      <c r="B892">
        <v>21</v>
      </c>
      <c r="C892" s="5">
        <v>46160</v>
      </c>
      <c r="D892" t="s">
        <v>131</v>
      </c>
      <c r="E892">
        <v>205.33</v>
      </c>
      <c r="G892">
        <v>49</v>
      </c>
      <c r="H892" s="5">
        <v>45992</v>
      </c>
      <c r="I892" t="s">
        <v>158</v>
      </c>
      <c r="J892">
        <v>383.8</v>
      </c>
      <c r="N892"/>
      <c r="S892"/>
      <c r="X892"/>
    </row>
    <row r="893" spans="2:24" ht="18.75">
      <c r="B893">
        <v>21</v>
      </c>
      <c r="C893" s="5">
        <v>46160</v>
      </c>
      <c r="D893" t="s">
        <v>132</v>
      </c>
      <c r="E893">
        <v>230.12</v>
      </c>
      <c r="G893">
        <v>50</v>
      </c>
      <c r="H893" s="5">
        <v>45999</v>
      </c>
      <c r="I893" t="s">
        <v>160</v>
      </c>
      <c r="J893">
        <v>4415.1400000000003</v>
      </c>
      <c r="N893"/>
      <c r="S893"/>
      <c r="X893"/>
    </row>
    <row r="894" spans="2:24" ht="18.75">
      <c r="B894">
        <v>21</v>
      </c>
      <c r="C894" s="5">
        <v>46160</v>
      </c>
      <c r="D894" t="s">
        <v>133</v>
      </c>
      <c r="E894">
        <v>362.15</v>
      </c>
      <c r="G894">
        <v>50</v>
      </c>
      <c r="H894" s="5">
        <v>45999</v>
      </c>
      <c r="I894" t="s">
        <v>198</v>
      </c>
      <c r="J894">
        <v>1855.42</v>
      </c>
      <c r="N894"/>
      <c r="S894"/>
      <c r="X894"/>
    </row>
    <row r="895" spans="2:24" ht="18.75">
      <c r="B895">
        <v>21</v>
      </c>
      <c r="C895" s="5">
        <v>46160</v>
      </c>
      <c r="D895" t="s">
        <v>134</v>
      </c>
      <c r="E895">
        <v>365.75</v>
      </c>
      <c r="G895">
        <v>50</v>
      </c>
      <c r="H895" s="5">
        <v>45999</v>
      </c>
      <c r="I895" t="s">
        <v>158</v>
      </c>
      <c r="J895">
        <v>618.12</v>
      </c>
      <c r="N895"/>
      <c r="S895"/>
      <c r="X895"/>
    </row>
    <row r="896" spans="2:24" ht="18.75">
      <c r="B896">
        <v>21</v>
      </c>
      <c r="C896" s="5">
        <v>46160</v>
      </c>
      <c r="D896" t="s">
        <v>136</v>
      </c>
      <c r="E896">
        <v>155.75</v>
      </c>
      <c r="G896">
        <v>50</v>
      </c>
      <c r="H896" s="5">
        <v>45999</v>
      </c>
      <c r="I896" t="s">
        <v>165</v>
      </c>
      <c r="J896">
        <v>356.8</v>
      </c>
      <c r="N896"/>
      <c r="S896"/>
      <c r="X896"/>
    </row>
    <row r="897" spans="2:24" ht="18.75">
      <c r="B897">
        <v>21</v>
      </c>
      <c r="C897" s="5">
        <v>46160</v>
      </c>
      <c r="D897" t="s">
        <v>138</v>
      </c>
      <c r="E897">
        <v>455.4</v>
      </c>
      <c r="G897">
        <v>50</v>
      </c>
      <c r="H897" s="5">
        <v>45999</v>
      </c>
      <c r="I897" t="s">
        <v>171</v>
      </c>
      <c r="J897">
        <v>463.32</v>
      </c>
      <c r="N897"/>
      <c r="S897"/>
      <c r="X897"/>
    </row>
    <row r="898" spans="2:24" ht="18.75">
      <c r="B898">
        <v>21</v>
      </c>
      <c r="C898" s="5">
        <v>46160</v>
      </c>
      <c r="D898" t="s">
        <v>141</v>
      </c>
      <c r="E898">
        <v>513.53</v>
      </c>
      <c r="G898">
        <v>50</v>
      </c>
      <c r="H898" s="5">
        <v>45999</v>
      </c>
      <c r="I898" t="s">
        <v>169</v>
      </c>
      <c r="J898">
        <v>1990.28</v>
      </c>
      <c r="N898"/>
      <c r="S898"/>
      <c r="X898"/>
    </row>
    <row r="899" spans="2:24" ht="18.75">
      <c r="B899">
        <v>21</v>
      </c>
      <c r="C899" s="5">
        <v>46160</v>
      </c>
      <c r="D899" t="s">
        <v>142</v>
      </c>
      <c r="E899">
        <v>197.17</v>
      </c>
      <c r="G899">
        <v>50</v>
      </c>
      <c r="H899" s="5">
        <v>45999</v>
      </c>
      <c r="I899" t="s">
        <v>176</v>
      </c>
      <c r="J899">
        <v>179.2</v>
      </c>
      <c r="N899"/>
      <c r="S899"/>
      <c r="X899"/>
    </row>
    <row r="900" spans="2:24" ht="18.75">
      <c r="B900">
        <v>21</v>
      </c>
      <c r="C900" s="5">
        <v>46160</v>
      </c>
      <c r="D900" t="s">
        <v>139</v>
      </c>
      <c r="E900">
        <v>151.07</v>
      </c>
      <c r="G900">
        <v>50</v>
      </c>
      <c r="H900" s="5">
        <v>45999</v>
      </c>
      <c r="I900" t="s">
        <v>164</v>
      </c>
      <c r="J900">
        <v>2.4</v>
      </c>
      <c r="N900"/>
      <c r="S900"/>
      <c r="X900"/>
    </row>
    <row r="901" spans="2:24" ht="18.75">
      <c r="B901">
        <v>21</v>
      </c>
      <c r="C901" s="5">
        <v>46160</v>
      </c>
      <c r="D901" t="s">
        <v>143</v>
      </c>
      <c r="E901">
        <v>1050.92</v>
      </c>
      <c r="G901">
        <v>50</v>
      </c>
      <c r="H901" s="5">
        <v>45999</v>
      </c>
      <c r="I901" t="s">
        <v>163</v>
      </c>
      <c r="J901">
        <v>326.37</v>
      </c>
      <c r="N901"/>
      <c r="S901"/>
      <c r="X901"/>
    </row>
    <row r="902" spans="2:24" ht="18.75">
      <c r="B902">
        <v>21</v>
      </c>
      <c r="C902" s="5">
        <v>46160</v>
      </c>
      <c r="D902" t="s">
        <v>144</v>
      </c>
      <c r="E902">
        <v>436.47</v>
      </c>
      <c r="G902">
        <v>50</v>
      </c>
      <c r="H902" s="5">
        <v>45999</v>
      </c>
      <c r="I902" t="s">
        <v>168</v>
      </c>
      <c r="J902">
        <v>350.62</v>
      </c>
      <c r="N902"/>
      <c r="S902"/>
      <c r="X902"/>
    </row>
    <row r="903" spans="2:24" ht="18.75">
      <c r="B903">
        <v>21</v>
      </c>
      <c r="C903" s="5">
        <v>46160</v>
      </c>
      <c r="D903" t="s">
        <v>216</v>
      </c>
      <c r="E903">
        <v>389.97</v>
      </c>
      <c r="G903">
        <v>50</v>
      </c>
      <c r="H903" s="5">
        <v>45999</v>
      </c>
      <c r="I903" t="s">
        <v>172</v>
      </c>
      <c r="J903">
        <v>105.47</v>
      </c>
      <c r="N903"/>
      <c r="S903"/>
      <c r="X903"/>
    </row>
    <row r="904" spans="2:24" ht="18.75">
      <c r="B904">
        <v>21</v>
      </c>
      <c r="C904" s="5">
        <v>46160</v>
      </c>
      <c r="D904" t="s">
        <v>145</v>
      </c>
      <c r="E904">
        <v>216.98</v>
      </c>
      <c r="G904">
        <v>50</v>
      </c>
      <c r="H904" s="5">
        <v>45999</v>
      </c>
      <c r="I904" t="s">
        <v>173</v>
      </c>
      <c r="J904">
        <v>786.9</v>
      </c>
      <c r="N904"/>
      <c r="S904"/>
      <c r="X904"/>
    </row>
    <row r="905" spans="2:24" ht="18.75">
      <c r="B905">
        <v>21</v>
      </c>
      <c r="C905" s="5">
        <v>46160</v>
      </c>
      <c r="D905" t="s">
        <v>146</v>
      </c>
      <c r="E905">
        <v>723.24</v>
      </c>
      <c r="G905">
        <v>50</v>
      </c>
      <c r="H905" s="5">
        <v>45999</v>
      </c>
      <c r="I905" t="s">
        <v>175</v>
      </c>
      <c r="J905">
        <v>339.75</v>
      </c>
      <c r="N905"/>
      <c r="S905"/>
      <c r="X905"/>
    </row>
    <row r="906" spans="2:24" ht="18.75">
      <c r="B906">
        <v>21</v>
      </c>
      <c r="C906" s="5">
        <v>46160</v>
      </c>
      <c r="D906" t="s">
        <v>148</v>
      </c>
      <c r="E906">
        <v>142.5</v>
      </c>
      <c r="G906">
        <v>51</v>
      </c>
      <c r="H906" s="5">
        <v>46006</v>
      </c>
      <c r="I906" t="s">
        <v>160</v>
      </c>
      <c r="J906">
        <v>4214.75</v>
      </c>
      <c r="N906"/>
      <c r="S906"/>
      <c r="X906"/>
    </row>
    <row r="907" spans="2:24" ht="18.75">
      <c r="B907">
        <v>21</v>
      </c>
      <c r="C907" s="5">
        <v>46160</v>
      </c>
      <c r="D907" t="s">
        <v>147</v>
      </c>
      <c r="E907">
        <v>212.1</v>
      </c>
      <c r="G907">
        <v>51</v>
      </c>
      <c r="H907" s="5">
        <v>46006</v>
      </c>
      <c r="I907" t="s">
        <v>165</v>
      </c>
      <c r="J907">
        <v>277</v>
      </c>
      <c r="N907"/>
      <c r="S907"/>
      <c r="X907"/>
    </row>
    <row r="908" spans="2:24" ht="18.75">
      <c r="B908">
        <v>21</v>
      </c>
      <c r="C908" s="5">
        <v>46160</v>
      </c>
      <c r="D908" t="s">
        <v>150</v>
      </c>
      <c r="E908">
        <v>118.37</v>
      </c>
      <c r="G908">
        <v>51</v>
      </c>
      <c r="H908" s="5">
        <v>46006</v>
      </c>
      <c r="I908" t="s">
        <v>169</v>
      </c>
      <c r="J908">
        <v>1881.24</v>
      </c>
      <c r="N908"/>
      <c r="S908"/>
      <c r="X908"/>
    </row>
    <row r="909" spans="2:24" ht="18.75">
      <c r="B909">
        <v>21</v>
      </c>
      <c r="C909" s="5">
        <v>46160</v>
      </c>
      <c r="D909" t="s">
        <v>151</v>
      </c>
      <c r="E909">
        <v>650.5</v>
      </c>
      <c r="G909">
        <v>51</v>
      </c>
      <c r="H909" s="5">
        <v>46006</v>
      </c>
      <c r="I909" t="s">
        <v>176</v>
      </c>
      <c r="J909">
        <v>77.760000000000005</v>
      </c>
      <c r="N909"/>
      <c r="S909"/>
      <c r="X909"/>
    </row>
    <row r="910" spans="2:24" ht="18.75">
      <c r="B910">
        <v>21</v>
      </c>
      <c r="C910" s="5">
        <v>46160</v>
      </c>
      <c r="D910" t="s">
        <v>128</v>
      </c>
      <c r="E910">
        <v>145.19</v>
      </c>
      <c r="G910">
        <v>51</v>
      </c>
      <c r="H910" s="5">
        <v>46006</v>
      </c>
      <c r="I910" t="s">
        <v>163</v>
      </c>
      <c r="J910">
        <v>294.12</v>
      </c>
      <c r="N910"/>
      <c r="S910"/>
      <c r="X910"/>
    </row>
    <row r="911" spans="2:24" ht="18.75">
      <c r="B911">
        <v>21</v>
      </c>
      <c r="C911" s="5">
        <v>46160</v>
      </c>
      <c r="D911" t="s">
        <v>129</v>
      </c>
      <c r="E911">
        <v>409.31</v>
      </c>
      <c r="G911">
        <v>51</v>
      </c>
      <c r="H911" s="5">
        <v>46006</v>
      </c>
      <c r="I911" t="s">
        <v>168</v>
      </c>
      <c r="J911">
        <v>317.97000000000003</v>
      </c>
      <c r="N911"/>
      <c r="S911"/>
      <c r="X911"/>
    </row>
    <row r="912" spans="2:24" ht="18.75">
      <c r="B912">
        <v>21</v>
      </c>
      <c r="C912" s="5">
        <v>46160</v>
      </c>
      <c r="D912" t="s">
        <v>135</v>
      </c>
      <c r="E912">
        <v>72.040000000000006</v>
      </c>
      <c r="G912">
        <v>51</v>
      </c>
      <c r="H912" s="5">
        <v>46006</v>
      </c>
      <c r="I912" t="s">
        <v>172</v>
      </c>
      <c r="J912">
        <v>89.55</v>
      </c>
      <c r="N912"/>
      <c r="S912"/>
      <c r="X912"/>
    </row>
    <row r="913" spans="2:24" ht="18.75">
      <c r="B913">
        <v>21</v>
      </c>
      <c r="C913" s="5">
        <v>46160</v>
      </c>
      <c r="D913" t="s">
        <v>137</v>
      </c>
      <c r="E913">
        <v>103.93</v>
      </c>
      <c r="G913">
        <v>51</v>
      </c>
      <c r="H913" s="5">
        <v>46006</v>
      </c>
      <c r="I913" t="s">
        <v>173</v>
      </c>
      <c r="J913">
        <v>798.2</v>
      </c>
      <c r="N913"/>
      <c r="S913"/>
      <c r="X913"/>
    </row>
    <row r="914" spans="2:24" ht="18.75">
      <c r="B914">
        <v>21</v>
      </c>
      <c r="C914" s="5">
        <v>46160</v>
      </c>
      <c r="D914" t="s">
        <v>127</v>
      </c>
      <c r="E914">
        <v>182.85</v>
      </c>
      <c r="G914">
        <v>51</v>
      </c>
      <c r="H914" s="5">
        <v>46006</v>
      </c>
      <c r="I914" t="s">
        <v>175</v>
      </c>
      <c r="J914">
        <v>303.75</v>
      </c>
      <c r="N914"/>
      <c r="S914"/>
      <c r="X914"/>
    </row>
    <row r="915" spans="2:24" ht="18.75">
      <c r="B915">
        <v>21</v>
      </c>
      <c r="C915" s="5">
        <v>46160</v>
      </c>
      <c r="D915" t="s">
        <v>115</v>
      </c>
      <c r="E915">
        <v>111.83</v>
      </c>
      <c r="G915">
        <v>51</v>
      </c>
      <c r="H915" s="5">
        <v>46006</v>
      </c>
      <c r="I915" t="s">
        <v>158</v>
      </c>
      <c r="J915">
        <v>529.24</v>
      </c>
      <c r="N915"/>
      <c r="S915"/>
      <c r="X915"/>
    </row>
    <row r="916" spans="2:24" ht="18.75">
      <c r="B916">
        <v>21</v>
      </c>
      <c r="C916" s="5">
        <v>46160</v>
      </c>
      <c r="D916" t="s">
        <v>124</v>
      </c>
      <c r="E916">
        <v>127.86</v>
      </c>
      <c r="G916">
        <v>51</v>
      </c>
      <c r="H916" s="5">
        <v>46006</v>
      </c>
      <c r="I916" t="s">
        <v>198</v>
      </c>
      <c r="J916">
        <v>362.95</v>
      </c>
      <c r="N916"/>
      <c r="S916"/>
      <c r="X916"/>
    </row>
    <row r="917" spans="2:24" ht="18.75">
      <c r="B917">
        <v>22</v>
      </c>
      <c r="C917" s="5">
        <v>46167</v>
      </c>
      <c r="D917" t="s">
        <v>112</v>
      </c>
      <c r="E917">
        <v>88.3</v>
      </c>
      <c r="G917">
        <v>51</v>
      </c>
      <c r="H917" s="5">
        <v>46006</v>
      </c>
      <c r="I917" t="s">
        <v>174</v>
      </c>
      <c r="J917">
        <v>348.3</v>
      </c>
      <c r="N917"/>
      <c r="S917"/>
      <c r="X917"/>
    </row>
    <row r="918" spans="2:24" ht="18.75">
      <c r="B918">
        <v>22</v>
      </c>
      <c r="C918" s="5">
        <v>46167</v>
      </c>
      <c r="D918" t="s">
        <v>113</v>
      </c>
      <c r="E918">
        <v>215.55</v>
      </c>
      <c r="G918">
        <v>51</v>
      </c>
      <c r="H918" s="5">
        <v>46006</v>
      </c>
      <c r="I918" t="s">
        <v>171</v>
      </c>
      <c r="J918">
        <v>748.16</v>
      </c>
      <c r="N918"/>
      <c r="S918"/>
      <c r="X918"/>
    </row>
    <row r="919" spans="2:24" ht="18.75">
      <c r="B919">
        <v>22</v>
      </c>
      <c r="C919" s="5">
        <v>46167</v>
      </c>
      <c r="D919" t="s">
        <v>114</v>
      </c>
      <c r="E919">
        <v>308.32</v>
      </c>
      <c r="G919">
        <v>51</v>
      </c>
      <c r="H919" s="5">
        <v>46006</v>
      </c>
      <c r="I919" t="s">
        <v>170</v>
      </c>
      <c r="J919">
        <v>84</v>
      </c>
      <c r="N919"/>
      <c r="S919"/>
      <c r="X919"/>
    </row>
    <row r="920" spans="2:24" ht="18.75">
      <c r="B920">
        <v>22</v>
      </c>
      <c r="C920" s="5">
        <v>46167</v>
      </c>
      <c r="D920" t="s">
        <v>116</v>
      </c>
      <c r="E920">
        <v>75.12</v>
      </c>
      <c r="G920">
        <v>51</v>
      </c>
      <c r="H920" s="5">
        <v>46006</v>
      </c>
      <c r="I920" t="s">
        <v>164</v>
      </c>
      <c r="J920">
        <v>-1.2</v>
      </c>
      <c r="N920"/>
      <c r="S920"/>
      <c r="X920"/>
    </row>
    <row r="921" spans="2:24" ht="18.75">
      <c r="B921">
        <v>22</v>
      </c>
      <c r="C921" s="5">
        <v>46167</v>
      </c>
      <c r="D921" t="s">
        <v>117</v>
      </c>
      <c r="E921">
        <v>172.16</v>
      </c>
      <c r="G921">
        <v>52</v>
      </c>
      <c r="H921" s="5">
        <v>46013</v>
      </c>
      <c r="I921" t="s">
        <v>158</v>
      </c>
      <c r="J921">
        <v>2273.44</v>
      </c>
      <c r="N921"/>
      <c r="S921"/>
      <c r="X921"/>
    </row>
    <row r="922" spans="2:24" ht="18.75">
      <c r="B922">
        <v>22</v>
      </c>
      <c r="C922" s="5">
        <v>46167</v>
      </c>
      <c r="D922" t="s">
        <v>118</v>
      </c>
      <c r="E922">
        <v>170.85</v>
      </c>
      <c r="G922">
        <v>52</v>
      </c>
      <c r="H922" s="5">
        <v>46013</v>
      </c>
      <c r="I922" t="s">
        <v>165</v>
      </c>
      <c r="J922">
        <v>360.9</v>
      </c>
      <c r="N922"/>
      <c r="S922"/>
      <c r="X922"/>
    </row>
    <row r="923" spans="2:24" ht="18.75">
      <c r="B923">
        <v>22</v>
      </c>
      <c r="C923" s="5">
        <v>46167</v>
      </c>
      <c r="D923" t="s">
        <v>119</v>
      </c>
      <c r="E923">
        <v>305.75</v>
      </c>
      <c r="G923">
        <v>52</v>
      </c>
      <c r="H923" s="5">
        <v>46013</v>
      </c>
      <c r="I923" t="s">
        <v>171</v>
      </c>
      <c r="J923">
        <v>626.34</v>
      </c>
      <c r="N923"/>
      <c r="S923"/>
      <c r="X923"/>
    </row>
    <row r="924" spans="2:24" ht="18.75">
      <c r="B924">
        <v>22</v>
      </c>
      <c r="C924" s="5">
        <v>46167</v>
      </c>
      <c r="D924" t="s">
        <v>120</v>
      </c>
      <c r="E924">
        <v>60.77</v>
      </c>
      <c r="G924">
        <v>52</v>
      </c>
      <c r="H924" s="5">
        <v>46013</v>
      </c>
      <c r="I924" t="s">
        <v>169</v>
      </c>
      <c r="J924">
        <v>527.5</v>
      </c>
      <c r="N924"/>
      <c r="S924"/>
      <c r="X924"/>
    </row>
    <row r="925" spans="2:24" ht="18.75">
      <c r="B925">
        <v>22</v>
      </c>
      <c r="C925" s="5">
        <v>46167</v>
      </c>
      <c r="D925" t="s">
        <v>121</v>
      </c>
      <c r="E925">
        <v>159.61000000000001</v>
      </c>
      <c r="G925">
        <v>52</v>
      </c>
      <c r="H925" s="5">
        <v>46013</v>
      </c>
      <c r="I925" t="s">
        <v>170</v>
      </c>
      <c r="J925">
        <v>32</v>
      </c>
      <c r="N925"/>
      <c r="S925"/>
      <c r="X925"/>
    </row>
    <row r="926" spans="2:24" ht="18.75">
      <c r="B926">
        <v>22</v>
      </c>
      <c r="C926" s="5">
        <v>46167</v>
      </c>
      <c r="D926" t="s">
        <v>122</v>
      </c>
      <c r="E926">
        <v>206.84</v>
      </c>
      <c r="G926">
        <v>52</v>
      </c>
      <c r="H926" s="5">
        <v>46013</v>
      </c>
      <c r="I926" t="s">
        <v>176</v>
      </c>
      <c r="J926">
        <v>61.56</v>
      </c>
      <c r="N926"/>
      <c r="S926"/>
      <c r="X926"/>
    </row>
    <row r="927" spans="2:24" ht="18.75">
      <c r="B927">
        <v>22</v>
      </c>
      <c r="C927" s="5">
        <v>46167</v>
      </c>
      <c r="D927" t="s">
        <v>123</v>
      </c>
      <c r="E927">
        <v>403.76</v>
      </c>
      <c r="G927">
        <v>52</v>
      </c>
      <c r="H927" s="5">
        <v>46013</v>
      </c>
      <c r="I927" t="s">
        <v>163</v>
      </c>
      <c r="J927">
        <v>141.9</v>
      </c>
      <c r="N927"/>
      <c r="S927"/>
      <c r="X927"/>
    </row>
    <row r="928" spans="2:24" ht="18.75">
      <c r="B928">
        <v>22</v>
      </c>
      <c r="C928" s="5">
        <v>46167</v>
      </c>
      <c r="D928" t="s">
        <v>124</v>
      </c>
      <c r="E928">
        <v>346.39</v>
      </c>
      <c r="G928">
        <v>52</v>
      </c>
      <c r="H928" s="5">
        <v>46013</v>
      </c>
      <c r="I928" t="s">
        <v>168</v>
      </c>
      <c r="J928">
        <v>154.80000000000001</v>
      </c>
      <c r="N928"/>
      <c r="S928"/>
      <c r="X928"/>
    </row>
    <row r="929" spans="2:24" ht="18.75">
      <c r="B929">
        <v>22</v>
      </c>
      <c r="C929" s="5">
        <v>46167</v>
      </c>
      <c r="D929" t="s">
        <v>126</v>
      </c>
      <c r="E929">
        <v>121.06</v>
      </c>
      <c r="G929">
        <v>52</v>
      </c>
      <c r="H929" s="5">
        <v>46013</v>
      </c>
      <c r="I929" t="s">
        <v>172</v>
      </c>
      <c r="J929">
        <v>41.79</v>
      </c>
      <c r="N929"/>
      <c r="S929"/>
      <c r="X929"/>
    </row>
    <row r="930" spans="2:24" ht="18.75">
      <c r="B930">
        <v>22</v>
      </c>
      <c r="C930" s="5">
        <v>46167</v>
      </c>
      <c r="D930" t="s">
        <v>128</v>
      </c>
      <c r="E930">
        <v>117.53</v>
      </c>
      <c r="G930">
        <v>52</v>
      </c>
      <c r="H930" s="5">
        <v>46013</v>
      </c>
      <c r="I930" t="s">
        <v>173</v>
      </c>
      <c r="J930">
        <v>392.1</v>
      </c>
      <c r="N930"/>
      <c r="S930"/>
      <c r="X930"/>
    </row>
    <row r="931" spans="2:24" ht="18.75">
      <c r="B931">
        <v>22</v>
      </c>
      <c r="C931" s="5">
        <v>46167</v>
      </c>
      <c r="D931" t="s">
        <v>130</v>
      </c>
      <c r="E931">
        <v>336.38</v>
      </c>
      <c r="G931">
        <v>52</v>
      </c>
      <c r="H931" s="5">
        <v>46013</v>
      </c>
      <c r="I931" t="s">
        <v>175</v>
      </c>
      <c r="J931">
        <v>206.8</v>
      </c>
      <c r="N931"/>
      <c r="S931"/>
      <c r="X931"/>
    </row>
    <row r="932" spans="2:24" ht="18.75">
      <c r="B932">
        <v>22</v>
      </c>
      <c r="C932" s="5">
        <v>46167</v>
      </c>
      <c r="D932" t="s">
        <v>131</v>
      </c>
      <c r="E932">
        <v>281.99</v>
      </c>
      <c r="G932">
        <v>52</v>
      </c>
      <c r="H932" s="5">
        <v>46013</v>
      </c>
      <c r="I932" t="s">
        <v>164</v>
      </c>
      <c r="J932">
        <v>1.2</v>
      </c>
      <c r="N932"/>
      <c r="S932"/>
      <c r="X932"/>
    </row>
    <row r="933" spans="2:24" ht="18.75">
      <c r="B933">
        <v>22</v>
      </c>
      <c r="C933" s="5">
        <v>46167</v>
      </c>
      <c r="D933" t="s">
        <v>132</v>
      </c>
      <c r="E933">
        <v>171.79</v>
      </c>
      <c r="G933">
        <v>1</v>
      </c>
      <c r="H933" s="5">
        <v>46020</v>
      </c>
      <c r="I933" t="s">
        <v>158</v>
      </c>
      <c r="J933">
        <v>1577.01</v>
      </c>
      <c r="N933"/>
      <c r="S933"/>
      <c r="X933"/>
    </row>
    <row r="934" spans="2:24" ht="18.75">
      <c r="B934">
        <v>22</v>
      </c>
      <c r="C934" s="5">
        <v>46167</v>
      </c>
      <c r="D934" t="s">
        <v>133</v>
      </c>
      <c r="E934">
        <v>266.47000000000003</v>
      </c>
      <c r="G934">
        <v>1</v>
      </c>
      <c r="H934" s="5">
        <v>46020</v>
      </c>
      <c r="I934" t="s">
        <v>165</v>
      </c>
      <c r="J934">
        <v>160.4</v>
      </c>
      <c r="N934"/>
      <c r="S934"/>
      <c r="X934"/>
    </row>
    <row r="935" spans="2:24" ht="18.75">
      <c r="B935">
        <v>22</v>
      </c>
      <c r="C935" s="5">
        <v>46167</v>
      </c>
      <c r="D935" t="s">
        <v>134</v>
      </c>
      <c r="E935">
        <v>267.3</v>
      </c>
      <c r="G935">
        <v>1</v>
      </c>
      <c r="H935" s="5">
        <v>46020</v>
      </c>
      <c r="I935" t="s">
        <v>171</v>
      </c>
      <c r="J935">
        <v>568.61</v>
      </c>
      <c r="N935"/>
      <c r="S935"/>
      <c r="X935"/>
    </row>
    <row r="936" spans="2:24" ht="18.75">
      <c r="B936">
        <v>22</v>
      </c>
      <c r="C936" s="5">
        <v>46167</v>
      </c>
      <c r="D936" t="s">
        <v>135</v>
      </c>
      <c r="E936">
        <v>60.02</v>
      </c>
      <c r="G936">
        <v>1</v>
      </c>
      <c r="H936" s="5">
        <v>46020</v>
      </c>
      <c r="I936" t="s">
        <v>169</v>
      </c>
      <c r="J936">
        <v>562.36</v>
      </c>
      <c r="N936"/>
      <c r="S936"/>
      <c r="X936"/>
    </row>
    <row r="937" spans="2:24" ht="18.75">
      <c r="B937">
        <v>22</v>
      </c>
      <c r="C937" s="5">
        <v>46167</v>
      </c>
      <c r="D937" t="s">
        <v>136</v>
      </c>
      <c r="E937">
        <v>113.99</v>
      </c>
      <c r="G937">
        <v>1</v>
      </c>
      <c r="H937" s="5">
        <v>46020</v>
      </c>
      <c r="I937" t="s">
        <v>170</v>
      </c>
      <c r="J937">
        <v>18</v>
      </c>
      <c r="N937"/>
      <c r="S937"/>
      <c r="X937"/>
    </row>
    <row r="938" spans="2:24" ht="18.75">
      <c r="B938">
        <v>22</v>
      </c>
      <c r="C938" s="5">
        <v>46167</v>
      </c>
      <c r="D938" t="s">
        <v>137</v>
      </c>
      <c r="E938">
        <v>73.67</v>
      </c>
      <c r="G938">
        <v>1</v>
      </c>
      <c r="H938" s="5">
        <v>46020</v>
      </c>
      <c r="I938" t="s">
        <v>176</v>
      </c>
      <c r="J938">
        <v>20.64</v>
      </c>
      <c r="N938"/>
      <c r="S938"/>
      <c r="X938"/>
    </row>
    <row r="939" spans="2:24" ht="18.75">
      <c r="B939">
        <v>22</v>
      </c>
      <c r="C939" s="5">
        <v>46167</v>
      </c>
      <c r="D939" t="s">
        <v>138</v>
      </c>
      <c r="E939">
        <v>344.48</v>
      </c>
      <c r="G939">
        <v>1</v>
      </c>
      <c r="H939" s="5">
        <v>46020</v>
      </c>
      <c r="I939" t="s">
        <v>164</v>
      </c>
      <c r="J939">
        <v>6</v>
      </c>
      <c r="N939"/>
      <c r="S939"/>
      <c r="X939"/>
    </row>
    <row r="940" spans="2:24" ht="18.75">
      <c r="B940">
        <v>22</v>
      </c>
      <c r="C940" s="5">
        <v>46167</v>
      </c>
      <c r="D940" t="s">
        <v>141</v>
      </c>
      <c r="E940">
        <v>425.11</v>
      </c>
      <c r="G940">
        <v>1</v>
      </c>
      <c r="H940" s="5">
        <v>46020</v>
      </c>
      <c r="I940" t="s">
        <v>163</v>
      </c>
      <c r="J940">
        <v>113.52</v>
      </c>
      <c r="N940"/>
      <c r="S940"/>
      <c r="X940"/>
    </row>
    <row r="941" spans="2:24" ht="18.75">
      <c r="B941">
        <v>22</v>
      </c>
      <c r="C941" s="5">
        <v>46167</v>
      </c>
      <c r="D941" t="s">
        <v>142</v>
      </c>
      <c r="E941">
        <v>114.15</v>
      </c>
      <c r="G941">
        <v>1</v>
      </c>
      <c r="H941" s="5">
        <v>46020</v>
      </c>
      <c r="I941" t="s">
        <v>168</v>
      </c>
      <c r="J941">
        <v>116.24</v>
      </c>
      <c r="N941"/>
      <c r="S941"/>
      <c r="X941"/>
    </row>
    <row r="942" spans="2:24" ht="18.75">
      <c r="B942">
        <v>22</v>
      </c>
      <c r="C942" s="5">
        <v>46167</v>
      </c>
      <c r="D942" t="s">
        <v>143</v>
      </c>
      <c r="E942">
        <v>889.13</v>
      </c>
      <c r="G942">
        <v>1</v>
      </c>
      <c r="H942" s="5">
        <v>46020</v>
      </c>
      <c r="I942" t="s">
        <v>173</v>
      </c>
      <c r="J942">
        <v>54.25</v>
      </c>
      <c r="N942"/>
      <c r="S942"/>
      <c r="X942"/>
    </row>
    <row r="943" spans="2:24" ht="18.75">
      <c r="B943">
        <v>22</v>
      </c>
      <c r="C943" s="5">
        <v>46167</v>
      </c>
      <c r="D943" t="s">
        <v>144</v>
      </c>
      <c r="E943">
        <v>697.71</v>
      </c>
      <c r="G943">
        <v>1</v>
      </c>
      <c r="H943" s="5">
        <v>46020</v>
      </c>
      <c r="I943" t="s">
        <v>160</v>
      </c>
      <c r="J943">
        <v>372.51</v>
      </c>
      <c r="N943"/>
      <c r="S943"/>
      <c r="X943"/>
    </row>
    <row r="944" spans="2:24" ht="18.75">
      <c r="B944">
        <v>22</v>
      </c>
      <c r="C944" s="5">
        <v>46167</v>
      </c>
      <c r="D944" t="s">
        <v>216</v>
      </c>
      <c r="E944">
        <v>331.23</v>
      </c>
      <c r="G944">
        <v>2</v>
      </c>
      <c r="H944" s="5">
        <v>46027</v>
      </c>
      <c r="I944" t="s">
        <v>160</v>
      </c>
      <c r="J944">
        <v>4116.9799999999996</v>
      </c>
      <c r="N944"/>
      <c r="S944"/>
      <c r="X944"/>
    </row>
    <row r="945" spans="2:24" ht="18.75">
      <c r="B945">
        <v>22</v>
      </c>
      <c r="C945" s="5">
        <v>46167</v>
      </c>
      <c r="D945" t="s">
        <v>145</v>
      </c>
      <c r="E945">
        <v>127.15</v>
      </c>
      <c r="G945">
        <v>2</v>
      </c>
      <c r="H945" s="5">
        <v>46027</v>
      </c>
      <c r="I945" t="s">
        <v>158</v>
      </c>
      <c r="J945">
        <v>541.36</v>
      </c>
      <c r="N945"/>
      <c r="S945"/>
      <c r="X945"/>
    </row>
    <row r="946" spans="2:24" ht="18.75">
      <c r="B946">
        <v>22</v>
      </c>
      <c r="C946" s="5">
        <v>46167</v>
      </c>
      <c r="D946" t="s">
        <v>146</v>
      </c>
      <c r="E946">
        <v>552.92999999999995</v>
      </c>
      <c r="G946">
        <v>2</v>
      </c>
      <c r="H946" s="5">
        <v>46027</v>
      </c>
      <c r="I946" t="s">
        <v>198</v>
      </c>
      <c r="J946">
        <v>434.35</v>
      </c>
      <c r="N946"/>
      <c r="S946"/>
      <c r="X946"/>
    </row>
    <row r="947" spans="2:24" ht="18.75">
      <c r="B947">
        <v>22</v>
      </c>
      <c r="C947" s="5">
        <v>46167</v>
      </c>
      <c r="D947" t="s">
        <v>148</v>
      </c>
      <c r="E947">
        <v>93.6</v>
      </c>
      <c r="G947">
        <v>2</v>
      </c>
      <c r="H947" s="5">
        <v>46027</v>
      </c>
      <c r="I947" t="s">
        <v>171</v>
      </c>
      <c r="J947">
        <v>880.7</v>
      </c>
      <c r="N947"/>
      <c r="S947"/>
      <c r="X947"/>
    </row>
    <row r="948" spans="2:24" ht="18.75">
      <c r="B948">
        <v>22</v>
      </c>
      <c r="C948" s="5">
        <v>46167</v>
      </c>
      <c r="D948" t="s">
        <v>147</v>
      </c>
      <c r="E948">
        <v>311.66000000000003</v>
      </c>
      <c r="G948">
        <v>2</v>
      </c>
      <c r="H948" s="5">
        <v>46027</v>
      </c>
      <c r="I948" t="s">
        <v>174</v>
      </c>
      <c r="J948">
        <v>392.34</v>
      </c>
      <c r="N948"/>
      <c r="S948"/>
      <c r="X948"/>
    </row>
    <row r="949" spans="2:24" ht="18.75">
      <c r="B949">
        <v>22</v>
      </c>
      <c r="C949" s="5">
        <v>46167</v>
      </c>
      <c r="D949" t="s">
        <v>150</v>
      </c>
      <c r="E949">
        <v>65.75</v>
      </c>
      <c r="G949">
        <v>2</v>
      </c>
      <c r="H949" s="5">
        <v>46027</v>
      </c>
      <c r="I949" t="s">
        <v>169</v>
      </c>
      <c r="J949">
        <v>1733.76</v>
      </c>
      <c r="N949"/>
      <c r="S949"/>
      <c r="X949"/>
    </row>
    <row r="950" spans="2:24" ht="18.75">
      <c r="B950">
        <v>22</v>
      </c>
      <c r="C950" s="5">
        <v>46167</v>
      </c>
      <c r="D950" t="s">
        <v>151</v>
      </c>
      <c r="E950">
        <v>665.32</v>
      </c>
      <c r="G950">
        <v>2</v>
      </c>
      <c r="H950" s="5">
        <v>46027</v>
      </c>
      <c r="I950" t="s">
        <v>170</v>
      </c>
      <c r="J950">
        <v>36</v>
      </c>
      <c r="N950"/>
      <c r="S950"/>
      <c r="X950"/>
    </row>
    <row r="951" spans="2:24" ht="18.75">
      <c r="B951">
        <v>22</v>
      </c>
      <c r="C951" s="5">
        <v>46167</v>
      </c>
      <c r="D951" t="s">
        <v>111</v>
      </c>
      <c r="E951">
        <v>185.59</v>
      </c>
      <c r="G951">
        <v>2</v>
      </c>
      <c r="H951" s="5">
        <v>46027</v>
      </c>
      <c r="I951" t="s">
        <v>176</v>
      </c>
      <c r="J951">
        <v>48.48</v>
      </c>
      <c r="N951"/>
      <c r="S951"/>
      <c r="X951"/>
    </row>
    <row r="952" spans="2:24" ht="18.75">
      <c r="B952">
        <v>22</v>
      </c>
      <c r="C952" s="5">
        <v>46167</v>
      </c>
      <c r="D952" t="s">
        <v>125</v>
      </c>
      <c r="E952">
        <v>71.930000000000007</v>
      </c>
      <c r="G952">
        <v>2</v>
      </c>
      <c r="H952" s="5">
        <v>46027</v>
      </c>
      <c r="I952" t="s">
        <v>163</v>
      </c>
      <c r="J952">
        <v>105.78</v>
      </c>
      <c r="N952"/>
      <c r="S952"/>
      <c r="X952"/>
    </row>
    <row r="953" spans="2:24" ht="18.75">
      <c r="B953">
        <v>22</v>
      </c>
      <c r="C953" s="5">
        <v>46167</v>
      </c>
      <c r="D953" t="s">
        <v>129</v>
      </c>
      <c r="E953">
        <v>393.93</v>
      </c>
      <c r="G953">
        <v>2</v>
      </c>
      <c r="H953" s="5">
        <v>46027</v>
      </c>
      <c r="I953" t="s">
        <v>168</v>
      </c>
      <c r="J953">
        <v>241.22</v>
      </c>
      <c r="N953"/>
      <c r="S953"/>
      <c r="X953"/>
    </row>
    <row r="954" spans="2:24" ht="18.75">
      <c r="B954">
        <v>22</v>
      </c>
      <c r="C954" s="5">
        <v>46167</v>
      </c>
      <c r="D954" t="s">
        <v>139</v>
      </c>
      <c r="E954">
        <v>208.33</v>
      </c>
      <c r="G954">
        <v>2</v>
      </c>
      <c r="H954" s="5">
        <v>46027</v>
      </c>
      <c r="I954" t="s">
        <v>201</v>
      </c>
      <c r="J954">
        <v>372.68</v>
      </c>
      <c r="N954"/>
      <c r="S954"/>
      <c r="X954"/>
    </row>
    <row r="955" spans="2:24" ht="18.75">
      <c r="B955">
        <v>22</v>
      </c>
      <c r="C955" s="5">
        <v>46167</v>
      </c>
      <c r="D955" t="s">
        <v>127</v>
      </c>
      <c r="E955">
        <v>208.23</v>
      </c>
      <c r="G955">
        <v>2</v>
      </c>
      <c r="H955" s="5">
        <v>46027</v>
      </c>
      <c r="I955" t="s">
        <v>165</v>
      </c>
      <c r="J955">
        <v>143.30000000000001</v>
      </c>
      <c r="N955"/>
      <c r="S955"/>
      <c r="X955"/>
    </row>
    <row r="956" spans="2:24" ht="18.75">
      <c r="B956">
        <v>22</v>
      </c>
      <c r="C956" s="5">
        <v>46167</v>
      </c>
      <c r="D956" t="s">
        <v>115</v>
      </c>
      <c r="E956">
        <v>285.60000000000002</v>
      </c>
      <c r="G956">
        <v>2</v>
      </c>
      <c r="H956" s="5">
        <v>46027</v>
      </c>
      <c r="I956" t="s">
        <v>173</v>
      </c>
      <c r="J956">
        <v>268.5</v>
      </c>
      <c r="N956"/>
      <c r="S956"/>
      <c r="X956"/>
    </row>
    <row r="957" spans="2:24" ht="18.75">
      <c r="B957">
        <v>23</v>
      </c>
      <c r="C957" s="5">
        <v>46174</v>
      </c>
      <c r="D957" t="s">
        <v>116</v>
      </c>
      <c r="E957">
        <v>113.35</v>
      </c>
      <c r="G957">
        <v>2</v>
      </c>
      <c r="H957" s="5">
        <v>46027</v>
      </c>
      <c r="I957" t="s">
        <v>175</v>
      </c>
      <c r="J957">
        <v>129</v>
      </c>
      <c r="N957"/>
      <c r="S957"/>
      <c r="X957"/>
    </row>
    <row r="958" spans="2:24" ht="18.75">
      <c r="B958">
        <v>23</v>
      </c>
      <c r="C958" s="5">
        <v>46174</v>
      </c>
      <c r="D958" t="s">
        <v>117</v>
      </c>
      <c r="E958">
        <v>273.54000000000002</v>
      </c>
      <c r="G958">
        <v>3</v>
      </c>
      <c r="H958" s="5">
        <v>46034</v>
      </c>
      <c r="I958" t="s">
        <v>160</v>
      </c>
      <c r="J958">
        <v>3276.71</v>
      </c>
      <c r="N958"/>
      <c r="S958"/>
      <c r="X958"/>
    </row>
    <row r="959" spans="2:24" ht="18.75">
      <c r="B959">
        <v>23</v>
      </c>
      <c r="C959" s="5">
        <v>46174</v>
      </c>
      <c r="D959" t="s">
        <v>118</v>
      </c>
      <c r="E959">
        <v>200.25</v>
      </c>
      <c r="G959">
        <v>3</v>
      </c>
      <c r="H959" s="5">
        <v>46034</v>
      </c>
      <c r="I959" t="s">
        <v>158</v>
      </c>
      <c r="J959">
        <v>492.88</v>
      </c>
      <c r="N959"/>
      <c r="S959"/>
      <c r="X959"/>
    </row>
    <row r="960" spans="2:24" ht="18.75">
      <c r="B960">
        <v>23</v>
      </c>
      <c r="C960" s="5">
        <v>46174</v>
      </c>
      <c r="D960" t="s">
        <v>122</v>
      </c>
      <c r="E960">
        <v>222.89</v>
      </c>
      <c r="G960">
        <v>3</v>
      </c>
      <c r="H960" s="5">
        <v>46034</v>
      </c>
      <c r="I960" t="s">
        <v>198</v>
      </c>
      <c r="J960">
        <v>254.56</v>
      </c>
      <c r="N960"/>
      <c r="S960"/>
      <c r="X960"/>
    </row>
    <row r="961" spans="2:24" ht="18.75">
      <c r="B961">
        <v>23</v>
      </c>
      <c r="C961" s="5">
        <v>46174</v>
      </c>
      <c r="D961" t="s">
        <v>123</v>
      </c>
      <c r="E961">
        <v>384.51</v>
      </c>
      <c r="G961">
        <v>3</v>
      </c>
      <c r="H961" s="5">
        <v>46034</v>
      </c>
      <c r="I961" t="s">
        <v>171</v>
      </c>
      <c r="J961">
        <v>1030.5999999999999</v>
      </c>
      <c r="N961"/>
      <c r="S961"/>
      <c r="X961"/>
    </row>
    <row r="962" spans="2:24" ht="18.75">
      <c r="B962">
        <v>23</v>
      </c>
      <c r="C962" s="5">
        <v>46174</v>
      </c>
      <c r="D962" t="s">
        <v>124</v>
      </c>
      <c r="E962">
        <v>402.65</v>
      </c>
      <c r="G962">
        <v>3</v>
      </c>
      <c r="H962" s="5">
        <v>46034</v>
      </c>
      <c r="I962" t="s">
        <v>169</v>
      </c>
      <c r="J962">
        <v>1625.08</v>
      </c>
      <c r="N962"/>
      <c r="S962"/>
      <c r="X962"/>
    </row>
    <row r="963" spans="2:24" ht="18.75">
      <c r="B963">
        <v>23</v>
      </c>
      <c r="C963" s="5">
        <v>46174</v>
      </c>
      <c r="D963" t="s">
        <v>126</v>
      </c>
      <c r="E963">
        <v>153.25</v>
      </c>
      <c r="G963">
        <v>3</v>
      </c>
      <c r="H963" s="5">
        <v>46034</v>
      </c>
      <c r="I963" t="s">
        <v>170</v>
      </c>
      <c r="J963">
        <v>72</v>
      </c>
      <c r="N963"/>
      <c r="S963"/>
      <c r="X963"/>
    </row>
    <row r="964" spans="2:24" ht="18.75">
      <c r="B964">
        <v>23</v>
      </c>
      <c r="C964" s="5">
        <v>46174</v>
      </c>
      <c r="D964" t="s">
        <v>128</v>
      </c>
      <c r="E964">
        <v>159.82</v>
      </c>
      <c r="G964">
        <v>3</v>
      </c>
      <c r="H964" s="5">
        <v>46034</v>
      </c>
      <c r="I964" t="s">
        <v>176</v>
      </c>
      <c r="J964">
        <v>52.56</v>
      </c>
      <c r="N964"/>
      <c r="S964"/>
      <c r="X964"/>
    </row>
    <row r="965" spans="2:24" ht="18.75">
      <c r="B965">
        <v>23</v>
      </c>
      <c r="C965" s="5">
        <v>46174</v>
      </c>
      <c r="D965" t="s">
        <v>129</v>
      </c>
      <c r="E965">
        <v>304.13</v>
      </c>
      <c r="G965">
        <v>3</v>
      </c>
      <c r="H965" s="5">
        <v>46034</v>
      </c>
      <c r="I965" t="s">
        <v>164</v>
      </c>
      <c r="J965">
        <v>18</v>
      </c>
      <c r="N965"/>
      <c r="S965"/>
      <c r="X965"/>
    </row>
    <row r="966" spans="2:24" ht="18.75">
      <c r="B966">
        <v>23</v>
      </c>
      <c r="C966" s="5">
        <v>46174</v>
      </c>
      <c r="D966" t="s">
        <v>130</v>
      </c>
      <c r="E966">
        <v>275.02999999999997</v>
      </c>
      <c r="G966">
        <v>3</v>
      </c>
      <c r="H966" s="5">
        <v>46034</v>
      </c>
      <c r="I966" t="s">
        <v>163</v>
      </c>
      <c r="J966">
        <v>170.28</v>
      </c>
      <c r="N966"/>
      <c r="S966"/>
      <c r="X966"/>
    </row>
    <row r="967" spans="2:24" ht="18.75">
      <c r="B967">
        <v>23</v>
      </c>
      <c r="C967" s="5">
        <v>46174</v>
      </c>
      <c r="D967" t="s">
        <v>131</v>
      </c>
      <c r="E967">
        <v>262.8</v>
      </c>
      <c r="G967">
        <v>3</v>
      </c>
      <c r="H967" s="5">
        <v>46034</v>
      </c>
      <c r="I967" t="s">
        <v>168</v>
      </c>
      <c r="J967">
        <v>174.74</v>
      </c>
      <c r="N967"/>
      <c r="S967"/>
      <c r="X967"/>
    </row>
    <row r="968" spans="2:24" ht="18.75">
      <c r="B968">
        <v>23</v>
      </c>
      <c r="C968" s="5">
        <v>46174</v>
      </c>
      <c r="D968" t="s">
        <v>132</v>
      </c>
      <c r="E968">
        <v>197.07</v>
      </c>
      <c r="G968">
        <v>3</v>
      </c>
      <c r="H968" s="5">
        <v>46034</v>
      </c>
      <c r="I968" t="s">
        <v>172</v>
      </c>
      <c r="J968">
        <v>13.93</v>
      </c>
      <c r="N968"/>
      <c r="S968"/>
      <c r="X968"/>
    </row>
    <row r="969" spans="2:24" ht="18.75">
      <c r="B969">
        <v>23</v>
      </c>
      <c r="C969" s="5">
        <v>46174</v>
      </c>
      <c r="D969" t="s">
        <v>133</v>
      </c>
      <c r="E969">
        <v>418.28</v>
      </c>
      <c r="G969">
        <v>3</v>
      </c>
      <c r="H969" s="5">
        <v>46034</v>
      </c>
      <c r="I969" t="s">
        <v>201</v>
      </c>
      <c r="J969">
        <v>98.56</v>
      </c>
      <c r="N969"/>
      <c r="S969"/>
      <c r="X969"/>
    </row>
    <row r="970" spans="2:24" ht="18.75">
      <c r="B970">
        <v>23</v>
      </c>
      <c r="C970" s="5">
        <v>46174</v>
      </c>
      <c r="D970" t="s">
        <v>134</v>
      </c>
      <c r="E970">
        <v>395.16</v>
      </c>
      <c r="G970">
        <v>3</v>
      </c>
      <c r="H970" s="5">
        <v>46034</v>
      </c>
      <c r="I970" t="s">
        <v>173</v>
      </c>
      <c r="J970">
        <v>529.04999999999995</v>
      </c>
      <c r="N970"/>
      <c r="S970"/>
      <c r="X970"/>
    </row>
    <row r="971" spans="2:24" ht="18.75">
      <c r="B971">
        <v>23</v>
      </c>
      <c r="C971" s="5">
        <v>46174</v>
      </c>
      <c r="D971" t="s">
        <v>136</v>
      </c>
      <c r="E971">
        <v>149.26</v>
      </c>
      <c r="G971">
        <v>3</v>
      </c>
      <c r="H971" s="5">
        <v>46034</v>
      </c>
      <c r="I971" t="s">
        <v>175</v>
      </c>
      <c r="J971">
        <v>86</v>
      </c>
      <c r="N971"/>
      <c r="S971"/>
      <c r="X971"/>
    </row>
    <row r="972" spans="2:24" ht="18.75">
      <c r="B972">
        <v>23</v>
      </c>
      <c r="C972" s="5">
        <v>46174</v>
      </c>
      <c r="D972" t="s">
        <v>138</v>
      </c>
      <c r="E972">
        <v>452.19</v>
      </c>
      <c r="G972">
        <v>3</v>
      </c>
      <c r="H972" s="5">
        <v>46034</v>
      </c>
      <c r="I972" t="s">
        <v>165</v>
      </c>
      <c r="J972">
        <v>22.7</v>
      </c>
      <c r="N972"/>
      <c r="S972"/>
      <c r="X972"/>
    </row>
    <row r="973" spans="2:24" ht="18.75">
      <c r="B973">
        <v>23</v>
      </c>
      <c r="C973" s="5">
        <v>46174</v>
      </c>
      <c r="D973" t="s">
        <v>142</v>
      </c>
      <c r="E973">
        <v>172.89</v>
      </c>
      <c r="G973">
        <v>4</v>
      </c>
      <c r="H973" s="5">
        <v>46041</v>
      </c>
      <c r="I973" t="s">
        <v>160</v>
      </c>
      <c r="J973">
        <v>3602.94</v>
      </c>
      <c r="N973"/>
      <c r="S973"/>
      <c r="X973"/>
    </row>
    <row r="974" spans="2:24" ht="18.75">
      <c r="B974">
        <v>23</v>
      </c>
      <c r="C974" s="5">
        <v>46174</v>
      </c>
      <c r="D974" t="s">
        <v>143</v>
      </c>
      <c r="E974">
        <v>896.21</v>
      </c>
      <c r="G974">
        <v>4</v>
      </c>
      <c r="H974" s="5">
        <v>46041</v>
      </c>
      <c r="I974" t="s">
        <v>158</v>
      </c>
      <c r="J974">
        <v>480.76</v>
      </c>
      <c r="N974"/>
      <c r="S974"/>
      <c r="X974"/>
    </row>
    <row r="975" spans="2:24" ht="18.75">
      <c r="B975">
        <v>23</v>
      </c>
      <c r="C975" s="5">
        <v>46174</v>
      </c>
      <c r="D975" t="s">
        <v>144</v>
      </c>
      <c r="E975">
        <v>992.01</v>
      </c>
      <c r="G975">
        <v>4</v>
      </c>
      <c r="H975" s="5">
        <v>46041</v>
      </c>
      <c r="I975" t="s">
        <v>165</v>
      </c>
      <c r="J975">
        <v>62.3</v>
      </c>
      <c r="N975"/>
      <c r="S975"/>
      <c r="X975"/>
    </row>
    <row r="976" spans="2:24" ht="18.75">
      <c r="B976">
        <v>23</v>
      </c>
      <c r="C976" s="5">
        <v>46174</v>
      </c>
      <c r="D976" t="s">
        <v>145</v>
      </c>
      <c r="E976">
        <v>212.71</v>
      </c>
      <c r="G976">
        <v>4</v>
      </c>
      <c r="H976" s="5">
        <v>46041</v>
      </c>
      <c r="I976" t="s">
        <v>171</v>
      </c>
      <c r="J976">
        <v>397.5</v>
      </c>
      <c r="N976"/>
      <c r="S976"/>
      <c r="X976"/>
    </row>
    <row r="977" spans="2:24" ht="18.75">
      <c r="B977">
        <v>23</v>
      </c>
      <c r="C977" s="5">
        <v>46174</v>
      </c>
      <c r="D977" t="s">
        <v>146</v>
      </c>
      <c r="E977">
        <v>648.73</v>
      </c>
      <c r="G977">
        <v>4</v>
      </c>
      <c r="H977" s="5">
        <v>46041</v>
      </c>
      <c r="I977" t="s">
        <v>167</v>
      </c>
      <c r="J977">
        <v>347.42</v>
      </c>
      <c r="N977"/>
      <c r="S977"/>
      <c r="X977"/>
    </row>
    <row r="978" spans="2:24" ht="18.75">
      <c r="B978">
        <v>23</v>
      </c>
      <c r="C978" s="5">
        <v>46174</v>
      </c>
      <c r="D978" t="s">
        <v>148</v>
      </c>
      <c r="E978">
        <v>102.24</v>
      </c>
      <c r="G978">
        <v>4</v>
      </c>
      <c r="H978" s="5">
        <v>46041</v>
      </c>
      <c r="I978" t="s">
        <v>198</v>
      </c>
      <c r="J978">
        <v>351.05</v>
      </c>
      <c r="N978"/>
      <c r="S978"/>
      <c r="X978"/>
    </row>
    <row r="979" spans="2:24" ht="18.75">
      <c r="B979">
        <v>23</v>
      </c>
      <c r="C979" s="5">
        <v>46174</v>
      </c>
      <c r="D979" t="s">
        <v>147</v>
      </c>
      <c r="E979">
        <v>391.67</v>
      </c>
      <c r="G979">
        <v>4</v>
      </c>
      <c r="H979" s="5">
        <v>46041</v>
      </c>
      <c r="I979" t="s">
        <v>174</v>
      </c>
      <c r="J979">
        <v>436.32</v>
      </c>
      <c r="N979"/>
      <c r="S979"/>
      <c r="X979"/>
    </row>
    <row r="980" spans="2:24" ht="18.75">
      <c r="B980">
        <v>23</v>
      </c>
      <c r="C980" s="5">
        <v>46174</v>
      </c>
      <c r="D980" t="s">
        <v>150</v>
      </c>
      <c r="E980">
        <v>70.16</v>
      </c>
      <c r="G980">
        <v>4</v>
      </c>
      <c r="H980" s="5">
        <v>46041</v>
      </c>
      <c r="I980" t="s">
        <v>169</v>
      </c>
      <c r="J980">
        <v>1561.04</v>
      </c>
      <c r="N980"/>
      <c r="S980"/>
      <c r="X980"/>
    </row>
    <row r="981" spans="2:24" ht="18.75">
      <c r="B981">
        <v>23</v>
      </c>
      <c r="C981" s="5">
        <v>46174</v>
      </c>
      <c r="D981" t="s">
        <v>151</v>
      </c>
      <c r="E981">
        <v>685.91</v>
      </c>
      <c r="G981">
        <v>4</v>
      </c>
      <c r="H981" s="5">
        <v>46041</v>
      </c>
      <c r="I981" t="s">
        <v>170</v>
      </c>
      <c r="J981">
        <v>44</v>
      </c>
      <c r="N981"/>
      <c r="S981"/>
      <c r="X981"/>
    </row>
    <row r="982" spans="2:24" ht="18.75">
      <c r="B982">
        <v>23</v>
      </c>
      <c r="C982" s="5">
        <v>46174</v>
      </c>
      <c r="D982" t="s">
        <v>111</v>
      </c>
      <c r="E982">
        <v>161.72999999999999</v>
      </c>
      <c r="G982">
        <v>4</v>
      </c>
      <c r="H982" s="5">
        <v>46041</v>
      </c>
      <c r="I982" t="s">
        <v>164</v>
      </c>
      <c r="J982">
        <v>13.2</v>
      </c>
      <c r="N982"/>
      <c r="S982"/>
      <c r="X982"/>
    </row>
    <row r="983" spans="2:24" ht="18.75">
      <c r="B983">
        <v>23</v>
      </c>
      <c r="C983" s="5">
        <v>46174</v>
      </c>
      <c r="D983" t="s">
        <v>112</v>
      </c>
      <c r="E983">
        <v>83.51</v>
      </c>
      <c r="G983">
        <v>4</v>
      </c>
      <c r="H983" s="5">
        <v>46041</v>
      </c>
      <c r="I983" t="s">
        <v>176</v>
      </c>
      <c r="J983">
        <v>54.12</v>
      </c>
      <c r="N983"/>
      <c r="S983"/>
      <c r="X983"/>
    </row>
    <row r="984" spans="2:24" ht="18.75">
      <c r="B984">
        <v>23</v>
      </c>
      <c r="C984" s="5">
        <v>46174</v>
      </c>
      <c r="D984" t="s">
        <v>113</v>
      </c>
      <c r="E984">
        <v>288.27999999999997</v>
      </c>
      <c r="G984">
        <v>4</v>
      </c>
      <c r="H984" s="5">
        <v>46041</v>
      </c>
      <c r="I984" t="s">
        <v>163</v>
      </c>
      <c r="J984">
        <v>206.4</v>
      </c>
      <c r="N984"/>
      <c r="S984"/>
      <c r="X984"/>
    </row>
    <row r="985" spans="2:24" ht="18.75">
      <c r="B985">
        <v>23</v>
      </c>
      <c r="C985" s="5">
        <v>46174</v>
      </c>
      <c r="D985" t="s">
        <v>114</v>
      </c>
      <c r="E985">
        <v>309.01</v>
      </c>
      <c r="G985">
        <v>4</v>
      </c>
      <c r="H985" s="5">
        <v>46041</v>
      </c>
      <c r="I985" t="s">
        <v>168</v>
      </c>
      <c r="J985">
        <v>211.73</v>
      </c>
      <c r="N985"/>
      <c r="S985"/>
      <c r="X985"/>
    </row>
    <row r="986" spans="2:24" ht="18.75">
      <c r="B986">
        <v>23</v>
      </c>
      <c r="C986" s="5">
        <v>46174</v>
      </c>
      <c r="D986" t="s">
        <v>119</v>
      </c>
      <c r="E986">
        <v>266.37</v>
      </c>
      <c r="G986">
        <v>4</v>
      </c>
      <c r="H986" s="5">
        <v>46041</v>
      </c>
      <c r="I986" t="s">
        <v>172</v>
      </c>
      <c r="J986">
        <v>29.85</v>
      </c>
      <c r="N986"/>
      <c r="S986"/>
      <c r="X986"/>
    </row>
    <row r="987" spans="2:24" ht="18.75">
      <c r="B987">
        <v>23</v>
      </c>
      <c r="C987" s="5">
        <v>46174</v>
      </c>
      <c r="D987" t="s">
        <v>120</v>
      </c>
      <c r="E987">
        <v>97.03</v>
      </c>
      <c r="G987">
        <v>4</v>
      </c>
      <c r="H987" s="5">
        <v>46041</v>
      </c>
      <c r="I987" t="s">
        <v>201</v>
      </c>
      <c r="J987">
        <v>181.72</v>
      </c>
      <c r="N987"/>
      <c r="S987"/>
      <c r="X987"/>
    </row>
    <row r="988" spans="2:24" ht="18.75">
      <c r="B988">
        <v>23</v>
      </c>
      <c r="C988" s="5">
        <v>46174</v>
      </c>
      <c r="D988" t="s">
        <v>121</v>
      </c>
      <c r="E988">
        <v>138.77000000000001</v>
      </c>
      <c r="G988">
        <v>4</v>
      </c>
      <c r="H988" s="5">
        <v>46041</v>
      </c>
      <c r="I988" t="s">
        <v>173</v>
      </c>
      <c r="J988">
        <v>477.9</v>
      </c>
      <c r="N988"/>
      <c r="S988"/>
      <c r="X988"/>
    </row>
    <row r="989" spans="2:24" ht="18.75">
      <c r="B989">
        <v>23</v>
      </c>
      <c r="C989" s="5">
        <v>46174</v>
      </c>
      <c r="D989" t="s">
        <v>125</v>
      </c>
      <c r="E989">
        <v>97.88</v>
      </c>
      <c r="G989">
        <v>4</v>
      </c>
      <c r="H989" s="5">
        <v>46041</v>
      </c>
      <c r="I989" t="s">
        <v>175</v>
      </c>
      <c r="J989">
        <v>54</v>
      </c>
      <c r="N989"/>
      <c r="S989"/>
      <c r="X989"/>
    </row>
    <row r="990" spans="2:24" ht="18.75">
      <c r="B990">
        <v>23</v>
      </c>
      <c r="C990" s="5">
        <v>46174</v>
      </c>
      <c r="D990" t="s">
        <v>135</v>
      </c>
      <c r="E990">
        <v>75.69</v>
      </c>
      <c r="G990">
        <v>5</v>
      </c>
      <c r="H990" s="5">
        <v>46048</v>
      </c>
      <c r="I990" t="s">
        <v>160</v>
      </c>
      <c r="J990">
        <v>5185.26</v>
      </c>
      <c r="N990"/>
      <c r="S990"/>
      <c r="X990"/>
    </row>
    <row r="991" spans="2:24" ht="18.75">
      <c r="B991">
        <v>23</v>
      </c>
      <c r="C991" s="5">
        <v>46174</v>
      </c>
      <c r="D991" t="s">
        <v>137</v>
      </c>
      <c r="E991">
        <v>83.38</v>
      </c>
      <c r="G991">
        <v>5</v>
      </c>
      <c r="H991" s="5">
        <v>46048</v>
      </c>
      <c r="I991" t="s">
        <v>158</v>
      </c>
      <c r="J991">
        <v>529.24</v>
      </c>
      <c r="N991"/>
      <c r="S991"/>
      <c r="X991"/>
    </row>
    <row r="992" spans="2:24" ht="18.75">
      <c r="B992">
        <v>23</v>
      </c>
      <c r="C992" s="5">
        <v>46174</v>
      </c>
      <c r="D992" t="s">
        <v>141</v>
      </c>
      <c r="E992">
        <v>442.02</v>
      </c>
      <c r="G992">
        <v>5</v>
      </c>
      <c r="H992" s="5">
        <v>46048</v>
      </c>
      <c r="I992" t="s">
        <v>165</v>
      </c>
      <c r="J992">
        <v>220.4</v>
      </c>
      <c r="N992"/>
      <c r="S992"/>
      <c r="X992"/>
    </row>
    <row r="993" spans="2:24" ht="18.75">
      <c r="B993">
        <v>23</v>
      </c>
      <c r="C993" s="5">
        <v>46174</v>
      </c>
      <c r="D993" t="s">
        <v>139</v>
      </c>
      <c r="E993">
        <v>226.8</v>
      </c>
      <c r="G993">
        <v>5</v>
      </c>
      <c r="H993" s="5">
        <v>46048</v>
      </c>
      <c r="I993" t="s">
        <v>198</v>
      </c>
      <c r="J993">
        <v>499.8</v>
      </c>
      <c r="N993"/>
      <c r="S993"/>
      <c r="X993"/>
    </row>
    <row r="994" spans="2:24" ht="18.75">
      <c r="B994">
        <v>23</v>
      </c>
      <c r="C994" s="5">
        <v>46174</v>
      </c>
      <c r="D994" t="s">
        <v>216</v>
      </c>
      <c r="E994">
        <v>258.95</v>
      </c>
      <c r="G994">
        <v>5</v>
      </c>
      <c r="H994" s="5">
        <v>46048</v>
      </c>
      <c r="I994" t="s">
        <v>167</v>
      </c>
      <c r="J994">
        <v>89.85</v>
      </c>
      <c r="N994"/>
      <c r="S994"/>
      <c r="X994"/>
    </row>
    <row r="995" spans="2:24" ht="18.75">
      <c r="B995">
        <v>23</v>
      </c>
      <c r="C995" s="5">
        <v>46174</v>
      </c>
      <c r="D995" t="s">
        <v>127</v>
      </c>
      <c r="E995">
        <v>286.82</v>
      </c>
      <c r="G995">
        <v>5</v>
      </c>
      <c r="H995" s="5">
        <v>46048</v>
      </c>
      <c r="I995" t="s">
        <v>174</v>
      </c>
      <c r="J995">
        <v>1336.25</v>
      </c>
      <c r="N995"/>
      <c r="S995"/>
      <c r="X995"/>
    </row>
    <row r="996" spans="2:24" ht="18.75">
      <c r="B996">
        <v>23</v>
      </c>
      <c r="C996" s="5">
        <v>46174</v>
      </c>
      <c r="D996" t="s">
        <v>115</v>
      </c>
      <c r="E996">
        <v>291.58999999999997</v>
      </c>
      <c r="G996">
        <v>5</v>
      </c>
      <c r="H996" s="5">
        <v>46048</v>
      </c>
      <c r="I996" t="s">
        <v>169</v>
      </c>
      <c r="J996">
        <v>2308.96</v>
      </c>
      <c r="N996"/>
      <c r="S996"/>
      <c r="X996"/>
    </row>
    <row r="997" spans="2:24" ht="18.75">
      <c r="B997">
        <v>24</v>
      </c>
      <c r="C997" s="5">
        <v>46181</v>
      </c>
      <c r="D997" t="s">
        <v>111</v>
      </c>
      <c r="E997">
        <v>173.68</v>
      </c>
      <c r="G997">
        <v>5</v>
      </c>
      <c r="H997" s="5">
        <v>46048</v>
      </c>
      <c r="I997" t="s">
        <v>170</v>
      </c>
      <c r="J997">
        <v>92</v>
      </c>
      <c r="N997"/>
      <c r="S997"/>
      <c r="X997"/>
    </row>
    <row r="998" spans="2:24" ht="18.75">
      <c r="B998">
        <v>24</v>
      </c>
      <c r="C998" s="5">
        <v>46181</v>
      </c>
      <c r="D998" t="s">
        <v>112</v>
      </c>
      <c r="E998">
        <v>89.63</v>
      </c>
      <c r="G998">
        <v>5</v>
      </c>
      <c r="H998" s="5">
        <v>46048</v>
      </c>
      <c r="I998" t="s">
        <v>164</v>
      </c>
      <c r="J998">
        <v>32.4</v>
      </c>
      <c r="N998"/>
      <c r="S998"/>
      <c r="X998"/>
    </row>
    <row r="999" spans="2:24" ht="18.75">
      <c r="B999">
        <v>24</v>
      </c>
      <c r="C999" s="5">
        <v>46181</v>
      </c>
      <c r="D999" t="s">
        <v>113</v>
      </c>
      <c r="E999">
        <v>257.66000000000003</v>
      </c>
      <c r="G999">
        <v>5</v>
      </c>
      <c r="H999" s="5">
        <v>46048</v>
      </c>
      <c r="I999" t="s">
        <v>176</v>
      </c>
      <c r="J999">
        <v>136.08000000000001</v>
      </c>
      <c r="N999"/>
      <c r="S999"/>
      <c r="X999"/>
    </row>
    <row r="1000" spans="2:24" ht="18.75">
      <c r="B1000">
        <v>24</v>
      </c>
      <c r="C1000" s="5">
        <v>46181</v>
      </c>
      <c r="D1000" t="s">
        <v>114</v>
      </c>
      <c r="E1000">
        <v>346.72</v>
      </c>
      <c r="G1000">
        <v>5</v>
      </c>
      <c r="H1000" s="5">
        <v>46048</v>
      </c>
      <c r="I1000" t="s">
        <v>163</v>
      </c>
      <c r="J1000">
        <v>167.7</v>
      </c>
      <c r="N1000"/>
      <c r="S1000"/>
      <c r="X1000"/>
    </row>
    <row r="1001" spans="2:24" ht="18.75">
      <c r="B1001">
        <v>24</v>
      </c>
      <c r="C1001" s="5">
        <v>46181</v>
      </c>
      <c r="D1001" t="s">
        <v>116</v>
      </c>
      <c r="E1001">
        <v>105.21</v>
      </c>
      <c r="G1001">
        <v>5</v>
      </c>
      <c r="H1001" s="5">
        <v>46048</v>
      </c>
      <c r="I1001" t="s">
        <v>168</v>
      </c>
      <c r="J1001">
        <v>694.25</v>
      </c>
      <c r="N1001"/>
      <c r="S1001"/>
      <c r="X1001"/>
    </row>
    <row r="1002" spans="2:24" ht="18.75">
      <c r="B1002">
        <v>24</v>
      </c>
      <c r="C1002" s="5">
        <v>46181</v>
      </c>
      <c r="D1002" t="s">
        <v>117</v>
      </c>
      <c r="E1002">
        <v>266.12</v>
      </c>
      <c r="G1002">
        <v>5</v>
      </c>
      <c r="H1002" s="5">
        <v>46048</v>
      </c>
      <c r="I1002" t="s">
        <v>172</v>
      </c>
      <c r="J1002">
        <v>121.39</v>
      </c>
      <c r="N1002"/>
      <c r="S1002"/>
      <c r="X1002"/>
    </row>
    <row r="1003" spans="2:24" ht="18.75">
      <c r="B1003">
        <v>24</v>
      </c>
      <c r="C1003" s="5">
        <v>46181</v>
      </c>
      <c r="D1003" t="s">
        <v>118</v>
      </c>
      <c r="E1003">
        <v>150.51</v>
      </c>
      <c r="G1003">
        <v>5</v>
      </c>
      <c r="H1003" s="5">
        <v>46048</v>
      </c>
      <c r="I1003" t="s">
        <v>201</v>
      </c>
      <c r="J1003">
        <v>154</v>
      </c>
      <c r="N1003"/>
      <c r="S1003"/>
      <c r="X1003"/>
    </row>
    <row r="1004" spans="2:24" ht="18.75">
      <c r="B1004">
        <v>24</v>
      </c>
      <c r="C1004" s="5">
        <v>46181</v>
      </c>
      <c r="D1004" t="s">
        <v>120</v>
      </c>
      <c r="E1004">
        <v>83.21</v>
      </c>
      <c r="G1004">
        <v>5</v>
      </c>
      <c r="H1004" s="5">
        <v>46048</v>
      </c>
      <c r="I1004" t="s">
        <v>173</v>
      </c>
      <c r="J1004">
        <v>675.25</v>
      </c>
      <c r="N1004"/>
      <c r="S1004"/>
      <c r="X1004"/>
    </row>
    <row r="1005" spans="2:24" ht="18.75">
      <c r="B1005">
        <v>24</v>
      </c>
      <c r="C1005" s="5">
        <v>46181</v>
      </c>
      <c r="D1005" t="s">
        <v>121</v>
      </c>
      <c r="E1005">
        <v>105.33</v>
      </c>
      <c r="G1005">
        <v>5</v>
      </c>
      <c r="H1005" s="5">
        <v>46048</v>
      </c>
      <c r="I1005" t="s">
        <v>175</v>
      </c>
      <c r="J1005">
        <v>350.9</v>
      </c>
      <c r="N1005"/>
      <c r="S1005"/>
      <c r="X1005"/>
    </row>
    <row r="1006" spans="2:24" ht="18.75">
      <c r="B1006">
        <v>24</v>
      </c>
      <c r="C1006" s="5">
        <v>46181</v>
      </c>
      <c r="D1006" t="s">
        <v>122</v>
      </c>
      <c r="E1006">
        <v>328.65</v>
      </c>
      <c r="G1006">
        <v>6</v>
      </c>
      <c r="H1006" s="5">
        <v>46055</v>
      </c>
      <c r="I1006" t="s">
        <v>160</v>
      </c>
      <c r="J1006">
        <v>1820.16</v>
      </c>
      <c r="N1006"/>
      <c r="S1006"/>
      <c r="X1006"/>
    </row>
    <row r="1007" spans="2:24" ht="18.75">
      <c r="B1007">
        <v>24</v>
      </c>
      <c r="C1007" s="5">
        <v>46181</v>
      </c>
      <c r="D1007" t="s">
        <v>123</v>
      </c>
      <c r="E1007">
        <v>411.53</v>
      </c>
      <c r="G1007">
        <v>6</v>
      </c>
      <c r="H1007" s="5">
        <v>46055</v>
      </c>
      <c r="I1007" t="s">
        <v>165</v>
      </c>
      <c r="J1007">
        <v>101.4</v>
      </c>
      <c r="N1007"/>
      <c r="S1007"/>
      <c r="X1007"/>
    </row>
    <row r="1008" spans="2:24" ht="18.75">
      <c r="B1008">
        <v>24</v>
      </c>
      <c r="C1008" s="5">
        <v>46181</v>
      </c>
      <c r="D1008" t="s">
        <v>124</v>
      </c>
      <c r="E1008">
        <v>421.75</v>
      </c>
      <c r="G1008">
        <v>6</v>
      </c>
      <c r="H1008" s="5">
        <v>46055</v>
      </c>
      <c r="I1008" t="s">
        <v>198</v>
      </c>
      <c r="J1008">
        <v>177.6</v>
      </c>
      <c r="N1008"/>
      <c r="S1008"/>
      <c r="X1008"/>
    </row>
    <row r="1009" spans="2:24" ht="18.75">
      <c r="B1009">
        <v>24</v>
      </c>
      <c r="C1009" s="5">
        <v>46181</v>
      </c>
      <c r="D1009" t="s">
        <v>125</v>
      </c>
      <c r="E1009">
        <v>111.08</v>
      </c>
      <c r="G1009">
        <v>6</v>
      </c>
      <c r="H1009" s="5">
        <v>46055</v>
      </c>
      <c r="I1009" t="s">
        <v>171</v>
      </c>
      <c r="J1009">
        <v>206.57</v>
      </c>
      <c r="N1009"/>
      <c r="S1009"/>
      <c r="X1009"/>
    </row>
    <row r="1010" spans="2:24" ht="18.75">
      <c r="B1010">
        <v>24</v>
      </c>
      <c r="C1010" s="5">
        <v>46181</v>
      </c>
      <c r="D1010" t="s">
        <v>126</v>
      </c>
      <c r="E1010">
        <v>134.16</v>
      </c>
      <c r="G1010">
        <v>6</v>
      </c>
      <c r="H1010" s="5">
        <v>46055</v>
      </c>
      <c r="I1010" t="s">
        <v>169</v>
      </c>
      <c r="J1010">
        <v>541.24</v>
      </c>
      <c r="N1010"/>
      <c r="S1010"/>
      <c r="X1010"/>
    </row>
    <row r="1011" spans="2:24" ht="18.75">
      <c r="B1011">
        <v>24</v>
      </c>
      <c r="C1011" s="5">
        <v>46181</v>
      </c>
      <c r="D1011" t="s">
        <v>128</v>
      </c>
      <c r="E1011">
        <v>214.25</v>
      </c>
      <c r="G1011">
        <v>6</v>
      </c>
      <c r="H1011" s="5">
        <v>46055</v>
      </c>
      <c r="I1011" t="s">
        <v>164</v>
      </c>
      <c r="J1011">
        <v>22.8</v>
      </c>
      <c r="N1011"/>
      <c r="S1011"/>
      <c r="X1011"/>
    </row>
    <row r="1012" spans="2:24" ht="18.75">
      <c r="B1012">
        <v>24</v>
      </c>
      <c r="C1012" s="5">
        <v>46181</v>
      </c>
      <c r="D1012" t="s">
        <v>130</v>
      </c>
      <c r="E1012">
        <v>330.72</v>
      </c>
      <c r="G1012">
        <v>6</v>
      </c>
      <c r="H1012" s="5">
        <v>46055</v>
      </c>
      <c r="I1012" t="s">
        <v>176</v>
      </c>
      <c r="J1012">
        <v>62.64</v>
      </c>
      <c r="N1012"/>
      <c r="S1012"/>
      <c r="X1012"/>
    </row>
    <row r="1013" spans="2:24" ht="18.75">
      <c r="B1013">
        <v>24</v>
      </c>
      <c r="C1013" s="5">
        <v>46181</v>
      </c>
      <c r="D1013" t="s">
        <v>131</v>
      </c>
      <c r="E1013">
        <v>267.11</v>
      </c>
      <c r="G1013">
        <v>6</v>
      </c>
      <c r="H1013" s="5">
        <v>46055</v>
      </c>
      <c r="I1013" t="s">
        <v>163</v>
      </c>
      <c r="J1013">
        <v>16.77</v>
      </c>
      <c r="N1013"/>
      <c r="S1013"/>
      <c r="X1013"/>
    </row>
    <row r="1014" spans="2:24" ht="18.75">
      <c r="B1014">
        <v>24</v>
      </c>
      <c r="C1014" s="5">
        <v>46181</v>
      </c>
      <c r="D1014" t="s">
        <v>132</v>
      </c>
      <c r="E1014">
        <v>246.11</v>
      </c>
      <c r="G1014">
        <v>6</v>
      </c>
      <c r="H1014" s="5">
        <v>46055</v>
      </c>
      <c r="I1014" t="s">
        <v>168</v>
      </c>
      <c r="J1014">
        <v>55.76</v>
      </c>
      <c r="N1014"/>
      <c r="S1014"/>
      <c r="X1014"/>
    </row>
    <row r="1015" spans="2:24" ht="18.75">
      <c r="B1015">
        <v>24</v>
      </c>
      <c r="C1015" s="5">
        <v>46181</v>
      </c>
      <c r="D1015" t="s">
        <v>133</v>
      </c>
      <c r="E1015">
        <v>401.95</v>
      </c>
      <c r="G1015">
        <v>6</v>
      </c>
      <c r="H1015" s="5">
        <v>46055</v>
      </c>
      <c r="I1015" t="s">
        <v>172</v>
      </c>
      <c r="J1015">
        <v>11.94</v>
      </c>
      <c r="N1015"/>
      <c r="S1015"/>
      <c r="X1015"/>
    </row>
    <row r="1016" spans="2:24" ht="18.75">
      <c r="B1016">
        <v>24</v>
      </c>
      <c r="C1016" s="5">
        <v>46181</v>
      </c>
      <c r="D1016" t="s">
        <v>134</v>
      </c>
      <c r="E1016">
        <v>417.32</v>
      </c>
      <c r="G1016">
        <v>6</v>
      </c>
      <c r="H1016" s="5">
        <v>46055</v>
      </c>
      <c r="I1016" t="s">
        <v>173</v>
      </c>
      <c r="J1016">
        <v>167.05</v>
      </c>
      <c r="N1016"/>
      <c r="S1016"/>
      <c r="X1016"/>
    </row>
    <row r="1017" spans="2:24" ht="18.75">
      <c r="B1017">
        <v>24</v>
      </c>
      <c r="C1017" s="5">
        <v>46181</v>
      </c>
      <c r="D1017" t="s">
        <v>135</v>
      </c>
      <c r="E1017">
        <v>90.06</v>
      </c>
      <c r="G1017">
        <v>6</v>
      </c>
      <c r="H1017" s="5">
        <v>46055</v>
      </c>
      <c r="I1017" t="s">
        <v>175</v>
      </c>
      <c r="J1017">
        <v>96.6</v>
      </c>
      <c r="N1017"/>
      <c r="S1017"/>
      <c r="X1017"/>
    </row>
    <row r="1018" spans="2:24" ht="18.75">
      <c r="B1018">
        <v>24</v>
      </c>
      <c r="C1018" s="5">
        <v>46181</v>
      </c>
      <c r="D1018" t="s">
        <v>136</v>
      </c>
      <c r="E1018">
        <v>181.5</v>
      </c>
      <c r="G1018">
        <v>6</v>
      </c>
      <c r="H1018" s="5">
        <v>46055</v>
      </c>
      <c r="I1018" t="s">
        <v>158</v>
      </c>
      <c r="J1018">
        <v>133.32</v>
      </c>
      <c r="N1018"/>
      <c r="S1018"/>
      <c r="X1018"/>
    </row>
    <row r="1019" spans="2:24" ht="18.75">
      <c r="B1019">
        <v>24</v>
      </c>
      <c r="C1019" s="5">
        <v>46181</v>
      </c>
      <c r="D1019" t="s">
        <v>137</v>
      </c>
      <c r="E1019">
        <v>98.24</v>
      </c>
      <c r="G1019">
        <v>6</v>
      </c>
      <c r="H1019" s="5">
        <v>46055</v>
      </c>
      <c r="I1019" t="s">
        <v>174</v>
      </c>
      <c r="J1019">
        <v>121.22</v>
      </c>
      <c r="N1019"/>
      <c r="S1019"/>
      <c r="X1019"/>
    </row>
    <row r="1020" spans="2:24" ht="18.75">
      <c r="B1020">
        <v>24</v>
      </c>
      <c r="C1020" s="5">
        <v>46181</v>
      </c>
      <c r="D1020" t="s">
        <v>138</v>
      </c>
      <c r="E1020">
        <v>501.34</v>
      </c>
      <c r="G1020">
        <v>6</v>
      </c>
      <c r="H1020" s="5">
        <v>46055</v>
      </c>
      <c r="I1020" t="s">
        <v>170</v>
      </c>
      <c r="J1020">
        <v>20</v>
      </c>
      <c r="N1020"/>
      <c r="S1020"/>
      <c r="X1020"/>
    </row>
    <row r="1021" spans="2:24" ht="18.75">
      <c r="B1021">
        <v>24</v>
      </c>
      <c r="C1021" s="5">
        <v>46181</v>
      </c>
      <c r="D1021" t="s">
        <v>141</v>
      </c>
      <c r="E1021">
        <v>535.75</v>
      </c>
      <c r="G1021">
        <v>7</v>
      </c>
      <c r="H1021" s="5">
        <v>46062</v>
      </c>
      <c r="I1021" t="s">
        <v>160</v>
      </c>
      <c r="J1021">
        <v>500.84</v>
      </c>
      <c r="N1021"/>
      <c r="S1021"/>
      <c r="X1021"/>
    </row>
    <row r="1022" spans="2:24" ht="18.75">
      <c r="B1022">
        <v>24</v>
      </c>
      <c r="C1022" s="5">
        <v>46181</v>
      </c>
      <c r="D1022" t="s">
        <v>142</v>
      </c>
      <c r="E1022">
        <v>196.38</v>
      </c>
      <c r="G1022">
        <v>7</v>
      </c>
      <c r="H1022" s="5">
        <v>46062</v>
      </c>
      <c r="I1022" t="s">
        <v>158</v>
      </c>
      <c r="J1022">
        <v>48.48</v>
      </c>
      <c r="N1022"/>
      <c r="S1022"/>
      <c r="X1022"/>
    </row>
    <row r="1023" spans="2:24" ht="18.75">
      <c r="B1023">
        <v>24</v>
      </c>
      <c r="C1023" s="5">
        <v>46181</v>
      </c>
      <c r="D1023" t="s">
        <v>139</v>
      </c>
      <c r="E1023">
        <v>232.46</v>
      </c>
      <c r="G1023">
        <v>7</v>
      </c>
      <c r="H1023" s="5">
        <v>46062</v>
      </c>
      <c r="I1023" t="s">
        <v>165</v>
      </c>
      <c r="J1023">
        <v>0</v>
      </c>
      <c r="N1023"/>
      <c r="S1023"/>
      <c r="X1023"/>
    </row>
    <row r="1024" spans="2:24" ht="18.75">
      <c r="B1024">
        <v>24</v>
      </c>
      <c r="C1024" s="5">
        <v>46181</v>
      </c>
      <c r="D1024" t="s">
        <v>143</v>
      </c>
      <c r="E1024">
        <v>606.67999999999995</v>
      </c>
      <c r="G1024">
        <v>7</v>
      </c>
      <c r="H1024" s="5">
        <v>46062</v>
      </c>
      <c r="I1024" t="s">
        <v>174</v>
      </c>
      <c r="J1024">
        <v>68.16</v>
      </c>
      <c r="N1024"/>
      <c r="S1024"/>
      <c r="X1024"/>
    </row>
    <row r="1025" spans="2:24" ht="18.75">
      <c r="B1025">
        <v>24</v>
      </c>
      <c r="C1025" s="5">
        <v>46181</v>
      </c>
      <c r="D1025" t="s">
        <v>144</v>
      </c>
      <c r="E1025">
        <v>1028.79</v>
      </c>
      <c r="G1025">
        <v>7</v>
      </c>
      <c r="H1025" s="5">
        <v>46062</v>
      </c>
      <c r="I1025" t="s">
        <v>171</v>
      </c>
      <c r="J1025">
        <v>77.84</v>
      </c>
      <c r="N1025"/>
      <c r="S1025"/>
      <c r="X1025"/>
    </row>
    <row r="1026" spans="2:24" ht="18.75">
      <c r="B1026">
        <v>24</v>
      </c>
      <c r="C1026" s="5">
        <v>46181</v>
      </c>
      <c r="D1026" t="s">
        <v>145</v>
      </c>
      <c r="E1026">
        <v>217.23</v>
      </c>
      <c r="G1026">
        <v>7</v>
      </c>
      <c r="H1026" s="5">
        <v>46062</v>
      </c>
      <c r="I1026" t="s">
        <v>169</v>
      </c>
      <c r="J1026">
        <v>213.89</v>
      </c>
      <c r="N1026"/>
      <c r="S1026"/>
      <c r="X1026"/>
    </row>
    <row r="1027" spans="2:24" ht="18.75">
      <c r="B1027">
        <v>24</v>
      </c>
      <c r="C1027" s="5">
        <v>46181</v>
      </c>
      <c r="D1027" t="s">
        <v>146</v>
      </c>
      <c r="E1027">
        <v>675.17</v>
      </c>
      <c r="G1027">
        <v>7</v>
      </c>
      <c r="H1027" s="5">
        <v>46062</v>
      </c>
      <c r="I1027" t="s">
        <v>176</v>
      </c>
      <c r="J1027">
        <v>1.2</v>
      </c>
      <c r="N1027"/>
      <c r="S1027"/>
      <c r="X1027"/>
    </row>
    <row r="1028" spans="2:24" ht="18.75">
      <c r="B1028">
        <v>24</v>
      </c>
      <c r="C1028" s="5">
        <v>46181</v>
      </c>
      <c r="D1028" t="s">
        <v>148</v>
      </c>
      <c r="E1028">
        <v>103.66</v>
      </c>
      <c r="G1028">
        <v>7</v>
      </c>
      <c r="H1028" s="5">
        <v>46062</v>
      </c>
      <c r="I1028" t="s">
        <v>168</v>
      </c>
      <c r="J1028">
        <v>72.510000000000005</v>
      </c>
      <c r="N1028"/>
      <c r="S1028"/>
      <c r="X1028"/>
    </row>
    <row r="1029" spans="2:24" ht="18.75">
      <c r="B1029">
        <v>24</v>
      </c>
      <c r="C1029" s="5">
        <v>46181</v>
      </c>
      <c r="D1029" t="s">
        <v>147</v>
      </c>
      <c r="E1029">
        <v>377.18</v>
      </c>
      <c r="G1029">
        <v>7</v>
      </c>
      <c r="H1029" s="5">
        <v>46062</v>
      </c>
      <c r="I1029" t="s">
        <v>201</v>
      </c>
      <c r="J1029">
        <v>9.24</v>
      </c>
      <c r="N1029"/>
      <c r="S1029"/>
      <c r="X1029"/>
    </row>
    <row r="1030" spans="2:24" ht="18.75">
      <c r="B1030">
        <v>24</v>
      </c>
      <c r="C1030" s="5">
        <v>46181</v>
      </c>
      <c r="D1030" t="s">
        <v>150</v>
      </c>
      <c r="E1030">
        <v>91.4</v>
      </c>
      <c r="G1030">
        <v>7</v>
      </c>
      <c r="H1030" s="5">
        <v>46062</v>
      </c>
      <c r="I1030" t="s">
        <v>172</v>
      </c>
      <c r="J1030">
        <v>3.98</v>
      </c>
      <c r="N1030"/>
      <c r="S1030"/>
      <c r="X1030"/>
    </row>
    <row r="1031" spans="2:24" ht="18.75">
      <c r="B1031">
        <v>24</v>
      </c>
      <c r="C1031" s="5">
        <v>46181</v>
      </c>
      <c r="D1031" t="s">
        <v>151</v>
      </c>
      <c r="E1031">
        <v>725.05</v>
      </c>
      <c r="G1031">
        <v>7</v>
      </c>
      <c r="H1031" s="5">
        <v>46062</v>
      </c>
      <c r="I1031" t="s">
        <v>173</v>
      </c>
      <c r="J1031">
        <v>80.849999999999994</v>
      </c>
      <c r="N1031"/>
      <c r="S1031"/>
      <c r="X1031"/>
    </row>
    <row r="1032" spans="2:24" ht="18.75">
      <c r="B1032">
        <v>24</v>
      </c>
      <c r="C1032" s="5">
        <v>46181</v>
      </c>
      <c r="D1032" t="s">
        <v>119</v>
      </c>
      <c r="E1032">
        <v>241.52</v>
      </c>
      <c r="G1032">
        <v>7</v>
      </c>
      <c r="H1032" s="5">
        <v>46062</v>
      </c>
      <c r="I1032" t="s">
        <v>175</v>
      </c>
      <c r="J1032">
        <v>9</v>
      </c>
      <c r="N1032"/>
      <c r="S1032"/>
      <c r="X1032"/>
    </row>
    <row r="1033" spans="2:24" ht="18.75">
      <c r="B1033">
        <v>24</v>
      </c>
      <c r="C1033" s="5">
        <v>46181</v>
      </c>
      <c r="D1033" t="s">
        <v>129</v>
      </c>
      <c r="E1033">
        <v>351.18</v>
      </c>
      <c r="G1033">
        <v>8</v>
      </c>
      <c r="H1033" s="5">
        <v>46069</v>
      </c>
      <c r="I1033" t="s">
        <v>160</v>
      </c>
      <c r="J1033">
        <v>4403.16</v>
      </c>
      <c r="N1033"/>
      <c r="S1033"/>
      <c r="X1033"/>
    </row>
    <row r="1034" spans="2:24" ht="18.75">
      <c r="B1034">
        <v>24</v>
      </c>
      <c r="C1034" s="5">
        <v>46181</v>
      </c>
      <c r="D1034" t="s">
        <v>216</v>
      </c>
      <c r="E1034">
        <v>466.65</v>
      </c>
      <c r="G1034">
        <v>8</v>
      </c>
      <c r="H1034" s="5">
        <v>46069</v>
      </c>
      <c r="I1034" t="s">
        <v>158</v>
      </c>
      <c r="J1034">
        <v>464.6</v>
      </c>
      <c r="N1034"/>
      <c r="S1034"/>
      <c r="X1034"/>
    </row>
    <row r="1035" spans="2:24" ht="18.75">
      <c r="B1035">
        <v>24</v>
      </c>
      <c r="C1035" s="5">
        <v>46181</v>
      </c>
      <c r="D1035" t="s">
        <v>127</v>
      </c>
      <c r="E1035">
        <v>249.54</v>
      </c>
      <c r="G1035">
        <v>8</v>
      </c>
      <c r="H1035" s="5">
        <v>46069</v>
      </c>
      <c r="I1035" t="s">
        <v>165</v>
      </c>
      <c r="J1035">
        <v>228.5</v>
      </c>
      <c r="N1035"/>
      <c r="S1035"/>
      <c r="X1035"/>
    </row>
    <row r="1036" spans="2:24" ht="18.75">
      <c r="B1036">
        <v>24</v>
      </c>
      <c r="C1036" s="5">
        <v>46181</v>
      </c>
      <c r="D1036" t="s">
        <v>115</v>
      </c>
      <c r="E1036">
        <v>423.18</v>
      </c>
      <c r="G1036">
        <v>8</v>
      </c>
      <c r="H1036" s="5">
        <v>46069</v>
      </c>
      <c r="I1036" t="s">
        <v>198</v>
      </c>
      <c r="J1036">
        <v>327.25</v>
      </c>
      <c r="N1036"/>
      <c r="S1036"/>
      <c r="X1036"/>
    </row>
    <row r="1037" spans="2:24" ht="18.75">
      <c r="B1037">
        <v>24</v>
      </c>
      <c r="C1037" s="5">
        <v>46181</v>
      </c>
      <c r="D1037" t="s">
        <v>217</v>
      </c>
      <c r="E1037">
        <v>161.02000000000001</v>
      </c>
      <c r="G1037">
        <v>8</v>
      </c>
      <c r="H1037" s="5">
        <v>46069</v>
      </c>
      <c r="I1037" t="s">
        <v>171</v>
      </c>
      <c r="J1037">
        <v>672.12</v>
      </c>
      <c r="N1037"/>
      <c r="S1037"/>
      <c r="X1037"/>
    </row>
    <row r="1038" spans="2:24" ht="18.75">
      <c r="B1038">
        <v>25</v>
      </c>
      <c r="C1038" s="5">
        <v>46188</v>
      </c>
      <c r="D1038" t="s">
        <v>217</v>
      </c>
      <c r="E1038">
        <v>81.52</v>
      </c>
      <c r="G1038">
        <v>8</v>
      </c>
      <c r="H1038" s="5">
        <v>46069</v>
      </c>
      <c r="I1038" t="s">
        <v>174</v>
      </c>
      <c r="J1038">
        <v>388</v>
      </c>
      <c r="N1038"/>
      <c r="S1038"/>
      <c r="X1038"/>
    </row>
    <row r="1039" spans="2:24" ht="18.75">
      <c r="B1039">
        <v>25</v>
      </c>
      <c r="C1039" s="5">
        <v>46188</v>
      </c>
      <c r="D1039" t="s">
        <v>112</v>
      </c>
      <c r="E1039">
        <v>47.31</v>
      </c>
      <c r="G1039">
        <v>8</v>
      </c>
      <c r="H1039" s="5">
        <v>46069</v>
      </c>
      <c r="I1039" t="s">
        <v>169</v>
      </c>
      <c r="J1039">
        <v>2087.71</v>
      </c>
      <c r="N1039"/>
      <c r="S1039"/>
      <c r="X1039"/>
    </row>
    <row r="1040" spans="2:24" ht="18.75">
      <c r="B1040">
        <v>25</v>
      </c>
      <c r="C1040" s="5">
        <v>46188</v>
      </c>
      <c r="D1040" t="s">
        <v>114</v>
      </c>
      <c r="E1040">
        <v>214.64</v>
      </c>
      <c r="G1040">
        <v>8</v>
      </c>
      <c r="H1040" s="5">
        <v>46069</v>
      </c>
      <c r="I1040" t="s">
        <v>176</v>
      </c>
      <c r="J1040">
        <v>141.96</v>
      </c>
      <c r="N1040"/>
      <c r="S1040"/>
      <c r="X1040"/>
    </row>
    <row r="1041" spans="2:24" ht="18.75">
      <c r="B1041">
        <v>25</v>
      </c>
      <c r="C1041" s="5">
        <v>46188</v>
      </c>
      <c r="D1041" t="s">
        <v>117</v>
      </c>
      <c r="E1041">
        <v>149.91999999999999</v>
      </c>
      <c r="G1041">
        <v>8</v>
      </c>
      <c r="H1041" s="5">
        <v>46069</v>
      </c>
      <c r="I1041" t="s">
        <v>163</v>
      </c>
      <c r="J1041">
        <v>290.25</v>
      </c>
      <c r="N1041"/>
      <c r="S1041"/>
      <c r="X1041"/>
    </row>
    <row r="1042" spans="2:24" ht="18.75">
      <c r="B1042">
        <v>25</v>
      </c>
      <c r="C1042" s="5">
        <v>46188</v>
      </c>
      <c r="D1042" t="s">
        <v>118</v>
      </c>
      <c r="E1042">
        <v>99.3</v>
      </c>
      <c r="G1042">
        <v>8</v>
      </c>
      <c r="H1042" s="5">
        <v>46069</v>
      </c>
      <c r="I1042" t="s">
        <v>168</v>
      </c>
      <c r="J1042">
        <v>250.36</v>
      </c>
      <c r="N1042"/>
      <c r="S1042"/>
      <c r="X1042"/>
    </row>
    <row r="1043" spans="2:24" ht="18.75">
      <c r="B1043">
        <v>25</v>
      </c>
      <c r="C1043" s="5">
        <v>46188</v>
      </c>
      <c r="D1043" t="s">
        <v>120</v>
      </c>
      <c r="E1043">
        <v>90.19</v>
      </c>
      <c r="G1043">
        <v>8</v>
      </c>
      <c r="H1043" s="5">
        <v>46069</v>
      </c>
      <c r="I1043" t="s">
        <v>201</v>
      </c>
      <c r="J1043">
        <v>129.36000000000001</v>
      </c>
      <c r="N1043"/>
      <c r="S1043"/>
      <c r="X1043"/>
    </row>
    <row r="1044" spans="2:24" ht="18.75">
      <c r="B1044">
        <v>25</v>
      </c>
      <c r="C1044" s="5">
        <v>46188</v>
      </c>
      <c r="D1044" t="s">
        <v>121</v>
      </c>
      <c r="E1044">
        <v>69.099999999999994</v>
      </c>
      <c r="G1044">
        <v>8</v>
      </c>
      <c r="H1044" s="5">
        <v>46069</v>
      </c>
      <c r="I1044" t="s">
        <v>173</v>
      </c>
      <c r="J1044">
        <v>800.7</v>
      </c>
      <c r="N1044"/>
      <c r="S1044"/>
      <c r="X1044"/>
    </row>
    <row r="1045" spans="2:24" ht="18.75">
      <c r="B1045">
        <v>25</v>
      </c>
      <c r="C1045" s="5">
        <v>46188</v>
      </c>
      <c r="D1045" t="s">
        <v>122</v>
      </c>
      <c r="E1045">
        <v>271.89</v>
      </c>
      <c r="G1045">
        <v>8</v>
      </c>
      <c r="H1045" s="5">
        <v>46069</v>
      </c>
      <c r="I1045" t="s">
        <v>172</v>
      </c>
      <c r="J1045">
        <v>5.97</v>
      </c>
      <c r="N1045"/>
      <c r="S1045"/>
      <c r="X1045"/>
    </row>
    <row r="1046" spans="2:24" ht="18.75">
      <c r="B1046">
        <v>25</v>
      </c>
      <c r="C1046" s="5">
        <v>46188</v>
      </c>
      <c r="D1046" t="s">
        <v>123</v>
      </c>
      <c r="E1046">
        <v>251.01</v>
      </c>
      <c r="G1046">
        <v>9</v>
      </c>
      <c r="H1046" s="5">
        <v>46076</v>
      </c>
      <c r="I1046" t="s">
        <v>160</v>
      </c>
      <c r="J1046">
        <v>4541</v>
      </c>
      <c r="N1046"/>
      <c r="S1046"/>
      <c r="X1046"/>
    </row>
    <row r="1047" spans="2:24" ht="18.75">
      <c r="B1047">
        <v>25</v>
      </c>
      <c r="C1047" s="5">
        <v>46188</v>
      </c>
      <c r="D1047" t="s">
        <v>124</v>
      </c>
      <c r="E1047">
        <v>170.47</v>
      </c>
      <c r="G1047">
        <v>9</v>
      </c>
      <c r="H1047" s="5">
        <v>46076</v>
      </c>
      <c r="I1047" t="s">
        <v>171</v>
      </c>
      <c r="J1047">
        <v>719.95</v>
      </c>
      <c r="N1047"/>
      <c r="S1047"/>
      <c r="X1047"/>
    </row>
    <row r="1048" spans="2:24" ht="18.75">
      <c r="B1048">
        <v>25</v>
      </c>
      <c r="C1048" s="5">
        <v>46188</v>
      </c>
      <c r="D1048" t="s">
        <v>125</v>
      </c>
      <c r="E1048">
        <v>84.1</v>
      </c>
      <c r="G1048">
        <v>9</v>
      </c>
      <c r="H1048" s="5">
        <v>46076</v>
      </c>
      <c r="I1048" t="s">
        <v>198</v>
      </c>
      <c r="J1048">
        <v>380.8</v>
      </c>
      <c r="N1048"/>
      <c r="S1048"/>
      <c r="X1048"/>
    </row>
    <row r="1049" spans="2:24" ht="18.75">
      <c r="B1049">
        <v>25</v>
      </c>
      <c r="C1049" s="5">
        <v>46188</v>
      </c>
      <c r="D1049" t="s">
        <v>126</v>
      </c>
      <c r="E1049">
        <v>147.22999999999999</v>
      </c>
      <c r="G1049">
        <v>9</v>
      </c>
      <c r="H1049" s="5">
        <v>46076</v>
      </c>
      <c r="I1049" t="s">
        <v>169</v>
      </c>
      <c r="J1049">
        <v>2196.65</v>
      </c>
      <c r="N1049"/>
      <c r="S1049"/>
      <c r="X1049"/>
    </row>
    <row r="1050" spans="2:24" ht="18.75">
      <c r="B1050">
        <v>25</v>
      </c>
      <c r="C1050" s="5">
        <v>46188</v>
      </c>
      <c r="D1050" t="s">
        <v>128</v>
      </c>
      <c r="E1050">
        <v>217.88</v>
      </c>
      <c r="G1050">
        <v>9</v>
      </c>
      <c r="H1050" s="5">
        <v>46076</v>
      </c>
      <c r="I1050" t="s">
        <v>176</v>
      </c>
      <c r="J1050">
        <v>137.16</v>
      </c>
      <c r="N1050"/>
      <c r="S1050"/>
      <c r="X1050"/>
    </row>
    <row r="1051" spans="2:24" ht="18.75">
      <c r="B1051">
        <v>25</v>
      </c>
      <c r="C1051" s="5">
        <v>46188</v>
      </c>
      <c r="D1051" t="s">
        <v>129</v>
      </c>
      <c r="E1051">
        <v>233.65</v>
      </c>
      <c r="G1051">
        <v>9</v>
      </c>
      <c r="H1051" s="5">
        <v>46076</v>
      </c>
      <c r="I1051" t="s">
        <v>163</v>
      </c>
      <c r="J1051">
        <v>272.19</v>
      </c>
      <c r="N1051"/>
      <c r="S1051"/>
      <c r="X1051"/>
    </row>
    <row r="1052" spans="2:24" ht="18.75">
      <c r="B1052">
        <v>25</v>
      </c>
      <c r="C1052" s="5">
        <v>46188</v>
      </c>
      <c r="D1052" t="s">
        <v>130</v>
      </c>
      <c r="E1052">
        <v>234.16</v>
      </c>
      <c r="G1052">
        <v>9</v>
      </c>
      <c r="H1052" s="5">
        <v>46076</v>
      </c>
      <c r="I1052" t="s">
        <v>201</v>
      </c>
      <c r="J1052">
        <v>172.48</v>
      </c>
      <c r="N1052"/>
      <c r="S1052"/>
      <c r="X1052"/>
    </row>
    <row r="1053" spans="2:24" ht="18.75">
      <c r="B1053">
        <v>25</v>
      </c>
      <c r="C1053" s="5">
        <v>46188</v>
      </c>
      <c r="D1053" t="s">
        <v>131</v>
      </c>
      <c r="E1053">
        <v>144.34</v>
      </c>
      <c r="G1053">
        <v>9</v>
      </c>
      <c r="H1053" s="5">
        <v>46076</v>
      </c>
      <c r="I1053" t="s">
        <v>168</v>
      </c>
      <c r="J1053">
        <v>295.42</v>
      </c>
      <c r="N1053"/>
      <c r="S1053"/>
      <c r="X1053"/>
    </row>
    <row r="1054" spans="2:24" ht="18.75">
      <c r="B1054">
        <v>25</v>
      </c>
      <c r="C1054" s="5">
        <v>46188</v>
      </c>
      <c r="D1054" t="s">
        <v>132</v>
      </c>
      <c r="E1054">
        <v>189.93</v>
      </c>
      <c r="G1054">
        <v>9</v>
      </c>
      <c r="H1054" s="5">
        <v>46076</v>
      </c>
      <c r="I1054" t="s">
        <v>173</v>
      </c>
      <c r="J1054">
        <v>595.04999999999995</v>
      </c>
      <c r="N1054"/>
      <c r="S1054"/>
      <c r="X1054"/>
    </row>
    <row r="1055" spans="2:24" ht="18.75">
      <c r="B1055">
        <v>25</v>
      </c>
      <c r="C1055" s="5">
        <v>46188</v>
      </c>
      <c r="D1055" t="s">
        <v>133</v>
      </c>
      <c r="E1055">
        <v>251.62</v>
      </c>
      <c r="G1055">
        <v>9</v>
      </c>
      <c r="H1055" s="5">
        <v>46076</v>
      </c>
      <c r="I1055" t="s">
        <v>158</v>
      </c>
      <c r="J1055">
        <v>573.67999999999995</v>
      </c>
      <c r="N1055"/>
      <c r="S1055"/>
      <c r="X1055"/>
    </row>
    <row r="1056" spans="2:24" ht="18.75">
      <c r="B1056">
        <v>25</v>
      </c>
      <c r="C1056" s="5">
        <v>46188</v>
      </c>
      <c r="D1056" t="s">
        <v>134</v>
      </c>
      <c r="E1056">
        <v>246.59</v>
      </c>
      <c r="G1056">
        <v>9</v>
      </c>
      <c r="H1056" s="5">
        <v>46076</v>
      </c>
      <c r="I1056" t="s">
        <v>165</v>
      </c>
      <c r="J1056">
        <v>124.5</v>
      </c>
      <c r="N1056"/>
      <c r="S1056"/>
      <c r="X1056"/>
    </row>
    <row r="1057" spans="2:24" ht="18.75">
      <c r="B1057">
        <v>25</v>
      </c>
      <c r="C1057" s="5">
        <v>46188</v>
      </c>
      <c r="D1057" t="s">
        <v>136</v>
      </c>
      <c r="E1057">
        <v>122.4</v>
      </c>
      <c r="G1057">
        <v>9</v>
      </c>
      <c r="H1057" s="5">
        <v>46076</v>
      </c>
      <c r="I1057" t="s">
        <v>174</v>
      </c>
      <c r="J1057">
        <v>362.16</v>
      </c>
      <c r="N1057"/>
      <c r="S1057"/>
      <c r="X1057"/>
    </row>
    <row r="1058" spans="2:24" ht="18.75">
      <c r="B1058">
        <v>25</v>
      </c>
      <c r="C1058" s="5">
        <v>46188</v>
      </c>
      <c r="D1058" t="s">
        <v>137</v>
      </c>
      <c r="E1058">
        <v>104.99</v>
      </c>
      <c r="G1058">
        <v>9</v>
      </c>
      <c r="H1058" s="5">
        <v>46076</v>
      </c>
      <c r="I1058" t="s">
        <v>170</v>
      </c>
      <c r="J1058">
        <v>6</v>
      </c>
      <c r="N1058"/>
      <c r="S1058"/>
      <c r="X1058"/>
    </row>
    <row r="1059" spans="2:24" ht="18.75">
      <c r="B1059">
        <v>25</v>
      </c>
      <c r="C1059" s="5">
        <v>46188</v>
      </c>
      <c r="D1059" t="s">
        <v>138</v>
      </c>
      <c r="E1059">
        <v>288.64</v>
      </c>
      <c r="G1059">
        <v>9</v>
      </c>
      <c r="H1059" s="5">
        <v>46076</v>
      </c>
      <c r="I1059" t="s">
        <v>172</v>
      </c>
      <c r="J1059">
        <v>57.71</v>
      </c>
      <c r="N1059"/>
      <c r="S1059"/>
      <c r="X1059"/>
    </row>
    <row r="1060" spans="2:24" ht="18.75">
      <c r="B1060">
        <v>25</v>
      </c>
      <c r="C1060" s="5">
        <v>46188</v>
      </c>
      <c r="D1060" t="s">
        <v>141</v>
      </c>
      <c r="E1060">
        <v>314.07</v>
      </c>
      <c r="G1060">
        <v>10</v>
      </c>
      <c r="H1060" s="5">
        <v>46083</v>
      </c>
      <c r="I1060" t="s">
        <v>160</v>
      </c>
      <c r="J1060">
        <v>4847.32</v>
      </c>
      <c r="N1060"/>
      <c r="S1060"/>
      <c r="X1060"/>
    </row>
    <row r="1061" spans="2:24" ht="18.75">
      <c r="B1061">
        <v>25</v>
      </c>
      <c r="C1061" s="5">
        <v>46188</v>
      </c>
      <c r="D1061" t="s">
        <v>142</v>
      </c>
      <c r="E1061">
        <v>124.79</v>
      </c>
      <c r="G1061">
        <v>10</v>
      </c>
      <c r="H1061" s="5">
        <v>46083</v>
      </c>
      <c r="I1061" t="s">
        <v>158</v>
      </c>
      <c r="J1061">
        <v>682.76</v>
      </c>
      <c r="N1061"/>
      <c r="S1061"/>
      <c r="X1061"/>
    </row>
    <row r="1062" spans="2:24" ht="18.75">
      <c r="B1062">
        <v>25</v>
      </c>
      <c r="C1062" s="5">
        <v>46188</v>
      </c>
      <c r="D1062" t="s">
        <v>139</v>
      </c>
      <c r="E1062">
        <v>154.65</v>
      </c>
      <c r="G1062">
        <v>10</v>
      </c>
      <c r="H1062" s="5">
        <v>46083</v>
      </c>
      <c r="I1062" t="s">
        <v>165</v>
      </c>
      <c r="J1062">
        <v>146.69999999999999</v>
      </c>
      <c r="N1062"/>
      <c r="S1062"/>
      <c r="X1062"/>
    </row>
    <row r="1063" spans="2:24" ht="18.75">
      <c r="B1063">
        <v>25</v>
      </c>
      <c r="C1063" s="5">
        <v>46188</v>
      </c>
      <c r="D1063" t="s">
        <v>143</v>
      </c>
      <c r="E1063">
        <v>245.99</v>
      </c>
      <c r="G1063">
        <v>10</v>
      </c>
      <c r="H1063" s="5">
        <v>46083</v>
      </c>
      <c r="I1063" t="s">
        <v>198</v>
      </c>
      <c r="J1063">
        <v>301.92</v>
      </c>
      <c r="N1063"/>
      <c r="S1063"/>
      <c r="X1063"/>
    </row>
    <row r="1064" spans="2:24" ht="18.75">
      <c r="B1064">
        <v>25</v>
      </c>
      <c r="C1064" s="5">
        <v>46188</v>
      </c>
      <c r="D1064" t="s">
        <v>144</v>
      </c>
      <c r="E1064">
        <v>391.86</v>
      </c>
      <c r="G1064">
        <v>10</v>
      </c>
      <c r="H1064" s="5">
        <v>46083</v>
      </c>
      <c r="I1064" t="s">
        <v>174</v>
      </c>
      <c r="J1064">
        <v>979.95</v>
      </c>
      <c r="N1064"/>
      <c r="S1064"/>
      <c r="X1064"/>
    </row>
    <row r="1065" spans="2:24" ht="18.75">
      <c r="B1065">
        <v>25</v>
      </c>
      <c r="C1065" s="5">
        <v>46188</v>
      </c>
      <c r="D1065" t="s">
        <v>216</v>
      </c>
      <c r="E1065">
        <v>184.41</v>
      </c>
      <c r="G1065">
        <v>10</v>
      </c>
      <c r="H1065" s="5">
        <v>46083</v>
      </c>
      <c r="I1065" t="s">
        <v>171</v>
      </c>
      <c r="J1065">
        <v>450.8</v>
      </c>
      <c r="N1065"/>
      <c r="S1065"/>
      <c r="X1065"/>
    </row>
    <row r="1066" spans="2:24" ht="18.75">
      <c r="B1066">
        <v>25</v>
      </c>
      <c r="C1066" s="5">
        <v>46188</v>
      </c>
      <c r="D1066" t="s">
        <v>145</v>
      </c>
      <c r="E1066">
        <v>181.72</v>
      </c>
      <c r="G1066">
        <v>10</v>
      </c>
      <c r="H1066" s="5">
        <v>46083</v>
      </c>
      <c r="I1066" t="s">
        <v>169</v>
      </c>
      <c r="J1066">
        <v>2169.88</v>
      </c>
      <c r="N1066"/>
      <c r="S1066"/>
      <c r="X1066"/>
    </row>
    <row r="1067" spans="2:24" ht="18.75">
      <c r="B1067">
        <v>25</v>
      </c>
      <c r="C1067" s="5">
        <v>46188</v>
      </c>
      <c r="D1067" t="s">
        <v>146</v>
      </c>
      <c r="E1067">
        <v>364.98</v>
      </c>
      <c r="G1067">
        <v>10</v>
      </c>
      <c r="H1067" s="5">
        <v>46083</v>
      </c>
      <c r="I1067" t="s">
        <v>176</v>
      </c>
      <c r="J1067">
        <v>59.4</v>
      </c>
      <c r="N1067"/>
      <c r="S1067"/>
      <c r="X1067"/>
    </row>
    <row r="1068" spans="2:24" ht="18.75">
      <c r="B1068">
        <v>25</v>
      </c>
      <c r="C1068" s="5">
        <v>46188</v>
      </c>
      <c r="D1068" t="s">
        <v>148</v>
      </c>
      <c r="E1068">
        <v>90.67</v>
      </c>
      <c r="G1068">
        <v>10</v>
      </c>
      <c r="H1068" s="5">
        <v>46083</v>
      </c>
      <c r="I1068" t="s">
        <v>170</v>
      </c>
      <c r="J1068">
        <v>184</v>
      </c>
      <c r="N1068"/>
      <c r="S1068"/>
      <c r="X1068"/>
    </row>
    <row r="1069" spans="2:24" ht="18.75">
      <c r="B1069">
        <v>25</v>
      </c>
      <c r="C1069" s="5">
        <v>46188</v>
      </c>
      <c r="D1069" t="s">
        <v>147</v>
      </c>
      <c r="E1069">
        <v>228.81</v>
      </c>
      <c r="G1069">
        <v>10</v>
      </c>
      <c r="H1069" s="5">
        <v>46083</v>
      </c>
      <c r="I1069" t="s">
        <v>163</v>
      </c>
      <c r="J1069">
        <v>307.02</v>
      </c>
      <c r="N1069"/>
      <c r="S1069"/>
      <c r="X1069"/>
    </row>
    <row r="1070" spans="2:24" ht="18.75">
      <c r="B1070">
        <v>25</v>
      </c>
      <c r="C1070" s="5">
        <v>46188</v>
      </c>
      <c r="D1070" t="s">
        <v>150</v>
      </c>
      <c r="E1070">
        <v>79.23</v>
      </c>
      <c r="G1070">
        <v>10</v>
      </c>
      <c r="H1070" s="5">
        <v>46083</v>
      </c>
      <c r="I1070" t="s">
        <v>168</v>
      </c>
      <c r="J1070">
        <v>323.98</v>
      </c>
      <c r="N1070"/>
      <c r="S1070"/>
      <c r="X1070"/>
    </row>
    <row r="1071" spans="2:24" ht="18.75">
      <c r="B1071">
        <v>25</v>
      </c>
      <c r="C1071" s="5">
        <v>46188</v>
      </c>
      <c r="D1071" t="s">
        <v>151</v>
      </c>
      <c r="E1071">
        <v>401.51</v>
      </c>
      <c r="G1071">
        <v>10</v>
      </c>
      <c r="H1071" s="5">
        <v>46083</v>
      </c>
      <c r="I1071" t="s">
        <v>204</v>
      </c>
      <c r="J1071">
        <v>0.62</v>
      </c>
      <c r="N1071"/>
      <c r="S1071"/>
      <c r="X1071"/>
    </row>
    <row r="1072" spans="2:24" ht="18.75">
      <c r="B1072">
        <v>25</v>
      </c>
      <c r="C1072" s="5">
        <v>46188</v>
      </c>
      <c r="D1072" t="s">
        <v>111</v>
      </c>
      <c r="E1072">
        <v>141.55000000000001</v>
      </c>
      <c r="G1072">
        <v>10</v>
      </c>
      <c r="H1072" s="5">
        <v>46083</v>
      </c>
      <c r="I1072" t="s">
        <v>201</v>
      </c>
      <c r="J1072">
        <v>141.68</v>
      </c>
      <c r="N1072"/>
      <c r="S1072"/>
      <c r="X1072"/>
    </row>
    <row r="1073" spans="2:24" ht="18.75">
      <c r="B1073">
        <v>25</v>
      </c>
      <c r="C1073" s="5">
        <v>46188</v>
      </c>
      <c r="D1073" t="s">
        <v>119</v>
      </c>
      <c r="E1073">
        <v>243.71</v>
      </c>
      <c r="G1073">
        <v>10</v>
      </c>
      <c r="H1073" s="5">
        <v>46083</v>
      </c>
      <c r="I1073" t="s">
        <v>172</v>
      </c>
      <c r="J1073">
        <v>33.83</v>
      </c>
      <c r="N1073"/>
      <c r="S1073"/>
      <c r="X1073"/>
    </row>
    <row r="1074" spans="2:24" ht="18.75">
      <c r="B1074">
        <v>25</v>
      </c>
      <c r="C1074" s="5">
        <v>46188</v>
      </c>
      <c r="D1074" t="s">
        <v>135</v>
      </c>
      <c r="E1074">
        <v>60.94</v>
      </c>
      <c r="G1074">
        <v>10</v>
      </c>
      <c r="H1074" s="5">
        <v>46083</v>
      </c>
      <c r="I1074" t="s">
        <v>173</v>
      </c>
      <c r="J1074">
        <v>840.75</v>
      </c>
      <c r="N1074"/>
      <c r="S1074"/>
      <c r="X1074"/>
    </row>
    <row r="1075" spans="2:24" ht="18.75">
      <c r="B1075">
        <v>25</v>
      </c>
      <c r="C1075" s="5">
        <v>46188</v>
      </c>
      <c r="D1075" t="s">
        <v>116</v>
      </c>
      <c r="E1075">
        <v>88.44</v>
      </c>
      <c r="G1075">
        <v>11</v>
      </c>
      <c r="H1075" s="5">
        <v>46090</v>
      </c>
      <c r="I1075" t="s">
        <v>160</v>
      </c>
      <c r="J1075">
        <v>4971.88</v>
      </c>
      <c r="N1075"/>
      <c r="S1075"/>
      <c r="X1075"/>
    </row>
    <row r="1076" spans="2:24" ht="18.75">
      <c r="B1076">
        <v>25</v>
      </c>
      <c r="C1076" s="5">
        <v>46188</v>
      </c>
      <c r="D1076" t="s">
        <v>127</v>
      </c>
      <c r="E1076">
        <v>53.04</v>
      </c>
      <c r="G1076">
        <v>11</v>
      </c>
      <c r="H1076" s="5">
        <v>46090</v>
      </c>
      <c r="I1076" t="s">
        <v>158</v>
      </c>
      <c r="J1076">
        <v>601.96</v>
      </c>
      <c r="N1076"/>
      <c r="S1076"/>
      <c r="X1076"/>
    </row>
    <row r="1077" spans="2:24" ht="18.75">
      <c r="B1077">
        <v>25</v>
      </c>
      <c r="C1077" s="5">
        <v>46188</v>
      </c>
      <c r="D1077" t="s">
        <v>113</v>
      </c>
      <c r="E1077">
        <v>125.99</v>
      </c>
      <c r="G1077">
        <v>11</v>
      </c>
      <c r="H1077" s="5">
        <v>46090</v>
      </c>
      <c r="I1077" t="s">
        <v>165</v>
      </c>
      <c r="J1077">
        <v>56.3</v>
      </c>
      <c r="N1077"/>
      <c r="S1077"/>
      <c r="X1077"/>
    </row>
    <row r="1078" spans="2:24" ht="18.75">
      <c r="B1078">
        <v>25</v>
      </c>
      <c r="C1078" s="5">
        <v>46188</v>
      </c>
      <c r="D1078" t="s">
        <v>115</v>
      </c>
      <c r="E1078">
        <v>178.15</v>
      </c>
      <c r="G1078">
        <v>11</v>
      </c>
      <c r="H1078" s="5">
        <v>46090</v>
      </c>
      <c r="I1078" t="s">
        <v>171</v>
      </c>
      <c r="J1078">
        <v>390</v>
      </c>
      <c r="N1078"/>
      <c r="S1078"/>
      <c r="X1078"/>
    </row>
    <row r="1079" spans="2:24" ht="18.75">
      <c r="B1079">
        <v>43</v>
      </c>
      <c r="C1079" s="5">
        <v>45950</v>
      </c>
      <c r="D1079" t="s">
        <v>138</v>
      </c>
      <c r="E1079">
        <v>391.9</v>
      </c>
      <c r="G1079">
        <v>11</v>
      </c>
      <c r="H1079" s="5">
        <v>46090</v>
      </c>
      <c r="I1079" t="s">
        <v>174</v>
      </c>
      <c r="J1079">
        <v>879.7</v>
      </c>
      <c r="N1079"/>
      <c r="S1079"/>
      <c r="X1079"/>
    </row>
    <row r="1080" spans="2:24" ht="18.75">
      <c r="B1080">
        <v>43</v>
      </c>
      <c r="C1080" s="5">
        <v>45950</v>
      </c>
      <c r="D1080" t="s">
        <v>141</v>
      </c>
      <c r="E1080">
        <v>585.19000000000005</v>
      </c>
      <c r="G1080">
        <v>11</v>
      </c>
      <c r="H1080" s="5">
        <v>46090</v>
      </c>
      <c r="I1080" t="s">
        <v>198</v>
      </c>
      <c r="J1080">
        <v>404.6</v>
      </c>
      <c r="N1080"/>
      <c r="S1080"/>
      <c r="X1080"/>
    </row>
    <row r="1081" spans="2:24" ht="18.75">
      <c r="B1081">
        <v>43</v>
      </c>
      <c r="C1081" s="5">
        <v>45950</v>
      </c>
      <c r="D1081" t="s">
        <v>143</v>
      </c>
      <c r="E1081">
        <v>1339.33</v>
      </c>
      <c r="G1081">
        <v>11</v>
      </c>
      <c r="H1081" s="5">
        <v>46090</v>
      </c>
      <c r="I1081" t="s">
        <v>169</v>
      </c>
      <c r="J1081">
        <v>2155.14</v>
      </c>
      <c r="N1081"/>
      <c r="S1081"/>
      <c r="X1081"/>
    </row>
    <row r="1082" spans="2:24" ht="18.75">
      <c r="B1082">
        <v>43</v>
      </c>
      <c r="C1082" s="5">
        <v>45950</v>
      </c>
      <c r="D1082" t="s">
        <v>145</v>
      </c>
      <c r="E1082">
        <v>328.41</v>
      </c>
      <c r="G1082">
        <v>11</v>
      </c>
      <c r="H1082" s="5">
        <v>46090</v>
      </c>
      <c r="I1082" t="s">
        <v>176</v>
      </c>
      <c r="J1082">
        <v>187.92</v>
      </c>
      <c r="N1082"/>
      <c r="S1082"/>
      <c r="X1082"/>
    </row>
    <row r="1083" spans="2:24" ht="18.75">
      <c r="B1083">
        <v>43</v>
      </c>
      <c r="C1083" s="5">
        <v>45950</v>
      </c>
      <c r="D1083" t="s">
        <v>146</v>
      </c>
      <c r="E1083">
        <v>532.25</v>
      </c>
      <c r="G1083">
        <v>11</v>
      </c>
      <c r="H1083" s="5">
        <v>46090</v>
      </c>
      <c r="I1083" t="s">
        <v>170</v>
      </c>
      <c r="J1083">
        <v>98</v>
      </c>
      <c r="N1083"/>
      <c r="S1083"/>
      <c r="X1083"/>
    </row>
    <row r="1084" spans="2:24" ht="18.75">
      <c r="B1084">
        <v>43</v>
      </c>
      <c r="C1084" s="5">
        <v>45950</v>
      </c>
      <c r="D1084" t="s">
        <v>111</v>
      </c>
      <c r="E1084">
        <v>295.25</v>
      </c>
      <c r="G1084">
        <v>11</v>
      </c>
      <c r="H1084" s="5">
        <v>46090</v>
      </c>
      <c r="I1084" t="s">
        <v>163</v>
      </c>
      <c r="J1084">
        <v>292.83</v>
      </c>
      <c r="N1084"/>
      <c r="S1084"/>
      <c r="X1084"/>
    </row>
    <row r="1085" spans="2:24" ht="18.75">
      <c r="B1085">
        <v>43</v>
      </c>
      <c r="C1085" s="5">
        <v>45950</v>
      </c>
      <c r="D1085" t="s">
        <v>117</v>
      </c>
      <c r="E1085">
        <v>251.05</v>
      </c>
      <c r="G1085">
        <v>11</v>
      </c>
      <c r="H1085" s="5">
        <v>46090</v>
      </c>
      <c r="I1085" t="s">
        <v>168</v>
      </c>
      <c r="J1085">
        <v>366.08</v>
      </c>
      <c r="N1085"/>
      <c r="S1085"/>
      <c r="X1085"/>
    </row>
    <row r="1086" spans="2:24" ht="18.75">
      <c r="B1086">
        <v>43</v>
      </c>
      <c r="C1086" s="5">
        <v>45950</v>
      </c>
      <c r="D1086" t="s">
        <v>120</v>
      </c>
      <c r="E1086">
        <v>197.87</v>
      </c>
      <c r="G1086">
        <v>11</v>
      </c>
      <c r="H1086" s="5">
        <v>46090</v>
      </c>
      <c r="I1086" t="s">
        <v>201</v>
      </c>
      <c r="J1086">
        <v>110.88</v>
      </c>
      <c r="N1086"/>
      <c r="S1086"/>
      <c r="X1086"/>
    </row>
    <row r="1087" spans="2:24" ht="18.75">
      <c r="B1087">
        <v>43</v>
      </c>
      <c r="C1087" s="5">
        <v>45950</v>
      </c>
      <c r="D1087" t="s">
        <v>127</v>
      </c>
      <c r="E1087">
        <v>216.32</v>
      </c>
      <c r="G1087">
        <v>11</v>
      </c>
      <c r="H1087" s="5">
        <v>46090</v>
      </c>
      <c r="I1087" t="s">
        <v>172</v>
      </c>
      <c r="J1087">
        <v>33.83</v>
      </c>
      <c r="N1087"/>
      <c r="S1087"/>
      <c r="X1087"/>
    </row>
    <row r="1088" spans="2:24" ht="18.75">
      <c r="B1088">
        <v>43</v>
      </c>
      <c r="C1088" s="5">
        <v>45950</v>
      </c>
      <c r="D1088" t="s">
        <v>129</v>
      </c>
      <c r="E1088">
        <v>390.39</v>
      </c>
      <c r="G1088">
        <v>11</v>
      </c>
      <c r="H1088" s="5">
        <v>46090</v>
      </c>
      <c r="I1088" t="s">
        <v>173</v>
      </c>
      <c r="J1088">
        <v>884.3</v>
      </c>
      <c r="N1088"/>
      <c r="S1088"/>
      <c r="X1088"/>
    </row>
    <row r="1089" spans="2:24" ht="18.75">
      <c r="B1089">
        <v>43</v>
      </c>
      <c r="C1089" s="5">
        <v>45950</v>
      </c>
      <c r="D1089" t="s">
        <v>133</v>
      </c>
      <c r="E1089">
        <v>299.18</v>
      </c>
      <c r="G1089">
        <v>11</v>
      </c>
      <c r="H1089" s="5">
        <v>46090</v>
      </c>
      <c r="I1089" t="s">
        <v>204</v>
      </c>
      <c r="J1089">
        <v>3.1</v>
      </c>
      <c r="N1089"/>
      <c r="S1089"/>
      <c r="X1089"/>
    </row>
    <row r="1090" spans="2:24" ht="18.75">
      <c r="B1090">
        <v>43</v>
      </c>
      <c r="C1090" s="5">
        <v>45950</v>
      </c>
      <c r="D1090" t="s">
        <v>134</v>
      </c>
      <c r="E1090">
        <v>308.51</v>
      </c>
      <c r="G1090">
        <v>11</v>
      </c>
      <c r="H1090" s="5">
        <v>46090</v>
      </c>
      <c r="I1090" t="s">
        <v>167</v>
      </c>
      <c r="J1090">
        <v>12.2</v>
      </c>
      <c r="N1090"/>
      <c r="S1090"/>
      <c r="X1090"/>
    </row>
    <row r="1091" spans="2:24" ht="18.75">
      <c r="B1091">
        <v>43</v>
      </c>
      <c r="C1091" s="5">
        <v>45950</v>
      </c>
      <c r="D1091" t="s">
        <v>114</v>
      </c>
      <c r="E1091">
        <v>243.99</v>
      </c>
      <c r="G1091">
        <v>12</v>
      </c>
      <c r="H1091" s="5">
        <v>46097</v>
      </c>
      <c r="I1091" t="s">
        <v>160</v>
      </c>
      <c r="J1091">
        <v>4860.6400000000003</v>
      </c>
      <c r="N1091"/>
      <c r="S1091"/>
      <c r="X1091"/>
    </row>
    <row r="1092" spans="2:24" ht="18.75">
      <c r="B1092">
        <v>43</v>
      </c>
      <c r="C1092" s="5">
        <v>45950</v>
      </c>
      <c r="D1092" t="s">
        <v>119</v>
      </c>
      <c r="E1092">
        <v>396.97</v>
      </c>
      <c r="G1092">
        <v>12</v>
      </c>
      <c r="H1092" s="5">
        <v>46097</v>
      </c>
      <c r="I1092" t="s">
        <v>158</v>
      </c>
      <c r="J1092">
        <v>634.28</v>
      </c>
      <c r="N1092"/>
      <c r="S1092"/>
      <c r="X1092"/>
    </row>
    <row r="1093" spans="2:24" ht="18.75">
      <c r="B1093">
        <v>43</v>
      </c>
      <c r="C1093" s="5">
        <v>45950</v>
      </c>
      <c r="D1093" t="s">
        <v>118</v>
      </c>
      <c r="E1093">
        <v>159.97999999999999</v>
      </c>
      <c r="G1093">
        <v>12</v>
      </c>
      <c r="H1093" s="5">
        <v>46097</v>
      </c>
      <c r="I1093" t="s">
        <v>165</v>
      </c>
      <c r="J1093">
        <v>260</v>
      </c>
      <c r="N1093"/>
      <c r="S1093"/>
      <c r="X1093"/>
    </row>
    <row r="1094" spans="2:24" ht="18.75">
      <c r="B1094">
        <v>43</v>
      </c>
      <c r="C1094" s="5">
        <v>45950</v>
      </c>
      <c r="D1094" t="s">
        <v>123</v>
      </c>
      <c r="E1094">
        <v>405.34</v>
      </c>
      <c r="G1094">
        <v>12</v>
      </c>
      <c r="H1094" s="5">
        <v>46097</v>
      </c>
      <c r="I1094" t="s">
        <v>167</v>
      </c>
      <c r="J1094">
        <v>518.5</v>
      </c>
      <c r="N1094"/>
      <c r="S1094"/>
      <c r="X1094"/>
    </row>
    <row r="1095" spans="2:24" ht="18.75">
      <c r="B1095">
        <v>43</v>
      </c>
      <c r="C1095" s="5">
        <v>45950</v>
      </c>
      <c r="D1095" t="s">
        <v>124</v>
      </c>
      <c r="E1095">
        <v>407.15</v>
      </c>
      <c r="G1095">
        <v>12</v>
      </c>
      <c r="H1095" s="5">
        <v>46097</v>
      </c>
      <c r="I1095" t="s">
        <v>174</v>
      </c>
      <c r="J1095">
        <v>811.74</v>
      </c>
      <c r="N1095"/>
      <c r="S1095"/>
      <c r="X1095"/>
    </row>
    <row r="1096" spans="2:24" ht="18.75">
      <c r="B1096">
        <v>43</v>
      </c>
      <c r="C1096" s="5">
        <v>45950</v>
      </c>
      <c r="D1096" t="s">
        <v>126</v>
      </c>
      <c r="E1096">
        <v>102.95</v>
      </c>
      <c r="G1096">
        <v>12</v>
      </c>
      <c r="H1096" s="5">
        <v>46097</v>
      </c>
      <c r="I1096" t="s">
        <v>169</v>
      </c>
      <c r="J1096">
        <v>2173.85</v>
      </c>
      <c r="N1096"/>
      <c r="S1096"/>
      <c r="X1096"/>
    </row>
    <row r="1097" spans="2:24" ht="18.75">
      <c r="B1097">
        <v>43</v>
      </c>
      <c r="C1097" s="5">
        <v>45950</v>
      </c>
      <c r="D1097" t="s">
        <v>139</v>
      </c>
      <c r="E1097">
        <v>219.06</v>
      </c>
      <c r="G1097">
        <v>12</v>
      </c>
      <c r="H1097" s="5">
        <v>46097</v>
      </c>
      <c r="I1097" t="s">
        <v>176</v>
      </c>
      <c r="J1097">
        <v>114</v>
      </c>
      <c r="N1097"/>
      <c r="S1097"/>
      <c r="X1097"/>
    </row>
    <row r="1098" spans="2:24" ht="18.75">
      <c r="B1098">
        <v>43</v>
      </c>
      <c r="C1098" s="5">
        <v>45950</v>
      </c>
      <c r="D1098" t="s">
        <v>219</v>
      </c>
      <c r="E1098">
        <v>261.79000000000002</v>
      </c>
      <c r="G1098">
        <v>12</v>
      </c>
      <c r="H1098" s="5">
        <v>46097</v>
      </c>
      <c r="I1098" t="s">
        <v>170</v>
      </c>
      <c r="J1098">
        <v>80</v>
      </c>
      <c r="N1098"/>
      <c r="S1098"/>
      <c r="X1098"/>
    </row>
    <row r="1099" spans="2:24" ht="18.75">
      <c r="B1099">
        <v>43</v>
      </c>
      <c r="C1099" s="5">
        <v>45950</v>
      </c>
      <c r="D1099" t="s">
        <v>113</v>
      </c>
      <c r="E1099">
        <v>174.57</v>
      </c>
      <c r="G1099">
        <v>12</v>
      </c>
      <c r="H1099" s="5">
        <v>46097</v>
      </c>
      <c r="I1099" t="s">
        <v>163</v>
      </c>
      <c r="J1099">
        <v>290.25</v>
      </c>
      <c r="N1099"/>
      <c r="S1099"/>
      <c r="X1099"/>
    </row>
    <row r="1100" spans="2:24" ht="18.75">
      <c r="B1100">
        <v>43</v>
      </c>
      <c r="C1100" s="5">
        <v>45950</v>
      </c>
      <c r="D1100" t="s">
        <v>112</v>
      </c>
      <c r="E1100">
        <v>71.28</v>
      </c>
      <c r="G1100">
        <v>12</v>
      </c>
      <c r="H1100" s="5">
        <v>46097</v>
      </c>
      <c r="I1100" t="s">
        <v>168</v>
      </c>
      <c r="J1100">
        <v>528.64</v>
      </c>
      <c r="N1100"/>
      <c r="S1100"/>
      <c r="X1100"/>
    </row>
    <row r="1101" spans="2:24" ht="18.75">
      <c r="B1101">
        <v>43</v>
      </c>
      <c r="C1101" s="5">
        <v>45950</v>
      </c>
      <c r="D1101" t="s">
        <v>116</v>
      </c>
      <c r="E1101">
        <v>81.64</v>
      </c>
      <c r="G1101">
        <v>12</v>
      </c>
      <c r="H1101" s="5">
        <v>46097</v>
      </c>
      <c r="I1101" t="s">
        <v>172</v>
      </c>
      <c r="J1101">
        <v>67.66</v>
      </c>
      <c r="N1101"/>
      <c r="S1101"/>
      <c r="X1101"/>
    </row>
    <row r="1102" spans="2:24" ht="18.75">
      <c r="B1102">
        <v>43</v>
      </c>
      <c r="C1102" s="5">
        <v>45950</v>
      </c>
      <c r="D1102" t="s">
        <v>121</v>
      </c>
      <c r="E1102">
        <v>135.29</v>
      </c>
      <c r="G1102">
        <v>12</v>
      </c>
      <c r="H1102" s="5">
        <v>46097</v>
      </c>
      <c r="I1102" t="s">
        <v>173</v>
      </c>
      <c r="J1102">
        <v>850.5</v>
      </c>
      <c r="N1102"/>
      <c r="S1102"/>
      <c r="X1102"/>
    </row>
    <row r="1103" spans="2:24" ht="18.75">
      <c r="B1103">
        <v>43</v>
      </c>
      <c r="C1103" s="5">
        <v>45950</v>
      </c>
      <c r="D1103" t="s">
        <v>122</v>
      </c>
      <c r="E1103">
        <v>250.67</v>
      </c>
      <c r="G1103">
        <v>12</v>
      </c>
      <c r="H1103" s="5">
        <v>46097</v>
      </c>
      <c r="I1103" t="s">
        <v>198</v>
      </c>
      <c r="J1103">
        <v>372.96</v>
      </c>
      <c r="N1103"/>
      <c r="S1103"/>
      <c r="X1103"/>
    </row>
    <row r="1104" spans="2:24" ht="18.75">
      <c r="B1104">
        <v>43</v>
      </c>
      <c r="C1104" s="5">
        <v>45950</v>
      </c>
      <c r="D1104" t="s">
        <v>125</v>
      </c>
      <c r="E1104">
        <v>46.7</v>
      </c>
      <c r="G1104">
        <v>12</v>
      </c>
      <c r="H1104" s="5">
        <v>46097</v>
      </c>
      <c r="I1104" t="s">
        <v>204</v>
      </c>
      <c r="J1104">
        <v>0.93</v>
      </c>
      <c r="N1104"/>
      <c r="S1104"/>
      <c r="X1104"/>
    </row>
    <row r="1105" spans="2:24" ht="18.75">
      <c r="B1105">
        <v>43</v>
      </c>
      <c r="C1105" s="5">
        <v>45950</v>
      </c>
      <c r="D1105" t="s">
        <v>128</v>
      </c>
      <c r="E1105">
        <v>144.75</v>
      </c>
      <c r="G1105">
        <v>12</v>
      </c>
      <c r="H1105" s="5">
        <v>46097</v>
      </c>
      <c r="I1105" t="s">
        <v>171</v>
      </c>
      <c r="J1105">
        <v>13.64</v>
      </c>
      <c r="N1105"/>
      <c r="S1105"/>
      <c r="X1105"/>
    </row>
    <row r="1106" spans="2:24" ht="18.75">
      <c r="B1106">
        <v>43</v>
      </c>
      <c r="C1106" s="5">
        <v>45950</v>
      </c>
      <c r="D1106" t="s">
        <v>132</v>
      </c>
      <c r="E1106">
        <v>143.69999999999999</v>
      </c>
      <c r="G1106">
        <v>12</v>
      </c>
      <c r="H1106" s="5">
        <v>46097</v>
      </c>
      <c r="I1106" t="s">
        <v>207</v>
      </c>
      <c r="J1106">
        <v>237</v>
      </c>
      <c r="N1106"/>
      <c r="S1106"/>
      <c r="X1106"/>
    </row>
    <row r="1107" spans="2:24" ht="18.75">
      <c r="B1107">
        <v>43</v>
      </c>
      <c r="C1107" s="5">
        <v>45950</v>
      </c>
      <c r="D1107" t="s">
        <v>135</v>
      </c>
      <c r="E1107">
        <v>57.31</v>
      </c>
      <c r="G1107">
        <v>13</v>
      </c>
      <c r="H1107" s="5">
        <v>46104</v>
      </c>
      <c r="I1107" t="s">
        <v>160</v>
      </c>
      <c r="J1107">
        <v>4969.01</v>
      </c>
      <c r="N1107"/>
      <c r="S1107"/>
      <c r="X1107"/>
    </row>
    <row r="1108" spans="2:24" ht="18.75">
      <c r="B1108">
        <v>43</v>
      </c>
      <c r="C1108" s="5">
        <v>45950</v>
      </c>
      <c r="D1108" t="s">
        <v>136</v>
      </c>
      <c r="E1108">
        <v>87.03</v>
      </c>
      <c r="G1108">
        <v>13</v>
      </c>
      <c r="H1108" s="5">
        <v>46104</v>
      </c>
      <c r="I1108" t="s">
        <v>158</v>
      </c>
      <c r="J1108">
        <v>670.64</v>
      </c>
      <c r="N1108"/>
      <c r="S1108"/>
      <c r="X1108"/>
    </row>
    <row r="1109" spans="2:24" ht="18.75">
      <c r="B1109">
        <v>43</v>
      </c>
      <c r="C1109" s="5">
        <v>45950</v>
      </c>
      <c r="D1109" t="s">
        <v>137</v>
      </c>
      <c r="E1109">
        <v>96.93</v>
      </c>
      <c r="G1109">
        <v>13</v>
      </c>
      <c r="H1109" s="5">
        <v>46104</v>
      </c>
      <c r="I1109" t="s">
        <v>165</v>
      </c>
      <c r="J1109">
        <v>266.5</v>
      </c>
      <c r="N1109"/>
      <c r="S1109"/>
      <c r="X1109"/>
    </row>
    <row r="1110" spans="2:24" ht="18.75">
      <c r="B1110">
        <v>43</v>
      </c>
      <c r="C1110" s="5">
        <v>45950</v>
      </c>
      <c r="D1110" t="s">
        <v>140</v>
      </c>
      <c r="E1110">
        <v>64.319999999999993</v>
      </c>
      <c r="G1110">
        <v>13</v>
      </c>
      <c r="H1110" s="5">
        <v>46104</v>
      </c>
      <c r="I1110" t="s">
        <v>198</v>
      </c>
      <c r="J1110">
        <v>378.88</v>
      </c>
      <c r="N1110"/>
      <c r="S1110"/>
      <c r="X1110"/>
    </row>
    <row r="1111" spans="2:24" ht="18.75">
      <c r="B1111">
        <v>43</v>
      </c>
      <c r="C1111" s="5">
        <v>45950</v>
      </c>
      <c r="D1111" t="s">
        <v>142</v>
      </c>
      <c r="E1111">
        <v>129.11000000000001</v>
      </c>
      <c r="G1111">
        <v>13</v>
      </c>
      <c r="H1111" s="5">
        <v>46104</v>
      </c>
      <c r="I1111" t="s">
        <v>171</v>
      </c>
      <c r="J1111">
        <v>710.04</v>
      </c>
      <c r="N1111"/>
      <c r="S1111"/>
      <c r="X1111"/>
    </row>
    <row r="1112" spans="2:24" ht="18.75">
      <c r="B1112">
        <v>43</v>
      </c>
      <c r="C1112" s="5">
        <v>45950</v>
      </c>
      <c r="D1112" t="s">
        <v>149</v>
      </c>
      <c r="E1112">
        <v>105.23</v>
      </c>
      <c r="G1112">
        <v>13</v>
      </c>
      <c r="H1112" s="5">
        <v>46104</v>
      </c>
      <c r="I1112" t="s">
        <v>174</v>
      </c>
      <c r="J1112">
        <v>480.15</v>
      </c>
      <c r="N1112"/>
      <c r="S1112"/>
      <c r="X1112"/>
    </row>
    <row r="1113" spans="2:24" ht="18.75">
      <c r="B1113">
        <v>43</v>
      </c>
      <c r="C1113" s="5">
        <v>45950</v>
      </c>
      <c r="D1113" t="s">
        <v>150</v>
      </c>
      <c r="E1113">
        <v>62.82</v>
      </c>
      <c r="G1113">
        <v>13</v>
      </c>
      <c r="H1113" s="5">
        <v>46104</v>
      </c>
      <c r="I1113" t="s">
        <v>169</v>
      </c>
      <c r="J1113">
        <v>2170.52</v>
      </c>
      <c r="N1113"/>
      <c r="S1113"/>
      <c r="X1113"/>
    </row>
    <row r="1114" spans="2:24" ht="18.75">
      <c r="B1114">
        <v>44</v>
      </c>
      <c r="C1114" s="5">
        <v>45957</v>
      </c>
      <c r="D1114" t="s">
        <v>111</v>
      </c>
      <c r="E1114">
        <v>274.2</v>
      </c>
      <c r="G1114">
        <v>13</v>
      </c>
      <c r="H1114" s="5">
        <v>46104</v>
      </c>
      <c r="I1114" t="s">
        <v>176</v>
      </c>
      <c r="J1114">
        <v>108.84</v>
      </c>
      <c r="N1114"/>
      <c r="S1114"/>
      <c r="X1114"/>
    </row>
    <row r="1115" spans="2:24" ht="18.75">
      <c r="B1115">
        <v>44</v>
      </c>
      <c r="C1115" s="5">
        <v>45957</v>
      </c>
      <c r="D1115" t="s">
        <v>143</v>
      </c>
      <c r="E1115">
        <v>1319.3</v>
      </c>
      <c r="G1115">
        <v>13</v>
      </c>
      <c r="H1115" s="5">
        <v>46104</v>
      </c>
      <c r="I1115" t="s">
        <v>170</v>
      </c>
      <c r="J1115">
        <v>66</v>
      </c>
      <c r="N1115"/>
      <c r="S1115"/>
      <c r="X1115"/>
    </row>
    <row r="1116" spans="2:24" ht="18.75">
      <c r="B1116">
        <v>44</v>
      </c>
      <c r="C1116" s="5">
        <v>45957</v>
      </c>
      <c r="D1116" t="s">
        <v>127</v>
      </c>
      <c r="E1116">
        <v>233.8</v>
      </c>
      <c r="G1116">
        <v>13</v>
      </c>
      <c r="H1116" s="5">
        <v>46104</v>
      </c>
      <c r="I1116" t="s">
        <v>163</v>
      </c>
      <c r="J1116">
        <v>357.33</v>
      </c>
      <c r="N1116"/>
      <c r="S1116"/>
      <c r="X1116"/>
    </row>
    <row r="1117" spans="2:24" ht="18.75">
      <c r="B1117">
        <v>44</v>
      </c>
      <c r="C1117" s="5">
        <v>45957</v>
      </c>
      <c r="D1117" t="s">
        <v>117</v>
      </c>
      <c r="E1117">
        <v>261.33</v>
      </c>
      <c r="G1117">
        <v>13</v>
      </c>
      <c r="H1117" s="5">
        <v>46104</v>
      </c>
      <c r="I1117" t="s">
        <v>168</v>
      </c>
      <c r="J1117">
        <v>514.59</v>
      </c>
      <c r="N1117"/>
      <c r="S1117"/>
      <c r="X1117"/>
    </row>
    <row r="1118" spans="2:24" ht="18.75">
      <c r="B1118">
        <v>44</v>
      </c>
      <c r="C1118" s="5">
        <v>45957</v>
      </c>
      <c r="D1118" t="s">
        <v>119</v>
      </c>
      <c r="E1118">
        <v>397.19</v>
      </c>
      <c r="G1118">
        <v>13</v>
      </c>
      <c r="H1118" s="5">
        <v>46104</v>
      </c>
      <c r="I1118" t="s">
        <v>201</v>
      </c>
      <c r="J1118">
        <v>33.880000000000003</v>
      </c>
      <c r="N1118"/>
      <c r="S1118"/>
      <c r="X1118"/>
    </row>
    <row r="1119" spans="2:24" ht="18.75">
      <c r="B1119">
        <v>44</v>
      </c>
      <c r="C1119" s="5">
        <v>45957</v>
      </c>
      <c r="D1119" t="s">
        <v>120</v>
      </c>
      <c r="E1119">
        <v>239.92</v>
      </c>
      <c r="G1119">
        <v>13</v>
      </c>
      <c r="H1119" s="5">
        <v>46104</v>
      </c>
      <c r="I1119" t="s">
        <v>172</v>
      </c>
      <c r="J1119">
        <v>17.91</v>
      </c>
      <c r="N1119"/>
      <c r="S1119"/>
      <c r="X1119"/>
    </row>
    <row r="1120" spans="2:24" ht="18.75">
      <c r="B1120">
        <v>44</v>
      </c>
      <c r="C1120" s="5">
        <v>45957</v>
      </c>
      <c r="D1120" t="s">
        <v>121</v>
      </c>
      <c r="E1120">
        <v>323.07</v>
      </c>
      <c r="G1120">
        <v>13</v>
      </c>
      <c r="H1120" s="5">
        <v>46104</v>
      </c>
      <c r="I1120" t="s">
        <v>173</v>
      </c>
      <c r="J1120">
        <v>885.1</v>
      </c>
      <c r="N1120"/>
      <c r="S1120"/>
      <c r="X1120"/>
    </row>
    <row r="1121" spans="2:24" ht="18.75">
      <c r="B1121">
        <v>44</v>
      </c>
      <c r="C1121" s="5">
        <v>45957</v>
      </c>
      <c r="D1121" t="s">
        <v>133</v>
      </c>
      <c r="E1121">
        <v>337.37</v>
      </c>
      <c r="G1121">
        <v>13</v>
      </c>
      <c r="H1121" s="5">
        <v>46104</v>
      </c>
      <c r="I1121" t="s">
        <v>204</v>
      </c>
      <c r="J1121">
        <v>0.93</v>
      </c>
      <c r="N1121"/>
      <c r="S1121"/>
      <c r="X1121"/>
    </row>
    <row r="1122" spans="2:24" ht="18.75">
      <c r="B1122">
        <v>44</v>
      </c>
      <c r="C1122" s="5">
        <v>45957</v>
      </c>
      <c r="D1122" t="s">
        <v>134</v>
      </c>
      <c r="E1122">
        <v>345.33</v>
      </c>
      <c r="G1122">
        <v>14</v>
      </c>
      <c r="H1122" s="5">
        <v>46111</v>
      </c>
      <c r="I1122" t="s">
        <v>160</v>
      </c>
      <c r="J1122">
        <v>5066.24</v>
      </c>
      <c r="N1122"/>
      <c r="S1122"/>
      <c r="X1122"/>
    </row>
    <row r="1123" spans="2:24" ht="18.75">
      <c r="B1123">
        <v>44</v>
      </c>
      <c r="C1123" s="5">
        <v>45957</v>
      </c>
      <c r="D1123" t="s">
        <v>141</v>
      </c>
      <c r="E1123">
        <v>607.1</v>
      </c>
      <c r="G1123">
        <v>14</v>
      </c>
      <c r="H1123" s="5">
        <v>46111</v>
      </c>
      <c r="I1123" t="s">
        <v>158</v>
      </c>
      <c r="J1123">
        <v>678.72</v>
      </c>
      <c r="N1123"/>
      <c r="S1123"/>
      <c r="X1123"/>
    </row>
    <row r="1124" spans="2:24" ht="18.75">
      <c r="B1124">
        <v>44</v>
      </c>
      <c r="C1124" s="5">
        <v>45957</v>
      </c>
      <c r="D1124" t="s">
        <v>145</v>
      </c>
      <c r="E1124">
        <v>449.08</v>
      </c>
      <c r="G1124">
        <v>14</v>
      </c>
      <c r="H1124" s="5">
        <v>46111</v>
      </c>
      <c r="I1124" t="s">
        <v>165</v>
      </c>
      <c r="J1124">
        <v>214.3</v>
      </c>
      <c r="N1124"/>
      <c r="S1124"/>
      <c r="X1124"/>
    </row>
    <row r="1125" spans="2:24" ht="18.75">
      <c r="B1125">
        <v>44</v>
      </c>
      <c r="C1125" s="5">
        <v>45957</v>
      </c>
      <c r="D1125" t="s">
        <v>146</v>
      </c>
      <c r="E1125">
        <v>628.41</v>
      </c>
      <c r="G1125">
        <v>14</v>
      </c>
      <c r="H1125" s="5">
        <v>46111</v>
      </c>
      <c r="I1125" t="s">
        <v>174</v>
      </c>
      <c r="J1125">
        <v>422.73</v>
      </c>
      <c r="N1125"/>
      <c r="S1125"/>
      <c r="X1125"/>
    </row>
    <row r="1126" spans="2:24" ht="18.75">
      <c r="B1126">
        <v>44</v>
      </c>
      <c r="C1126" s="5">
        <v>45957</v>
      </c>
      <c r="D1126" t="s">
        <v>114</v>
      </c>
      <c r="E1126">
        <v>262.79000000000002</v>
      </c>
      <c r="G1126">
        <v>14</v>
      </c>
      <c r="H1126" s="5">
        <v>46111</v>
      </c>
      <c r="I1126" t="s">
        <v>198</v>
      </c>
      <c r="J1126">
        <v>426.69</v>
      </c>
      <c r="N1126"/>
      <c r="S1126"/>
      <c r="X1126"/>
    </row>
    <row r="1127" spans="2:24" ht="18.75">
      <c r="B1127">
        <v>44</v>
      </c>
      <c r="C1127" s="5">
        <v>45957</v>
      </c>
      <c r="D1127" t="s">
        <v>138</v>
      </c>
      <c r="E1127">
        <v>450.36</v>
      </c>
      <c r="G1127">
        <v>14</v>
      </c>
      <c r="H1127" s="5">
        <v>46111</v>
      </c>
      <c r="I1127" t="s">
        <v>171</v>
      </c>
      <c r="J1127">
        <v>727.28</v>
      </c>
      <c r="N1127"/>
      <c r="S1127"/>
      <c r="X1127"/>
    </row>
    <row r="1128" spans="2:24" ht="18.75">
      <c r="B1128">
        <v>44</v>
      </c>
      <c r="C1128" s="5">
        <v>45957</v>
      </c>
      <c r="D1128" t="s">
        <v>129</v>
      </c>
      <c r="E1128">
        <v>453.62</v>
      </c>
      <c r="G1128">
        <v>14</v>
      </c>
      <c r="H1128" s="5">
        <v>46111</v>
      </c>
      <c r="I1128" t="s">
        <v>169</v>
      </c>
      <c r="J1128">
        <v>2035.77</v>
      </c>
      <c r="N1128"/>
      <c r="S1128"/>
      <c r="X1128"/>
    </row>
    <row r="1129" spans="2:24" ht="18.75">
      <c r="B1129">
        <v>44</v>
      </c>
      <c r="C1129" s="5">
        <v>45957</v>
      </c>
      <c r="D1129" t="s">
        <v>122</v>
      </c>
      <c r="E1129">
        <v>231.96</v>
      </c>
      <c r="G1129">
        <v>14</v>
      </c>
      <c r="H1129" s="5">
        <v>46111</v>
      </c>
      <c r="I1129" t="s">
        <v>176</v>
      </c>
      <c r="J1129">
        <v>170.04</v>
      </c>
      <c r="N1129"/>
      <c r="S1129"/>
      <c r="X1129"/>
    </row>
    <row r="1130" spans="2:24" ht="18.75">
      <c r="B1130">
        <v>44</v>
      </c>
      <c r="C1130" s="5">
        <v>45957</v>
      </c>
      <c r="D1130" t="s">
        <v>123</v>
      </c>
      <c r="E1130">
        <v>516.76</v>
      </c>
      <c r="G1130">
        <v>14</v>
      </c>
      <c r="H1130" s="5">
        <v>46111</v>
      </c>
      <c r="I1130" t="s">
        <v>170</v>
      </c>
      <c r="J1130">
        <v>62</v>
      </c>
      <c r="N1130"/>
      <c r="S1130"/>
      <c r="X1130"/>
    </row>
    <row r="1131" spans="2:24" ht="18.75">
      <c r="B1131">
        <v>44</v>
      </c>
      <c r="C1131" s="5">
        <v>45957</v>
      </c>
      <c r="D1131" t="s">
        <v>124</v>
      </c>
      <c r="E1131">
        <v>485.83</v>
      </c>
      <c r="G1131">
        <v>14</v>
      </c>
      <c r="H1131" s="5">
        <v>46111</v>
      </c>
      <c r="I1131" t="s">
        <v>163</v>
      </c>
      <c r="J1131">
        <v>322.5</v>
      </c>
      <c r="N1131"/>
      <c r="S1131"/>
      <c r="X1131"/>
    </row>
    <row r="1132" spans="2:24" ht="18.75">
      <c r="B1132">
        <v>44</v>
      </c>
      <c r="C1132" s="5">
        <v>45957</v>
      </c>
      <c r="D1132" t="s">
        <v>128</v>
      </c>
      <c r="E1132">
        <v>158.88</v>
      </c>
      <c r="G1132">
        <v>14</v>
      </c>
      <c r="H1132" s="5">
        <v>46111</v>
      </c>
      <c r="I1132" t="s">
        <v>168</v>
      </c>
      <c r="J1132">
        <v>526.54999999999995</v>
      </c>
      <c r="N1132"/>
      <c r="S1132"/>
      <c r="X1132"/>
    </row>
    <row r="1133" spans="2:24" ht="18.75">
      <c r="B1133">
        <v>44</v>
      </c>
      <c r="C1133" s="5">
        <v>45957</v>
      </c>
      <c r="D1133" t="s">
        <v>132</v>
      </c>
      <c r="E1133">
        <v>300.44</v>
      </c>
      <c r="G1133">
        <v>14</v>
      </c>
      <c r="H1133" s="5">
        <v>46111</v>
      </c>
      <c r="I1133" t="s">
        <v>172</v>
      </c>
      <c r="J1133">
        <v>43.78</v>
      </c>
      <c r="N1133"/>
      <c r="S1133"/>
      <c r="X1133"/>
    </row>
    <row r="1134" spans="2:24" ht="18.75">
      <c r="B1134">
        <v>44</v>
      </c>
      <c r="C1134" s="5">
        <v>45957</v>
      </c>
      <c r="D1134" t="s">
        <v>142</v>
      </c>
      <c r="E1134">
        <v>284.43</v>
      </c>
      <c r="G1134">
        <v>14</v>
      </c>
      <c r="H1134" s="5">
        <v>46111</v>
      </c>
      <c r="I1134" t="s">
        <v>173</v>
      </c>
      <c r="J1134">
        <v>775.95</v>
      </c>
      <c r="N1134"/>
      <c r="S1134"/>
      <c r="X1134"/>
    </row>
    <row r="1135" spans="2:24" ht="18.75">
      <c r="B1135">
        <v>44</v>
      </c>
      <c r="C1135" s="5">
        <v>45957</v>
      </c>
      <c r="D1135" t="s">
        <v>219</v>
      </c>
      <c r="E1135">
        <v>334.47</v>
      </c>
      <c r="G1135">
        <v>14</v>
      </c>
      <c r="H1135" s="5">
        <v>46111</v>
      </c>
      <c r="I1135" t="s">
        <v>204</v>
      </c>
      <c r="J1135">
        <v>0.62</v>
      </c>
      <c r="N1135"/>
      <c r="S1135"/>
      <c r="X1135"/>
    </row>
    <row r="1136" spans="2:24" ht="18.75">
      <c r="B1136">
        <v>44</v>
      </c>
      <c r="C1136" s="5">
        <v>45957</v>
      </c>
      <c r="D1136" t="s">
        <v>112</v>
      </c>
      <c r="E1136">
        <v>81.36</v>
      </c>
      <c r="G1136">
        <v>15</v>
      </c>
      <c r="H1136" s="5">
        <v>46118</v>
      </c>
      <c r="I1136" t="s">
        <v>160</v>
      </c>
      <c r="J1136">
        <v>3821.64</v>
      </c>
      <c r="N1136"/>
      <c r="S1136"/>
      <c r="X1136"/>
    </row>
    <row r="1137" spans="2:24" ht="18.75">
      <c r="B1137">
        <v>44</v>
      </c>
      <c r="C1137" s="5">
        <v>45957</v>
      </c>
      <c r="D1137" t="s">
        <v>113</v>
      </c>
      <c r="E1137">
        <v>233.28</v>
      </c>
      <c r="G1137">
        <v>15</v>
      </c>
      <c r="H1137" s="5">
        <v>46118</v>
      </c>
      <c r="I1137" t="s">
        <v>158</v>
      </c>
      <c r="J1137">
        <v>549.44000000000005</v>
      </c>
      <c r="N1137"/>
      <c r="S1137"/>
      <c r="X1137"/>
    </row>
    <row r="1138" spans="2:24" ht="18.75">
      <c r="B1138">
        <v>44</v>
      </c>
      <c r="C1138" s="5">
        <v>45957</v>
      </c>
      <c r="D1138" t="s">
        <v>116</v>
      </c>
      <c r="E1138">
        <v>92.8</v>
      </c>
      <c r="G1138">
        <v>15</v>
      </c>
      <c r="H1138" s="5">
        <v>46118</v>
      </c>
      <c r="I1138" t="s">
        <v>165</v>
      </c>
      <c r="J1138">
        <v>203.2</v>
      </c>
      <c r="N1138"/>
      <c r="S1138"/>
      <c r="X1138"/>
    </row>
    <row r="1139" spans="2:24" ht="18.75">
      <c r="B1139">
        <v>44</v>
      </c>
      <c r="C1139" s="5">
        <v>45957</v>
      </c>
      <c r="D1139" t="s">
        <v>118</v>
      </c>
      <c r="E1139">
        <v>178.58</v>
      </c>
      <c r="G1139">
        <v>15</v>
      </c>
      <c r="H1139" s="5">
        <v>46118</v>
      </c>
      <c r="I1139" t="s">
        <v>174</v>
      </c>
      <c r="J1139">
        <v>849.44</v>
      </c>
      <c r="N1139"/>
      <c r="S1139"/>
      <c r="X1139"/>
    </row>
    <row r="1140" spans="2:24" ht="18.75">
      <c r="B1140">
        <v>44</v>
      </c>
      <c r="C1140" s="5">
        <v>45957</v>
      </c>
      <c r="D1140" t="s">
        <v>125</v>
      </c>
      <c r="E1140">
        <v>65.88</v>
      </c>
      <c r="G1140">
        <v>15</v>
      </c>
      <c r="H1140" s="5">
        <v>46118</v>
      </c>
      <c r="I1140" t="s">
        <v>198</v>
      </c>
      <c r="J1140">
        <v>355.41</v>
      </c>
      <c r="N1140"/>
      <c r="S1140"/>
      <c r="X1140"/>
    </row>
    <row r="1141" spans="2:24" ht="18.75">
      <c r="B1141">
        <v>44</v>
      </c>
      <c r="C1141" s="5">
        <v>45957</v>
      </c>
      <c r="D1141" t="s">
        <v>126</v>
      </c>
      <c r="E1141">
        <v>119.11</v>
      </c>
      <c r="G1141">
        <v>15</v>
      </c>
      <c r="H1141" s="5">
        <v>46118</v>
      </c>
      <c r="I1141" t="s">
        <v>169</v>
      </c>
      <c r="J1141">
        <v>1405.89</v>
      </c>
      <c r="N1141"/>
      <c r="S1141"/>
      <c r="X1141"/>
    </row>
    <row r="1142" spans="2:24" ht="18.75">
      <c r="B1142">
        <v>44</v>
      </c>
      <c r="C1142" s="5">
        <v>45957</v>
      </c>
      <c r="D1142" t="s">
        <v>136</v>
      </c>
      <c r="E1142">
        <v>77.069999999999993</v>
      </c>
      <c r="G1142">
        <v>15</v>
      </c>
      <c r="H1142" s="5">
        <v>46118</v>
      </c>
      <c r="I1142" t="s">
        <v>176</v>
      </c>
      <c r="J1142">
        <v>109.44</v>
      </c>
      <c r="N1142"/>
      <c r="S1142"/>
      <c r="X1142"/>
    </row>
    <row r="1143" spans="2:24" ht="18.75">
      <c r="B1143">
        <v>44</v>
      </c>
      <c r="C1143" s="5">
        <v>45957</v>
      </c>
      <c r="D1143" t="s">
        <v>137</v>
      </c>
      <c r="E1143">
        <v>78.56</v>
      </c>
      <c r="G1143">
        <v>15</v>
      </c>
      <c r="H1143" s="5">
        <v>46118</v>
      </c>
      <c r="I1143" t="s">
        <v>170</v>
      </c>
      <c r="J1143">
        <v>24</v>
      </c>
      <c r="N1143"/>
      <c r="S1143"/>
      <c r="X1143"/>
    </row>
    <row r="1144" spans="2:24" ht="18.75">
      <c r="B1144">
        <v>44</v>
      </c>
      <c r="C1144" s="5">
        <v>45957</v>
      </c>
      <c r="D1144" t="s">
        <v>140</v>
      </c>
      <c r="E1144">
        <v>77.23</v>
      </c>
      <c r="G1144">
        <v>15</v>
      </c>
      <c r="H1144" s="5">
        <v>46118</v>
      </c>
      <c r="I1144" t="s">
        <v>163</v>
      </c>
      <c r="J1144">
        <v>192.21</v>
      </c>
      <c r="N1144"/>
      <c r="S1144"/>
      <c r="X1144"/>
    </row>
    <row r="1145" spans="2:24" ht="18.75">
      <c r="B1145">
        <v>44</v>
      </c>
      <c r="C1145" s="5">
        <v>45957</v>
      </c>
      <c r="D1145" t="s">
        <v>139</v>
      </c>
      <c r="E1145">
        <v>295.23</v>
      </c>
      <c r="G1145">
        <v>15</v>
      </c>
      <c r="H1145" s="5">
        <v>46118</v>
      </c>
      <c r="I1145" t="s">
        <v>168</v>
      </c>
      <c r="J1145">
        <v>325.93</v>
      </c>
      <c r="N1145"/>
      <c r="S1145"/>
      <c r="X1145"/>
    </row>
    <row r="1146" spans="2:24" ht="18.75">
      <c r="B1146">
        <v>44</v>
      </c>
      <c r="C1146" s="5">
        <v>45957</v>
      </c>
      <c r="D1146" t="s">
        <v>149</v>
      </c>
      <c r="E1146">
        <v>132.25</v>
      </c>
      <c r="G1146">
        <v>15</v>
      </c>
      <c r="H1146" s="5">
        <v>46118</v>
      </c>
      <c r="I1146" t="s">
        <v>173</v>
      </c>
      <c r="J1146">
        <v>845.7</v>
      </c>
      <c r="N1146"/>
      <c r="S1146"/>
      <c r="X1146"/>
    </row>
    <row r="1147" spans="2:24" ht="18.75">
      <c r="B1147">
        <v>44</v>
      </c>
      <c r="C1147" s="5">
        <v>45957</v>
      </c>
      <c r="D1147" t="s">
        <v>150</v>
      </c>
      <c r="E1147">
        <v>51.61</v>
      </c>
      <c r="G1147">
        <v>15</v>
      </c>
      <c r="H1147" s="5">
        <v>46118</v>
      </c>
      <c r="I1147" t="s">
        <v>172</v>
      </c>
      <c r="J1147">
        <v>19.899999999999999</v>
      </c>
      <c r="N1147"/>
      <c r="S1147"/>
      <c r="X1147"/>
    </row>
    <row r="1148" spans="2:24" ht="18.75">
      <c r="B1148">
        <v>44</v>
      </c>
      <c r="C1148" s="5">
        <v>45957</v>
      </c>
      <c r="D1148" t="s">
        <v>135</v>
      </c>
      <c r="E1148">
        <v>45.68</v>
      </c>
      <c r="G1148">
        <v>14</v>
      </c>
      <c r="H1148" s="5">
        <v>46111</v>
      </c>
      <c r="I1148" t="s">
        <v>201</v>
      </c>
      <c r="J1148">
        <v>12.32</v>
      </c>
      <c r="N1148"/>
      <c r="S1148"/>
      <c r="X1148"/>
    </row>
    <row r="1149" spans="2:24" ht="18.75">
      <c r="B1149">
        <v>45</v>
      </c>
      <c r="C1149" s="5">
        <v>45964</v>
      </c>
      <c r="D1149" t="s">
        <v>143</v>
      </c>
      <c r="E1149">
        <v>1382.07</v>
      </c>
      <c r="G1149">
        <v>16</v>
      </c>
      <c r="H1149" s="5">
        <v>46125</v>
      </c>
      <c r="I1149" t="s">
        <v>160</v>
      </c>
      <c r="J1149">
        <v>3999.48</v>
      </c>
      <c r="N1149"/>
      <c r="S1149"/>
      <c r="X1149"/>
    </row>
    <row r="1150" spans="2:24" ht="18.75">
      <c r="B1150">
        <v>45</v>
      </c>
      <c r="C1150" s="5">
        <v>45964</v>
      </c>
      <c r="D1150" t="s">
        <v>126</v>
      </c>
      <c r="E1150">
        <v>78.180000000000007</v>
      </c>
      <c r="G1150">
        <v>16</v>
      </c>
      <c r="H1150" s="5">
        <v>46125</v>
      </c>
      <c r="I1150" t="s">
        <v>198</v>
      </c>
      <c r="J1150">
        <v>524.62</v>
      </c>
      <c r="N1150"/>
      <c r="S1150"/>
      <c r="X1150"/>
    </row>
    <row r="1151" spans="2:24" ht="18.75">
      <c r="B1151">
        <v>45</v>
      </c>
      <c r="C1151" s="5">
        <v>45964</v>
      </c>
      <c r="D1151" t="s">
        <v>127</v>
      </c>
      <c r="E1151">
        <v>271.14</v>
      </c>
      <c r="G1151">
        <v>16</v>
      </c>
      <c r="H1151" s="5">
        <v>46125</v>
      </c>
      <c r="I1151" t="s">
        <v>158</v>
      </c>
      <c r="J1151">
        <v>658.52</v>
      </c>
      <c r="N1151"/>
      <c r="S1151"/>
      <c r="X1151"/>
    </row>
    <row r="1152" spans="2:24" ht="18.75">
      <c r="B1152">
        <v>45</v>
      </c>
      <c r="C1152" s="5">
        <v>45964</v>
      </c>
      <c r="D1152" t="s">
        <v>146</v>
      </c>
      <c r="E1152">
        <v>585.88</v>
      </c>
      <c r="G1152">
        <v>16</v>
      </c>
      <c r="H1152" s="5">
        <v>46125</v>
      </c>
      <c r="I1152" t="s">
        <v>165</v>
      </c>
      <c r="J1152">
        <v>141.6</v>
      </c>
      <c r="N1152"/>
      <c r="S1152"/>
      <c r="X1152"/>
    </row>
    <row r="1153" spans="2:24" ht="18.75">
      <c r="B1153">
        <v>45</v>
      </c>
      <c r="C1153" s="5">
        <v>45964</v>
      </c>
      <c r="D1153" t="s">
        <v>141</v>
      </c>
      <c r="E1153">
        <v>352.85</v>
      </c>
      <c r="G1153">
        <v>16</v>
      </c>
      <c r="H1153" s="5">
        <v>46125</v>
      </c>
      <c r="I1153" t="s">
        <v>171</v>
      </c>
      <c r="J1153">
        <v>893.52</v>
      </c>
      <c r="N1153"/>
      <c r="S1153"/>
      <c r="X1153"/>
    </row>
    <row r="1154" spans="2:24" ht="18.75">
      <c r="B1154">
        <v>45</v>
      </c>
      <c r="C1154" s="5">
        <v>45964</v>
      </c>
      <c r="D1154" t="s">
        <v>111</v>
      </c>
      <c r="E1154">
        <v>251.47</v>
      </c>
      <c r="G1154">
        <v>16</v>
      </c>
      <c r="H1154" s="5">
        <v>46125</v>
      </c>
      <c r="I1154" t="s">
        <v>174</v>
      </c>
      <c r="J1154">
        <v>470.73</v>
      </c>
      <c r="N1154"/>
      <c r="S1154"/>
      <c r="X1154"/>
    </row>
    <row r="1155" spans="2:24" ht="18.75">
      <c r="B1155">
        <v>45</v>
      </c>
      <c r="C1155" s="5">
        <v>45964</v>
      </c>
      <c r="D1155" t="s">
        <v>112</v>
      </c>
      <c r="E1155">
        <v>75.67</v>
      </c>
      <c r="G1155">
        <v>16</v>
      </c>
      <c r="H1155" s="5">
        <v>46125</v>
      </c>
      <c r="I1155" t="s">
        <v>169</v>
      </c>
      <c r="J1155">
        <v>1878.44</v>
      </c>
      <c r="N1155"/>
      <c r="S1155"/>
      <c r="X1155"/>
    </row>
    <row r="1156" spans="2:24" ht="18.75">
      <c r="B1156">
        <v>45</v>
      </c>
      <c r="C1156" s="5">
        <v>45964</v>
      </c>
      <c r="D1156" t="s">
        <v>113</v>
      </c>
      <c r="E1156">
        <v>224.78</v>
      </c>
      <c r="G1156">
        <v>16</v>
      </c>
      <c r="H1156" s="5">
        <v>46125</v>
      </c>
      <c r="I1156" t="s">
        <v>176</v>
      </c>
      <c r="J1156">
        <v>103.68</v>
      </c>
      <c r="N1156"/>
      <c r="S1156"/>
      <c r="X1156"/>
    </row>
    <row r="1157" spans="2:24" ht="18.75">
      <c r="B1157">
        <v>45</v>
      </c>
      <c r="C1157" s="5">
        <v>45964</v>
      </c>
      <c r="D1157" t="s">
        <v>114</v>
      </c>
      <c r="E1157">
        <v>272.99</v>
      </c>
      <c r="G1157">
        <v>16</v>
      </c>
      <c r="H1157" s="5">
        <v>46125</v>
      </c>
      <c r="I1157" t="s">
        <v>170</v>
      </c>
      <c r="J1157">
        <v>36</v>
      </c>
      <c r="N1157"/>
      <c r="S1157"/>
      <c r="X1157"/>
    </row>
    <row r="1158" spans="2:24" ht="18.75">
      <c r="B1158">
        <v>45</v>
      </c>
      <c r="C1158" s="5">
        <v>45964</v>
      </c>
      <c r="D1158" t="s">
        <v>116</v>
      </c>
      <c r="E1158">
        <v>99.57</v>
      </c>
      <c r="G1158">
        <v>16</v>
      </c>
      <c r="H1158" s="5">
        <v>46125</v>
      </c>
      <c r="I1158" t="s">
        <v>163</v>
      </c>
      <c r="J1158">
        <v>248.97</v>
      </c>
      <c r="N1158"/>
      <c r="S1158"/>
      <c r="X1158"/>
    </row>
    <row r="1159" spans="2:24" ht="18.75">
      <c r="B1159">
        <v>45</v>
      </c>
      <c r="C1159" s="5">
        <v>45964</v>
      </c>
      <c r="D1159" t="s">
        <v>117</v>
      </c>
      <c r="E1159">
        <v>286.26</v>
      </c>
      <c r="G1159">
        <v>16</v>
      </c>
      <c r="H1159" s="5">
        <v>46125</v>
      </c>
      <c r="I1159" t="s">
        <v>168</v>
      </c>
      <c r="J1159">
        <v>435.51</v>
      </c>
      <c r="N1159"/>
      <c r="S1159"/>
      <c r="X1159"/>
    </row>
    <row r="1160" spans="2:24" ht="18.75">
      <c r="B1160">
        <v>45</v>
      </c>
      <c r="C1160" s="5">
        <v>45964</v>
      </c>
      <c r="D1160" t="s">
        <v>118</v>
      </c>
      <c r="E1160">
        <v>172.48</v>
      </c>
      <c r="G1160">
        <v>16</v>
      </c>
      <c r="H1160" s="5">
        <v>46125</v>
      </c>
      <c r="I1160" t="s">
        <v>172</v>
      </c>
      <c r="J1160">
        <v>67.66</v>
      </c>
      <c r="N1160"/>
      <c r="S1160"/>
      <c r="X1160"/>
    </row>
    <row r="1161" spans="2:24" ht="18.75">
      <c r="B1161">
        <v>45</v>
      </c>
      <c r="C1161" s="5">
        <v>45964</v>
      </c>
      <c r="D1161" t="s">
        <v>119</v>
      </c>
      <c r="E1161">
        <v>429.72</v>
      </c>
      <c r="G1161">
        <v>16</v>
      </c>
      <c r="H1161" s="5">
        <v>46125</v>
      </c>
      <c r="I1161" t="s">
        <v>173</v>
      </c>
      <c r="J1161">
        <v>858.85</v>
      </c>
      <c r="N1161"/>
      <c r="S1161"/>
      <c r="X1161"/>
    </row>
    <row r="1162" spans="2:24" ht="18.75">
      <c r="B1162">
        <v>45</v>
      </c>
      <c r="C1162" s="5">
        <v>45964</v>
      </c>
      <c r="D1162" t="s">
        <v>120</v>
      </c>
      <c r="E1162">
        <v>163.27000000000001</v>
      </c>
      <c r="G1162">
        <v>15</v>
      </c>
      <c r="H1162" s="5">
        <v>46118</v>
      </c>
      <c r="I1162" t="s">
        <v>171</v>
      </c>
      <c r="J1162">
        <v>153.57</v>
      </c>
      <c r="N1162"/>
      <c r="S1162"/>
      <c r="X1162"/>
    </row>
    <row r="1163" spans="2:24" ht="18.75">
      <c r="B1163">
        <v>45</v>
      </c>
      <c r="C1163" s="5">
        <v>45964</v>
      </c>
      <c r="D1163" t="s">
        <v>121</v>
      </c>
      <c r="E1163">
        <v>140.24</v>
      </c>
      <c r="G1163">
        <v>17</v>
      </c>
      <c r="H1163" s="5">
        <v>46132</v>
      </c>
      <c r="I1163" t="s">
        <v>160</v>
      </c>
      <c r="J1163">
        <v>4896.09</v>
      </c>
      <c r="N1163"/>
      <c r="S1163"/>
      <c r="X1163"/>
    </row>
    <row r="1164" spans="2:24" ht="18.75">
      <c r="B1164">
        <v>45</v>
      </c>
      <c r="C1164" s="5">
        <v>45964</v>
      </c>
      <c r="D1164" t="s">
        <v>122</v>
      </c>
      <c r="E1164">
        <v>391.54</v>
      </c>
      <c r="G1164">
        <v>17</v>
      </c>
      <c r="H1164" s="5">
        <v>46132</v>
      </c>
      <c r="I1164" t="s">
        <v>158</v>
      </c>
      <c r="J1164">
        <v>759.52</v>
      </c>
      <c r="N1164"/>
      <c r="S1164"/>
      <c r="X1164"/>
    </row>
    <row r="1165" spans="2:24" ht="18.75">
      <c r="B1165">
        <v>45</v>
      </c>
      <c r="C1165" s="5">
        <v>45964</v>
      </c>
      <c r="D1165" t="s">
        <v>123</v>
      </c>
      <c r="E1165">
        <v>462.04</v>
      </c>
      <c r="G1165">
        <v>17</v>
      </c>
      <c r="H1165" s="5">
        <v>46132</v>
      </c>
      <c r="I1165" t="s">
        <v>165</v>
      </c>
      <c r="J1165">
        <v>84</v>
      </c>
      <c r="N1165"/>
      <c r="S1165"/>
      <c r="X1165"/>
    </row>
    <row r="1166" spans="2:24" ht="18.75">
      <c r="B1166">
        <v>45</v>
      </c>
      <c r="C1166" s="5">
        <v>45964</v>
      </c>
      <c r="D1166" t="s">
        <v>124</v>
      </c>
      <c r="E1166">
        <v>439.45</v>
      </c>
      <c r="G1166">
        <v>17</v>
      </c>
      <c r="H1166" s="5">
        <v>46132</v>
      </c>
      <c r="I1166" t="s">
        <v>198</v>
      </c>
      <c r="J1166">
        <v>464.1</v>
      </c>
      <c r="N1166"/>
      <c r="S1166"/>
      <c r="X1166"/>
    </row>
    <row r="1167" spans="2:24" ht="18.75">
      <c r="B1167">
        <v>45</v>
      </c>
      <c r="C1167" s="5">
        <v>45964</v>
      </c>
      <c r="D1167" t="s">
        <v>125</v>
      </c>
      <c r="E1167">
        <v>69.64</v>
      </c>
      <c r="G1167">
        <v>17</v>
      </c>
      <c r="H1167" s="5">
        <v>46132</v>
      </c>
      <c r="I1167" t="s">
        <v>174</v>
      </c>
      <c r="J1167">
        <v>1490.88</v>
      </c>
      <c r="N1167"/>
      <c r="S1167"/>
      <c r="X1167"/>
    </row>
    <row r="1168" spans="2:24" ht="18.75">
      <c r="B1168">
        <v>45</v>
      </c>
      <c r="C1168" s="5">
        <v>45964</v>
      </c>
      <c r="D1168" t="s">
        <v>128</v>
      </c>
      <c r="E1168">
        <v>233.58</v>
      </c>
      <c r="G1168">
        <v>17</v>
      </c>
      <c r="H1168" s="5">
        <v>46132</v>
      </c>
      <c r="I1168" t="s">
        <v>169</v>
      </c>
      <c r="J1168">
        <v>2028.45</v>
      </c>
      <c r="N1168"/>
      <c r="S1168"/>
      <c r="X1168"/>
    </row>
    <row r="1169" spans="2:24" ht="18.75">
      <c r="B1169">
        <v>45</v>
      </c>
      <c r="C1169" s="5">
        <v>45964</v>
      </c>
      <c r="D1169" t="s">
        <v>129</v>
      </c>
      <c r="E1169">
        <v>449.26</v>
      </c>
      <c r="G1169">
        <v>17</v>
      </c>
      <c r="H1169" s="5">
        <v>46132</v>
      </c>
      <c r="I1169" t="s">
        <v>176</v>
      </c>
      <c r="J1169">
        <v>160.08000000000001</v>
      </c>
      <c r="N1169"/>
      <c r="S1169"/>
      <c r="X1169"/>
    </row>
    <row r="1170" spans="2:24" ht="18.75">
      <c r="B1170">
        <v>45</v>
      </c>
      <c r="C1170" s="5">
        <v>45964</v>
      </c>
      <c r="D1170" t="s">
        <v>132</v>
      </c>
      <c r="E1170">
        <v>156.02000000000001</v>
      </c>
      <c r="G1170">
        <v>17</v>
      </c>
      <c r="H1170" s="5">
        <v>46132</v>
      </c>
      <c r="I1170" t="s">
        <v>170</v>
      </c>
      <c r="J1170">
        <v>64</v>
      </c>
      <c r="N1170"/>
      <c r="S1170"/>
      <c r="X1170"/>
    </row>
    <row r="1171" spans="2:24" ht="18.75">
      <c r="B1171">
        <v>45</v>
      </c>
      <c r="C1171" s="5">
        <v>45964</v>
      </c>
      <c r="D1171" t="s">
        <v>133</v>
      </c>
      <c r="E1171">
        <v>360.8</v>
      </c>
      <c r="G1171">
        <v>17</v>
      </c>
      <c r="H1171" s="5">
        <v>46132</v>
      </c>
      <c r="I1171" t="s">
        <v>163</v>
      </c>
      <c r="J1171">
        <v>365.07</v>
      </c>
      <c r="N1171"/>
      <c r="S1171"/>
      <c r="X1171"/>
    </row>
    <row r="1172" spans="2:24" ht="18.75">
      <c r="B1172">
        <v>45</v>
      </c>
      <c r="C1172" s="5">
        <v>45964</v>
      </c>
      <c r="D1172" t="s">
        <v>134</v>
      </c>
      <c r="E1172">
        <v>348.83</v>
      </c>
      <c r="G1172">
        <v>17</v>
      </c>
      <c r="H1172" s="5">
        <v>46132</v>
      </c>
      <c r="I1172" t="s">
        <v>168</v>
      </c>
      <c r="J1172">
        <v>524.22</v>
      </c>
      <c r="N1172"/>
      <c r="S1172"/>
      <c r="X1172"/>
    </row>
    <row r="1173" spans="2:24" ht="18.75">
      <c r="B1173">
        <v>45</v>
      </c>
      <c r="C1173" s="5">
        <v>45964</v>
      </c>
      <c r="D1173" t="s">
        <v>135</v>
      </c>
      <c r="E1173">
        <v>65.900000000000006</v>
      </c>
      <c r="G1173">
        <v>17</v>
      </c>
      <c r="H1173" s="5">
        <v>46132</v>
      </c>
      <c r="I1173" t="s">
        <v>172</v>
      </c>
      <c r="J1173">
        <v>27.86</v>
      </c>
      <c r="N1173"/>
      <c r="S1173"/>
      <c r="X1173"/>
    </row>
    <row r="1174" spans="2:24" ht="18.75">
      <c r="B1174">
        <v>45</v>
      </c>
      <c r="C1174" s="5">
        <v>45964</v>
      </c>
      <c r="D1174" t="s">
        <v>136</v>
      </c>
      <c r="E1174">
        <v>82.55</v>
      </c>
      <c r="G1174">
        <v>17</v>
      </c>
      <c r="H1174" s="5">
        <v>46132</v>
      </c>
      <c r="I1174" t="s">
        <v>173</v>
      </c>
      <c r="J1174">
        <v>991.65</v>
      </c>
      <c r="N1174"/>
      <c r="S1174"/>
      <c r="X1174"/>
    </row>
    <row r="1175" spans="2:24" ht="18.75">
      <c r="B1175">
        <v>45</v>
      </c>
      <c r="C1175" s="5">
        <v>45964</v>
      </c>
      <c r="D1175" t="s">
        <v>137</v>
      </c>
      <c r="E1175">
        <v>84.72</v>
      </c>
      <c r="G1175">
        <v>17</v>
      </c>
      <c r="H1175" s="5">
        <v>46132</v>
      </c>
      <c r="I1175" t="s">
        <v>206</v>
      </c>
      <c r="J1175">
        <v>184.05</v>
      </c>
      <c r="N1175"/>
      <c r="S1175"/>
      <c r="X1175"/>
    </row>
    <row r="1176" spans="2:24" ht="18.75">
      <c r="B1176">
        <v>45</v>
      </c>
      <c r="C1176" s="5">
        <v>45964</v>
      </c>
      <c r="D1176" t="s">
        <v>138</v>
      </c>
      <c r="E1176">
        <v>459</v>
      </c>
      <c r="G1176">
        <v>17</v>
      </c>
      <c r="H1176" s="5">
        <v>46132</v>
      </c>
      <c r="I1176" t="s">
        <v>207</v>
      </c>
      <c r="J1176">
        <v>276.5</v>
      </c>
      <c r="N1176"/>
      <c r="S1176"/>
      <c r="X1176"/>
    </row>
    <row r="1177" spans="2:24" ht="18.75">
      <c r="B1177">
        <v>45</v>
      </c>
      <c r="C1177" s="5">
        <v>45964</v>
      </c>
      <c r="D1177" t="s">
        <v>140</v>
      </c>
      <c r="E1177">
        <v>311.81</v>
      </c>
      <c r="G1177">
        <v>18</v>
      </c>
      <c r="H1177" s="5">
        <v>46139</v>
      </c>
      <c r="I1177" t="s">
        <v>160</v>
      </c>
      <c r="J1177">
        <v>4360</v>
      </c>
      <c r="N1177"/>
      <c r="S1177"/>
      <c r="X1177"/>
    </row>
    <row r="1178" spans="2:24" ht="18.75">
      <c r="B1178">
        <v>45</v>
      </c>
      <c r="C1178" s="5">
        <v>45964</v>
      </c>
      <c r="D1178" t="s">
        <v>142</v>
      </c>
      <c r="E1178">
        <v>257.83</v>
      </c>
      <c r="G1178">
        <v>18</v>
      </c>
      <c r="H1178" s="5">
        <v>46139</v>
      </c>
      <c r="I1178" t="s">
        <v>158</v>
      </c>
      <c r="J1178">
        <v>597.91999999999996</v>
      </c>
      <c r="N1178"/>
      <c r="S1178"/>
      <c r="X1178"/>
    </row>
    <row r="1179" spans="2:24" ht="18.75">
      <c r="B1179">
        <v>45</v>
      </c>
      <c r="C1179" s="5">
        <v>45964</v>
      </c>
      <c r="D1179" t="s">
        <v>145</v>
      </c>
      <c r="E1179">
        <v>336.22</v>
      </c>
      <c r="G1179">
        <v>18</v>
      </c>
      <c r="H1179" s="5">
        <v>46139</v>
      </c>
      <c r="I1179" t="s">
        <v>165</v>
      </c>
      <c r="J1179">
        <v>182.25</v>
      </c>
      <c r="N1179"/>
      <c r="S1179"/>
      <c r="X1179"/>
    </row>
    <row r="1180" spans="2:24" ht="18.75">
      <c r="B1180">
        <v>45</v>
      </c>
      <c r="C1180" s="5">
        <v>45964</v>
      </c>
      <c r="D1180" t="s">
        <v>219</v>
      </c>
      <c r="E1180">
        <v>300.42</v>
      </c>
      <c r="G1180">
        <v>18</v>
      </c>
      <c r="H1180" s="5">
        <v>46139</v>
      </c>
      <c r="I1180" t="s">
        <v>174</v>
      </c>
      <c r="J1180">
        <v>462.84</v>
      </c>
      <c r="N1180"/>
      <c r="S1180"/>
      <c r="X1180"/>
    </row>
    <row r="1181" spans="2:24" ht="18.75">
      <c r="B1181">
        <v>45</v>
      </c>
      <c r="C1181" s="5">
        <v>45964</v>
      </c>
      <c r="D1181" t="s">
        <v>149</v>
      </c>
      <c r="E1181">
        <v>135.11000000000001</v>
      </c>
      <c r="G1181">
        <v>18</v>
      </c>
      <c r="H1181" s="5">
        <v>46139</v>
      </c>
      <c r="I1181" t="s">
        <v>171</v>
      </c>
      <c r="J1181">
        <v>806.76</v>
      </c>
      <c r="N1181"/>
      <c r="S1181"/>
      <c r="X1181"/>
    </row>
    <row r="1182" spans="2:24" ht="18.75">
      <c r="B1182">
        <v>45</v>
      </c>
      <c r="C1182" s="5">
        <v>45964</v>
      </c>
      <c r="D1182" t="s">
        <v>150</v>
      </c>
      <c r="E1182">
        <v>70.97</v>
      </c>
      <c r="G1182">
        <v>18</v>
      </c>
      <c r="H1182" s="5">
        <v>46139</v>
      </c>
      <c r="I1182" t="s">
        <v>198</v>
      </c>
      <c r="J1182">
        <v>357</v>
      </c>
      <c r="N1182"/>
      <c r="S1182"/>
      <c r="X1182"/>
    </row>
    <row r="1183" spans="2:24" ht="18.75">
      <c r="B1183">
        <v>45</v>
      </c>
      <c r="C1183" s="5">
        <v>45964</v>
      </c>
      <c r="D1183" t="s">
        <v>139</v>
      </c>
      <c r="E1183">
        <v>189.02</v>
      </c>
      <c r="G1183">
        <v>18</v>
      </c>
      <c r="H1183" s="5">
        <v>46139</v>
      </c>
      <c r="I1183" t="s">
        <v>169</v>
      </c>
      <c r="J1183">
        <v>1577.4</v>
      </c>
      <c r="N1183"/>
      <c r="S1183"/>
      <c r="X1183"/>
    </row>
    <row r="1184" spans="2:24" ht="18.75">
      <c r="B1184">
        <v>46</v>
      </c>
      <c r="C1184" s="5">
        <v>45971</v>
      </c>
      <c r="D1184" t="s">
        <v>111</v>
      </c>
      <c r="E1184">
        <v>201.05</v>
      </c>
      <c r="G1184">
        <v>18</v>
      </c>
      <c r="H1184" s="5">
        <v>46139</v>
      </c>
      <c r="I1184" t="s">
        <v>176</v>
      </c>
      <c r="J1184">
        <v>224.28</v>
      </c>
      <c r="N1184"/>
      <c r="S1184"/>
      <c r="X1184"/>
    </row>
    <row r="1185" spans="2:24" ht="18.75">
      <c r="B1185">
        <v>46</v>
      </c>
      <c r="C1185" s="5">
        <v>45971</v>
      </c>
      <c r="D1185" t="s">
        <v>112</v>
      </c>
      <c r="E1185">
        <v>77.319999999999993</v>
      </c>
      <c r="G1185">
        <v>18</v>
      </c>
      <c r="H1185" s="5">
        <v>46139</v>
      </c>
      <c r="I1185" t="s">
        <v>209</v>
      </c>
      <c r="J1185">
        <v>261.36</v>
      </c>
      <c r="N1185"/>
      <c r="S1185"/>
      <c r="X1185"/>
    </row>
    <row r="1186" spans="2:24" ht="18.75">
      <c r="B1186">
        <v>46</v>
      </c>
      <c r="C1186" s="5">
        <v>45971</v>
      </c>
      <c r="D1186" t="s">
        <v>114</v>
      </c>
      <c r="E1186">
        <v>136.30000000000001</v>
      </c>
      <c r="G1186">
        <v>18</v>
      </c>
      <c r="H1186" s="5">
        <v>46139</v>
      </c>
      <c r="I1186" t="s">
        <v>170</v>
      </c>
      <c r="J1186">
        <v>88</v>
      </c>
      <c r="N1186"/>
      <c r="S1186"/>
      <c r="X1186"/>
    </row>
    <row r="1187" spans="2:24" ht="18.75">
      <c r="B1187">
        <v>46</v>
      </c>
      <c r="C1187" s="5">
        <v>45971</v>
      </c>
      <c r="D1187" t="s">
        <v>117</v>
      </c>
      <c r="E1187">
        <v>177.6</v>
      </c>
      <c r="G1187">
        <v>18</v>
      </c>
      <c r="H1187" s="5">
        <v>46139</v>
      </c>
      <c r="I1187" t="s">
        <v>163</v>
      </c>
      <c r="J1187">
        <v>347.01</v>
      </c>
      <c r="N1187"/>
      <c r="S1187"/>
      <c r="X1187"/>
    </row>
    <row r="1188" spans="2:24" ht="18.75">
      <c r="B1188">
        <v>46</v>
      </c>
      <c r="C1188" s="5">
        <v>45971</v>
      </c>
      <c r="D1188" t="s">
        <v>118</v>
      </c>
      <c r="E1188">
        <v>221.95</v>
      </c>
      <c r="G1188">
        <v>18</v>
      </c>
      <c r="H1188" s="5">
        <v>46139</v>
      </c>
      <c r="I1188" t="s">
        <v>168</v>
      </c>
      <c r="J1188">
        <v>799.3</v>
      </c>
      <c r="N1188"/>
      <c r="S1188"/>
      <c r="X1188"/>
    </row>
    <row r="1189" spans="2:24" ht="18.75">
      <c r="B1189">
        <v>46</v>
      </c>
      <c r="C1189" s="5">
        <v>45971</v>
      </c>
      <c r="D1189" t="s">
        <v>119</v>
      </c>
      <c r="E1189">
        <v>303.10000000000002</v>
      </c>
      <c r="G1189">
        <v>18</v>
      </c>
      <c r="H1189" s="5">
        <v>46139</v>
      </c>
      <c r="I1189" t="s">
        <v>173</v>
      </c>
      <c r="J1189">
        <v>684</v>
      </c>
      <c r="N1189"/>
      <c r="S1189"/>
      <c r="X1189"/>
    </row>
    <row r="1190" spans="2:24" ht="18.75">
      <c r="B1190">
        <v>46</v>
      </c>
      <c r="C1190" s="5">
        <v>45971</v>
      </c>
      <c r="D1190" t="s">
        <v>120</v>
      </c>
      <c r="E1190">
        <v>126.14</v>
      </c>
      <c r="G1190">
        <v>19</v>
      </c>
      <c r="H1190" s="5">
        <v>46146</v>
      </c>
      <c r="I1190" t="s">
        <v>160</v>
      </c>
      <c r="J1190">
        <v>2939.52</v>
      </c>
      <c r="N1190"/>
      <c r="S1190"/>
      <c r="X1190"/>
    </row>
    <row r="1191" spans="2:24" ht="18.75">
      <c r="B1191">
        <v>46</v>
      </c>
      <c r="C1191" s="5">
        <v>45971</v>
      </c>
      <c r="D1191" t="s">
        <v>121</v>
      </c>
      <c r="E1191">
        <v>159.9</v>
      </c>
      <c r="G1191">
        <v>19</v>
      </c>
      <c r="H1191" s="5">
        <v>46146</v>
      </c>
      <c r="I1191" t="s">
        <v>158</v>
      </c>
      <c r="J1191">
        <v>480.76</v>
      </c>
      <c r="N1191"/>
      <c r="S1191"/>
      <c r="X1191"/>
    </row>
    <row r="1192" spans="2:24" ht="18.75">
      <c r="B1192">
        <v>46</v>
      </c>
      <c r="C1192" s="5">
        <v>45971</v>
      </c>
      <c r="D1192" t="s">
        <v>122</v>
      </c>
      <c r="E1192">
        <v>158.05000000000001</v>
      </c>
      <c r="G1192">
        <v>19</v>
      </c>
      <c r="H1192" s="5">
        <v>46146</v>
      </c>
      <c r="I1192" t="s">
        <v>165</v>
      </c>
      <c r="J1192">
        <v>107.25</v>
      </c>
      <c r="N1192"/>
      <c r="S1192"/>
      <c r="X1192"/>
    </row>
    <row r="1193" spans="2:24" ht="18.75">
      <c r="B1193">
        <v>46</v>
      </c>
      <c r="C1193" s="5">
        <v>45971</v>
      </c>
      <c r="D1193" t="s">
        <v>123</v>
      </c>
      <c r="E1193">
        <v>445.79</v>
      </c>
      <c r="G1193">
        <v>19</v>
      </c>
      <c r="H1193" s="5">
        <v>46146</v>
      </c>
      <c r="I1193" t="s">
        <v>171</v>
      </c>
      <c r="J1193">
        <v>312.8</v>
      </c>
      <c r="N1193"/>
      <c r="S1193"/>
      <c r="X1193"/>
    </row>
    <row r="1194" spans="2:24" ht="18.75">
      <c r="B1194">
        <v>46</v>
      </c>
      <c r="C1194" s="5">
        <v>45971</v>
      </c>
      <c r="D1194" t="s">
        <v>126</v>
      </c>
      <c r="E1194">
        <v>142.91999999999999</v>
      </c>
      <c r="G1194">
        <v>19</v>
      </c>
      <c r="H1194" s="5">
        <v>46146</v>
      </c>
      <c r="I1194" t="s">
        <v>198</v>
      </c>
      <c r="J1194">
        <v>1128.0999999999999</v>
      </c>
      <c r="N1194"/>
      <c r="S1194"/>
      <c r="X1194"/>
    </row>
    <row r="1195" spans="2:24" ht="18.75">
      <c r="B1195">
        <v>46</v>
      </c>
      <c r="C1195" s="5">
        <v>45971</v>
      </c>
      <c r="D1195" t="s">
        <v>128</v>
      </c>
      <c r="E1195">
        <v>140.21</v>
      </c>
      <c r="G1195">
        <v>19</v>
      </c>
      <c r="H1195" s="5">
        <v>46146</v>
      </c>
      <c r="I1195" t="s">
        <v>169</v>
      </c>
      <c r="J1195">
        <v>1141.3499999999999</v>
      </c>
      <c r="N1195"/>
      <c r="S1195"/>
      <c r="X1195"/>
    </row>
    <row r="1196" spans="2:24" ht="18.75">
      <c r="B1196">
        <v>46</v>
      </c>
      <c r="C1196" s="5">
        <v>45971</v>
      </c>
      <c r="D1196" t="s">
        <v>132</v>
      </c>
      <c r="E1196">
        <v>169.28</v>
      </c>
      <c r="G1196">
        <v>19</v>
      </c>
      <c r="H1196" s="5">
        <v>46146</v>
      </c>
      <c r="I1196" t="s">
        <v>176</v>
      </c>
      <c r="J1196">
        <v>74.400000000000006</v>
      </c>
      <c r="N1196"/>
      <c r="S1196"/>
      <c r="X1196"/>
    </row>
    <row r="1197" spans="2:24" ht="18.75">
      <c r="B1197">
        <v>46</v>
      </c>
      <c r="C1197" s="5">
        <v>45971</v>
      </c>
      <c r="D1197" t="s">
        <v>133</v>
      </c>
      <c r="E1197">
        <v>321.51</v>
      </c>
      <c r="G1197">
        <v>19</v>
      </c>
      <c r="H1197" s="5">
        <v>46146</v>
      </c>
      <c r="I1197" t="s">
        <v>209</v>
      </c>
      <c r="J1197">
        <v>27</v>
      </c>
      <c r="N1197"/>
      <c r="S1197"/>
      <c r="X1197"/>
    </row>
    <row r="1198" spans="2:24" ht="18.75">
      <c r="B1198">
        <v>46</v>
      </c>
      <c r="C1198" s="5">
        <v>45971</v>
      </c>
      <c r="D1198" t="s">
        <v>134</v>
      </c>
      <c r="E1198">
        <v>293.68</v>
      </c>
      <c r="G1198">
        <v>19</v>
      </c>
      <c r="H1198" s="5">
        <v>46146</v>
      </c>
      <c r="I1198" t="s">
        <v>170</v>
      </c>
      <c r="J1198">
        <v>36</v>
      </c>
      <c r="N1198"/>
      <c r="S1198"/>
      <c r="X1198"/>
    </row>
    <row r="1199" spans="2:24" ht="18.75">
      <c r="B1199">
        <v>46</v>
      </c>
      <c r="C1199" s="5">
        <v>45971</v>
      </c>
      <c r="D1199" t="s">
        <v>137</v>
      </c>
      <c r="E1199">
        <v>74.489999999999995</v>
      </c>
      <c r="G1199">
        <v>19</v>
      </c>
      <c r="H1199" s="5">
        <v>46146</v>
      </c>
      <c r="I1199" t="s">
        <v>163</v>
      </c>
      <c r="J1199">
        <v>154.80000000000001</v>
      </c>
      <c r="N1199"/>
      <c r="S1199"/>
      <c r="X1199"/>
    </row>
    <row r="1200" spans="2:24" ht="18.75">
      <c r="B1200">
        <v>46</v>
      </c>
      <c r="C1200" s="5">
        <v>45971</v>
      </c>
      <c r="D1200" t="s">
        <v>138</v>
      </c>
      <c r="E1200">
        <v>360.56</v>
      </c>
      <c r="G1200">
        <v>19</v>
      </c>
      <c r="H1200" s="5">
        <v>46146</v>
      </c>
      <c r="I1200" t="s">
        <v>204</v>
      </c>
      <c r="J1200">
        <v>439.33</v>
      </c>
      <c r="N1200"/>
      <c r="S1200"/>
      <c r="X1200"/>
    </row>
    <row r="1201" spans="2:24" ht="18.75">
      <c r="B1201">
        <v>46</v>
      </c>
      <c r="C1201" s="5">
        <v>45971</v>
      </c>
      <c r="D1201" t="s">
        <v>141</v>
      </c>
      <c r="E1201">
        <v>600.99</v>
      </c>
      <c r="G1201">
        <v>19</v>
      </c>
      <c r="H1201" s="5">
        <v>46146</v>
      </c>
      <c r="I1201" t="s">
        <v>172</v>
      </c>
      <c r="J1201">
        <v>45.77</v>
      </c>
      <c r="N1201"/>
      <c r="S1201"/>
      <c r="X1201"/>
    </row>
    <row r="1202" spans="2:24" ht="18.75">
      <c r="B1202">
        <v>46</v>
      </c>
      <c r="C1202" s="5">
        <v>45971</v>
      </c>
      <c r="D1202" t="s">
        <v>142</v>
      </c>
      <c r="E1202">
        <v>196.21</v>
      </c>
      <c r="G1202">
        <v>19</v>
      </c>
      <c r="H1202" s="5">
        <v>46146</v>
      </c>
      <c r="I1202" t="s">
        <v>173</v>
      </c>
      <c r="J1202">
        <v>438</v>
      </c>
      <c r="N1202"/>
      <c r="S1202"/>
      <c r="X1202"/>
    </row>
    <row r="1203" spans="2:24" ht="18.75">
      <c r="B1203">
        <v>46</v>
      </c>
      <c r="C1203" s="5">
        <v>45971</v>
      </c>
      <c r="D1203" t="s">
        <v>143</v>
      </c>
      <c r="E1203">
        <v>1347.36</v>
      </c>
      <c r="G1203">
        <v>19</v>
      </c>
      <c r="H1203" s="5">
        <v>46146</v>
      </c>
      <c r="I1203" t="s">
        <v>206</v>
      </c>
      <c r="J1203">
        <v>174.42</v>
      </c>
      <c r="N1203"/>
      <c r="S1203"/>
      <c r="X1203"/>
    </row>
    <row r="1204" spans="2:24" ht="18.75">
      <c r="B1204">
        <v>46</v>
      </c>
      <c r="C1204" s="5">
        <v>45971</v>
      </c>
      <c r="D1204" t="s">
        <v>145</v>
      </c>
      <c r="E1204">
        <v>267.5</v>
      </c>
      <c r="G1204">
        <v>43</v>
      </c>
      <c r="H1204" s="5">
        <v>45950</v>
      </c>
      <c r="I1204" t="s">
        <v>160</v>
      </c>
      <c r="J1204">
        <v>3510.22</v>
      </c>
      <c r="N1204"/>
      <c r="S1204"/>
      <c r="X1204"/>
    </row>
    <row r="1205" spans="2:24" ht="18.75">
      <c r="B1205">
        <v>46</v>
      </c>
      <c r="C1205" s="5">
        <v>45971</v>
      </c>
      <c r="D1205" t="s">
        <v>146</v>
      </c>
      <c r="E1205">
        <v>561.95000000000005</v>
      </c>
      <c r="G1205">
        <v>43</v>
      </c>
      <c r="H1205" s="5">
        <v>45950</v>
      </c>
      <c r="I1205" t="s">
        <v>165</v>
      </c>
      <c r="J1205">
        <v>188.2</v>
      </c>
      <c r="N1205"/>
      <c r="S1205"/>
      <c r="X1205"/>
    </row>
    <row r="1206" spans="2:24" ht="18.75">
      <c r="B1206">
        <v>46</v>
      </c>
      <c r="C1206" s="5">
        <v>45971</v>
      </c>
      <c r="D1206" t="s">
        <v>219</v>
      </c>
      <c r="E1206">
        <v>280.51</v>
      </c>
      <c r="G1206">
        <v>43</v>
      </c>
      <c r="H1206" s="5">
        <v>45950</v>
      </c>
      <c r="I1206" t="s">
        <v>171</v>
      </c>
      <c r="J1206">
        <v>640.5</v>
      </c>
      <c r="N1206"/>
      <c r="S1206"/>
      <c r="X1206"/>
    </row>
    <row r="1207" spans="2:24" ht="18.75">
      <c r="B1207">
        <v>46</v>
      </c>
      <c r="C1207" s="5">
        <v>45971</v>
      </c>
      <c r="D1207" t="s">
        <v>116</v>
      </c>
      <c r="E1207">
        <v>83.03</v>
      </c>
      <c r="G1207">
        <v>43</v>
      </c>
      <c r="H1207" s="5">
        <v>45950</v>
      </c>
      <c r="I1207" t="s">
        <v>174</v>
      </c>
      <c r="J1207">
        <v>636.80999999999995</v>
      </c>
      <c r="N1207"/>
      <c r="S1207"/>
      <c r="X1207"/>
    </row>
    <row r="1208" spans="2:24" ht="18.75">
      <c r="B1208">
        <v>46</v>
      </c>
      <c r="C1208" s="5">
        <v>45971</v>
      </c>
      <c r="D1208" t="s">
        <v>124</v>
      </c>
      <c r="E1208">
        <v>380.07</v>
      </c>
      <c r="G1208">
        <v>43</v>
      </c>
      <c r="H1208" s="5">
        <v>45950</v>
      </c>
      <c r="I1208" t="s">
        <v>169</v>
      </c>
      <c r="J1208">
        <v>1692.27</v>
      </c>
      <c r="N1208"/>
      <c r="S1208"/>
      <c r="X1208"/>
    </row>
    <row r="1209" spans="2:24" ht="18.75">
      <c r="B1209">
        <v>46</v>
      </c>
      <c r="C1209" s="5">
        <v>45971</v>
      </c>
      <c r="D1209" t="s">
        <v>125</v>
      </c>
      <c r="E1209">
        <v>63.18</v>
      </c>
      <c r="G1209">
        <v>43</v>
      </c>
      <c r="H1209" s="5">
        <v>45950</v>
      </c>
      <c r="I1209" t="s">
        <v>170</v>
      </c>
      <c r="J1209">
        <v>42</v>
      </c>
      <c r="N1209"/>
      <c r="S1209"/>
      <c r="X1209"/>
    </row>
    <row r="1210" spans="2:24" ht="18.75">
      <c r="B1210">
        <v>46</v>
      </c>
      <c r="C1210" s="5">
        <v>45971</v>
      </c>
      <c r="D1210" t="s">
        <v>129</v>
      </c>
      <c r="E1210">
        <v>424.75</v>
      </c>
      <c r="G1210">
        <v>43</v>
      </c>
      <c r="H1210" s="5">
        <v>45950</v>
      </c>
      <c r="I1210" t="s">
        <v>176</v>
      </c>
      <c r="J1210">
        <v>175.24</v>
      </c>
      <c r="N1210"/>
      <c r="S1210"/>
      <c r="X1210"/>
    </row>
    <row r="1211" spans="2:24" ht="18.75">
      <c r="B1211">
        <v>46</v>
      </c>
      <c r="C1211" s="5">
        <v>45971</v>
      </c>
      <c r="D1211" t="s">
        <v>135</v>
      </c>
      <c r="E1211">
        <v>54.16</v>
      </c>
      <c r="G1211">
        <v>43</v>
      </c>
      <c r="H1211" s="5">
        <v>45950</v>
      </c>
      <c r="I1211" t="s">
        <v>164</v>
      </c>
      <c r="J1211">
        <v>14.4</v>
      </c>
      <c r="N1211"/>
      <c r="S1211"/>
      <c r="X1211"/>
    </row>
    <row r="1212" spans="2:24" ht="18.75">
      <c r="B1212">
        <v>46</v>
      </c>
      <c r="C1212" s="5">
        <v>45971</v>
      </c>
      <c r="D1212" t="s">
        <v>136</v>
      </c>
      <c r="E1212">
        <v>87.02</v>
      </c>
      <c r="G1212">
        <v>43</v>
      </c>
      <c r="H1212" s="5">
        <v>45950</v>
      </c>
      <c r="I1212" t="s">
        <v>163</v>
      </c>
      <c r="J1212">
        <v>422.4</v>
      </c>
      <c r="N1212"/>
      <c r="S1212"/>
      <c r="X1212"/>
    </row>
    <row r="1213" spans="2:24" ht="18.75">
      <c r="B1213">
        <v>46</v>
      </c>
      <c r="C1213" s="5">
        <v>45971</v>
      </c>
      <c r="D1213" t="s">
        <v>140</v>
      </c>
      <c r="E1213">
        <v>63.09</v>
      </c>
      <c r="G1213">
        <v>43</v>
      </c>
      <c r="H1213" s="5">
        <v>45950</v>
      </c>
      <c r="I1213" t="s">
        <v>168</v>
      </c>
      <c r="J1213">
        <v>357.79</v>
      </c>
      <c r="N1213"/>
      <c r="S1213"/>
      <c r="X1213"/>
    </row>
    <row r="1214" spans="2:24" ht="18.75">
      <c r="B1214">
        <v>46</v>
      </c>
      <c r="C1214" s="5">
        <v>45971</v>
      </c>
      <c r="D1214" t="s">
        <v>139</v>
      </c>
      <c r="E1214">
        <v>256.58999999999997</v>
      </c>
      <c r="G1214">
        <v>43</v>
      </c>
      <c r="H1214" s="5">
        <v>45950</v>
      </c>
      <c r="I1214" t="s">
        <v>172</v>
      </c>
      <c r="J1214">
        <v>59.7</v>
      </c>
      <c r="N1214"/>
      <c r="S1214"/>
      <c r="X1214"/>
    </row>
    <row r="1215" spans="2:24" ht="18.75">
      <c r="B1215">
        <v>46</v>
      </c>
      <c r="C1215" s="5">
        <v>45971</v>
      </c>
      <c r="D1215" t="s">
        <v>149</v>
      </c>
      <c r="E1215">
        <v>135.01</v>
      </c>
      <c r="G1215">
        <v>43</v>
      </c>
      <c r="H1215" s="5">
        <v>45950</v>
      </c>
      <c r="I1215" t="s">
        <v>173</v>
      </c>
      <c r="J1215">
        <v>458.7</v>
      </c>
      <c r="N1215"/>
      <c r="S1215"/>
      <c r="X1215"/>
    </row>
    <row r="1216" spans="2:24" ht="18.75">
      <c r="B1216">
        <v>46</v>
      </c>
      <c r="C1216" s="5">
        <v>45971</v>
      </c>
      <c r="D1216" t="s">
        <v>150</v>
      </c>
      <c r="E1216">
        <v>61.86</v>
      </c>
      <c r="G1216">
        <v>43</v>
      </c>
      <c r="H1216" s="5">
        <v>45950</v>
      </c>
      <c r="I1216" t="s">
        <v>158</v>
      </c>
      <c r="J1216">
        <v>786</v>
      </c>
      <c r="N1216"/>
      <c r="S1216"/>
      <c r="X1216"/>
    </row>
    <row r="1217" spans="2:24" ht="18.75">
      <c r="B1217">
        <v>46</v>
      </c>
      <c r="C1217" s="5">
        <v>45971</v>
      </c>
      <c r="D1217" t="s">
        <v>127</v>
      </c>
      <c r="E1217">
        <v>228.41</v>
      </c>
      <c r="G1217">
        <v>44</v>
      </c>
      <c r="H1217" s="5">
        <v>45957</v>
      </c>
      <c r="I1217" t="s">
        <v>160</v>
      </c>
      <c r="J1217">
        <v>4555.57</v>
      </c>
      <c r="N1217"/>
      <c r="S1217"/>
      <c r="X1217"/>
    </row>
    <row r="1218" spans="2:24" ht="18.75">
      <c r="B1218">
        <v>46</v>
      </c>
      <c r="C1218" s="5">
        <v>45971</v>
      </c>
      <c r="D1218" t="s">
        <v>113</v>
      </c>
      <c r="E1218">
        <v>163.47</v>
      </c>
      <c r="G1218">
        <v>44</v>
      </c>
      <c r="H1218" s="5">
        <v>45957</v>
      </c>
      <c r="I1218" t="s">
        <v>169</v>
      </c>
      <c r="J1218">
        <v>1729.83</v>
      </c>
      <c r="N1218"/>
      <c r="S1218"/>
      <c r="X1218"/>
    </row>
    <row r="1219" spans="2:24" ht="18.75">
      <c r="B1219">
        <v>47</v>
      </c>
      <c r="C1219" s="5">
        <v>45978</v>
      </c>
      <c r="D1219" t="s">
        <v>111</v>
      </c>
      <c r="E1219">
        <v>234.37</v>
      </c>
      <c r="G1219">
        <v>44</v>
      </c>
      <c r="H1219" s="5">
        <v>45957</v>
      </c>
      <c r="I1219" t="s">
        <v>163</v>
      </c>
      <c r="J1219">
        <v>426.24</v>
      </c>
      <c r="N1219"/>
      <c r="S1219"/>
      <c r="X1219"/>
    </row>
    <row r="1220" spans="2:24" ht="18.75">
      <c r="B1220">
        <v>47</v>
      </c>
      <c r="C1220" s="5">
        <v>45978</v>
      </c>
      <c r="D1220" t="s">
        <v>112</v>
      </c>
      <c r="E1220">
        <v>125.13</v>
      </c>
      <c r="G1220">
        <v>44</v>
      </c>
      <c r="H1220" s="5">
        <v>45957</v>
      </c>
      <c r="I1220" t="s">
        <v>168</v>
      </c>
      <c r="J1220">
        <v>368.4</v>
      </c>
      <c r="N1220"/>
      <c r="S1220"/>
      <c r="X1220"/>
    </row>
    <row r="1221" spans="2:24" ht="18.75">
      <c r="B1221">
        <v>47</v>
      </c>
      <c r="C1221" s="5">
        <v>45978</v>
      </c>
      <c r="D1221" t="s">
        <v>113</v>
      </c>
      <c r="E1221">
        <v>291.66000000000003</v>
      </c>
      <c r="G1221">
        <v>44</v>
      </c>
      <c r="H1221" s="5">
        <v>45957</v>
      </c>
      <c r="I1221" t="s">
        <v>172</v>
      </c>
      <c r="J1221">
        <v>57.71</v>
      </c>
      <c r="N1221"/>
      <c r="S1221"/>
      <c r="X1221"/>
    </row>
    <row r="1222" spans="2:24" ht="18.75">
      <c r="B1222">
        <v>47</v>
      </c>
      <c r="C1222" s="5">
        <v>45978</v>
      </c>
      <c r="D1222" t="s">
        <v>114</v>
      </c>
      <c r="E1222">
        <v>267.33999999999997</v>
      </c>
      <c r="G1222">
        <v>44</v>
      </c>
      <c r="H1222" s="5">
        <v>45957</v>
      </c>
      <c r="I1222" t="s">
        <v>173</v>
      </c>
      <c r="J1222">
        <v>724.4</v>
      </c>
      <c r="N1222"/>
      <c r="S1222"/>
      <c r="X1222"/>
    </row>
    <row r="1223" spans="2:24" ht="18.75">
      <c r="B1223">
        <v>47</v>
      </c>
      <c r="C1223" s="5">
        <v>45978</v>
      </c>
      <c r="D1223" t="s">
        <v>116</v>
      </c>
      <c r="E1223">
        <v>88.93</v>
      </c>
      <c r="G1223">
        <v>44</v>
      </c>
      <c r="H1223" s="5">
        <v>45957</v>
      </c>
      <c r="I1223" t="s">
        <v>165</v>
      </c>
      <c r="J1223">
        <v>492.7</v>
      </c>
      <c r="N1223"/>
      <c r="S1223"/>
      <c r="X1223"/>
    </row>
    <row r="1224" spans="2:24" ht="18.75">
      <c r="B1224">
        <v>47</v>
      </c>
      <c r="C1224" s="5">
        <v>45978</v>
      </c>
      <c r="D1224" t="s">
        <v>117</v>
      </c>
      <c r="E1224">
        <v>288.08999999999997</v>
      </c>
      <c r="G1224">
        <v>44</v>
      </c>
      <c r="H1224" s="5">
        <v>45957</v>
      </c>
      <c r="I1224" t="s">
        <v>171</v>
      </c>
      <c r="J1224">
        <v>925.25</v>
      </c>
      <c r="N1224"/>
      <c r="S1224"/>
      <c r="X1224"/>
    </row>
    <row r="1225" spans="2:24" ht="18.75">
      <c r="B1225">
        <v>47</v>
      </c>
      <c r="C1225" s="5">
        <v>45978</v>
      </c>
      <c r="D1225" t="s">
        <v>118</v>
      </c>
      <c r="E1225">
        <v>186.9</v>
      </c>
      <c r="G1225">
        <v>44</v>
      </c>
      <c r="H1225" s="5">
        <v>45957</v>
      </c>
      <c r="I1225" t="s">
        <v>174</v>
      </c>
      <c r="J1225">
        <v>641.22</v>
      </c>
      <c r="N1225"/>
      <c r="S1225"/>
      <c r="X1225"/>
    </row>
    <row r="1226" spans="2:24" ht="18.75">
      <c r="B1226">
        <v>47</v>
      </c>
      <c r="C1226" s="5">
        <v>45978</v>
      </c>
      <c r="D1226" t="s">
        <v>119</v>
      </c>
      <c r="E1226">
        <v>469.62</v>
      </c>
      <c r="G1226">
        <v>44</v>
      </c>
      <c r="H1226" s="5">
        <v>45957</v>
      </c>
      <c r="I1226" t="s">
        <v>164</v>
      </c>
      <c r="J1226">
        <v>24</v>
      </c>
      <c r="N1226"/>
      <c r="S1226"/>
      <c r="X1226"/>
    </row>
    <row r="1227" spans="2:24" ht="18.75">
      <c r="B1227">
        <v>47</v>
      </c>
      <c r="C1227" s="5">
        <v>45978</v>
      </c>
      <c r="D1227" t="s">
        <v>120</v>
      </c>
      <c r="E1227">
        <v>150.81</v>
      </c>
      <c r="G1227">
        <v>44</v>
      </c>
      <c r="H1227" s="5">
        <v>45957</v>
      </c>
      <c r="I1227" t="s">
        <v>176</v>
      </c>
      <c r="J1227">
        <v>113.92</v>
      </c>
      <c r="N1227"/>
      <c r="S1227"/>
      <c r="X1227"/>
    </row>
    <row r="1228" spans="2:24" ht="18.75">
      <c r="B1228">
        <v>47</v>
      </c>
      <c r="C1228" s="5">
        <v>45978</v>
      </c>
      <c r="D1228" t="s">
        <v>121</v>
      </c>
      <c r="E1228">
        <v>158.30000000000001</v>
      </c>
      <c r="G1228">
        <v>44</v>
      </c>
      <c r="H1228" s="5">
        <v>45957</v>
      </c>
      <c r="I1228" t="s">
        <v>158</v>
      </c>
      <c r="J1228">
        <v>347.44</v>
      </c>
      <c r="N1228"/>
      <c r="S1228"/>
      <c r="X1228"/>
    </row>
    <row r="1229" spans="2:24" ht="18.75">
      <c r="B1229">
        <v>47</v>
      </c>
      <c r="C1229" s="5">
        <v>45978</v>
      </c>
      <c r="D1229" t="s">
        <v>122</v>
      </c>
      <c r="E1229">
        <v>300.06</v>
      </c>
      <c r="G1229">
        <v>44</v>
      </c>
      <c r="H1229" s="5">
        <v>45957</v>
      </c>
      <c r="I1229" t="s">
        <v>204</v>
      </c>
      <c r="J1229">
        <v>17.600000000000001</v>
      </c>
      <c r="N1229"/>
      <c r="S1229"/>
      <c r="X1229"/>
    </row>
    <row r="1230" spans="2:24" ht="18.75">
      <c r="B1230">
        <v>47</v>
      </c>
      <c r="C1230" s="5">
        <v>45978</v>
      </c>
      <c r="D1230" t="s">
        <v>123</v>
      </c>
      <c r="E1230">
        <v>520.33000000000004</v>
      </c>
      <c r="G1230">
        <v>45</v>
      </c>
      <c r="H1230" s="5">
        <v>45964</v>
      </c>
      <c r="I1230" t="s">
        <v>160</v>
      </c>
      <c r="J1230">
        <v>3781.87</v>
      </c>
      <c r="N1230"/>
      <c r="S1230"/>
      <c r="X1230"/>
    </row>
    <row r="1231" spans="2:24" ht="18.75">
      <c r="B1231">
        <v>47</v>
      </c>
      <c r="C1231" s="5">
        <v>45978</v>
      </c>
      <c r="D1231" t="s">
        <v>124</v>
      </c>
      <c r="E1231">
        <v>672.83</v>
      </c>
      <c r="G1231">
        <v>45</v>
      </c>
      <c r="H1231" s="5">
        <v>45964</v>
      </c>
      <c r="I1231" t="s">
        <v>165</v>
      </c>
      <c r="J1231">
        <v>210.9</v>
      </c>
      <c r="N1231"/>
      <c r="S1231"/>
      <c r="X1231"/>
    </row>
    <row r="1232" spans="2:24" ht="18.75">
      <c r="B1232">
        <v>47</v>
      </c>
      <c r="C1232" s="5">
        <v>45978</v>
      </c>
      <c r="D1232" t="s">
        <v>125</v>
      </c>
      <c r="E1232">
        <v>58.65</v>
      </c>
      <c r="G1232">
        <v>45</v>
      </c>
      <c r="H1232" s="5">
        <v>45964</v>
      </c>
      <c r="I1232" t="s">
        <v>169</v>
      </c>
      <c r="J1232">
        <v>1724.95</v>
      </c>
      <c r="N1232"/>
      <c r="S1232"/>
      <c r="X1232"/>
    </row>
    <row r="1233" spans="2:24" ht="18.75">
      <c r="B1233">
        <v>47</v>
      </c>
      <c r="C1233" s="5">
        <v>45978</v>
      </c>
      <c r="D1233" t="s">
        <v>126</v>
      </c>
      <c r="E1233">
        <v>108.35</v>
      </c>
      <c r="G1233">
        <v>45</v>
      </c>
      <c r="H1233" s="5">
        <v>45964</v>
      </c>
      <c r="I1233" t="s">
        <v>170</v>
      </c>
      <c r="J1233">
        <v>104</v>
      </c>
      <c r="N1233"/>
      <c r="S1233"/>
      <c r="X1233"/>
    </row>
    <row r="1234" spans="2:24" ht="18.75">
      <c r="B1234">
        <v>47</v>
      </c>
      <c r="C1234" s="5">
        <v>45978</v>
      </c>
      <c r="D1234" t="s">
        <v>128</v>
      </c>
      <c r="E1234">
        <v>179.22</v>
      </c>
      <c r="G1234">
        <v>45</v>
      </c>
      <c r="H1234" s="5">
        <v>45964</v>
      </c>
      <c r="I1234" t="s">
        <v>176</v>
      </c>
      <c r="J1234">
        <v>227.88</v>
      </c>
      <c r="N1234"/>
      <c r="S1234"/>
      <c r="X1234"/>
    </row>
    <row r="1235" spans="2:24" ht="18.75">
      <c r="B1235">
        <v>47</v>
      </c>
      <c r="C1235" s="5">
        <v>45978</v>
      </c>
      <c r="D1235" t="s">
        <v>129</v>
      </c>
      <c r="E1235">
        <v>517.04</v>
      </c>
      <c r="G1235">
        <v>45</v>
      </c>
      <c r="H1235" s="5">
        <v>45964</v>
      </c>
      <c r="I1235" t="s">
        <v>164</v>
      </c>
      <c r="J1235">
        <v>9.6</v>
      </c>
      <c r="N1235"/>
      <c r="S1235"/>
      <c r="X1235"/>
    </row>
    <row r="1236" spans="2:24" ht="18.75">
      <c r="B1236">
        <v>47</v>
      </c>
      <c r="C1236" s="5">
        <v>45978</v>
      </c>
      <c r="D1236" t="s">
        <v>132</v>
      </c>
      <c r="E1236">
        <v>170.4</v>
      </c>
      <c r="G1236">
        <v>45</v>
      </c>
      <c r="H1236" s="5">
        <v>45964</v>
      </c>
      <c r="I1236" t="s">
        <v>163</v>
      </c>
      <c r="J1236">
        <v>369.92</v>
      </c>
      <c r="N1236"/>
      <c r="S1236"/>
      <c r="X1236"/>
    </row>
    <row r="1237" spans="2:24" ht="18.75">
      <c r="B1237">
        <v>47</v>
      </c>
      <c r="C1237" s="5">
        <v>45978</v>
      </c>
      <c r="D1237" t="s">
        <v>133</v>
      </c>
      <c r="E1237">
        <v>263.83</v>
      </c>
      <c r="G1237">
        <v>45</v>
      </c>
      <c r="H1237" s="5">
        <v>45964</v>
      </c>
      <c r="I1237" t="s">
        <v>168</v>
      </c>
      <c r="J1237">
        <v>405.46</v>
      </c>
      <c r="N1237"/>
      <c r="S1237"/>
      <c r="X1237"/>
    </row>
    <row r="1238" spans="2:24" ht="18.75">
      <c r="B1238">
        <v>47</v>
      </c>
      <c r="C1238" s="5">
        <v>45978</v>
      </c>
      <c r="D1238" t="s">
        <v>134</v>
      </c>
      <c r="E1238">
        <v>294.99</v>
      </c>
      <c r="G1238">
        <v>45</v>
      </c>
      <c r="H1238" s="5">
        <v>45964</v>
      </c>
      <c r="I1238" t="s">
        <v>172</v>
      </c>
      <c r="J1238">
        <v>95.52</v>
      </c>
      <c r="N1238"/>
      <c r="S1238"/>
      <c r="X1238"/>
    </row>
    <row r="1239" spans="2:24" ht="18.75">
      <c r="B1239">
        <v>47</v>
      </c>
      <c r="C1239" s="5">
        <v>45978</v>
      </c>
      <c r="D1239" t="s">
        <v>135</v>
      </c>
      <c r="E1239">
        <v>80.760000000000005</v>
      </c>
      <c r="G1239">
        <v>45</v>
      </c>
      <c r="H1239" s="5">
        <v>45964</v>
      </c>
      <c r="I1239" t="s">
        <v>173</v>
      </c>
      <c r="J1239">
        <v>557.75</v>
      </c>
      <c r="N1239"/>
      <c r="S1239"/>
      <c r="X1239"/>
    </row>
    <row r="1240" spans="2:24" ht="18.75">
      <c r="B1240">
        <v>47</v>
      </c>
      <c r="C1240" s="5">
        <v>45978</v>
      </c>
      <c r="D1240" t="s">
        <v>136</v>
      </c>
      <c r="E1240">
        <v>120.14</v>
      </c>
      <c r="G1240">
        <v>45</v>
      </c>
      <c r="H1240" s="5">
        <v>45964</v>
      </c>
      <c r="I1240" t="s">
        <v>198</v>
      </c>
      <c r="J1240">
        <v>1063.7</v>
      </c>
      <c r="N1240"/>
      <c r="S1240"/>
      <c r="X1240"/>
    </row>
    <row r="1241" spans="2:24" ht="18.75">
      <c r="B1241">
        <v>47</v>
      </c>
      <c r="C1241" s="5">
        <v>45978</v>
      </c>
      <c r="D1241" t="s">
        <v>137</v>
      </c>
      <c r="E1241">
        <v>97.16</v>
      </c>
      <c r="G1241">
        <v>45</v>
      </c>
      <c r="H1241" s="5">
        <v>45964</v>
      </c>
      <c r="I1241" t="s">
        <v>158</v>
      </c>
      <c r="J1241">
        <v>363.6</v>
      </c>
      <c r="N1241"/>
      <c r="S1241"/>
      <c r="X1241"/>
    </row>
    <row r="1242" spans="2:24" ht="18.75">
      <c r="B1242">
        <v>47</v>
      </c>
      <c r="C1242" s="5">
        <v>45978</v>
      </c>
      <c r="D1242" t="s">
        <v>138</v>
      </c>
      <c r="E1242">
        <v>431.91</v>
      </c>
      <c r="G1242">
        <v>45</v>
      </c>
      <c r="H1242" s="5">
        <v>45964</v>
      </c>
      <c r="I1242" t="s">
        <v>171</v>
      </c>
      <c r="J1242">
        <v>719</v>
      </c>
      <c r="N1242"/>
      <c r="S1242"/>
      <c r="X1242"/>
    </row>
    <row r="1243" spans="2:24" ht="18.75">
      <c r="B1243">
        <v>47</v>
      </c>
      <c r="C1243" s="5">
        <v>45978</v>
      </c>
      <c r="D1243" t="s">
        <v>140</v>
      </c>
      <c r="E1243">
        <v>65.430000000000007</v>
      </c>
      <c r="G1243">
        <v>45</v>
      </c>
      <c r="H1243" s="5">
        <v>45964</v>
      </c>
      <c r="I1243" t="s">
        <v>174</v>
      </c>
      <c r="J1243">
        <v>357.13</v>
      </c>
      <c r="N1243"/>
      <c r="S1243"/>
      <c r="X1243"/>
    </row>
    <row r="1244" spans="2:24" ht="18.75">
      <c r="B1244">
        <v>47</v>
      </c>
      <c r="C1244" s="5">
        <v>45978</v>
      </c>
      <c r="D1244" t="s">
        <v>141</v>
      </c>
      <c r="E1244">
        <v>602.11</v>
      </c>
      <c r="G1244">
        <v>46</v>
      </c>
      <c r="H1244" s="5">
        <v>45971</v>
      </c>
      <c r="I1244" t="s">
        <v>160</v>
      </c>
      <c r="J1244">
        <v>3543.86</v>
      </c>
      <c r="N1244"/>
      <c r="S1244"/>
      <c r="X1244"/>
    </row>
    <row r="1245" spans="2:24" ht="18.75">
      <c r="B1245">
        <v>47</v>
      </c>
      <c r="C1245" s="5">
        <v>45978</v>
      </c>
      <c r="D1245" t="s">
        <v>142</v>
      </c>
      <c r="E1245">
        <v>200.29</v>
      </c>
      <c r="G1245">
        <v>46</v>
      </c>
      <c r="H1245" s="5">
        <v>45971</v>
      </c>
      <c r="I1245" t="s">
        <v>158</v>
      </c>
      <c r="J1245">
        <v>319.16000000000003</v>
      </c>
      <c r="N1245"/>
      <c r="S1245"/>
      <c r="X1245"/>
    </row>
    <row r="1246" spans="2:24" ht="18.75">
      <c r="B1246">
        <v>47</v>
      </c>
      <c r="C1246" s="5">
        <v>45978</v>
      </c>
      <c r="D1246" t="s">
        <v>139</v>
      </c>
      <c r="E1246">
        <v>293.94</v>
      </c>
      <c r="G1246">
        <v>46</v>
      </c>
      <c r="H1246" s="5">
        <v>45971</v>
      </c>
      <c r="I1246" t="s">
        <v>198</v>
      </c>
      <c r="J1246">
        <v>284.16000000000003</v>
      </c>
      <c r="N1246"/>
      <c r="S1246"/>
      <c r="X1246"/>
    </row>
    <row r="1247" spans="2:24" ht="18.75">
      <c r="B1247">
        <v>47</v>
      </c>
      <c r="C1247" s="5">
        <v>45978</v>
      </c>
      <c r="D1247" t="s">
        <v>143</v>
      </c>
      <c r="E1247">
        <v>1727.71</v>
      </c>
      <c r="G1247">
        <v>46</v>
      </c>
      <c r="H1247" s="5">
        <v>45971</v>
      </c>
      <c r="I1247" t="s">
        <v>174</v>
      </c>
      <c r="J1247">
        <v>697.36</v>
      </c>
      <c r="N1247"/>
      <c r="S1247"/>
      <c r="X1247"/>
    </row>
    <row r="1248" spans="2:24" ht="18.75">
      <c r="B1248">
        <v>47</v>
      </c>
      <c r="C1248" s="5">
        <v>45978</v>
      </c>
      <c r="D1248" t="s">
        <v>145</v>
      </c>
      <c r="E1248">
        <v>275.02999999999997</v>
      </c>
      <c r="G1248">
        <v>46</v>
      </c>
      <c r="H1248" s="5">
        <v>45971</v>
      </c>
      <c r="I1248" t="s">
        <v>171</v>
      </c>
      <c r="J1248">
        <v>335.44</v>
      </c>
      <c r="N1248"/>
      <c r="S1248"/>
      <c r="X1248"/>
    </row>
    <row r="1249" spans="2:24" ht="18.75">
      <c r="B1249">
        <v>47</v>
      </c>
      <c r="C1249" s="5">
        <v>45978</v>
      </c>
      <c r="D1249" t="s">
        <v>146</v>
      </c>
      <c r="E1249">
        <v>602.39</v>
      </c>
      <c r="G1249">
        <v>46</v>
      </c>
      <c r="H1249" s="5">
        <v>45971</v>
      </c>
      <c r="I1249" t="s">
        <v>169</v>
      </c>
      <c r="J1249">
        <v>1485</v>
      </c>
      <c r="N1249"/>
      <c r="S1249"/>
      <c r="X1249"/>
    </row>
    <row r="1250" spans="2:24" ht="18.75">
      <c r="B1250">
        <v>47</v>
      </c>
      <c r="C1250" s="5">
        <v>45978</v>
      </c>
      <c r="D1250" t="s">
        <v>219</v>
      </c>
      <c r="E1250">
        <v>351.2</v>
      </c>
      <c r="G1250">
        <v>46</v>
      </c>
      <c r="H1250" s="5">
        <v>45971</v>
      </c>
      <c r="I1250" t="s">
        <v>170</v>
      </c>
      <c r="J1250">
        <v>38</v>
      </c>
      <c r="N1250"/>
      <c r="S1250"/>
      <c r="X1250"/>
    </row>
    <row r="1251" spans="2:24" ht="18.75">
      <c r="B1251">
        <v>47</v>
      </c>
      <c r="C1251" s="5">
        <v>45978</v>
      </c>
      <c r="D1251" t="s">
        <v>149</v>
      </c>
      <c r="E1251">
        <v>144.5</v>
      </c>
      <c r="G1251">
        <v>46</v>
      </c>
      <c r="H1251" s="5">
        <v>45971</v>
      </c>
      <c r="I1251" t="s">
        <v>176</v>
      </c>
      <c r="J1251">
        <v>148.36000000000001</v>
      </c>
      <c r="N1251"/>
      <c r="S1251"/>
      <c r="X1251"/>
    </row>
    <row r="1252" spans="2:24" ht="18.75">
      <c r="B1252">
        <v>47</v>
      </c>
      <c r="C1252" s="5">
        <v>45978</v>
      </c>
      <c r="D1252" t="s">
        <v>150</v>
      </c>
      <c r="E1252">
        <v>55.36</v>
      </c>
      <c r="G1252">
        <v>46</v>
      </c>
      <c r="H1252" s="5">
        <v>45971</v>
      </c>
      <c r="I1252" t="s">
        <v>164</v>
      </c>
      <c r="J1252">
        <v>26.4</v>
      </c>
      <c r="N1252"/>
      <c r="S1252"/>
      <c r="X1252"/>
    </row>
    <row r="1253" spans="2:24" ht="18.75">
      <c r="B1253">
        <v>47</v>
      </c>
      <c r="C1253" s="5">
        <v>45978</v>
      </c>
      <c r="D1253" t="s">
        <v>127</v>
      </c>
      <c r="E1253">
        <v>298.23</v>
      </c>
      <c r="G1253">
        <v>46</v>
      </c>
      <c r="H1253" s="5">
        <v>45971</v>
      </c>
      <c r="I1253" t="s">
        <v>163</v>
      </c>
      <c r="J1253">
        <v>349.59</v>
      </c>
      <c r="N1253"/>
      <c r="S1253"/>
      <c r="X1253"/>
    </row>
    <row r="1254" spans="2:24" ht="18.75">
      <c r="B1254">
        <v>48</v>
      </c>
      <c r="C1254" s="5">
        <v>45985</v>
      </c>
      <c r="D1254" t="s">
        <v>111</v>
      </c>
      <c r="E1254">
        <v>210.86</v>
      </c>
      <c r="G1254">
        <v>46</v>
      </c>
      <c r="H1254" s="5">
        <v>45971</v>
      </c>
      <c r="I1254" t="s">
        <v>168</v>
      </c>
      <c r="J1254">
        <v>344.28</v>
      </c>
      <c r="N1254"/>
      <c r="S1254"/>
      <c r="X1254"/>
    </row>
    <row r="1255" spans="2:24" ht="18.75">
      <c r="B1255">
        <v>48</v>
      </c>
      <c r="C1255" s="5">
        <v>45985</v>
      </c>
      <c r="D1255" t="s">
        <v>114</v>
      </c>
      <c r="E1255">
        <v>268.06</v>
      </c>
      <c r="G1255">
        <v>46</v>
      </c>
      <c r="H1255" s="5">
        <v>45971</v>
      </c>
      <c r="I1255" t="s">
        <v>172</v>
      </c>
      <c r="J1255">
        <v>67.66</v>
      </c>
      <c r="N1255"/>
      <c r="S1255"/>
      <c r="X1255"/>
    </row>
    <row r="1256" spans="2:24" ht="18.75">
      <c r="B1256">
        <v>48</v>
      </c>
      <c r="C1256" s="5">
        <v>45985</v>
      </c>
      <c r="D1256" t="s">
        <v>117</v>
      </c>
      <c r="E1256">
        <v>291.02999999999997</v>
      </c>
      <c r="G1256">
        <v>46</v>
      </c>
      <c r="H1256" s="5">
        <v>45971</v>
      </c>
      <c r="I1256" t="s">
        <v>173</v>
      </c>
      <c r="J1256">
        <v>502.85</v>
      </c>
      <c r="N1256"/>
      <c r="S1256"/>
      <c r="X1256"/>
    </row>
    <row r="1257" spans="2:24" ht="18.75">
      <c r="B1257">
        <v>48</v>
      </c>
      <c r="C1257" s="5">
        <v>45985</v>
      </c>
      <c r="D1257" t="s">
        <v>119</v>
      </c>
      <c r="E1257">
        <v>355.04</v>
      </c>
      <c r="G1257">
        <v>46</v>
      </c>
      <c r="H1257" s="5">
        <v>45971</v>
      </c>
      <c r="I1257" t="s">
        <v>175</v>
      </c>
      <c r="J1257">
        <v>238.84</v>
      </c>
      <c r="N1257"/>
      <c r="S1257"/>
      <c r="X1257"/>
    </row>
    <row r="1258" spans="2:24" ht="18.75">
      <c r="B1258">
        <v>48</v>
      </c>
      <c r="C1258" s="5">
        <v>45985</v>
      </c>
      <c r="D1258" t="s">
        <v>121</v>
      </c>
      <c r="E1258">
        <v>149.93</v>
      </c>
      <c r="G1258">
        <v>46</v>
      </c>
      <c r="H1258" s="5">
        <v>45971</v>
      </c>
      <c r="I1258" t="s">
        <v>165</v>
      </c>
      <c r="J1258">
        <v>384.05</v>
      </c>
      <c r="N1258"/>
      <c r="S1258"/>
      <c r="X1258"/>
    </row>
    <row r="1259" spans="2:24" ht="18.75">
      <c r="B1259">
        <v>48</v>
      </c>
      <c r="C1259" s="5">
        <v>45985</v>
      </c>
      <c r="D1259" t="s">
        <v>122</v>
      </c>
      <c r="E1259">
        <v>192.53</v>
      </c>
      <c r="G1259">
        <v>47</v>
      </c>
      <c r="H1259" s="5">
        <v>45978</v>
      </c>
      <c r="I1259" t="s">
        <v>160</v>
      </c>
      <c r="J1259">
        <v>4080.48</v>
      </c>
      <c r="N1259"/>
      <c r="S1259"/>
      <c r="X1259"/>
    </row>
    <row r="1260" spans="2:24" ht="18.75">
      <c r="B1260">
        <v>48</v>
      </c>
      <c r="C1260" s="5">
        <v>45985</v>
      </c>
      <c r="D1260" t="s">
        <v>123</v>
      </c>
      <c r="E1260">
        <v>558.13</v>
      </c>
      <c r="G1260">
        <v>47</v>
      </c>
      <c r="H1260" s="5">
        <v>45978</v>
      </c>
      <c r="I1260" t="s">
        <v>198</v>
      </c>
      <c r="J1260">
        <v>1040.6199999999999</v>
      </c>
      <c r="N1260"/>
      <c r="S1260"/>
      <c r="X1260"/>
    </row>
    <row r="1261" spans="2:24" ht="18.75">
      <c r="B1261">
        <v>48</v>
      </c>
      <c r="C1261" s="5">
        <v>45985</v>
      </c>
      <c r="D1261" t="s">
        <v>124</v>
      </c>
      <c r="E1261">
        <v>471.45</v>
      </c>
      <c r="G1261">
        <v>47</v>
      </c>
      <c r="H1261" s="5">
        <v>45978</v>
      </c>
      <c r="I1261" t="s">
        <v>158</v>
      </c>
      <c r="J1261">
        <v>355.52</v>
      </c>
      <c r="N1261"/>
      <c r="S1261"/>
      <c r="X1261"/>
    </row>
    <row r="1262" spans="2:24" ht="18.75">
      <c r="B1262">
        <v>48</v>
      </c>
      <c r="C1262" s="5">
        <v>45985</v>
      </c>
      <c r="D1262" t="s">
        <v>126</v>
      </c>
      <c r="E1262">
        <v>99.57</v>
      </c>
      <c r="G1262">
        <v>47</v>
      </c>
      <c r="H1262" s="5">
        <v>45978</v>
      </c>
      <c r="I1262" t="s">
        <v>165</v>
      </c>
      <c r="J1262">
        <v>90.25</v>
      </c>
      <c r="N1262"/>
      <c r="S1262"/>
      <c r="X1262"/>
    </row>
    <row r="1263" spans="2:24" ht="18.75">
      <c r="B1263">
        <v>48</v>
      </c>
      <c r="C1263" s="5">
        <v>45985</v>
      </c>
      <c r="D1263" t="s">
        <v>128</v>
      </c>
      <c r="E1263">
        <v>124.01</v>
      </c>
      <c r="G1263">
        <v>47</v>
      </c>
      <c r="H1263" s="5">
        <v>45978</v>
      </c>
      <c r="I1263" t="s">
        <v>174</v>
      </c>
      <c r="J1263">
        <v>699.42</v>
      </c>
      <c r="N1263"/>
      <c r="S1263"/>
      <c r="X1263"/>
    </row>
    <row r="1264" spans="2:24" ht="18.75">
      <c r="B1264">
        <v>48</v>
      </c>
      <c r="C1264" s="5">
        <v>45985</v>
      </c>
      <c r="D1264" t="s">
        <v>129</v>
      </c>
      <c r="E1264">
        <v>511.01</v>
      </c>
      <c r="G1264">
        <v>47</v>
      </c>
      <c r="H1264" s="5">
        <v>45978</v>
      </c>
      <c r="I1264" t="s">
        <v>171</v>
      </c>
      <c r="J1264">
        <v>361.92</v>
      </c>
      <c r="N1264"/>
      <c r="S1264"/>
      <c r="X1264"/>
    </row>
    <row r="1265" spans="2:24" ht="18.75">
      <c r="B1265">
        <v>48</v>
      </c>
      <c r="C1265" s="5">
        <v>45985</v>
      </c>
      <c r="D1265" t="s">
        <v>133</v>
      </c>
      <c r="E1265">
        <v>291.68</v>
      </c>
      <c r="G1265">
        <v>47</v>
      </c>
      <c r="H1265" s="5">
        <v>45978</v>
      </c>
      <c r="I1265" t="s">
        <v>169</v>
      </c>
      <c r="J1265">
        <v>1915.2</v>
      </c>
      <c r="N1265"/>
      <c r="S1265"/>
      <c r="X1265"/>
    </row>
    <row r="1266" spans="2:24" ht="18.75">
      <c r="B1266">
        <v>48</v>
      </c>
      <c r="C1266" s="5">
        <v>45985</v>
      </c>
      <c r="D1266" t="s">
        <v>134</v>
      </c>
      <c r="E1266">
        <v>298.89999999999998</v>
      </c>
      <c r="G1266">
        <v>47</v>
      </c>
      <c r="H1266" s="5">
        <v>45978</v>
      </c>
      <c r="I1266" t="s">
        <v>170</v>
      </c>
      <c r="J1266">
        <v>50</v>
      </c>
      <c r="N1266"/>
      <c r="S1266"/>
      <c r="X1266"/>
    </row>
    <row r="1267" spans="2:24" ht="18.75">
      <c r="B1267">
        <v>48</v>
      </c>
      <c r="C1267" s="5">
        <v>45985</v>
      </c>
      <c r="D1267" t="s">
        <v>138</v>
      </c>
      <c r="E1267">
        <v>462.4</v>
      </c>
      <c r="G1267">
        <v>47</v>
      </c>
      <c r="H1267" s="5">
        <v>45978</v>
      </c>
      <c r="I1267" t="s">
        <v>176</v>
      </c>
      <c r="J1267">
        <v>158.56</v>
      </c>
      <c r="N1267"/>
      <c r="S1267"/>
      <c r="X1267"/>
    </row>
    <row r="1268" spans="2:24" ht="18.75">
      <c r="B1268">
        <v>48</v>
      </c>
      <c r="C1268" s="5">
        <v>45985</v>
      </c>
      <c r="D1268" t="s">
        <v>141</v>
      </c>
      <c r="E1268">
        <v>588.9</v>
      </c>
      <c r="G1268">
        <v>47</v>
      </c>
      <c r="H1268" s="5">
        <v>45978</v>
      </c>
      <c r="I1268" t="s">
        <v>164</v>
      </c>
      <c r="J1268">
        <v>16.8</v>
      </c>
      <c r="N1268"/>
      <c r="S1268"/>
      <c r="X1268"/>
    </row>
    <row r="1269" spans="2:24" ht="18.75">
      <c r="B1269">
        <v>48</v>
      </c>
      <c r="C1269" s="5">
        <v>45985</v>
      </c>
      <c r="D1269" t="s">
        <v>142</v>
      </c>
      <c r="E1269">
        <v>158.19</v>
      </c>
      <c r="G1269">
        <v>47</v>
      </c>
      <c r="H1269" s="5">
        <v>45978</v>
      </c>
      <c r="I1269" t="s">
        <v>163</v>
      </c>
      <c r="J1269">
        <v>385.71</v>
      </c>
      <c r="N1269"/>
      <c r="S1269"/>
      <c r="X1269"/>
    </row>
    <row r="1270" spans="2:24" ht="18.75">
      <c r="B1270">
        <v>48</v>
      </c>
      <c r="C1270" s="5">
        <v>45985</v>
      </c>
      <c r="D1270" t="s">
        <v>143</v>
      </c>
      <c r="E1270">
        <v>1799.12</v>
      </c>
      <c r="G1270">
        <v>47</v>
      </c>
      <c r="H1270" s="5">
        <v>45978</v>
      </c>
      <c r="I1270" t="s">
        <v>168</v>
      </c>
      <c r="J1270">
        <v>392.02</v>
      </c>
      <c r="N1270"/>
      <c r="S1270"/>
      <c r="X1270"/>
    </row>
    <row r="1271" spans="2:24" ht="18.75">
      <c r="B1271">
        <v>48</v>
      </c>
      <c r="C1271" s="5">
        <v>45985</v>
      </c>
      <c r="D1271" t="s">
        <v>145</v>
      </c>
      <c r="E1271">
        <v>463.36</v>
      </c>
      <c r="G1271">
        <v>47</v>
      </c>
      <c r="H1271" s="5">
        <v>45978</v>
      </c>
      <c r="I1271" t="s">
        <v>172</v>
      </c>
      <c r="J1271">
        <v>67.66</v>
      </c>
      <c r="N1271"/>
      <c r="S1271"/>
      <c r="X1271"/>
    </row>
    <row r="1272" spans="2:24" ht="18.75">
      <c r="B1272">
        <v>48</v>
      </c>
      <c r="C1272" s="5">
        <v>45985</v>
      </c>
      <c r="D1272" t="s">
        <v>146</v>
      </c>
      <c r="E1272">
        <v>588.47</v>
      </c>
      <c r="G1272">
        <v>47</v>
      </c>
      <c r="H1272" s="5">
        <v>45978</v>
      </c>
      <c r="I1272" t="s">
        <v>173</v>
      </c>
      <c r="J1272">
        <v>742.15</v>
      </c>
      <c r="N1272"/>
      <c r="S1272"/>
      <c r="X1272"/>
    </row>
    <row r="1273" spans="2:24" ht="18.75">
      <c r="B1273">
        <v>48</v>
      </c>
      <c r="C1273" s="5">
        <v>45985</v>
      </c>
      <c r="D1273" t="s">
        <v>219</v>
      </c>
      <c r="E1273">
        <v>194.99</v>
      </c>
      <c r="G1273">
        <v>47</v>
      </c>
      <c r="H1273" s="5">
        <v>45978</v>
      </c>
      <c r="I1273" t="s">
        <v>175</v>
      </c>
      <c r="J1273">
        <v>311.75</v>
      </c>
      <c r="N1273"/>
      <c r="S1273"/>
      <c r="X1273"/>
    </row>
    <row r="1274" spans="2:24" ht="18.75">
      <c r="B1274">
        <v>48</v>
      </c>
      <c r="C1274" s="5">
        <v>45985</v>
      </c>
      <c r="D1274" t="s">
        <v>112</v>
      </c>
      <c r="E1274">
        <v>45.53</v>
      </c>
      <c r="G1274">
        <v>47</v>
      </c>
      <c r="H1274" s="5">
        <v>45978</v>
      </c>
      <c r="I1274" t="s">
        <v>204</v>
      </c>
      <c r="J1274">
        <v>24.95</v>
      </c>
      <c r="N1274"/>
      <c r="S1274"/>
      <c r="X1274"/>
    </row>
    <row r="1275" spans="2:24" ht="18.75">
      <c r="B1275">
        <v>48</v>
      </c>
      <c r="C1275" s="5">
        <v>45985</v>
      </c>
      <c r="D1275" t="s">
        <v>113</v>
      </c>
      <c r="E1275">
        <v>190.11</v>
      </c>
      <c r="G1275">
        <v>48</v>
      </c>
      <c r="H1275" s="5">
        <v>45985</v>
      </c>
      <c r="I1275" t="s">
        <v>160</v>
      </c>
      <c r="J1275">
        <v>3767.28</v>
      </c>
      <c r="N1275"/>
      <c r="S1275"/>
      <c r="X1275"/>
    </row>
    <row r="1276" spans="2:24" ht="18.75">
      <c r="B1276">
        <v>48</v>
      </c>
      <c r="C1276" s="5">
        <v>45985</v>
      </c>
      <c r="D1276" t="s">
        <v>116</v>
      </c>
      <c r="E1276">
        <v>80.42</v>
      </c>
      <c r="G1276">
        <v>48</v>
      </c>
      <c r="H1276" s="5">
        <v>45985</v>
      </c>
      <c r="I1276" t="s">
        <v>158</v>
      </c>
      <c r="J1276">
        <v>307.04000000000002</v>
      </c>
      <c r="N1276"/>
      <c r="S1276"/>
      <c r="X1276"/>
    </row>
    <row r="1277" spans="2:24" ht="18.75">
      <c r="B1277">
        <v>48</v>
      </c>
      <c r="C1277" s="5">
        <v>45985</v>
      </c>
      <c r="D1277" t="s">
        <v>118</v>
      </c>
      <c r="E1277">
        <v>148.47</v>
      </c>
      <c r="G1277">
        <v>48</v>
      </c>
      <c r="H1277" s="5">
        <v>45985</v>
      </c>
      <c r="I1277" t="s">
        <v>165</v>
      </c>
      <c r="J1277">
        <v>852.3</v>
      </c>
      <c r="N1277"/>
      <c r="S1277"/>
      <c r="X1277"/>
    </row>
    <row r="1278" spans="2:24" ht="18.75">
      <c r="B1278">
        <v>48</v>
      </c>
      <c r="C1278" s="5">
        <v>45985</v>
      </c>
      <c r="D1278" t="s">
        <v>132</v>
      </c>
      <c r="E1278">
        <v>188.73</v>
      </c>
      <c r="G1278">
        <v>48</v>
      </c>
      <c r="H1278" s="5">
        <v>45985</v>
      </c>
      <c r="I1278" t="s">
        <v>171</v>
      </c>
      <c r="J1278">
        <v>694.62</v>
      </c>
      <c r="N1278"/>
      <c r="S1278"/>
      <c r="X1278"/>
    </row>
    <row r="1279" spans="2:24" ht="18.75">
      <c r="B1279">
        <v>48</v>
      </c>
      <c r="C1279" s="5">
        <v>45985</v>
      </c>
      <c r="D1279" t="s">
        <v>136</v>
      </c>
      <c r="E1279">
        <v>79.23</v>
      </c>
      <c r="G1279">
        <v>48</v>
      </c>
      <c r="H1279" s="5">
        <v>45985</v>
      </c>
      <c r="I1279" t="s">
        <v>174</v>
      </c>
      <c r="J1279">
        <v>309.32</v>
      </c>
      <c r="N1279"/>
      <c r="S1279"/>
      <c r="X1279"/>
    </row>
    <row r="1280" spans="2:24" ht="18.75">
      <c r="B1280">
        <v>48</v>
      </c>
      <c r="C1280" s="5">
        <v>45985</v>
      </c>
      <c r="D1280" t="s">
        <v>139</v>
      </c>
      <c r="E1280">
        <v>247.59</v>
      </c>
      <c r="G1280">
        <v>48</v>
      </c>
      <c r="H1280" s="5">
        <v>45985</v>
      </c>
      <c r="I1280" t="s">
        <v>169</v>
      </c>
      <c r="J1280">
        <v>1871.45</v>
      </c>
      <c r="N1280"/>
      <c r="S1280"/>
      <c r="X1280"/>
    </row>
    <row r="1281" spans="2:24" ht="18.75">
      <c r="B1281">
        <v>48</v>
      </c>
      <c r="C1281" s="5">
        <v>45985</v>
      </c>
      <c r="D1281" t="s">
        <v>149</v>
      </c>
      <c r="E1281">
        <v>152.74</v>
      </c>
      <c r="G1281">
        <v>48</v>
      </c>
      <c r="H1281" s="5">
        <v>45985</v>
      </c>
      <c r="I1281" t="s">
        <v>170</v>
      </c>
      <c r="J1281">
        <v>72</v>
      </c>
      <c r="N1281"/>
      <c r="S1281"/>
      <c r="X1281"/>
    </row>
    <row r="1282" spans="2:24" ht="18.75">
      <c r="B1282">
        <v>48</v>
      </c>
      <c r="C1282" s="5">
        <v>45985</v>
      </c>
      <c r="D1282" t="s">
        <v>120</v>
      </c>
      <c r="E1282">
        <v>88.17</v>
      </c>
      <c r="G1282">
        <v>48</v>
      </c>
      <c r="H1282" s="5">
        <v>45985</v>
      </c>
      <c r="I1282" t="s">
        <v>176</v>
      </c>
      <c r="J1282">
        <v>162.4</v>
      </c>
      <c r="N1282"/>
      <c r="S1282"/>
      <c r="X1282"/>
    </row>
    <row r="1283" spans="2:24" ht="18.75">
      <c r="B1283">
        <v>48</v>
      </c>
      <c r="C1283" s="5">
        <v>45985</v>
      </c>
      <c r="D1283" t="s">
        <v>125</v>
      </c>
      <c r="E1283">
        <v>50.17</v>
      </c>
      <c r="G1283">
        <v>48</v>
      </c>
      <c r="H1283" s="5">
        <v>45985</v>
      </c>
      <c r="I1283" t="s">
        <v>164</v>
      </c>
      <c r="J1283">
        <v>18</v>
      </c>
      <c r="N1283"/>
      <c r="S1283"/>
      <c r="X1283"/>
    </row>
    <row r="1284" spans="2:24" ht="18.75">
      <c r="B1284">
        <v>48</v>
      </c>
      <c r="C1284" s="5">
        <v>45985</v>
      </c>
      <c r="D1284" t="s">
        <v>135</v>
      </c>
      <c r="E1284">
        <v>56.64</v>
      </c>
      <c r="G1284">
        <v>48</v>
      </c>
      <c r="H1284" s="5">
        <v>45985</v>
      </c>
      <c r="I1284" t="s">
        <v>163</v>
      </c>
      <c r="J1284">
        <v>334.11</v>
      </c>
      <c r="N1284"/>
      <c r="S1284"/>
      <c r="X1284"/>
    </row>
    <row r="1285" spans="2:24" ht="18.75">
      <c r="B1285">
        <v>48</v>
      </c>
      <c r="C1285" s="5">
        <v>45985</v>
      </c>
      <c r="D1285" t="s">
        <v>137</v>
      </c>
      <c r="E1285">
        <v>91.01</v>
      </c>
      <c r="G1285">
        <v>48</v>
      </c>
      <c r="H1285" s="5">
        <v>45985</v>
      </c>
      <c r="I1285" t="s">
        <v>168</v>
      </c>
      <c r="J1285">
        <v>413.8</v>
      </c>
      <c r="N1285"/>
      <c r="S1285"/>
      <c r="X1285"/>
    </row>
    <row r="1286" spans="2:24" ht="18.75">
      <c r="B1286">
        <v>48</v>
      </c>
      <c r="C1286" s="5">
        <v>45985</v>
      </c>
      <c r="D1286" t="s">
        <v>140</v>
      </c>
      <c r="E1286">
        <v>82.21</v>
      </c>
      <c r="G1286">
        <v>48</v>
      </c>
      <c r="H1286" s="5">
        <v>45985</v>
      </c>
      <c r="I1286" t="s">
        <v>172</v>
      </c>
      <c r="J1286">
        <v>91.54</v>
      </c>
      <c r="N1286"/>
      <c r="S1286"/>
      <c r="X1286"/>
    </row>
    <row r="1287" spans="2:24" ht="18.75">
      <c r="B1287">
        <v>48</v>
      </c>
      <c r="C1287" s="5">
        <v>45985</v>
      </c>
      <c r="D1287" t="s">
        <v>150</v>
      </c>
      <c r="E1287">
        <v>71.95</v>
      </c>
      <c r="G1287">
        <v>48</v>
      </c>
      <c r="H1287" s="5">
        <v>45985</v>
      </c>
      <c r="I1287" t="s">
        <v>173</v>
      </c>
      <c r="J1287">
        <v>510.95</v>
      </c>
      <c r="N1287"/>
      <c r="S1287"/>
      <c r="X1287"/>
    </row>
    <row r="1288" spans="2:24" ht="18.75">
      <c r="B1288">
        <v>48</v>
      </c>
      <c r="C1288" s="5">
        <v>45985</v>
      </c>
      <c r="D1288" t="s">
        <v>127</v>
      </c>
      <c r="E1288">
        <v>195.52</v>
      </c>
      <c r="G1288">
        <v>48</v>
      </c>
      <c r="H1288" s="5">
        <v>45985</v>
      </c>
      <c r="I1288" t="s">
        <v>175</v>
      </c>
      <c r="J1288">
        <v>96.8</v>
      </c>
      <c r="N1288"/>
      <c r="S1288"/>
      <c r="X1288"/>
    </row>
    <row r="1289" spans="2:24" ht="18.75">
      <c r="B1289">
        <v>48</v>
      </c>
      <c r="C1289" s="5">
        <v>45985</v>
      </c>
      <c r="D1289" t="s">
        <v>147</v>
      </c>
      <c r="E1289">
        <v>129.09</v>
      </c>
      <c r="G1289">
        <v>48</v>
      </c>
      <c r="H1289" s="5">
        <v>45985</v>
      </c>
      <c r="I1289" t="s">
        <v>198</v>
      </c>
      <c r="J1289">
        <v>473.6</v>
      </c>
      <c r="N1289"/>
      <c r="S1289"/>
      <c r="X1289"/>
    </row>
    <row r="1290" spans="2:24" ht="18.75">
      <c r="B1290">
        <v>49</v>
      </c>
      <c r="C1290" s="5">
        <v>45992</v>
      </c>
      <c r="D1290" t="s">
        <v>113</v>
      </c>
      <c r="E1290">
        <v>246.21</v>
      </c>
      <c r="G1290">
        <v>49</v>
      </c>
      <c r="H1290" s="5">
        <v>45992</v>
      </c>
      <c r="I1290" t="s">
        <v>160</v>
      </c>
      <c r="J1290">
        <v>4331.3</v>
      </c>
      <c r="N1290"/>
      <c r="S1290"/>
      <c r="X1290"/>
    </row>
    <row r="1291" spans="2:24" ht="18.75">
      <c r="B1291">
        <v>49</v>
      </c>
      <c r="C1291" s="5">
        <v>45992</v>
      </c>
      <c r="D1291" t="s">
        <v>118</v>
      </c>
      <c r="E1291">
        <v>166.43</v>
      </c>
      <c r="G1291">
        <v>49</v>
      </c>
      <c r="H1291" s="5">
        <v>45992</v>
      </c>
      <c r="I1291" t="s">
        <v>165</v>
      </c>
      <c r="J1291">
        <v>186</v>
      </c>
      <c r="N1291"/>
      <c r="S1291"/>
      <c r="X1291"/>
    </row>
    <row r="1292" spans="2:24" ht="18.75">
      <c r="B1292">
        <v>49</v>
      </c>
      <c r="C1292" s="5">
        <v>45992</v>
      </c>
      <c r="D1292" t="s">
        <v>123</v>
      </c>
      <c r="E1292">
        <v>534.82000000000005</v>
      </c>
      <c r="G1292">
        <v>49</v>
      </c>
      <c r="H1292" s="5">
        <v>45992</v>
      </c>
      <c r="I1292" t="s">
        <v>171</v>
      </c>
      <c r="J1292">
        <v>749.14</v>
      </c>
      <c r="N1292"/>
      <c r="S1292"/>
      <c r="X1292"/>
    </row>
    <row r="1293" spans="2:24" ht="18.75">
      <c r="B1293">
        <v>49</v>
      </c>
      <c r="C1293" s="5">
        <v>45992</v>
      </c>
      <c r="D1293" t="s">
        <v>124</v>
      </c>
      <c r="E1293">
        <v>524.14</v>
      </c>
      <c r="G1293">
        <v>49</v>
      </c>
      <c r="H1293" s="5">
        <v>45992</v>
      </c>
      <c r="I1293" t="s">
        <v>198</v>
      </c>
      <c r="J1293">
        <v>1132.5</v>
      </c>
      <c r="N1293"/>
      <c r="S1293"/>
      <c r="X1293"/>
    </row>
    <row r="1294" spans="2:24" ht="18.75">
      <c r="B1294">
        <v>49</v>
      </c>
      <c r="C1294" s="5">
        <v>45992</v>
      </c>
      <c r="D1294" t="s">
        <v>139</v>
      </c>
      <c r="E1294">
        <v>319.35000000000002</v>
      </c>
      <c r="G1294">
        <v>49</v>
      </c>
      <c r="H1294" s="5">
        <v>45992</v>
      </c>
      <c r="I1294" t="s">
        <v>169</v>
      </c>
      <c r="J1294">
        <v>2231.5</v>
      </c>
      <c r="N1294"/>
      <c r="S1294"/>
      <c r="X1294"/>
    </row>
    <row r="1295" spans="2:24" ht="18.75">
      <c r="B1295">
        <v>49</v>
      </c>
      <c r="C1295" s="5">
        <v>45992</v>
      </c>
      <c r="D1295" t="s">
        <v>143</v>
      </c>
      <c r="E1295">
        <v>1222.96</v>
      </c>
      <c r="G1295">
        <v>49</v>
      </c>
      <c r="H1295" s="5">
        <v>45992</v>
      </c>
      <c r="I1295" t="s">
        <v>170</v>
      </c>
      <c r="J1295">
        <v>16</v>
      </c>
      <c r="N1295"/>
      <c r="S1295"/>
      <c r="X1295"/>
    </row>
    <row r="1296" spans="2:24" ht="18.75">
      <c r="B1296">
        <v>49</v>
      </c>
      <c r="C1296" s="5">
        <v>45992</v>
      </c>
      <c r="D1296" t="s">
        <v>147</v>
      </c>
      <c r="E1296">
        <v>381.14</v>
      </c>
      <c r="G1296">
        <v>49</v>
      </c>
      <c r="H1296" s="5">
        <v>45992</v>
      </c>
      <c r="I1296" t="s">
        <v>164</v>
      </c>
      <c r="J1296">
        <v>18</v>
      </c>
      <c r="N1296"/>
      <c r="S1296"/>
      <c r="X1296"/>
    </row>
    <row r="1297" spans="2:24" ht="18.75">
      <c r="B1297">
        <v>49</v>
      </c>
      <c r="C1297" s="5">
        <v>45992</v>
      </c>
      <c r="D1297" t="s">
        <v>127</v>
      </c>
      <c r="E1297">
        <v>200.85</v>
      </c>
      <c r="G1297">
        <v>49</v>
      </c>
      <c r="H1297" s="5">
        <v>45992</v>
      </c>
      <c r="I1297" t="s">
        <v>176</v>
      </c>
      <c r="J1297">
        <v>107.68</v>
      </c>
      <c r="N1297"/>
      <c r="S1297"/>
      <c r="X1297"/>
    </row>
    <row r="1298" spans="2:24" ht="18.75">
      <c r="B1298">
        <v>49</v>
      </c>
      <c r="C1298" s="5">
        <v>45992</v>
      </c>
      <c r="D1298" t="s">
        <v>126</v>
      </c>
      <c r="E1298">
        <v>199.65</v>
      </c>
      <c r="G1298">
        <v>49</v>
      </c>
      <c r="H1298" s="5">
        <v>45992</v>
      </c>
      <c r="I1298" t="s">
        <v>163</v>
      </c>
      <c r="J1298">
        <v>321.20999999999998</v>
      </c>
      <c r="N1298"/>
      <c r="S1298"/>
      <c r="X1298"/>
    </row>
    <row r="1299" spans="2:24" ht="18.75">
      <c r="B1299">
        <v>49</v>
      </c>
      <c r="C1299" s="5">
        <v>45992</v>
      </c>
      <c r="D1299" t="s">
        <v>141</v>
      </c>
      <c r="E1299">
        <v>709</v>
      </c>
      <c r="G1299">
        <v>49</v>
      </c>
      <c r="H1299" s="5">
        <v>45992</v>
      </c>
      <c r="I1299" t="s">
        <v>168</v>
      </c>
      <c r="J1299">
        <v>345.48</v>
      </c>
      <c r="N1299"/>
      <c r="S1299"/>
      <c r="X1299"/>
    </row>
    <row r="1300" spans="2:24" ht="18.75">
      <c r="B1300">
        <v>49</v>
      </c>
      <c r="C1300" s="5">
        <v>45992</v>
      </c>
      <c r="D1300" t="s">
        <v>111</v>
      </c>
      <c r="E1300">
        <v>206.86</v>
      </c>
      <c r="G1300">
        <v>49</v>
      </c>
      <c r="H1300" s="5">
        <v>45992</v>
      </c>
      <c r="I1300" t="s">
        <v>172</v>
      </c>
      <c r="J1300">
        <v>65.67</v>
      </c>
      <c r="N1300"/>
      <c r="S1300"/>
      <c r="X1300"/>
    </row>
    <row r="1301" spans="2:24" ht="18.75">
      <c r="B1301">
        <v>49</v>
      </c>
      <c r="C1301" s="5">
        <v>45992</v>
      </c>
      <c r="D1301" t="s">
        <v>114</v>
      </c>
      <c r="E1301">
        <v>288.68</v>
      </c>
      <c r="G1301">
        <v>49</v>
      </c>
      <c r="H1301" s="5">
        <v>45992</v>
      </c>
      <c r="I1301" t="s">
        <v>173</v>
      </c>
      <c r="J1301">
        <v>820.9</v>
      </c>
      <c r="N1301"/>
      <c r="S1301"/>
      <c r="X1301"/>
    </row>
    <row r="1302" spans="2:24" ht="18.75">
      <c r="B1302">
        <v>49</v>
      </c>
      <c r="C1302" s="5">
        <v>45992</v>
      </c>
      <c r="D1302" t="s">
        <v>117</v>
      </c>
      <c r="E1302">
        <v>281.73</v>
      </c>
      <c r="G1302">
        <v>49</v>
      </c>
      <c r="H1302" s="5">
        <v>45992</v>
      </c>
      <c r="I1302" t="s">
        <v>175</v>
      </c>
      <c r="J1302">
        <v>335.25</v>
      </c>
      <c r="N1302"/>
      <c r="S1302"/>
      <c r="X1302"/>
    </row>
    <row r="1303" spans="2:24" ht="18.75">
      <c r="B1303">
        <v>49</v>
      </c>
      <c r="C1303" s="5">
        <v>45992</v>
      </c>
      <c r="D1303" t="s">
        <v>119</v>
      </c>
      <c r="E1303">
        <v>455.92</v>
      </c>
      <c r="G1303">
        <v>49</v>
      </c>
      <c r="H1303" s="5">
        <v>45992</v>
      </c>
      <c r="I1303" t="s">
        <v>174</v>
      </c>
      <c r="J1303">
        <v>487.91</v>
      </c>
      <c r="N1303"/>
      <c r="S1303"/>
      <c r="X1303"/>
    </row>
    <row r="1304" spans="2:24" ht="18.75">
      <c r="B1304">
        <v>49</v>
      </c>
      <c r="C1304" s="5">
        <v>45992</v>
      </c>
      <c r="D1304" t="s">
        <v>120</v>
      </c>
      <c r="E1304">
        <v>216.06</v>
      </c>
      <c r="G1304">
        <v>49</v>
      </c>
      <c r="H1304" s="5">
        <v>45992</v>
      </c>
      <c r="I1304" t="s">
        <v>158</v>
      </c>
      <c r="J1304">
        <v>383.8</v>
      </c>
      <c r="N1304"/>
      <c r="S1304"/>
      <c r="X1304"/>
    </row>
    <row r="1305" spans="2:24" ht="18.75">
      <c r="B1305">
        <v>49</v>
      </c>
      <c r="C1305" s="5">
        <v>45992</v>
      </c>
      <c r="D1305" t="s">
        <v>129</v>
      </c>
      <c r="E1305">
        <v>527.17999999999995</v>
      </c>
      <c r="G1305">
        <v>50</v>
      </c>
      <c r="H1305" s="5">
        <v>45999</v>
      </c>
      <c r="I1305" t="s">
        <v>160</v>
      </c>
      <c r="J1305">
        <v>4415.1400000000003</v>
      </c>
      <c r="N1305"/>
      <c r="S1305"/>
      <c r="X1305"/>
    </row>
    <row r="1306" spans="2:24" ht="18.75">
      <c r="B1306">
        <v>49</v>
      </c>
      <c r="C1306" s="5">
        <v>45992</v>
      </c>
      <c r="D1306" t="s">
        <v>133</v>
      </c>
      <c r="E1306">
        <v>286.25</v>
      </c>
      <c r="G1306">
        <v>50</v>
      </c>
      <c r="H1306" s="5">
        <v>45999</v>
      </c>
      <c r="I1306" t="s">
        <v>198</v>
      </c>
      <c r="J1306">
        <v>1855.42</v>
      </c>
      <c r="N1306"/>
      <c r="S1306"/>
      <c r="X1306"/>
    </row>
    <row r="1307" spans="2:24" ht="18.75">
      <c r="B1307">
        <v>49</v>
      </c>
      <c r="C1307" s="5">
        <v>45992</v>
      </c>
      <c r="D1307" t="s">
        <v>134</v>
      </c>
      <c r="E1307">
        <v>312.12</v>
      </c>
      <c r="G1307">
        <v>50</v>
      </c>
      <c r="H1307" s="5">
        <v>45999</v>
      </c>
      <c r="I1307" t="s">
        <v>158</v>
      </c>
      <c r="J1307">
        <v>618.12</v>
      </c>
      <c r="N1307"/>
      <c r="S1307"/>
      <c r="X1307"/>
    </row>
    <row r="1308" spans="2:24" ht="18.75">
      <c r="B1308">
        <v>49</v>
      </c>
      <c r="C1308" s="5">
        <v>45992</v>
      </c>
      <c r="D1308" t="s">
        <v>138</v>
      </c>
      <c r="E1308">
        <v>497.73</v>
      </c>
      <c r="G1308">
        <v>50</v>
      </c>
      <c r="H1308" s="5">
        <v>45999</v>
      </c>
      <c r="I1308" t="s">
        <v>165</v>
      </c>
      <c r="J1308">
        <v>356.8</v>
      </c>
      <c r="N1308"/>
      <c r="S1308"/>
      <c r="X1308"/>
    </row>
    <row r="1309" spans="2:24" ht="18.75">
      <c r="B1309">
        <v>49</v>
      </c>
      <c r="C1309" s="5">
        <v>45992</v>
      </c>
      <c r="D1309" t="s">
        <v>145</v>
      </c>
      <c r="E1309">
        <v>342.12</v>
      </c>
      <c r="G1309">
        <v>50</v>
      </c>
      <c r="H1309" s="5">
        <v>45999</v>
      </c>
      <c r="I1309" t="s">
        <v>171</v>
      </c>
      <c r="J1309">
        <v>463.32</v>
      </c>
      <c r="N1309"/>
      <c r="S1309"/>
      <c r="X1309"/>
    </row>
    <row r="1310" spans="2:24" ht="18.75">
      <c r="B1310">
        <v>49</v>
      </c>
      <c r="C1310" s="5">
        <v>45992</v>
      </c>
      <c r="D1310" t="s">
        <v>146</v>
      </c>
      <c r="E1310">
        <v>655.36</v>
      </c>
      <c r="G1310">
        <v>50</v>
      </c>
      <c r="H1310" s="5">
        <v>45999</v>
      </c>
      <c r="I1310" t="s">
        <v>169</v>
      </c>
      <c r="J1310">
        <v>1990.28</v>
      </c>
      <c r="N1310"/>
      <c r="S1310"/>
      <c r="X1310"/>
    </row>
    <row r="1311" spans="2:24" ht="18.75">
      <c r="B1311">
        <v>49</v>
      </c>
      <c r="C1311" s="5">
        <v>45992</v>
      </c>
      <c r="D1311" t="s">
        <v>148</v>
      </c>
      <c r="E1311">
        <v>268.27</v>
      </c>
      <c r="G1311">
        <v>50</v>
      </c>
      <c r="H1311" s="5">
        <v>45999</v>
      </c>
      <c r="I1311" t="s">
        <v>176</v>
      </c>
      <c r="J1311">
        <v>179.2</v>
      </c>
      <c r="N1311"/>
      <c r="S1311"/>
      <c r="X1311"/>
    </row>
    <row r="1312" spans="2:24" ht="18.75">
      <c r="B1312">
        <v>49</v>
      </c>
      <c r="C1312" s="5">
        <v>45992</v>
      </c>
      <c r="D1312" t="s">
        <v>151</v>
      </c>
      <c r="E1312">
        <v>604.96</v>
      </c>
      <c r="G1312">
        <v>50</v>
      </c>
      <c r="H1312" s="5">
        <v>45999</v>
      </c>
      <c r="I1312" t="s">
        <v>164</v>
      </c>
      <c r="J1312">
        <v>2.4</v>
      </c>
      <c r="N1312"/>
      <c r="S1312"/>
      <c r="X1312"/>
    </row>
    <row r="1313" spans="2:24" ht="18.75">
      <c r="B1313">
        <v>49</v>
      </c>
      <c r="C1313" s="5">
        <v>45992</v>
      </c>
      <c r="D1313" t="s">
        <v>112</v>
      </c>
      <c r="E1313">
        <v>56.44</v>
      </c>
      <c r="G1313">
        <v>50</v>
      </c>
      <c r="H1313" s="5">
        <v>45999</v>
      </c>
      <c r="I1313" t="s">
        <v>163</v>
      </c>
      <c r="J1313">
        <v>326.37</v>
      </c>
      <c r="N1313"/>
      <c r="S1313"/>
      <c r="X1313"/>
    </row>
    <row r="1314" spans="2:24" ht="18.75">
      <c r="B1314">
        <v>49</v>
      </c>
      <c r="C1314" s="5">
        <v>45992</v>
      </c>
      <c r="D1314" t="s">
        <v>116</v>
      </c>
      <c r="E1314">
        <v>112.46</v>
      </c>
      <c r="G1314">
        <v>50</v>
      </c>
      <c r="H1314" s="5">
        <v>45999</v>
      </c>
      <c r="I1314" t="s">
        <v>168</v>
      </c>
      <c r="J1314">
        <v>350.62</v>
      </c>
      <c r="N1314"/>
      <c r="S1314"/>
      <c r="X1314"/>
    </row>
    <row r="1315" spans="2:24" ht="18.75">
      <c r="B1315">
        <v>49</v>
      </c>
      <c r="C1315" s="5">
        <v>45992</v>
      </c>
      <c r="D1315" t="s">
        <v>121</v>
      </c>
      <c r="E1315">
        <v>184.96</v>
      </c>
      <c r="G1315">
        <v>50</v>
      </c>
      <c r="H1315" s="5">
        <v>45999</v>
      </c>
      <c r="I1315" t="s">
        <v>172</v>
      </c>
      <c r="J1315">
        <v>105.47</v>
      </c>
      <c r="N1315"/>
      <c r="S1315"/>
      <c r="X1315"/>
    </row>
    <row r="1316" spans="2:24" ht="18.75">
      <c r="B1316">
        <v>49</v>
      </c>
      <c r="C1316" s="5">
        <v>45992</v>
      </c>
      <c r="D1316" t="s">
        <v>122</v>
      </c>
      <c r="E1316">
        <v>315.12</v>
      </c>
      <c r="G1316">
        <v>50</v>
      </c>
      <c r="H1316" s="5">
        <v>45999</v>
      </c>
      <c r="I1316" t="s">
        <v>173</v>
      </c>
      <c r="J1316">
        <v>786.9</v>
      </c>
      <c r="N1316"/>
      <c r="S1316"/>
      <c r="X1316"/>
    </row>
    <row r="1317" spans="2:24" ht="18.75">
      <c r="B1317">
        <v>49</v>
      </c>
      <c r="C1317" s="5">
        <v>45992</v>
      </c>
      <c r="D1317" t="s">
        <v>125</v>
      </c>
      <c r="E1317">
        <v>84.02</v>
      </c>
      <c r="G1317">
        <v>50</v>
      </c>
      <c r="H1317" s="5">
        <v>45999</v>
      </c>
      <c r="I1317" t="s">
        <v>175</v>
      </c>
      <c r="J1317">
        <v>339.75</v>
      </c>
      <c r="N1317"/>
      <c r="S1317"/>
      <c r="X1317"/>
    </row>
    <row r="1318" spans="2:24" ht="18.75">
      <c r="B1318">
        <v>49</v>
      </c>
      <c r="C1318" s="5">
        <v>45992</v>
      </c>
      <c r="D1318" t="s">
        <v>128</v>
      </c>
      <c r="E1318">
        <v>212.34</v>
      </c>
      <c r="G1318">
        <v>51</v>
      </c>
      <c r="H1318" s="5">
        <v>46006</v>
      </c>
      <c r="I1318" t="s">
        <v>160</v>
      </c>
      <c r="J1318">
        <v>4214.75</v>
      </c>
      <c r="N1318"/>
      <c r="S1318"/>
      <c r="X1318"/>
    </row>
    <row r="1319" spans="2:24" ht="18.75">
      <c r="B1319">
        <v>49</v>
      </c>
      <c r="C1319" s="5">
        <v>45992</v>
      </c>
      <c r="D1319" t="s">
        <v>132</v>
      </c>
      <c r="E1319">
        <v>233.82</v>
      </c>
      <c r="G1319">
        <v>51</v>
      </c>
      <c r="H1319" s="5">
        <v>46006</v>
      </c>
      <c r="I1319" t="s">
        <v>165</v>
      </c>
      <c r="J1319">
        <v>277</v>
      </c>
      <c r="N1319"/>
      <c r="S1319"/>
      <c r="X1319"/>
    </row>
    <row r="1320" spans="2:24" ht="18.75">
      <c r="B1320">
        <v>49</v>
      </c>
      <c r="C1320" s="5">
        <v>45992</v>
      </c>
      <c r="D1320" t="s">
        <v>135</v>
      </c>
      <c r="E1320">
        <v>85.38</v>
      </c>
      <c r="G1320">
        <v>51</v>
      </c>
      <c r="H1320" s="5">
        <v>46006</v>
      </c>
      <c r="I1320" t="s">
        <v>169</v>
      </c>
      <c r="J1320">
        <v>1881.24</v>
      </c>
      <c r="N1320"/>
      <c r="S1320"/>
      <c r="X1320"/>
    </row>
    <row r="1321" spans="2:24" ht="18.75">
      <c r="B1321">
        <v>49</v>
      </c>
      <c r="C1321" s="5">
        <v>45992</v>
      </c>
      <c r="D1321" t="s">
        <v>136</v>
      </c>
      <c r="E1321">
        <v>116.11</v>
      </c>
      <c r="G1321">
        <v>51</v>
      </c>
      <c r="H1321" s="5">
        <v>46006</v>
      </c>
      <c r="I1321" t="s">
        <v>176</v>
      </c>
      <c r="J1321">
        <v>77.760000000000005</v>
      </c>
      <c r="N1321"/>
      <c r="S1321"/>
      <c r="X1321"/>
    </row>
    <row r="1322" spans="2:24" ht="18.75">
      <c r="B1322">
        <v>49</v>
      </c>
      <c r="C1322" s="5">
        <v>45992</v>
      </c>
      <c r="D1322" t="s">
        <v>137</v>
      </c>
      <c r="E1322">
        <v>101.12</v>
      </c>
      <c r="G1322">
        <v>51</v>
      </c>
      <c r="H1322" s="5">
        <v>46006</v>
      </c>
      <c r="I1322" t="s">
        <v>163</v>
      </c>
      <c r="J1322">
        <v>294.12</v>
      </c>
      <c r="N1322"/>
      <c r="S1322"/>
      <c r="X1322"/>
    </row>
    <row r="1323" spans="2:24" ht="18.75">
      <c r="B1323">
        <v>49</v>
      </c>
      <c r="C1323" s="5">
        <v>45992</v>
      </c>
      <c r="D1323" t="s">
        <v>140</v>
      </c>
      <c r="E1323">
        <v>101.66</v>
      </c>
      <c r="G1323">
        <v>51</v>
      </c>
      <c r="H1323" s="5">
        <v>46006</v>
      </c>
      <c r="I1323" t="s">
        <v>168</v>
      </c>
      <c r="J1323">
        <v>317.97000000000003</v>
      </c>
      <c r="N1323"/>
      <c r="S1323"/>
      <c r="X1323"/>
    </row>
    <row r="1324" spans="2:24" ht="18.75">
      <c r="B1324">
        <v>49</v>
      </c>
      <c r="C1324" s="5">
        <v>45992</v>
      </c>
      <c r="D1324" t="s">
        <v>142</v>
      </c>
      <c r="E1324">
        <v>181.5</v>
      </c>
      <c r="G1324">
        <v>51</v>
      </c>
      <c r="H1324" s="5">
        <v>46006</v>
      </c>
      <c r="I1324" t="s">
        <v>172</v>
      </c>
      <c r="J1324">
        <v>89.55</v>
      </c>
      <c r="N1324"/>
      <c r="S1324"/>
      <c r="X1324"/>
    </row>
    <row r="1325" spans="2:24" ht="18.75">
      <c r="B1325">
        <v>49</v>
      </c>
      <c r="C1325" s="5">
        <v>45992</v>
      </c>
      <c r="D1325" t="s">
        <v>149</v>
      </c>
      <c r="E1325">
        <v>196.25</v>
      </c>
      <c r="G1325">
        <v>51</v>
      </c>
      <c r="H1325" s="5">
        <v>46006</v>
      </c>
      <c r="I1325" t="s">
        <v>173</v>
      </c>
      <c r="J1325">
        <v>798.2</v>
      </c>
      <c r="N1325"/>
      <c r="S1325"/>
      <c r="X1325"/>
    </row>
    <row r="1326" spans="2:24" ht="18.75">
      <c r="B1326">
        <v>49</v>
      </c>
      <c r="C1326" s="5">
        <v>45992</v>
      </c>
      <c r="D1326" t="s">
        <v>150</v>
      </c>
      <c r="E1326">
        <v>103.37</v>
      </c>
      <c r="G1326">
        <v>51</v>
      </c>
      <c r="H1326" s="5">
        <v>46006</v>
      </c>
      <c r="I1326" t="s">
        <v>175</v>
      </c>
      <c r="J1326">
        <v>303.75</v>
      </c>
      <c r="N1326"/>
      <c r="S1326"/>
      <c r="X1326"/>
    </row>
    <row r="1327" spans="2:24" ht="18.75">
      <c r="B1327">
        <v>50</v>
      </c>
      <c r="C1327" s="5">
        <v>45999</v>
      </c>
      <c r="D1327" t="s">
        <v>111</v>
      </c>
      <c r="E1327">
        <v>203.99</v>
      </c>
      <c r="G1327">
        <v>51</v>
      </c>
      <c r="H1327" s="5">
        <v>46006</v>
      </c>
      <c r="I1327" t="s">
        <v>158</v>
      </c>
      <c r="J1327">
        <v>529.24</v>
      </c>
      <c r="N1327"/>
      <c r="S1327"/>
      <c r="X1327"/>
    </row>
    <row r="1328" spans="2:24" ht="18.75">
      <c r="B1328">
        <v>50</v>
      </c>
      <c r="C1328" s="5">
        <v>45999</v>
      </c>
      <c r="D1328" t="s">
        <v>112</v>
      </c>
      <c r="E1328">
        <v>120.17</v>
      </c>
      <c r="G1328">
        <v>51</v>
      </c>
      <c r="H1328" s="5">
        <v>46006</v>
      </c>
      <c r="I1328" t="s">
        <v>198</v>
      </c>
      <c r="J1328">
        <v>362.95</v>
      </c>
      <c r="N1328"/>
      <c r="S1328"/>
      <c r="X1328"/>
    </row>
    <row r="1329" spans="2:24" ht="18.75">
      <c r="B1329">
        <v>50</v>
      </c>
      <c r="C1329" s="5">
        <v>45999</v>
      </c>
      <c r="D1329" t="s">
        <v>113</v>
      </c>
      <c r="E1329">
        <v>281.27999999999997</v>
      </c>
      <c r="G1329">
        <v>51</v>
      </c>
      <c r="H1329" s="5">
        <v>46006</v>
      </c>
      <c r="I1329" t="s">
        <v>174</v>
      </c>
      <c r="J1329">
        <v>348.3</v>
      </c>
      <c r="N1329"/>
      <c r="S1329"/>
      <c r="X1329"/>
    </row>
    <row r="1330" spans="2:24" ht="18.75">
      <c r="B1330">
        <v>50</v>
      </c>
      <c r="C1330" s="5">
        <v>45999</v>
      </c>
      <c r="D1330" t="s">
        <v>114</v>
      </c>
      <c r="E1330">
        <v>344.32</v>
      </c>
      <c r="G1330">
        <v>51</v>
      </c>
      <c r="H1330" s="5">
        <v>46006</v>
      </c>
      <c r="I1330" t="s">
        <v>171</v>
      </c>
      <c r="J1330">
        <v>748.16</v>
      </c>
      <c r="N1330"/>
      <c r="S1330"/>
      <c r="X1330"/>
    </row>
    <row r="1331" spans="2:24" ht="18.75">
      <c r="B1331">
        <v>50</v>
      </c>
      <c r="C1331" s="5">
        <v>45999</v>
      </c>
      <c r="D1331" t="s">
        <v>116</v>
      </c>
      <c r="E1331">
        <v>124.7</v>
      </c>
      <c r="G1331">
        <v>51</v>
      </c>
      <c r="H1331" s="5">
        <v>46006</v>
      </c>
      <c r="I1331" t="s">
        <v>170</v>
      </c>
      <c r="J1331">
        <v>84</v>
      </c>
      <c r="N1331"/>
      <c r="S1331"/>
      <c r="X1331"/>
    </row>
    <row r="1332" spans="2:24" ht="18.75">
      <c r="B1332">
        <v>50</v>
      </c>
      <c r="C1332" s="5">
        <v>45999</v>
      </c>
      <c r="D1332" t="s">
        <v>117</v>
      </c>
      <c r="E1332">
        <v>225.88</v>
      </c>
      <c r="G1332">
        <v>51</v>
      </c>
      <c r="H1332" s="5">
        <v>46006</v>
      </c>
      <c r="I1332" t="s">
        <v>164</v>
      </c>
      <c r="J1332">
        <v>-1.2</v>
      </c>
      <c r="N1332"/>
      <c r="S1332"/>
      <c r="X1332"/>
    </row>
    <row r="1333" spans="2:24" ht="18.75">
      <c r="B1333">
        <v>50</v>
      </c>
      <c r="C1333" s="5">
        <v>45999</v>
      </c>
      <c r="D1333" t="s">
        <v>118</v>
      </c>
      <c r="E1333">
        <v>144.29</v>
      </c>
      <c r="G1333">
        <v>52</v>
      </c>
      <c r="H1333" s="5">
        <v>46013</v>
      </c>
      <c r="I1333" t="s">
        <v>158</v>
      </c>
      <c r="J1333">
        <v>2273.44</v>
      </c>
      <c r="N1333"/>
      <c r="S1333"/>
      <c r="X1333"/>
    </row>
    <row r="1334" spans="2:24" ht="18.75">
      <c r="B1334">
        <v>50</v>
      </c>
      <c r="C1334" s="5">
        <v>45999</v>
      </c>
      <c r="D1334" t="s">
        <v>119</v>
      </c>
      <c r="E1334">
        <v>440.78</v>
      </c>
      <c r="G1334">
        <v>52</v>
      </c>
      <c r="H1334" s="5">
        <v>46013</v>
      </c>
      <c r="I1334" t="s">
        <v>165</v>
      </c>
      <c r="J1334">
        <v>360.9</v>
      </c>
      <c r="N1334"/>
      <c r="S1334"/>
      <c r="X1334"/>
    </row>
    <row r="1335" spans="2:24" ht="18.75">
      <c r="B1335">
        <v>50</v>
      </c>
      <c r="C1335" s="5">
        <v>45999</v>
      </c>
      <c r="D1335" t="s">
        <v>120</v>
      </c>
      <c r="E1335">
        <v>155.35</v>
      </c>
      <c r="G1335">
        <v>52</v>
      </c>
      <c r="H1335" s="5">
        <v>46013</v>
      </c>
      <c r="I1335" t="s">
        <v>171</v>
      </c>
      <c r="J1335">
        <v>626.34</v>
      </c>
      <c r="N1335"/>
      <c r="S1335"/>
      <c r="X1335"/>
    </row>
    <row r="1336" spans="2:24" ht="18.75">
      <c r="B1336">
        <v>50</v>
      </c>
      <c r="C1336" s="5">
        <v>45999</v>
      </c>
      <c r="D1336" t="s">
        <v>121</v>
      </c>
      <c r="E1336">
        <v>86.4</v>
      </c>
      <c r="G1336">
        <v>52</v>
      </c>
      <c r="H1336" s="5">
        <v>46013</v>
      </c>
      <c r="I1336" t="s">
        <v>169</v>
      </c>
      <c r="J1336">
        <v>527.5</v>
      </c>
      <c r="N1336"/>
      <c r="S1336"/>
      <c r="X1336"/>
    </row>
    <row r="1337" spans="2:24" ht="18.75">
      <c r="B1337">
        <v>50</v>
      </c>
      <c r="C1337" s="5">
        <v>45999</v>
      </c>
      <c r="D1337" t="s">
        <v>122</v>
      </c>
      <c r="E1337">
        <v>292.07</v>
      </c>
      <c r="G1337">
        <v>52</v>
      </c>
      <c r="H1337" s="5">
        <v>46013</v>
      </c>
      <c r="I1337" t="s">
        <v>170</v>
      </c>
      <c r="J1337">
        <v>32</v>
      </c>
      <c r="N1337"/>
      <c r="S1337"/>
      <c r="X1337"/>
    </row>
    <row r="1338" spans="2:24" ht="18.75">
      <c r="B1338">
        <v>50</v>
      </c>
      <c r="C1338" s="5">
        <v>45999</v>
      </c>
      <c r="D1338" t="s">
        <v>123</v>
      </c>
      <c r="E1338">
        <v>517.85</v>
      </c>
      <c r="G1338">
        <v>52</v>
      </c>
      <c r="H1338" s="5">
        <v>46013</v>
      </c>
      <c r="I1338" t="s">
        <v>176</v>
      </c>
      <c r="J1338">
        <v>61.56</v>
      </c>
      <c r="N1338"/>
      <c r="S1338"/>
      <c r="X1338"/>
    </row>
    <row r="1339" spans="2:24" ht="18.75">
      <c r="B1339">
        <v>50</v>
      </c>
      <c r="C1339" s="5">
        <v>45999</v>
      </c>
      <c r="D1339" t="s">
        <v>124</v>
      </c>
      <c r="E1339">
        <v>490.49</v>
      </c>
      <c r="G1339">
        <v>52</v>
      </c>
      <c r="H1339" s="5">
        <v>46013</v>
      </c>
      <c r="I1339" t="s">
        <v>163</v>
      </c>
      <c r="J1339">
        <v>141.9</v>
      </c>
      <c r="N1339"/>
      <c r="S1339"/>
      <c r="X1339"/>
    </row>
    <row r="1340" spans="2:24" ht="18.75">
      <c r="B1340">
        <v>50</v>
      </c>
      <c r="C1340" s="5">
        <v>45999</v>
      </c>
      <c r="D1340" t="s">
        <v>125</v>
      </c>
      <c r="E1340">
        <v>81.62</v>
      </c>
      <c r="G1340">
        <v>52</v>
      </c>
      <c r="H1340" s="5">
        <v>46013</v>
      </c>
      <c r="I1340" t="s">
        <v>168</v>
      </c>
      <c r="J1340">
        <v>154.80000000000001</v>
      </c>
      <c r="N1340"/>
      <c r="S1340"/>
      <c r="X1340"/>
    </row>
    <row r="1341" spans="2:24" ht="18.75">
      <c r="B1341">
        <v>50</v>
      </c>
      <c r="C1341" s="5">
        <v>45999</v>
      </c>
      <c r="D1341" t="s">
        <v>126</v>
      </c>
      <c r="E1341">
        <v>123.52</v>
      </c>
      <c r="G1341">
        <v>52</v>
      </c>
      <c r="H1341" s="5">
        <v>46013</v>
      </c>
      <c r="I1341" t="s">
        <v>172</v>
      </c>
      <c r="J1341">
        <v>41.79</v>
      </c>
      <c r="N1341"/>
      <c r="S1341"/>
      <c r="X1341"/>
    </row>
    <row r="1342" spans="2:24" ht="18.75">
      <c r="B1342">
        <v>50</v>
      </c>
      <c r="C1342" s="5">
        <v>45999</v>
      </c>
      <c r="D1342" t="s">
        <v>129</v>
      </c>
      <c r="E1342">
        <v>522.63</v>
      </c>
      <c r="G1342">
        <v>52</v>
      </c>
      <c r="H1342" s="5">
        <v>46013</v>
      </c>
      <c r="I1342" t="s">
        <v>173</v>
      </c>
      <c r="J1342">
        <v>392.1</v>
      </c>
      <c r="N1342"/>
      <c r="S1342"/>
      <c r="X1342"/>
    </row>
    <row r="1343" spans="2:24" ht="18.75">
      <c r="B1343">
        <v>50</v>
      </c>
      <c r="C1343" s="5">
        <v>45999</v>
      </c>
      <c r="D1343" t="s">
        <v>132</v>
      </c>
      <c r="E1343">
        <v>255.82</v>
      </c>
      <c r="G1343">
        <v>52</v>
      </c>
      <c r="H1343" s="5">
        <v>46013</v>
      </c>
      <c r="I1343" t="s">
        <v>175</v>
      </c>
      <c r="J1343">
        <v>206.8</v>
      </c>
      <c r="N1343"/>
      <c r="S1343"/>
      <c r="X1343"/>
    </row>
    <row r="1344" spans="2:24" ht="18.75">
      <c r="B1344">
        <v>50</v>
      </c>
      <c r="C1344" s="5">
        <v>45999</v>
      </c>
      <c r="D1344" t="s">
        <v>133</v>
      </c>
      <c r="E1344">
        <v>322.42</v>
      </c>
      <c r="G1344">
        <v>52</v>
      </c>
      <c r="H1344" s="5">
        <v>46013</v>
      </c>
      <c r="I1344" t="s">
        <v>164</v>
      </c>
      <c r="J1344">
        <v>1.2</v>
      </c>
      <c r="N1344"/>
      <c r="S1344"/>
      <c r="X1344"/>
    </row>
    <row r="1345" spans="2:24" ht="18.75">
      <c r="B1345">
        <v>50</v>
      </c>
      <c r="C1345" s="5">
        <v>45999</v>
      </c>
      <c r="D1345" t="s">
        <v>134</v>
      </c>
      <c r="E1345">
        <v>332.54</v>
      </c>
      <c r="G1345">
        <v>1</v>
      </c>
      <c r="H1345" s="5">
        <v>46020</v>
      </c>
      <c r="I1345" t="s">
        <v>158</v>
      </c>
      <c r="J1345">
        <v>1577.01</v>
      </c>
      <c r="N1345"/>
      <c r="S1345"/>
      <c r="X1345"/>
    </row>
    <row r="1346" spans="2:24" ht="18.75">
      <c r="B1346">
        <v>50</v>
      </c>
      <c r="C1346" s="5">
        <v>45999</v>
      </c>
      <c r="D1346" t="s">
        <v>135</v>
      </c>
      <c r="E1346">
        <v>91.69</v>
      </c>
      <c r="G1346">
        <v>1</v>
      </c>
      <c r="H1346" s="5">
        <v>46020</v>
      </c>
      <c r="I1346" t="s">
        <v>165</v>
      </c>
      <c r="J1346">
        <v>160.4</v>
      </c>
      <c r="N1346"/>
      <c r="S1346"/>
      <c r="X1346"/>
    </row>
    <row r="1347" spans="2:24" ht="18.75">
      <c r="B1347">
        <v>50</v>
      </c>
      <c r="C1347" s="5">
        <v>45999</v>
      </c>
      <c r="D1347" t="s">
        <v>136</v>
      </c>
      <c r="E1347">
        <v>136.58000000000001</v>
      </c>
      <c r="G1347">
        <v>1</v>
      </c>
      <c r="H1347" s="5">
        <v>46020</v>
      </c>
      <c r="I1347" t="s">
        <v>171</v>
      </c>
      <c r="J1347">
        <v>568.61</v>
      </c>
      <c r="N1347"/>
      <c r="S1347"/>
      <c r="X1347"/>
    </row>
    <row r="1348" spans="2:24" ht="18.75">
      <c r="B1348">
        <v>50</v>
      </c>
      <c r="C1348" s="5">
        <v>45999</v>
      </c>
      <c r="D1348" t="s">
        <v>137</v>
      </c>
      <c r="E1348">
        <v>104.65</v>
      </c>
      <c r="G1348">
        <v>1</v>
      </c>
      <c r="H1348" s="5">
        <v>46020</v>
      </c>
      <c r="I1348" t="s">
        <v>169</v>
      </c>
      <c r="J1348">
        <v>562.36</v>
      </c>
      <c r="N1348"/>
      <c r="S1348"/>
      <c r="X1348"/>
    </row>
    <row r="1349" spans="2:24" ht="18.75">
      <c r="B1349">
        <v>50</v>
      </c>
      <c r="C1349" s="5">
        <v>45999</v>
      </c>
      <c r="D1349" t="s">
        <v>138</v>
      </c>
      <c r="E1349">
        <v>559.69000000000005</v>
      </c>
      <c r="G1349">
        <v>1</v>
      </c>
      <c r="H1349" s="5">
        <v>46020</v>
      </c>
      <c r="I1349" t="s">
        <v>170</v>
      </c>
      <c r="J1349">
        <v>18</v>
      </c>
      <c r="N1349"/>
      <c r="S1349"/>
      <c r="X1349"/>
    </row>
    <row r="1350" spans="2:24" ht="18.75">
      <c r="B1350">
        <v>50</v>
      </c>
      <c r="C1350" s="5">
        <v>45999</v>
      </c>
      <c r="D1350" t="s">
        <v>140</v>
      </c>
      <c r="E1350">
        <v>94.83</v>
      </c>
      <c r="G1350">
        <v>1</v>
      </c>
      <c r="H1350" s="5">
        <v>46020</v>
      </c>
      <c r="I1350" t="s">
        <v>176</v>
      </c>
      <c r="J1350">
        <v>20.64</v>
      </c>
      <c r="N1350"/>
      <c r="S1350"/>
      <c r="X1350"/>
    </row>
    <row r="1351" spans="2:24" ht="18.75">
      <c r="B1351">
        <v>50</v>
      </c>
      <c r="C1351" s="5">
        <v>45999</v>
      </c>
      <c r="D1351" t="s">
        <v>141</v>
      </c>
      <c r="E1351">
        <v>759.15</v>
      </c>
      <c r="G1351">
        <v>1</v>
      </c>
      <c r="H1351" s="5">
        <v>46020</v>
      </c>
      <c r="I1351" t="s">
        <v>164</v>
      </c>
      <c r="J1351">
        <v>6</v>
      </c>
      <c r="N1351"/>
      <c r="S1351"/>
      <c r="X1351"/>
    </row>
    <row r="1352" spans="2:24" ht="18.75">
      <c r="B1352">
        <v>50</v>
      </c>
      <c r="C1352" s="5">
        <v>45999</v>
      </c>
      <c r="D1352" t="s">
        <v>142</v>
      </c>
      <c r="E1352">
        <v>192.32</v>
      </c>
      <c r="G1352">
        <v>1</v>
      </c>
      <c r="H1352" s="5">
        <v>46020</v>
      </c>
      <c r="I1352" t="s">
        <v>163</v>
      </c>
      <c r="J1352">
        <v>113.52</v>
      </c>
      <c r="N1352"/>
      <c r="S1352"/>
      <c r="X1352"/>
    </row>
    <row r="1353" spans="2:24" ht="18.75">
      <c r="B1353">
        <v>50</v>
      </c>
      <c r="C1353" s="5">
        <v>45999</v>
      </c>
      <c r="D1353" t="s">
        <v>139</v>
      </c>
      <c r="E1353">
        <v>345.8</v>
      </c>
      <c r="G1353">
        <v>1</v>
      </c>
      <c r="H1353" s="5">
        <v>46020</v>
      </c>
      <c r="I1353" t="s">
        <v>168</v>
      </c>
      <c r="J1353">
        <v>116.24</v>
      </c>
      <c r="N1353"/>
      <c r="S1353"/>
      <c r="X1353"/>
    </row>
    <row r="1354" spans="2:24" ht="18.75">
      <c r="B1354">
        <v>50</v>
      </c>
      <c r="C1354" s="5">
        <v>45999</v>
      </c>
      <c r="D1354" t="s">
        <v>143</v>
      </c>
      <c r="E1354">
        <v>1651.15</v>
      </c>
      <c r="G1354">
        <v>1</v>
      </c>
      <c r="H1354" s="5">
        <v>46020</v>
      </c>
      <c r="I1354" t="s">
        <v>173</v>
      </c>
      <c r="J1354">
        <v>54.25</v>
      </c>
      <c r="N1354"/>
      <c r="S1354"/>
      <c r="X1354"/>
    </row>
    <row r="1355" spans="2:24" ht="18.75">
      <c r="B1355">
        <v>50</v>
      </c>
      <c r="C1355" s="5">
        <v>45999</v>
      </c>
      <c r="D1355" t="s">
        <v>145</v>
      </c>
      <c r="E1355">
        <v>259.64999999999998</v>
      </c>
      <c r="G1355">
        <v>1</v>
      </c>
      <c r="H1355" s="5">
        <v>46020</v>
      </c>
      <c r="I1355" t="s">
        <v>160</v>
      </c>
      <c r="J1355">
        <v>372.51</v>
      </c>
      <c r="N1355"/>
      <c r="S1355"/>
      <c r="X1355"/>
    </row>
    <row r="1356" spans="2:24" ht="18.75">
      <c r="B1356">
        <v>50</v>
      </c>
      <c r="C1356" s="5">
        <v>45999</v>
      </c>
      <c r="D1356" t="s">
        <v>146</v>
      </c>
      <c r="E1356">
        <v>651.41999999999996</v>
      </c>
      <c r="G1356">
        <v>2</v>
      </c>
      <c r="H1356" s="5">
        <v>46027</v>
      </c>
      <c r="I1356" t="s">
        <v>160</v>
      </c>
      <c r="J1356">
        <v>4116.9799999999996</v>
      </c>
      <c r="N1356"/>
      <c r="S1356"/>
      <c r="X1356"/>
    </row>
    <row r="1357" spans="2:24" ht="18.75">
      <c r="B1357">
        <v>50</v>
      </c>
      <c r="C1357" s="5">
        <v>45999</v>
      </c>
      <c r="D1357" t="s">
        <v>148</v>
      </c>
      <c r="E1357">
        <v>155.36000000000001</v>
      </c>
      <c r="G1357">
        <v>2</v>
      </c>
      <c r="H1357" s="5">
        <v>46027</v>
      </c>
      <c r="I1357" t="s">
        <v>158</v>
      </c>
      <c r="J1357">
        <v>541.36</v>
      </c>
      <c r="N1357"/>
      <c r="S1357"/>
      <c r="X1357"/>
    </row>
    <row r="1358" spans="2:24" ht="18.75">
      <c r="B1358">
        <v>50</v>
      </c>
      <c r="C1358" s="5">
        <v>45999</v>
      </c>
      <c r="D1358" t="s">
        <v>147</v>
      </c>
      <c r="E1358">
        <v>403.34</v>
      </c>
      <c r="G1358">
        <v>2</v>
      </c>
      <c r="H1358" s="5">
        <v>46027</v>
      </c>
      <c r="I1358" t="s">
        <v>198</v>
      </c>
      <c r="J1358">
        <v>434.35</v>
      </c>
      <c r="N1358"/>
      <c r="S1358"/>
      <c r="X1358"/>
    </row>
    <row r="1359" spans="2:24" ht="18.75">
      <c r="B1359">
        <v>50</v>
      </c>
      <c r="C1359" s="5">
        <v>45999</v>
      </c>
      <c r="D1359" t="s">
        <v>149</v>
      </c>
      <c r="E1359">
        <v>153.30000000000001</v>
      </c>
      <c r="G1359">
        <v>2</v>
      </c>
      <c r="H1359" s="5">
        <v>46027</v>
      </c>
      <c r="I1359" t="s">
        <v>171</v>
      </c>
      <c r="J1359">
        <v>880.7</v>
      </c>
      <c r="N1359"/>
      <c r="S1359"/>
      <c r="X1359"/>
    </row>
    <row r="1360" spans="2:24" ht="18.75">
      <c r="B1360">
        <v>50</v>
      </c>
      <c r="C1360" s="5">
        <v>45999</v>
      </c>
      <c r="D1360" t="s">
        <v>150</v>
      </c>
      <c r="E1360">
        <v>105</v>
      </c>
      <c r="G1360">
        <v>2</v>
      </c>
      <c r="H1360" s="5">
        <v>46027</v>
      </c>
      <c r="I1360" t="s">
        <v>174</v>
      </c>
      <c r="J1360">
        <v>392.34</v>
      </c>
      <c r="N1360"/>
      <c r="S1360"/>
      <c r="X1360"/>
    </row>
    <row r="1361" spans="2:24" ht="18.75">
      <c r="B1361">
        <v>50</v>
      </c>
      <c r="C1361" s="5">
        <v>45999</v>
      </c>
      <c r="D1361" t="s">
        <v>220</v>
      </c>
      <c r="E1361">
        <v>425.36</v>
      </c>
      <c r="G1361">
        <v>2</v>
      </c>
      <c r="H1361" s="5">
        <v>46027</v>
      </c>
      <c r="I1361" t="s">
        <v>169</v>
      </c>
      <c r="J1361">
        <v>1733.76</v>
      </c>
      <c r="N1361"/>
      <c r="S1361"/>
      <c r="X1361"/>
    </row>
    <row r="1362" spans="2:24" ht="18.75">
      <c r="B1362">
        <v>50</v>
      </c>
      <c r="C1362" s="5">
        <v>45999</v>
      </c>
      <c r="D1362" t="s">
        <v>127</v>
      </c>
      <c r="E1362">
        <v>326.38</v>
      </c>
      <c r="G1362">
        <v>2</v>
      </c>
      <c r="H1362" s="5">
        <v>46027</v>
      </c>
      <c r="I1362" t="s">
        <v>170</v>
      </c>
      <c r="J1362">
        <v>36</v>
      </c>
      <c r="N1362"/>
      <c r="S1362"/>
      <c r="X1362"/>
    </row>
    <row r="1363" spans="2:24" ht="18.75">
      <c r="B1363">
        <v>50</v>
      </c>
      <c r="C1363" s="5">
        <v>45999</v>
      </c>
      <c r="D1363" t="s">
        <v>128</v>
      </c>
      <c r="E1363">
        <v>31.6</v>
      </c>
      <c r="G1363">
        <v>2</v>
      </c>
      <c r="H1363" s="5">
        <v>46027</v>
      </c>
      <c r="I1363" t="s">
        <v>176</v>
      </c>
      <c r="J1363">
        <v>48.48</v>
      </c>
      <c r="N1363"/>
      <c r="S1363"/>
      <c r="X1363"/>
    </row>
    <row r="1364" spans="2:24" ht="18.75">
      <c r="B1364">
        <v>50</v>
      </c>
      <c r="C1364" s="5">
        <v>45999</v>
      </c>
      <c r="D1364" t="s">
        <v>151</v>
      </c>
      <c r="E1364">
        <v>276.39999999999998</v>
      </c>
      <c r="G1364">
        <v>2</v>
      </c>
      <c r="H1364" s="5">
        <v>46027</v>
      </c>
      <c r="I1364" t="s">
        <v>163</v>
      </c>
      <c r="J1364">
        <v>105.78</v>
      </c>
      <c r="N1364"/>
      <c r="S1364"/>
      <c r="X1364"/>
    </row>
    <row r="1365" spans="2:24" ht="18.75">
      <c r="B1365">
        <v>51</v>
      </c>
      <c r="C1365" s="5">
        <v>46006</v>
      </c>
      <c r="D1365" t="s">
        <v>126</v>
      </c>
      <c r="E1365">
        <v>58.68</v>
      </c>
      <c r="G1365">
        <v>2</v>
      </c>
      <c r="H1365" s="5">
        <v>46027</v>
      </c>
      <c r="I1365" t="s">
        <v>168</v>
      </c>
      <c r="J1365">
        <v>241.22</v>
      </c>
      <c r="N1365"/>
      <c r="S1365"/>
      <c r="X1365"/>
    </row>
    <row r="1366" spans="2:24" ht="18.75">
      <c r="B1366">
        <v>51</v>
      </c>
      <c r="C1366" s="5">
        <v>46006</v>
      </c>
      <c r="D1366" t="s">
        <v>143</v>
      </c>
      <c r="E1366">
        <v>1567.22</v>
      </c>
      <c r="G1366">
        <v>2</v>
      </c>
      <c r="H1366" s="5">
        <v>46027</v>
      </c>
      <c r="I1366" t="s">
        <v>201</v>
      </c>
      <c r="J1366">
        <v>372.68</v>
      </c>
      <c r="N1366"/>
      <c r="S1366"/>
      <c r="X1366"/>
    </row>
    <row r="1367" spans="2:24" ht="18.75">
      <c r="B1367">
        <v>51</v>
      </c>
      <c r="C1367" s="5">
        <v>46006</v>
      </c>
      <c r="D1367" t="s">
        <v>127</v>
      </c>
      <c r="E1367">
        <v>213.45</v>
      </c>
      <c r="G1367">
        <v>2</v>
      </c>
      <c r="H1367" s="5">
        <v>46027</v>
      </c>
      <c r="I1367" t="s">
        <v>165</v>
      </c>
      <c r="J1367">
        <v>143.30000000000001</v>
      </c>
      <c r="N1367"/>
      <c r="S1367"/>
      <c r="X1367"/>
    </row>
    <row r="1368" spans="2:24" ht="18.75">
      <c r="B1368">
        <v>51</v>
      </c>
      <c r="C1368" s="5">
        <v>46006</v>
      </c>
      <c r="D1368" t="s">
        <v>117</v>
      </c>
      <c r="E1368">
        <v>257.52999999999997</v>
      </c>
      <c r="G1368">
        <v>2</v>
      </c>
      <c r="H1368" s="5">
        <v>46027</v>
      </c>
      <c r="I1368" t="s">
        <v>173</v>
      </c>
      <c r="J1368">
        <v>268.5</v>
      </c>
      <c r="N1368"/>
      <c r="S1368"/>
      <c r="X1368"/>
    </row>
    <row r="1369" spans="2:24" ht="18.75">
      <c r="B1369">
        <v>51</v>
      </c>
      <c r="C1369" s="5">
        <v>46006</v>
      </c>
      <c r="D1369" t="s">
        <v>134</v>
      </c>
      <c r="E1369">
        <v>330.69</v>
      </c>
      <c r="G1369">
        <v>2</v>
      </c>
      <c r="H1369" s="5">
        <v>46027</v>
      </c>
      <c r="I1369" t="s">
        <v>175</v>
      </c>
      <c r="J1369">
        <v>129</v>
      </c>
      <c r="N1369"/>
      <c r="S1369"/>
      <c r="X1369"/>
    </row>
    <row r="1370" spans="2:24" ht="18.75">
      <c r="B1370">
        <v>51</v>
      </c>
      <c r="C1370" s="5">
        <v>46006</v>
      </c>
      <c r="D1370" t="s">
        <v>141</v>
      </c>
      <c r="E1370">
        <v>643.57000000000005</v>
      </c>
      <c r="G1370">
        <v>3</v>
      </c>
      <c r="H1370" s="5">
        <v>46034</v>
      </c>
      <c r="I1370" t="s">
        <v>160</v>
      </c>
      <c r="J1370">
        <v>3276.71</v>
      </c>
      <c r="N1370"/>
      <c r="S1370"/>
      <c r="X1370"/>
    </row>
    <row r="1371" spans="2:24" ht="18.75">
      <c r="B1371">
        <v>51</v>
      </c>
      <c r="C1371" s="5">
        <v>46006</v>
      </c>
      <c r="D1371" t="s">
        <v>146</v>
      </c>
      <c r="E1371">
        <v>671.12</v>
      </c>
      <c r="G1371">
        <v>3</v>
      </c>
      <c r="H1371" s="5">
        <v>46034</v>
      </c>
      <c r="I1371" t="s">
        <v>158</v>
      </c>
      <c r="J1371">
        <v>492.88</v>
      </c>
      <c r="N1371"/>
      <c r="S1371"/>
      <c r="X1371"/>
    </row>
    <row r="1372" spans="2:24" ht="18.75">
      <c r="B1372">
        <v>51</v>
      </c>
      <c r="C1372" s="5">
        <v>46006</v>
      </c>
      <c r="D1372" t="s">
        <v>151</v>
      </c>
      <c r="E1372">
        <v>593.36</v>
      </c>
      <c r="G1372">
        <v>3</v>
      </c>
      <c r="H1372" s="5">
        <v>46034</v>
      </c>
      <c r="I1372" t="s">
        <v>198</v>
      </c>
      <c r="J1372">
        <v>254.56</v>
      </c>
      <c r="N1372"/>
      <c r="S1372"/>
      <c r="X1372"/>
    </row>
    <row r="1373" spans="2:24" ht="18.75">
      <c r="B1373">
        <v>51</v>
      </c>
      <c r="C1373" s="5">
        <v>46006</v>
      </c>
      <c r="D1373" t="s">
        <v>114</v>
      </c>
      <c r="E1373">
        <v>311.73</v>
      </c>
      <c r="G1373">
        <v>3</v>
      </c>
      <c r="H1373" s="5">
        <v>46034</v>
      </c>
      <c r="I1373" t="s">
        <v>171</v>
      </c>
      <c r="J1373">
        <v>1030.5999999999999</v>
      </c>
      <c r="N1373"/>
      <c r="S1373"/>
      <c r="X1373"/>
    </row>
    <row r="1374" spans="2:24" ht="18.75">
      <c r="B1374">
        <v>51</v>
      </c>
      <c r="C1374" s="5">
        <v>46006</v>
      </c>
      <c r="D1374" t="s">
        <v>119</v>
      </c>
      <c r="E1374">
        <v>407.42</v>
      </c>
      <c r="G1374">
        <v>3</v>
      </c>
      <c r="H1374" s="5">
        <v>46034</v>
      </c>
      <c r="I1374" t="s">
        <v>169</v>
      </c>
      <c r="J1374">
        <v>1625.08</v>
      </c>
      <c r="N1374"/>
      <c r="S1374"/>
      <c r="X1374"/>
    </row>
    <row r="1375" spans="2:24" ht="18.75">
      <c r="B1375">
        <v>51</v>
      </c>
      <c r="C1375" s="5">
        <v>46006</v>
      </c>
      <c r="D1375" t="s">
        <v>133</v>
      </c>
      <c r="E1375">
        <v>307.45999999999998</v>
      </c>
      <c r="G1375">
        <v>3</v>
      </c>
      <c r="H1375" s="5">
        <v>46034</v>
      </c>
      <c r="I1375" t="s">
        <v>170</v>
      </c>
      <c r="J1375">
        <v>72</v>
      </c>
      <c r="N1375"/>
      <c r="S1375"/>
      <c r="X1375"/>
    </row>
    <row r="1376" spans="2:24" ht="18.75">
      <c r="B1376">
        <v>51</v>
      </c>
      <c r="C1376" s="5">
        <v>46006</v>
      </c>
      <c r="D1376" t="s">
        <v>138</v>
      </c>
      <c r="E1376">
        <v>497.17</v>
      </c>
      <c r="G1376">
        <v>3</v>
      </c>
      <c r="H1376" s="5">
        <v>46034</v>
      </c>
      <c r="I1376" t="s">
        <v>176</v>
      </c>
      <c r="J1376">
        <v>52.56</v>
      </c>
      <c r="N1376"/>
      <c r="S1376"/>
      <c r="X1376"/>
    </row>
    <row r="1377" spans="2:24" ht="18.75">
      <c r="B1377">
        <v>51</v>
      </c>
      <c r="C1377" s="5">
        <v>46006</v>
      </c>
      <c r="D1377" t="s">
        <v>145</v>
      </c>
      <c r="E1377">
        <v>342.92</v>
      </c>
      <c r="G1377">
        <v>3</v>
      </c>
      <c r="H1377" s="5">
        <v>46034</v>
      </c>
      <c r="I1377" t="s">
        <v>164</v>
      </c>
      <c r="J1377">
        <v>18</v>
      </c>
      <c r="N1377"/>
      <c r="S1377"/>
      <c r="X1377"/>
    </row>
    <row r="1378" spans="2:24" ht="18.75">
      <c r="B1378">
        <v>51</v>
      </c>
      <c r="C1378" s="5">
        <v>46006</v>
      </c>
      <c r="D1378" t="s">
        <v>129</v>
      </c>
      <c r="E1378">
        <v>354.37</v>
      </c>
      <c r="G1378">
        <v>3</v>
      </c>
      <c r="H1378" s="5">
        <v>46034</v>
      </c>
      <c r="I1378" t="s">
        <v>163</v>
      </c>
      <c r="J1378">
        <v>170.28</v>
      </c>
      <c r="N1378"/>
      <c r="S1378"/>
      <c r="X1378"/>
    </row>
    <row r="1379" spans="2:24" ht="18.75">
      <c r="B1379">
        <v>51</v>
      </c>
      <c r="C1379" s="5">
        <v>46006</v>
      </c>
      <c r="D1379" t="s">
        <v>111</v>
      </c>
      <c r="E1379">
        <v>182.24</v>
      </c>
      <c r="G1379">
        <v>3</v>
      </c>
      <c r="H1379" s="5">
        <v>46034</v>
      </c>
      <c r="I1379" t="s">
        <v>168</v>
      </c>
      <c r="J1379">
        <v>174.74</v>
      </c>
      <c r="N1379"/>
      <c r="S1379"/>
      <c r="X1379"/>
    </row>
    <row r="1380" spans="2:24" ht="18.75">
      <c r="B1380">
        <v>51</v>
      </c>
      <c r="C1380" s="5">
        <v>46006</v>
      </c>
      <c r="D1380" t="s">
        <v>123</v>
      </c>
      <c r="E1380">
        <v>443.03</v>
      </c>
      <c r="G1380">
        <v>3</v>
      </c>
      <c r="H1380" s="5">
        <v>46034</v>
      </c>
      <c r="I1380" t="s">
        <v>172</v>
      </c>
      <c r="J1380">
        <v>13.93</v>
      </c>
      <c r="N1380"/>
      <c r="S1380"/>
      <c r="X1380"/>
    </row>
    <row r="1381" spans="2:24" ht="18.75">
      <c r="B1381">
        <v>51</v>
      </c>
      <c r="C1381" s="5">
        <v>46006</v>
      </c>
      <c r="D1381" t="s">
        <v>124</v>
      </c>
      <c r="E1381">
        <v>367.7</v>
      </c>
      <c r="G1381">
        <v>3</v>
      </c>
      <c r="H1381" s="5">
        <v>46034</v>
      </c>
      <c r="I1381" t="s">
        <v>201</v>
      </c>
      <c r="J1381">
        <v>98.56</v>
      </c>
      <c r="N1381"/>
      <c r="S1381"/>
      <c r="X1381"/>
    </row>
    <row r="1382" spans="2:24" ht="18.75">
      <c r="B1382">
        <v>51</v>
      </c>
      <c r="C1382" s="5">
        <v>46006</v>
      </c>
      <c r="D1382" t="s">
        <v>147</v>
      </c>
      <c r="E1382">
        <v>305.73</v>
      </c>
      <c r="G1382">
        <v>3</v>
      </c>
      <c r="H1382" s="5">
        <v>46034</v>
      </c>
      <c r="I1382" t="s">
        <v>173</v>
      </c>
      <c r="J1382">
        <v>529.04999999999995</v>
      </c>
      <c r="N1382"/>
      <c r="S1382"/>
      <c r="X1382"/>
    </row>
    <row r="1383" spans="2:24" ht="18.75">
      <c r="B1383">
        <v>51</v>
      </c>
      <c r="C1383" s="5">
        <v>46006</v>
      </c>
      <c r="D1383" t="s">
        <v>113</v>
      </c>
      <c r="E1383">
        <v>237.11</v>
      </c>
      <c r="G1383">
        <v>3</v>
      </c>
      <c r="H1383" s="5">
        <v>46034</v>
      </c>
      <c r="I1383" t="s">
        <v>175</v>
      </c>
      <c r="J1383">
        <v>86</v>
      </c>
      <c r="N1383"/>
      <c r="S1383"/>
      <c r="X1383"/>
    </row>
    <row r="1384" spans="2:24" ht="18.75">
      <c r="B1384">
        <v>51</v>
      </c>
      <c r="C1384" s="5">
        <v>46006</v>
      </c>
      <c r="D1384" t="s">
        <v>139</v>
      </c>
      <c r="E1384">
        <v>266.64</v>
      </c>
      <c r="G1384">
        <v>3</v>
      </c>
      <c r="H1384" s="5">
        <v>46034</v>
      </c>
      <c r="I1384" t="s">
        <v>165</v>
      </c>
      <c r="J1384">
        <v>22.7</v>
      </c>
      <c r="N1384"/>
      <c r="S1384"/>
      <c r="X1384"/>
    </row>
    <row r="1385" spans="2:24" ht="18.75">
      <c r="B1385">
        <v>51</v>
      </c>
      <c r="C1385" s="5">
        <v>46006</v>
      </c>
      <c r="D1385" t="s">
        <v>112</v>
      </c>
      <c r="E1385">
        <v>85.51</v>
      </c>
      <c r="G1385">
        <v>4</v>
      </c>
      <c r="H1385" s="5">
        <v>46041</v>
      </c>
      <c r="I1385" t="s">
        <v>160</v>
      </c>
      <c r="J1385">
        <v>3602.94</v>
      </c>
      <c r="N1385"/>
      <c r="S1385"/>
      <c r="X1385"/>
    </row>
    <row r="1386" spans="2:24" ht="18.75">
      <c r="B1386">
        <v>51</v>
      </c>
      <c r="C1386" s="5">
        <v>46006</v>
      </c>
      <c r="D1386" t="s">
        <v>120</v>
      </c>
      <c r="E1386">
        <v>124.52</v>
      </c>
      <c r="G1386">
        <v>4</v>
      </c>
      <c r="H1386" s="5">
        <v>46041</v>
      </c>
      <c r="I1386" t="s">
        <v>158</v>
      </c>
      <c r="J1386">
        <v>480.76</v>
      </c>
      <c r="N1386"/>
      <c r="S1386"/>
      <c r="X1386"/>
    </row>
    <row r="1387" spans="2:24" ht="18.75">
      <c r="B1387">
        <v>51</v>
      </c>
      <c r="C1387" s="5">
        <v>46006</v>
      </c>
      <c r="D1387" t="s">
        <v>122</v>
      </c>
      <c r="E1387">
        <v>267.27</v>
      </c>
      <c r="G1387">
        <v>4</v>
      </c>
      <c r="H1387" s="5">
        <v>46041</v>
      </c>
      <c r="I1387" t="s">
        <v>165</v>
      </c>
      <c r="J1387">
        <v>62.3</v>
      </c>
      <c r="N1387"/>
      <c r="S1387"/>
      <c r="X1387"/>
    </row>
    <row r="1388" spans="2:24" ht="18.75">
      <c r="B1388">
        <v>51</v>
      </c>
      <c r="C1388" s="5">
        <v>46006</v>
      </c>
      <c r="D1388" t="s">
        <v>132</v>
      </c>
      <c r="E1388">
        <v>267.24</v>
      </c>
      <c r="G1388">
        <v>4</v>
      </c>
      <c r="H1388" s="5">
        <v>46041</v>
      </c>
      <c r="I1388" t="s">
        <v>171</v>
      </c>
      <c r="J1388">
        <v>397.5</v>
      </c>
      <c r="N1388"/>
      <c r="S1388"/>
      <c r="X1388"/>
    </row>
    <row r="1389" spans="2:24" ht="18.75">
      <c r="B1389">
        <v>51</v>
      </c>
      <c r="C1389" s="5">
        <v>46006</v>
      </c>
      <c r="D1389" t="s">
        <v>148</v>
      </c>
      <c r="E1389">
        <v>111.92</v>
      </c>
      <c r="G1389">
        <v>4</v>
      </c>
      <c r="H1389" s="5">
        <v>46041</v>
      </c>
      <c r="I1389" t="s">
        <v>167</v>
      </c>
      <c r="J1389">
        <v>347.42</v>
      </c>
      <c r="N1389"/>
      <c r="S1389"/>
      <c r="X1389"/>
    </row>
    <row r="1390" spans="2:24" ht="18.75">
      <c r="B1390">
        <v>51</v>
      </c>
      <c r="C1390" s="5">
        <v>46006</v>
      </c>
      <c r="D1390" t="s">
        <v>150</v>
      </c>
      <c r="E1390">
        <v>100.2</v>
      </c>
      <c r="G1390">
        <v>4</v>
      </c>
      <c r="H1390" s="5">
        <v>46041</v>
      </c>
      <c r="I1390" t="s">
        <v>198</v>
      </c>
      <c r="J1390">
        <v>351.05</v>
      </c>
      <c r="N1390"/>
      <c r="S1390"/>
      <c r="X1390"/>
    </row>
    <row r="1391" spans="2:24" ht="18.75">
      <c r="B1391">
        <v>51</v>
      </c>
      <c r="C1391" s="5">
        <v>46006</v>
      </c>
      <c r="D1391" t="s">
        <v>116</v>
      </c>
      <c r="E1391">
        <v>97.55</v>
      </c>
      <c r="G1391">
        <v>4</v>
      </c>
      <c r="H1391" s="5">
        <v>46041</v>
      </c>
      <c r="I1391" t="s">
        <v>174</v>
      </c>
      <c r="J1391">
        <v>436.32</v>
      </c>
      <c r="N1391"/>
      <c r="S1391"/>
      <c r="X1391"/>
    </row>
    <row r="1392" spans="2:24" ht="18.75">
      <c r="B1392">
        <v>51</v>
      </c>
      <c r="C1392" s="5">
        <v>46006</v>
      </c>
      <c r="D1392" t="s">
        <v>118</v>
      </c>
      <c r="E1392">
        <v>99.3</v>
      </c>
      <c r="G1392">
        <v>4</v>
      </c>
      <c r="H1392" s="5">
        <v>46041</v>
      </c>
      <c r="I1392" t="s">
        <v>169</v>
      </c>
      <c r="J1392">
        <v>1561.04</v>
      </c>
      <c r="N1392"/>
      <c r="S1392"/>
      <c r="X1392"/>
    </row>
    <row r="1393" spans="2:24" ht="18.75">
      <c r="B1393">
        <v>51</v>
      </c>
      <c r="C1393" s="5">
        <v>46006</v>
      </c>
      <c r="D1393" t="s">
        <v>121</v>
      </c>
      <c r="E1393">
        <v>108.88</v>
      </c>
      <c r="G1393">
        <v>4</v>
      </c>
      <c r="H1393" s="5">
        <v>46041</v>
      </c>
      <c r="I1393" t="s">
        <v>170</v>
      </c>
      <c r="J1393">
        <v>44</v>
      </c>
      <c r="N1393"/>
      <c r="S1393"/>
      <c r="X1393"/>
    </row>
    <row r="1394" spans="2:24" ht="18.75">
      <c r="B1394">
        <v>51</v>
      </c>
      <c r="C1394" s="5">
        <v>46006</v>
      </c>
      <c r="D1394" t="s">
        <v>136</v>
      </c>
      <c r="E1394">
        <v>115.32</v>
      </c>
      <c r="G1394">
        <v>4</v>
      </c>
      <c r="H1394" s="5">
        <v>46041</v>
      </c>
      <c r="I1394" t="s">
        <v>164</v>
      </c>
      <c r="J1394">
        <v>13.2</v>
      </c>
      <c r="N1394"/>
      <c r="S1394"/>
      <c r="X1394"/>
    </row>
    <row r="1395" spans="2:24" ht="18.75">
      <c r="B1395">
        <v>51</v>
      </c>
      <c r="C1395" s="5">
        <v>46006</v>
      </c>
      <c r="D1395" t="s">
        <v>125</v>
      </c>
      <c r="E1395">
        <v>73.180000000000007</v>
      </c>
      <c r="G1395">
        <v>4</v>
      </c>
      <c r="H1395" s="5">
        <v>46041</v>
      </c>
      <c r="I1395" t="s">
        <v>176</v>
      </c>
      <c r="J1395">
        <v>54.12</v>
      </c>
      <c r="N1395"/>
      <c r="S1395"/>
      <c r="X1395"/>
    </row>
    <row r="1396" spans="2:24" ht="18.75">
      <c r="B1396">
        <v>51</v>
      </c>
      <c r="C1396" s="5">
        <v>46006</v>
      </c>
      <c r="D1396" t="s">
        <v>135</v>
      </c>
      <c r="E1396">
        <v>72.400000000000006</v>
      </c>
      <c r="G1396">
        <v>4</v>
      </c>
      <c r="H1396" s="5">
        <v>46041</v>
      </c>
      <c r="I1396" t="s">
        <v>163</v>
      </c>
      <c r="J1396">
        <v>206.4</v>
      </c>
      <c r="N1396"/>
      <c r="S1396"/>
      <c r="X1396"/>
    </row>
    <row r="1397" spans="2:24" ht="18.75">
      <c r="B1397">
        <v>51</v>
      </c>
      <c r="C1397" s="5">
        <v>46006</v>
      </c>
      <c r="D1397" t="s">
        <v>137</v>
      </c>
      <c r="E1397">
        <v>58.71</v>
      </c>
      <c r="G1397">
        <v>4</v>
      </c>
      <c r="H1397" s="5">
        <v>46041</v>
      </c>
      <c r="I1397" t="s">
        <v>168</v>
      </c>
      <c r="J1397">
        <v>211.73</v>
      </c>
      <c r="N1397"/>
      <c r="S1397"/>
      <c r="X1397"/>
    </row>
    <row r="1398" spans="2:24" ht="18.75">
      <c r="B1398">
        <v>51</v>
      </c>
      <c r="C1398" s="5">
        <v>46006</v>
      </c>
      <c r="D1398" t="s">
        <v>140</v>
      </c>
      <c r="E1398">
        <v>100.83</v>
      </c>
      <c r="G1398">
        <v>4</v>
      </c>
      <c r="H1398" s="5">
        <v>46041</v>
      </c>
      <c r="I1398" t="s">
        <v>172</v>
      </c>
      <c r="J1398">
        <v>29.85</v>
      </c>
      <c r="N1398"/>
      <c r="S1398"/>
      <c r="X1398"/>
    </row>
    <row r="1399" spans="2:24" ht="18.75">
      <c r="B1399">
        <v>51</v>
      </c>
      <c r="C1399" s="5">
        <v>46006</v>
      </c>
      <c r="D1399" t="s">
        <v>149</v>
      </c>
      <c r="E1399">
        <v>160.16</v>
      </c>
      <c r="G1399">
        <v>4</v>
      </c>
      <c r="H1399" s="5">
        <v>46041</v>
      </c>
      <c r="I1399" t="s">
        <v>201</v>
      </c>
      <c r="J1399">
        <v>181.72</v>
      </c>
      <c r="N1399"/>
      <c r="S1399"/>
      <c r="X1399"/>
    </row>
    <row r="1400" spans="2:24" ht="18.75">
      <c r="B1400">
        <v>51</v>
      </c>
      <c r="C1400" s="5">
        <v>46006</v>
      </c>
      <c r="D1400" t="s">
        <v>142</v>
      </c>
      <c r="E1400">
        <v>117.93</v>
      </c>
      <c r="G1400">
        <v>4</v>
      </c>
      <c r="H1400" s="5">
        <v>46041</v>
      </c>
      <c r="I1400" t="s">
        <v>173</v>
      </c>
      <c r="J1400">
        <v>477.9</v>
      </c>
      <c r="N1400"/>
      <c r="S1400"/>
      <c r="X1400"/>
    </row>
    <row r="1401" spans="2:24" ht="18.75">
      <c r="B1401">
        <v>51</v>
      </c>
      <c r="C1401" s="5">
        <v>46006</v>
      </c>
      <c r="D1401" t="s">
        <v>128</v>
      </c>
      <c r="E1401">
        <v>5.73</v>
      </c>
      <c r="G1401">
        <v>4</v>
      </c>
      <c r="H1401" s="5">
        <v>46041</v>
      </c>
      <c r="I1401" t="s">
        <v>175</v>
      </c>
      <c r="J1401">
        <v>54</v>
      </c>
      <c r="N1401"/>
      <c r="S1401"/>
      <c r="X1401"/>
    </row>
    <row r="1402" spans="2:24" ht="18.75">
      <c r="B1402">
        <v>52</v>
      </c>
      <c r="C1402" s="5">
        <v>46013</v>
      </c>
      <c r="D1402" t="s">
        <v>111</v>
      </c>
      <c r="E1402">
        <v>87.18</v>
      </c>
      <c r="G1402">
        <v>5</v>
      </c>
      <c r="H1402" s="5">
        <v>46048</v>
      </c>
      <c r="I1402" t="s">
        <v>160</v>
      </c>
      <c r="J1402">
        <v>5185.26</v>
      </c>
      <c r="N1402"/>
      <c r="S1402"/>
      <c r="X1402"/>
    </row>
    <row r="1403" spans="2:24" ht="18.75">
      <c r="B1403">
        <v>52</v>
      </c>
      <c r="C1403" s="5">
        <v>46013</v>
      </c>
      <c r="D1403" t="s">
        <v>112</v>
      </c>
      <c r="E1403">
        <v>29.67</v>
      </c>
      <c r="G1403">
        <v>5</v>
      </c>
      <c r="H1403" s="5">
        <v>46048</v>
      </c>
      <c r="I1403" t="s">
        <v>158</v>
      </c>
      <c r="J1403">
        <v>529.24</v>
      </c>
      <c r="N1403"/>
      <c r="S1403"/>
      <c r="X1403"/>
    </row>
    <row r="1404" spans="2:24" ht="18.75">
      <c r="B1404">
        <v>52</v>
      </c>
      <c r="C1404" s="5">
        <v>46013</v>
      </c>
      <c r="D1404" t="s">
        <v>113</v>
      </c>
      <c r="E1404">
        <v>50.08</v>
      </c>
      <c r="G1404">
        <v>5</v>
      </c>
      <c r="H1404" s="5">
        <v>46048</v>
      </c>
      <c r="I1404" t="s">
        <v>165</v>
      </c>
      <c r="J1404">
        <v>220.4</v>
      </c>
      <c r="N1404"/>
      <c r="S1404"/>
      <c r="X1404"/>
    </row>
    <row r="1405" spans="2:24" ht="18.75">
      <c r="B1405">
        <v>52</v>
      </c>
      <c r="C1405" s="5">
        <v>46013</v>
      </c>
      <c r="D1405" t="s">
        <v>114</v>
      </c>
      <c r="E1405">
        <v>156.47999999999999</v>
      </c>
      <c r="G1405">
        <v>5</v>
      </c>
      <c r="H1405" s="5">
        <v>46048</v>
      </c>
      <c r="I1405" t="s">
        <v>198</v>
      </c>
      <c r="J1405">
        <v>499.8</v>
      </c>
      <c r="N1405"/>
      <c r="S1405"/>
      <c r="X1405"/>
    </row>
    <row r="1406" spans="2:24" ht="18.75">
      <c r="B1406">
        <v>52</v>
      </c>
      <c r="C1406" s="5">
        <v>46013</v>
      </c>
      <c r="D1406" t="s">
        <v>116</v>
      </c>
      <c r="E1406">
        <v>43.67</v>
      </c>
      <c r="G1406">
        <v>5</v>
      </c>
      <c r="H1406" s="5">
        <v>46048</v>
      </c>
      <c r="I1406" t="s">
        <v>167</v>
      </c>
      <c r="J1406">
        <v>89.85</v>
      </c>
      <c r="N1406"/>
      <c r="S1406"/>
      <c r="X1406"/>
    </row>
    <row r="1407" spans="2:24" ht="18.75">
      <c r="B1407">
        <v>52</v>
      </c>
      <c r="C1407" s="5">
        <v>46013</v>
      </c>
      <c r="D1407" t="s">
        <v>117</v>
      </c>
      <c r="E1407">
        <v>95.3</v>
      </c>
      <c r="G1407">
        <v>5</v>
      </c>
      <c r="H1407" s="5">
        <v>46048</v>
      </c>
      <c r="I1407" t="s">
        <v>174</v>
      </c>
      <c r="J1407">
        <v>1336.25</v>
      </c>
      <c r="N1407"/>
      <c r="S1407"/>
      <c r="X1407"/>
    </row>
    <row r="1408" spans="2:24" ht="18.75">
      <c r="B1408">
        <v>52</v>
      </c>
      <c r="C1408" s="5">
        <v>46013</v>
      </c>
      <c r="D1408" t="s">
        <v>118</v>
      </c>
      <c r="E1408">
        <v>53.73</v>
      </c>
      <c r="G1408">
        <v>5</v>
      </c>
      <c r="H1408" s="5">
        <v>46048</v>
      </c>
      <c r="I1408" t="s">
        <v>169</v>
      </c>
      <c r="J1408">
        <v>2308.96</v>
      </c>
      <c r="N1408"/>
      <c r="S1408"/>
      <c r="X1408"/>
    </row>
    <row r="1409" spans="2:24" ht="18.75">
      <c r="B1409">
        <v>52</v>
      </c>
      <c r="C1409" s="5">
        <v>46013</v>
      </c>
      <c r="D1409" t="s">
        <v>119</v>
      </c>
      <c r="E1409">
        <v>178.25</v>
      </c>
      <c r="G1409">
        <v>5</v>
      </c>
      <c r="H1409" s="5">
        <v>46048</v>
      </c>
      <c r="I1409" t="s">
        <v>170</v>
      </c>
      <c r="J1409">
        <v>92</v>
      </c>
      <c r="N1409"/>
      <c r="S1409"/>
      <c r="X1409"/>
    </row>
    <row r="1410" spans="2:24" ht="18.75">
      <c r="B1410">
        <v>52</v>
      </c>
      <c r="C1410" s="5">
        <v>46013</v>
      </c>
      <c r="D1410" t="s">
        <v>120</v>
      </c>
      <c r="E1410">
        <v>67.13</v>
      </c>
      <c r="G1410">
        <v>5</v>
      </c>
      <c r="H1410" s="5">
        <v>46048</v>
      </c>
      <c r="I1410" t="s">
        <v>164</v>
      </c>
      <c r="J1410">
        <v>32.4</v>
      </c>
      <c r="N1410"/>
      <c r="S1410"/>
      <c r="X1410"/>
    </row>
    <row r="1411" spans="2:24" ht="18.75">
      <c r="B1411">
        <v>52</v>
      </c>
      <c r="C1411" s="5">
        <v>46013</v>
      </c>
      <c r="D1411" t="s">
        <v>121</v>
      </c>
      <c r="E1411">
        <v>76.36</v>
      </c>
      <c r="G1411">
        <v>5</v>
      </c>
      <c r="H1411" s="5">
        <v>46048</v>
      </c>
      <c r="I1411" t="s">
        <v>176</v>
      </c>
      <c r="J1411">
        <v>136.08000000000001</v>
      </c>
      <c r="N1411"/>
      <c r="S1411"/>
      <c r="X1411"/>
    </row>
    <row r="1412" spans="2:24" ht="18.75">
      <c r="B1412">
        <v>52</v>
      </c>
      <c r="C1412" s="5">
        <v>46013</v>
      </c>
      <c r="D1412" t="s">
        <v>122</v>
      </c>
      <c r="E1412">
        <v>78.28</v>
      </c>
      <c r="G1412">
        <v>5</v>
      </c>
      <c r="H1412" s="5">
        <v>46048</v>
      </c>
      <c r="I1412" t="s">
        <v>163</v>
      </c>
      <c r="J1412">
        <v>167.7</v>
      </c>
      <c r="N1412"/>
      <c r="S1412"/>
      <c r="X1412"/>
    </row>
    <row r="1413" spans="2:24" ht="18.75">
      <c r="B1413">
        <v>52</v>
      </c>
      <c r="C1413" s="5">
        <v>46013</v>
      </c>
      <c r="D1413" t="s">
        <v>123</v>
      </c>
      <c r="E1413">
        <v>357.06</v>
      </c>
      <c r="G1413">
        <v>5</v>
      </c>
      <c r="H1413" s="5">
        <v>46048</v>
      </c>
      <c r="I1413" t="s">
        <v>168</v>
      </c>
      <c r="J1413">
        <v>694.25</v>
      </c>
      <c r="N1413"/>
      <c r="S1413"/>
      <c r="X1413"/>
    </row>
    <row r="1414" spans="2:24" ht="18.75">
      <c r="B1414">
        <v>52</v>
      </c>
      <c r="C1414" s="5">
        <v>46013</v>
      </c>
      <c r="D1414" t="s">
        <v>124</v>
      </c>
      <c r="E1414">
        <v>259.72000000000003</v>
      </c>
      <c r="G1414">
        <v>5</v>
      </c>
      <c r="H1414" s="5">
        <v>46048</v>
      </c>
      <c r="I1414" t="s">
        <v>172</v>
      </c>
      <c r="J1414">
        <v>121.39</v>
      </c>
      <c r="N1414"/>
      <c r="S1414"/>
      <c r="X1414"/>
    </row>
    <row r="1415" spans="2:24" ht="18.75">
      <c r="B1415">
        <v>52</v>
      </c>
      <c r="C1415" s="5">
        <v>46013</v>
      </c>
      <c r="D1415" t="s">
        <v>127</v>
      </c>
      <c r="E1415">
        <v>128.37</v>
      </c>
      <c r="G1415">
        <v>5</v>
      </c>
      <c r="H1415" s="5">
        <v>46048</v>
      </c>
      <c r="I1415" t="s">
        <v>201</v>
      </c>
      <c r="J1415">
        <v>154</v>
      </c>
      <c r="N1415"/>
      <c r="S1415"/>
      <c r="X1415"/>
    </row>
    <row r="1416" spans="2:24" ht="18.75">
      <c r="B1416">
        <v>52</v>
      </c>
      <c r="C1416" s="5">
        <v>46013</v>
      </c>
      <c r="D1416" t="s">
        <v>132</v>
      </c>
      <c r="E1416">
        <v>99.65</v>
      </c>
      <c r="G1416">
        <v>5</v>
      </c>
      <c r="H1416" s="5">
        <v>46048</v>
      </c>
      <c r="I1416" t="s">
        <v>173</v>
      </c>
      <c r="J1416">
        <v>675.25</v>
      </c>
      <c r="N1416"/>
      <c r="S1416"/>
      <c r="X1416"/>
    </row>
    <row r="1417" spans="2:24" ht="18.75">
      <c r="B1417">
        <v>52</v>
      </c>
      <c r="C1417" s="5">
        <v>46013</v>
      </c>
      <c r="D1417" t="s">
        <v>133</v>
      </c>
      <c r="E1417">
        <v>122.9</v>
      </c>
      <c r="G1417">
        <v>5</v>
      </c>
      <c r="H1417" s="5">
        <v>46048</v>
      </c>
      <c r="I1417" t="s">
        <v>175</v>
      </c>
      <c r="J1417">
        <v>350.9</v>
      </c>
      <c r="N1417"/>
      <c r="S1417"/>
      <c r="X1417"/>
    </row>
    <row r="1418" spans="2:24" ht="18.75">
      <c r="B1418">
        <v>52</v>
      </c>
      <c r="C1418" s="5">
        <v>46013</v>
      </c>
      <c r="D1418" t="s">
        <v>134</v>
      </c>
      <c r="E1418">
        <v>111.5</v>
      </c>
      <c r="G1418">
        <v>6</v>
      </c>
      <c r="H1418" s="5">
        <v>46055</v>
      </c>
      <c r="I1418" t="s">
        <v>160</v>
      </c>
      <c r="J1418">
        <v>1820.16</v>
      </c>
      <c r="N1418"/>
      <c r="S1418"/>
      <c r="X1418"/>
    </row>
    <row r="1419" spans="2:24" ht="18.75">
      <c r="B1419">
        <v>52</v>
      </c>
      <c r="C1419" s="5">
        <v>46013</v>
      </c>
      <c r="D1419" t="s">
        <v>136</v>
      </c>
      <c r="E1419">
        <v>48.72</v>
      </c>
      <c r="G1419">
        <v>6</v>
      </c>
      <c r="H1419" s="5">
        <v>46055</v>
      </c>
      <c r="I1419" t="s">
        <v>165</v>
      </c>
      <c r="J1419">
        <v>101.4</v>
      </c>
      <c r="N1419"/>
      <c r="S1419"/>
      <c r="X1419"/>
    </row>
    <row r="1420" spans="2:24" ht="18.75">
      <c r="B1420">
        <v>52</v>
      </c>
      <c r="C1420" s="5">
        <v>46013</v>
      </c>
      <c r="D1420" t="s">
        <v>138</v>
      </c>
      <c r="E1420">
        <v>224.06</v>
      </c>
      <c r="G1420">
        <v>6</v>
      </c>
      <c r="H1420" s="5">
        <v>46055</v>
      </c>
      <c r="I1420" t="s">
        <v>198</v>
      </c>
      <c r="J1420">
        <v>177.6</v>
      </c>
      <c r="N1420"/>
      <c r="S1420"/>
      <c r="X1420"/>
    </row>
    <row r="1421" spans="2:24" ht="18.75">
      <c r="B1421">
        <v>52</v>
      </c>
      <c r="C1421" s="5">
        <v>46013</v>
      </c>
      <c r="D1421" t="s">
        <v>142</v>
      </c>
      <c r="E1421">
        <v>63.79</v>
      </c>
      <c r="G1421">
        <v>6</v>
      </c>
      <c r="H1421" s="5">
        <v>46055</v>
      </c>
      <c r="I1421" t="s">
        <v>171</v>
      </c>
      <c r="J1421">
        <v>206.57</v>
      </c>
      <c r="N1421"/>
      <c r="S1421"/>
      <c r="X1421"/>
    </row>
    <row r="1422" spans="2:24" ht="18.75">
      <c r="B1422">
        <v>52</v>
      </c>
      <c r="C1422" s="5">
        <v>46013</v>
      </c>
      <c r="D1422" t="s">
        <v>139</v>
      </c>
      <c r="E1422">
        <v>225.91</v>
      </c>
      <c r="G1422">
        <v>6</v>
      </c>
      <c r="H1422" s="5">
        <v>46055</v>
      </c>
      <c r="I1422" t="s">
        <v>169</v>
      </c>
      <c r="J1422">
        <v>541.24</v>
      </c>
      <c r="N1422"/>
      <c r="S1422"/>
      <c r="X1422"/>
    </row>
    <row r="1423" spans="2:24" ht="18.75">
      <c r="B1423">
        <v>52</v>
      </c>
      <c r="C1423" s="5">
        <v>46013</v>
      </c>
      <c r="D1423" t="s">
        <v>143</v>
      </c>
      <c r="E1423">
        <v>890.63</v>
      </c>
      <c r="G1423">
        <v>6</v>
      </c>
      <c r="H1423" s="5">
        <v>46055</v>
      </c>
      <c r="I1423" t="s">
        <v>164</v>
      </c>
      <c r="J1423">
        <v>22.8</v>
      </c>
      <c r="N1423"/>
      <c r="S1423"/>
      <c r="X1423"/>
    </row>
    <row r="1424" spans="2:24" ht="18.75">
      <c r="B1424">
        <v>52</v>
      </c>
      <c r="C1424" s="5">
        <v>46013</v>
      </c>
      <c r="D1424" t="s">
        <v>145</v>
      </c>
      <c r="E1424">
        <v>81.09</v>
      </c>
      <c r="G1424">
        <v>6</v>
      </c>
      <c r="H1424" s="5">
        <v>46055</v>
      </c>
      <c r="I1424" t="s">
        <v>176</v>
      </c>
      <c r="J1424">
        <v>62.64</v>
      </c>
      <c r="N1424"/>
      <c r="S1424"/>
      <c r="X1424"/>
    </row>
    <row r="1425" spans="2:24" ht="18.75">
      <c r="B1425">
        <v>52</v>
      </c>
      <c r="C1425" s="5">
        <v>46013</v>
      </c>
      <c r="D1425" t="s">
        <v>146</v>
      </c>
      <c r="E1425">
        <v>185.73</v>
      </c>
      <c r="G1425">
        <v>6</v>
      </c>
      <c r="H1425" s="5">
        <v>46055</v>
      </c>
      <c r="I1425" t="s">
        <v>163</v>
      </c>
      <c r="J1425">
        <v>16.77</v>
      </c>
      <c r="N1425"/>
      <c r="S1425"/>
      <c r="X1425"/>
    </row>
    <row r="1426" spans="2:24" ht="18.75">
      <c r="B1426">
        <v>52</v>
      </c>
      <c r="C1426" s="5">
        <v>46013</v>
      </c>
      <c r="D1426" t="s">
        <v>148</v>
      </c>
      <c r="E1426">
        <v>28.62</v>
      </c>
      <c r="G1426">
        <v>6</v>
      </c>
      <c r="H1426" s="5">
        <v>46055</v>
      </c>
      <c r="I1426" t="s">
        <v>168</v>
      </c>
      <c r="J1426">
        <v>55.76</v>
      </c>
      <c r="N1426"/>
      <c r="S1426"/>
      <c r="X1426"/>
    </row>
    <row r="1427" spans="2:24" ht="18.75">
      <c r="B1427">
        <v>52</v>
      </c>
      <c r="C1427" s="5">
        <v>46013</v>
      </c>
      <c r="D1427" t="s">
        <v>147</v>
      </c>
      <c r="E1427">
        <v>147.28</v>
      </c>
      <c r="G1427">
        <v>6</v>
      </c>
      <c r="H1427" s="5">
        <v>46055</v>
      </c>
      <c r="I1427" t="s">
        <v>172</v>
      </c>
      <c r="J1427">
        <v>11.94</v>
      </c>
      <c r="N1427"/>
      <c r="S1427"/>
      <c r="X1427"/>
    </row>
    <row r="1428" spans="2:24" ht="18.75">
      <c r="B1428">
        <v>52</v>
      </c>
      <c r="C1428" s="5">
        <v>46013</v>
      </c>
      <c r="D1428" t="s">
        <v>151</v>
      </c>
      <c r="E1428">
        <v>246.53</v>
      </c>
      <c r="G1428">
        <v>6</v>
      </c>
      <c r="H1428" s="5">
        <v>46055</v>
      </c>
      <c r="I1428" t="s">
        <v>173</v>
      </c>
      <c r="J1428">
        <v>167.05</v>
      </c>
      <c r="N1428"/>
      <c r="S1428"/>
      <c r="X1428"/>
    </row>
    <row r="1429" spans="2:24" ht="18.75">
      <c r="B1429">
        <v>52</v>
      </c>
      <c r="C1429" s="5">
        <v>46013</v>
      </c>
      <c r="D1429" t="s">
        <v>129</v>
      </c>
      <c r="E1429">
        <v>282.56</v>
      </c>
      <c r="G1429">
        <v>6</v>
      </c>
      <c r="H1429" s="5">
        <v>46055</v>
      </c>
      <c r="I1429" t="s">
        <v>175</v>
      </c>
      <c r="J1429">
        <v>96.6</v>
      </c>
      <c r="N1429"/>
      <c r="S1429"/>
      <c r="X1429"/>
    </row>
    <row r="1430" spans="2:24" ht="18.75">
      <c r="B1430">
        <v>52</v>
      </c>
      <c r="C1430" s="5">
        <v>46013</v>
      </c>
      <c r="D1430" t="s">
        <v>141</v>
      </c>
      <c r="E1430">
        <v>174.99</v>
      </c>
      <c r="G1430">
        <v>6</v>
      </c>
      <c r="H1430" s="5">
        <v>46055</v>
      </c>
      <c r="I1430" t="s">
        <v>158</v>
      </c>
      <c r="J1430">
        <v>133.32</v>
      </c>
      <c r="N1430"/>
      <c r="S1430"/>
      <c r="X1430"/>
    </row>
    <row r="1431" spans="2:24" ht="18.75">
      <c r="B1431">
        <v>52</v>
      </c>
      <c r="C1431" s="5">
        <v>46013</v>
      </c>
      <c r="D1431" t="s">
        <v>125</v>
      </c>
      <c r="E1431">
        <v>21.82</v>
      </c>
      <c r="G1431">
        <v>6</v>
      </c>
      <c r="H1431" s="5">
        <v>46055</v>
      </c>
      <c r="I1431" t="s">
        <v>174</v>
      </c>
      <c r="J1431">
        <v>121.22</v>
      </c>
      <c r="N1431"/>
      <c r="S1431"/>
      <c r="X1431"/>
    </row>
    <row r="1432" spans="2:24" ht="18.75">
      <c r="B1432">
        <v>52</v>
      </c>
      <c r="C1432" s="5">
        <v>46013</v>
      </c>
      <c r="D1432" t="s">
        <v>135</v>
      </c>
      <c r="E1432">
        <v>24.82</v>
      </c>
      <c r="G1432">
        <v>6</v>
      </c>
      <c r="H1432" s="5">
        <v>46055</v>
      </c>
      <c r="I1432" t="s">
        <v>170</v>
      </c>
      <c r="J1432">
        <v>20</v>
      </c>
      <c r="N1432"/>
      <c r="S1432"/>
      <c r="X1432"/>
    </row>
    <row r="1433" spans="2:24" ht="18.75">
      <c r="B1433">
        <v>52</v>
      </c>
      <c r="C1433" s="5">
        <v>46013</v>
      </c>
      <c r="D1433" t="s">
        <v>137</v>
      </c>
      <c r="E1433">
        <v>26.52</v>
      </c>
      <c r="G1433">
        <v>7</v>
      </c>
      <c r="H1433" s="5">
        <v>46062</v>
      </c>
      <c r="I1433" t="s">
        <v>160</v>
      </c>
      <c r="J1433">
        <v>500.84</v>
      </c>
      <c r="N1433"/>
      <c r="S1433"/>
      <c r="X1433"/>
    </row>
    <row r="1434" spans="2:24" ht="18.75">
      <c r="B1434">
        <v>52</v>
      </c>
      <c r="C1434" s="5">
        <v>46013</v>
      </c>
      <c r="D1434" t="s">
        <v>140</v>
      </c>
      <c r="E1434">
        <v>27.37</v>
      </c>
      <c r="G1434">
        <v>7</v>
      </c>
      <c r="H1434" s="5">
        <v>46062</v>
      </c>
      <c r="I1434" t="s">
        <v>158</v>
      </c>
      <c r="J1434">
        <v>48.48</v>
      </c>
      <c r="N1434"/>
      <c r="S1434"/>
      <c r="X1434"/>
    </row>
    <row r="1435" spans="2:24" ht="18.75">
      <c r="B1435">
        <v>52</v>
      </c>
      <c r="C1435" s="5">
        <v>46013</v>
      </c>
      <c r="D1435" t="s">
        <v>149</v>
      </c>
      <c r="E1435">
        <v>66.489999999999995</v>
      </c>
      <c r="G1435">
        <v>7</v>
      </c>
      <c r="H1435" s="5">
        <v>46062</v>
      </c>
      <c r="I1435" t="s">
        <v>165</v>
      </c>
      <c r="J1435">
        <v>0</v>
      </c>
      <c r="N1435"/>
      <c r="S1435"/>
      <c r="X1435"/>
    </row>
    <row r="1436" spans="2:24" ht="18.75">
      <c r="B1436">
        <v>52</v>
      </c>
      <c r="C1436" s="5">
        <v>46013</v>
      </c>
      <c r="D1436" t="s">
        <v>150</v>
      </c>
      <c r="E1436">
        <v>37.159999999999997</v>
      </c>
      <c r="G1436">
        <v>7</v>
      </c>
      <c r="H1436" s="5">
        <v>46062</v>
      </c>
      <c r="I1436" t="s">
        <v>174</v>
      </c>
      <c r="J1436">
        <v>68.16</v>
      </c>
      <c r="N1436"/>
      <c r="S1436"/>
      <c r="X1436"/>
    </row>
    <row r="1437" spans="2:24" ht="18.75">
      <c r="B1437">
        <v>52</v>
      </c>
      <c r="C1437" s="5">
        <v>46013</v>
      </c>
      <c r="D1437" t="s">
        <v>126</v>
      </c>
      <c r="E1437">
        <v>20.91</v>
      </c>
      <c r="G1437">
        <v>7</v>
      </c>
      <c r="H1437" s="5">
        <v>46062</v>
      </c>
      <c r="I1437" t="s">
        <v>171</v>
      </c>
      <c r="J1437">
        <v>77.84</v>
      </c>
      <c r="N1437"/>
      <c r="S1437"/>
      <c r="X1437"/>
    </row>
    <row r="1438" spans="2:24" ht="18.75">
      <c r="B1438">
        <v>1</v>
      </c>
      <c r="C1438" s="5">
        <v>46020</v>
      </c>
      <c r="D1438" t="s">
        <v>111</v>
      </c>
      <c r="E1438">
        <v>53.09</v>
      </c>
      <c r="G1438">
        <v>7</v>
      </c>
      <c r="H1438" s="5">
        <v>46062</v>
      </c>
      <c r="I1438" t="s">
        <v>169</v>
      </c>
      <c r="J1438">
        <v>213.89</v>
      </c>
      <c r="N1438"/>
      <c r="S1438"/>
      <c r="X1438"/>
    </row>
    <row r="1439" spans="2:24" ht="18.75">
      <c r="B1439">
        <v>1</v>
      </c>
      <c r="C1439" s="5">
        <v>46020</v>
      </c>
      <c r="D1439" t="s">
        <v>112</v>
      </c>
      <c r="E1439">
        <v>36.44</v>
      </c>
      <c r="G1439">
        <v>7</v>
      </c>
      <c r="H1439" s="5">
        <v>46062</v>
      </c>
      <c r="I1439" t="s">
        <v>176</v>
      </c>
      <c r="J1439">
        <v>1.2</v>
      </c>
      <c r="N1439"/>
      <c r="S1439"/>
      <c r="X1439"/>
    </row>
    <row r="1440" spans="2:24" ht="18.75">
      <c r="B1440">
        <v>1</v>
      </c>
      <c r="C1440" s="5">
        <v>46020</v>
      </c>
      <c r="D1440" t="s">
        <v>113</v>
      </c>
      <c r="E1440">
        <v>62.61</v>
      </c>
      <c r="G1440">
        <v>7</v>
      </c>
      <c r="H1440" s="5">
        <v>46062</v>
      </c>
      <c r="I1440" t="s">
        <v>168</v>
      </c>
      <c r="J1440">
        <v>72.510000000000005</v>
      </c>
      <c r="N1440"/>
      <c r="S1440"/>
      <c r="X1440"/>
    </row>
    <row r="1441" spans="2:24" ht="18.75">
      <c r="B1441">
        <v>1</v>
      </c>
      <c r="C1441" s="5">
        <v>46020</v>
      </c>
      <c r="D1441" t="s">
        <v>114</v>
      </c>
      <c r="E1441">
        <v>68.709999999999994</v>
      </c>
      <c r="G1441">
        <v>7</v>
      </c>
      <c r="H1441" s="5">
        <v>46062</v>
      </c>
      <c r="I1441" t="s">
        <v>201</v>
      </c>
      <c r="J1441">
        <v>9.24</v>
      </c>
      <c r="N1441"/>
      <c r="S1441"/>
      <c r="X1441"/>
    </row>
    <row r="1442" spans="2:24" ht="18.75">
      <c r="B1442">
        <v>1</v>
      </c>
      <c r="C1442" s="5">
        <v>46020</v>
      </c>
      <c r="D1442" t="s">
        <v>117</v>
      </c>
      <c r="E1442">
        <v>71.2</v>
      </c>
      <c r="G1442">
        <v>7</v>
      </c>
      <c r="H1442" s="5">
        <v>46062</v>
      </c>
      <c r="I1442" t="s">
        <v>172</v>
      </c>
      <c r="J1442">
        <v>3.98</v>
      </c>
      <c r="N1442"/>
      <c r="S1442"/>
      <c r="X1442"/>
    </row>
    <row r="1443" spans="2:24" ht="18.75">
      <c r="B1443">
        <v>1</v>
      </c>
      <c r="C1443" s="5">
        <v>46020</v>
      </c>
      <c r="D1443" t="s">
        <v>118</v>
      </c>
      <c r="E1443">
        <v>51.86</v>
      </c>
      <c r="G1443">
        <v>7</v>
      </c>
      <c r="H1443" s="5">
        <v>46062</v>
      </c>
      <c r="I1443" t="s">
        <v>173</v>
      </c>
      <c r="J1443">
        <v>80.849999999999994</v>
      </c>
      <c r="N1443"/>
      <c r="S1443"/>
      <c r="X1443"/>
    </row>
    <row r="1444" spans="2:24" ht="18.75">
      <c r="B1444">
        <v>1</v>
      </c>
      <c r="C1444" s="5">
        <v>46020</v>
      </c>
      <c r="D1444" t="s">
        <v>119</v>
      </c>
      <c r="E1444">
        <v>168.81</v>
      </c>
      <c r="G1444">
        <v>7</v>
      </c>
      <c r="H1444" s="5">
        <v>46062</v>
      </c>
      <c r="I1444" t="s">
        <v>175</v>
      </c>
      <c r="J1444">
        <v>9</v>
      </c>
      <c r="N1444"/>
      <c r="S1444"/>
      <c r="X1444"/>
    </row>
    <row r="1445" spans="2:24" ht="18.75">
      <c r="B1445">
        <v>1</v>
      </c>
      <c r="C1445" s="5">
        <v>46020</v>
      </c>
      <c r="D1445" t="s">
        <v>120</v>
      </c>
      <c r="E1445">
        <v>49.46</v>
      </c>
      <c r="G1445">
        <v>8</v>
      </c>
      <c r="H1445" s="5">
        <v>46069</v>
      </c>
      <c r="I1445" t="s">
        <v>160</v>
      </c>
      <c r="J1445">
        <v>4403.16</v>
      </c>
      <c r="N1445"/>
      <c r="S1445"/>
      <c r="X1445"/>
    </row>
    <row r="1446" spans="2:24" ht="18.75">
      <c r="B1446">
        <v>1</v>
      </c>
      <c r="C1446" s="5">
        <v>46020</v>
      </c>
      <c r="D1446" t="s">
        <v>121</v>
      </c>
      <c r="E1446">
        <v>34.479999999999997</v>
      </c>
      <c r="G1446">
        <v>8</v>
      </c>
      <c r="H1446" s="5">
        <v>46069</v>
      </c>
      <c r="I1446" t="s">
        <v>158</v>
      </c>
      <c r="J1446">
        <v>464.6</v>
      </c>
      <c r="N1446"/>
      <c r="S1446"/>
      <c r="X1446"/>
    </row>
    <row r="1447" spans="2:24" ht="18.75">
      <c r="B1447">
        <v>1</v>
      </c>
      <c r="C1447" s="5">
        <v>46020</v>
      </c>
      <c r="D1447" t="s">
        <v>122</v>
      </c>
      <c r="E1447">
        <v>114.3</v>
      </c>
      <c r="G1447">
        <v>8</v>
      </c>
      <c r="H1447" s="5">
        <v>46069</v>
      </c>
      <c r="I1447" t="s">
        <v>165</v>
      </c>
      <c r="J1447">
        <v>228.5</v>
      </c>
      <c r="N1447"/>
      <c r="S1447"/>
      <c r="X1447"/>
    </row>
    <row r="1448" spans="2:24" ht="18.75">
      <c r="B1448">
        <v>1</v>
      </c>
      <c r="C1448" s="5">
        <v>46020</v>
      </c>
      <c r="D1448" t="s">
        <v>123</v>
      </c>
      <c r="E1448">
        <v>203.92</v>
      </c>
      <c r="G1448">
        <v>8</v>
      </c>
      <c r="H1448" s="5">
        <v>46069</v>
      </c>
      <c r="I1448" t="s">
        <v>198</v>
      </c>
      <c r="J1448">
        <v>327.25</v>
      </c>
      <c r="N1448"/>
      <c r="S1448"/>
      <c r="X1448"/>
    </row>
    <row r="1449" spans="2:24" ht="18.75">
      <c r="B1449">
        <v>1</v>
      </c>
      <c r="C1449" s="5">
        <v>46020</v>
      </c>
      <c r="D1449" t="s">
        <v>124</v>
      </c>
      <c r="E1449">
        <v>149.02000000000001</v>
      </c>
      <c r="G1449">
        <v>8</v>
      </c>
      <c r="H1449" s="5">
        <v>46069</v>
      </c>
      <c r="I1449" t="s">
        <v>171</v>
      </c>
      <c r="J1449">
        <v>672.12</v>
      </c>
      <c r="N1449"/>
      <c r="S1449"/>
      <c r="X1449"/>
    </row>
    <row r="1450" spans="2:24" ht="18.75">
      <c r="B1450">
        <v>1</v>
      </c>
      <c r="C1450" s="5">
        <v>46020</v>
      </c>
      <c r="D1450" t="s">
        <v>126</v>
      </c>
      <c r="E1450">
        <v>21.24</v>
      </c>
      <c r="G1450">
        <v>8</v>
      </c>
      <c r="H1450" s="5">
        <v>46069</v>
      </c>
      <c r="I1450" t="s">
        <v>174</v>
      </c>
      <c r="J1450">
        <v>388</v>
      </c>
      <c r="N1450"/>
      <c r="S1450"/>
      <c r="X1450"/>
    </row>
    <row r="1451" spans="2:24" ht="18.75">
      <c r="B1451">
        <v>1</v>
      </c>
      <c r="C1451" s="5">
        <v>46020</v>
      </c>
      <c r="D1451" t="s">
        <v>132</v>
      </c>
      <c r="E1451">
        <v>66.760000000000005</v>
      </c>
      <c r="G1451">
        <v>8</v>
      </c>
      <c r="H1451" s="5">
        <v>46069</v>
      </c>
      <c r="I1451" t="s">
        <v>169</v>
      </c>
      <c r="J1451">
        <v>2087.71</v>
      </c>
      <c r="N1451"/>
      <c r="S1451"/>
      <c r="X1451"/>
    </row>
    <row r="1452" spans="2:24" ht="18.75">
      <c r="B1452">
        <v>1</v>
      </c>
      <c r="C1452" s="5">
        <v>46020</v>
      </c>
      <c r="D1452" t="s">
        <v>133</v>
      </c>
      <c r="E1452">
        <v>134.91</v>
      </c>
      <c r="G1452">
        <v>8</v>
      </c>
      <c r="H1452" s="5">
        <v>46069</v>
      </c>
      <c r="I1452" t="s">
        <v>176</v>
      </c>
      <c r="J1452">
        <v>141.96</v>
      </c>
      <c r="N1452"/>
      <c r="S1452"/>
      <c r="X1452"/>
    </row>
    <row r="1453" spans="2:24" ht="18.75">
      <c r="B1453">
        <v>1</v>
      </c>
      <c r="C1453" s="5">
        <v>46020</v>
      </c>
      <c r="D1453" t="s">
        <v>134</v>
      </c>
      <c r="E1453">
        <v>125.65</v>
      </c>
      <c r="G1453">
        <v>8</v>
      </c>
      <c r="H1453" s="5">
        <v>46069</v>
      </c>
      <c r="I1453" t="s">
        <v>163</v>
      </c>
      <c r="J1453">
        <v>290.25</v>
      </c>
      <c r="N1453"/>
      <c r="S1453"/>
      <c r="X1453"/>
    </row>
    <row r="1454" spans="2:24" ht="18.75">
      <c r="B1454">
        <v>1</v>
      </c>
      <c r="C1454" s="5">
        <v>46020</v>
      </c>
      <c r="D1454" t="s">
        <v>138</v>
      </c>
      <c r="E1454">
        <v>215.28</v>
      </c>
      <c r="G1454">
        <v>8</v>
      </c>
      <c r="H1454" s="5">
        <v>46069</v>
      </c>
      <c r="I1454" t="s">
        <v>168</v>
      </c>
      <c r="J1454">
        <v>250.36</v>
      </c>
      <c r="N1454"/>
      <c r="S1454"/>
      <c r="X1454"/>
    </row>
    <row r="1455" spans="2:24" ht="18.75">
      <c r="B1455">
        <v>1</v>
      </c>
      <c r="C1455" s="5">
        <v>46020</v>
      </c>
      <c r="D1455" t="s">
        <v>139</v>
      </c>
      <c r="E1455">
        <v>215.1</v>
      </c>
      <c r="G1455">
        <v>8</v>
      </c>
      <c r="H1455" s="5">
        <v>46069</v>
      </c>
      <c r="I1455" t="s">
        <v>201</v>
      </c>
      <c r="J1455">
        <v>129.36000000000001</v>
      </c>
      <c r="N1455"/>
      <c r="S1455"/>
      <c r="X1455"/>
    </row>
    <row r="1456" spans="2:24" ht="18.75">
      <c r="B1456">
        <v>1</v>
      </c>
      <c r="C1456" s="5">
        <v>46020</v>
      </c>
      <c r="D1456" t="s">
        <v>143</v>
      </c>
      <c r="E1456">
        <v>688.35</v>
      </c>
      <c r="G1456">
        <v>8</v>
      </c>
      <c r="H1456" s="5">
        <v>46069</v>
      </c>
      <c r="I1456" t="s">
        <v>173</v>
      </c>
      <c r="J1456">
        <v>800.7</v>
      </c>
      <c r="N1456"/>
      <c r="S1456"/>
      <c r="X1456"/>
    </row>
    <row r="1457" spans="2:24" ht="18.75">
      <c r="B1457">
        <v>1</v>
      </c>
      <c r="C1457" s="5">
        <v>46020</v>
      </c>
      <c r="D1457" t="s">
        <v>145</v>
      </c>
      <c r="E1457">
        <v>65.239999999999995</v>
      </c>
      <c r="G1457">
        <v>8</v>
      </c>
      <c r="H1457" s="5">
        <v>46069</v>
      </c>
      <c r="I1457" t="s">
        <v>172</v>
      </c>
      <c r="J1457">
        <v>5.97</v>
      </c>
      <c r="N1457"/>
      <c r="S1457"/>
      <c r="X1457"/>
    </row>
    <row r="1458" spans="2:24" ht="18.75">
      <c r="B1458">
        <v>1</v>
      </c>
      <c r="C1458" s="5">
        <v>46020</v>
      </c>
      <c r="D1458" t="s">
        <v>146</v>
      </c>
      <c r="E1458">
        <v>149.36000000000001</v>
      </c>
      <c r="G1458">
        <v>9</v>
      </c>
      <c r="H1458" s="5">
        <v>46076</v>
      </c>
      <c r="I1458" t="s">
        <v>160</v>
      </c>
      <c r="J1458">
        <v>4541</v>
      </c>
      <c r="N1458"/>
      <c r="S1458"/>
      <c r="X1458"/>
    </row>
    <row r="1459" spans="2:24" ht="18.75">
      <c r="B1459">
        <v>1</v>
      </c>
      <c r="C1459" s="5">
        <v>46020</v>
      </c>
      <c r="D1459" t="s">
        <v>148</v>
      </c>
      <c r="E1459">
        <v>27.92</v>
      </c>
      <c r="G1459">
        <v>9</v>
      </c>
      <c r="H1459" s="5">
        <v>46076</v>
      </c>
      <c r="I1459" t="s">
        <v>171</v>
      </c>
      <c r="J1459">
        <v>719.95</v>
      </c>
      <c r="N1459"/>
      <c r="S1459"/>
      <c r="X1459"/>
    </row>
    <row r="1460" spans="2:24" ht="18.75">
      <c r="B1460">
        <v>1</v>
      </c>
      <c r="C1460" s="5">
        <v>46020</v>
      </c>
      <c r="D1460" t="s">
        <v>147</v>
      </c>
      <c r="E1460">
        <v>127.05</v>
      </c>
      <c r="G1460">
        <v>9</v>
      </c>
      <c r="H1460" s="5">
        <v>46076</v>
      </c>
      <c r="I1460" t="s">
        <v>198</v>
      </c>
      <c r="J1460">
        <v>380.8</v>
      </c>
      <c r="N1460"/>
      <c r="S1460"/>
      <c r="X1460"/>
    </row>
    <row r="1461" spans="2:24" ht="18.75">
      <c r="B1461">
        <v>1</v>
      </c>
      <c r="C1461" s="5">
        <v>46020</v>
      </c>
      <c r="D1461" t="s">
        <v>149</v>
      </c>
      <c r="E1461">
        <v>92.19</v>
      </c>
      <c r="G1461">
        <v>9</v>
      </c>
      <c r="H1461" s="5">
        <v>46076</v>
      </c>
      <c r="I1461" t="s">
        <v>169</v>
      </c>
      <c r="J1461">
        <v>2196.65</v>
      </c>
      <c r="N1461"/>
      <c r="S1461"/>
      <c r="X1461"/>
    </row>
    <row r="1462" spans="2:24" ht="18.75">
      <c r="B1462">
        <v>1</v>
      </c>
      <c r="C1462" s="5">
        <v>46020</v>
      </c>
      <c r="D1462" t="s">
        <v>151</v>
      </c>
      <c r="E1462">
        <v>222.12</v>
      </c>
      <c r="G1462">
        <v>9</v>
      </c>
      <c r="H1462" s="5">
        <v>46076</v>
      </c>
      <c r="I1462" t="s">
        <v>176</v>
      </c>
      <c r="J1462">
        <v>137.16</v>
      </c>
      <c r="N1462"/>
      <c r="S1462"/>
      <c r="X1462"/>
    </row>
    <row r="1463" spans="2:24" ht="18.75">
      <c r="B1463">
        <v>1</v>
      </c>
      <c r="C1463" s="5">
        <v>46020</v>
      </c>
      <c r="D1463" t="s">
        <v>116</v>
      </c>
      <c r="E1463">
        <v>20.100000000000001</v>
      </c>
      <c r="G1463">
        <v>9</v>
      </c>
      <c r="H1463" s="5">
        <v>46076</v>
      </c>
      <c r="I1463" t="s">
        <v>163</v>
      </c>
      <c r="J1463">
        <v>272.19</v>
      </c>
      <c r="N1463"/>
      <c r="S1463"/>
      <c r="X1463"/>
    </row>
    <row r="1464" spans="2:24" ht="18.75">
      <c r="B1464">
        <v>1</v>
      </c>
      <c r="C1464" s="5">
        <v>46020</v>
      </c>
      <c r="D1464" t="s">
        <v>125</v>
      </c>
      <c r="E1464">
        <v>16.02</v>
      </c>
      <c r="G1464">
        <v>9</v>
      </c>
      <c r="H1464" s="5">
        <v>46076</v>
      </c>
      <c r="I1464" t="s">
        <v>201</v>
      </c>
      <c r="J1464">
        <v>172.48</v>
      </c>
      <c r="N1464"/>
      <c r="S1464"/>
      <c r="X1464"/>
    </row>
    <row r="1465" spans="2:24" ht="18.75">
      <c r="B1465">
        <v>1</v>
      </c>
      <c r="C1465" s="5">
        <v>46020</v>
      </c>
      <c r="D1465" t="s">
        <v>127</v>
      </c>
      <c r="E1465">
        <v>53.95</v>
      </c>
      <c r="G1465">
        <v>9</v>
      </c>
      <c r="H1465" s="5">
        <v>46076</v>
      </c>
      <c r="I1465" t="s">
        <v>168</v>
      </c>
      <c r="J1465">
        <v>295.42</v>
      </c>
      <c r="N1465"/>
      <c r="S1465"/>
      <c r="X1465"/>
    </row>
    <row r="1466" spans="2:24" ht="18.75">
      <c r="B1466">
        <v>1</v>
      </c>
      <c r="C1466" s="5">
        <v>46020</v>
      </c>
      <c r="D1466" t="s">
        <v>129</v>
      </c>
      <c r="E1466">
        <v>216.34</v>
      </c>
      <c r="G1466">
        <v>9</v>
      </c>
      <c r="H1466" s="5">
        <v>46076</v>
      </c>
      <c r="I1466" t="s">
        <v>173</v>
      </c>
      <c r="J1466">
        <v>595.04999999999995</v>
      </c>
      <c r="N1466"/>
      <c r="S1466"/>
      <c r="X1466"/>
    </row>
    <row r="1467" spans="2:24" ht="18.75">
      <c r="B1467">
        <v>1</v>
      </c>
      <c r="C1467" s="5">
        <v>46020</v>
      </c>
      <c r="D1467" t="s">
        <v>135</v>
      </c>
      <c r="E1467">
        <v>16.02</v>
      </c>
      <c r="G1467">
        <v>9</v>
      </c>
      <c r="H1467" s="5">
        <v>46076</v>
      </c>
      <c r="I1467" t="s">
        <v>158</v>
      </c>
      <c r="J1467">
        <v>573.67999999999995</v>
      </c>
      <c r="N1467"/>
      <c r="S1467"/>
      <c r="X1467"/>
    </row>
    <row r="1468" spans="2:24" ht="18.75">
      <c r="B1468">
        <v>1</v>
      </c>
      <c r="C1468" s="5">
        <v>46020</v>
      </c>
      <c r="D1468" t="s">
        <v>136</v>
      </c>
      <c r="E1468">
        <v>16.02</v>
      </c>
      <c r="G1468">
        <v>9</v>
      </c>
      <c r="H1468" s="5">
        <v>46076</v>
      </c>
      <c r="I1468" t="s">
        <v>165</v>
      </c>
      <c r="J1468">
        <v>124.5</v>
      </c>
      <c r="N1468"/>
      <c r="S1468"/>
      <c r="X1468"/>
    </row>
    <row r="1469" spans="2:24" ht="18.75">
      <c r="B1469">
        <v>1</v>
      </c>
      <c r="C1469" s="5">
        <v>46020</v>
      </c>
      <c r="D1469" t="s">
        <v>137</v>
      </c>
      <c r="E1469">
        <v>16.02</v>
      </c>
      <c r="G1469">
        <v>9</v>
      </c>
      <c r="H1469" s="5">
        <v>46076</v>
      </c>
      <c r="I1469" t="s">
        <v>174</v>
      </c>
      <c r="J1469">
        <v>362.16</v>
      </c>
      <c r="N1469"/>
      <c r="S1469"/>
      <c r="X1469"/>
    </row>
    <row r="1470" spans="2:24" ht="18.75">
      <c r="B1470">
        <v>2</v>
      </c>
      <c r="C1470" s="5">
        <v>46027</v>
      </c>
      <c r="D1470" t="s">
        <v>111</v>
      </c>
      <c r="E1470">
        <v>171.13</v>
      </c>
      <c r="G1470">
        <v>9</v>
      </c>
      <c r="H1470" s="5">
        <v>46076</v>
      </c>
      <c r="I1470" t="s">
        <v>170</v>
      </c>
      <c r="J1470">
        <v>6</v>
      </c>
      <c r="N1470"/>
      <c r="S1470"/>
      <c r="X1470"/>
    </row>
    <row r="1471" spans="2:24" ht="18.75">
      <c r="B1471">
        <v>2</v>
      </c>
      <c r="C1471" s="5">
        <v>46027</v>
      </c>
      <c r="D1471" t="s">
        <v>112</v>
      </c>
      <c r="E1471">
        <v>84.76</v>
      </c>
      <c r="G1471">
        <v>9</v>
      </c>
      <c r="H1471" s="5">
        <v>46076</v>
      </c>
      <c r="I1471" t="s">
        <v>172</v>
      </c>
      <c r="J1471">
        <v>57.71</v>
      </c>
      <c r="N1471"/>
      <c r="S1471"/>
      <c r="X1471"/>
    </row>
    <row r="1472" spans="2:24" ht="18.75">
      <c r="B1472">
        <v>2</v>
      </c>
      <c r="C1472" s="5">
        <v>46027</v>
      </c>
      <c r="D1472" t="s">
        <v>113</v>
      </c>
      <c r="E1472">
        <v>159.91999999999999</v>
      </c>
      <c r="G1472">
        <v>10</v>
      </c>
      <c r="H1472" s="5">
        <v>46083</v>
      </c>
      <c r="I1472" t="s">
        <v>160</v>
      </c>
      <c r="J1472">
        <v>4847.32</v>
      </c>
      <c r="N1472"/>
      <c r="S1472"/>
      <c r="X1472"/>
    </row>
    <row r="1473" spans="2:24" ht="18.75">
      <c r="B1473">
        <v>2</v>
      </c>
      <c r="C1473" s="5">
        <v>46027</v>
      </c>
      <c r="D1473" t="s">
        <v>114</v>
      </c>
      <c r="E1473">
        <v>298.45999999999998</v>
      </c>
      <c r="G1473">
        <v>10</v>
      </c>
      <c r="H1473" s="5">
        <v>46083</v>
      </c>
      <c r="I1473" t="s">
        <v>158</v>
      </c>
      <c r="J1473">
        <v>682.76</v>
      </c>
      <c r="N1473"/>
      <c r="S1473"/>
      <c r="X1473"/>
    </row>
    <row r="1474" spans="2:24" ht="18.75">
      <c r="B1474">
        <v>2</v>
      </c>
      <c r="C1474" s="5">
        <v>46027</v>
      </c>
      <c r="D1474" t="s">
        <v>116</v>
      </c>
      <c r="E1474">
        <v>77.040000000000006</v>
      </c>
      <c r="G1474">
        <v>10</v>
      </c>
      <c r="H1474" s="5">
        <v>46083</v>
      </c>
      <c r="I1474" t="s">
        <v>165</v>
      </c>
      <c r="J1474">
        <v>146.69999999999999</v>
      </c>
      <c r="N1474"/>
      <c r="S1474"/>
      <c r="X1474"/>
    </row>
    <row r="1475" spans="2:24" ht="18.75">
      <c r="B1475">
        <v>2</v>
      </c>
      <c r="C1475" s="5">
        <v>46027</v>
      </c>
      <c r="D1475" t="s">
        <v>117</v>
      </c>
      <c r="E1475">
        <v>228.55</v>
      </c>
      <c r="G1475">
        <v>10</v>
      </c>
      <c r="H1475" s="5">
        <v>46083</v>
      </c>
      <c r="I1475" t="s">
        <v>198</v>
      </c>
      <c r="J1475">
        <v>301.92</v>
      </c>
      <c r="N1475"/>
      <c r="S1475"/>
      <c r="X1475"/>
    </row>
    <row r="1476" spans="2:24" ht="18.75">
      <c r="B1476">
        <v>2</v>
      </c>
      <c r="C1476" s="5">
        <v>46027</v>
      </c>
      <c r="D1476" t="s">
        <v>118</v>
      </c>
      <c r="E1476">
        <v>119.59</v>
      </c>
      <c r="G1476">
        <v>10</v>
      </c>
      <c r="H1476" s="5">
        <v>46083</v>
      </c>
      <c r="I1476" t="s">
        <v>174</v>
      </c>
      <c r="J1476">
        <v>979.95</v>
      </c>
      <c r="N1476"/>
      <c r="S1476"/>
      <c r="X1476"/>
    </row>
    <row r="1477" spans="2:24" ht="18.75">
      <c r="B1477">
        <v>2</v>
      </c>
      <c r="C1477" s="5">
        <v>46027</v>
      </c>
      <c r="D1477" t="s">
        <v>119</v>
      </c>
      <c r="E1477">
        <v>434.75</v>
      </c>
      <c r="G1477">
        <v>10</v>
      </c>
      <c r="H1477" s="5">
        <v>46083</v>
      </c>
      <c r="I1477" t="s">
        <v>171</v>
      </c>
      <c r="J1477">
        <v>450.8</v>
      </c>
      <c r="N1477"/>
      <c r="S1477"/>
      <c r="X1477"/>
    </row>
    <row r="1478" spans="2:24" ht="18.75">
      <c r="B1478">
        <v>2</v>
      </c>
      <c r="C1478" s="5">
        <v>46027</v>
      </c>
      <c r="D1478" t="s">
        <v>120</v>
      </c>
      <c r="E1478">
        <v>143.26</v>
      </c>
      <c r="G1478">
        <v>10</v>
      </c>
      <c r="H1478" s="5">
        <v>46083</v>
      </c>
      <c r="I1478" t="s">
        <v>169</v>
      </c>
      <c r="J1478">
        <v>2169.88</v>
      </c>
      <c r="N1478"/>
      <c r="S1478"/>
      <c r="X1478"/>
    </row>
    <row r="1479" spans="2:24" ht="18.75">
      <c r="B1479">
        <v>2</v>
      </c>
      <c r="C1479" s="5">
        <v>46027</v>
      </c>
      <c r="D1479" t="s">
        <v>121</v>
      </c>
      <c r="E1479">
        <v>77.45</v>
      </c>
      <c r="G1479">
        <v>10</v>
      </c>
      <c r="H1479" s="5">
        <v>46083</v>
      </c>
      <c r="I1479" t="s">
        <v>176</v>
      </c>
      <c r="J1479">
        <v>59.4</v>
      </c>
      <c r="N1479"/>
      <c r="S1479"/>
      <c r="X1479"/>
    </row>
    <row r="1480" spans="2:24" ht="18.75">
      <c r="B1480">
        <v>2</v>
      </c>
      <c r="C1480" s="5">
        <v>46027</v>
      </c>
      <c r="D1480" t="s">
        <v>122</v>
      </c>
      <c r="E1480">
        <v>251.76</v>
      </c>
      <c r="G1480">
        <v>10</v>
      </c>
      <c r="H1480" s="5">
        <v>46083</v>
      </c>
      <c r="I1480" t="s">
        <v>170</v>
      </c>
      <c r="J1480">
        <v>184</v>
      </c>
      <c r="N1480"/>
      <c r="S1480"/>
      <c r="X1480"/>
    </row>
    <row r="1481" spans="2:24" ht="18.75">
      <c r="B1481">
        <v>2</v>
      </c>
      <c r="C1481" s="5">
        <v>46027</v>
      </c>
      <c r="D1481" t="s">
        <v>123</v>
      </c>
      <c r="E1481">
        <v>399.47</v>
      </c>
      <c r="G1481">
        <v>10</v>
      </c>
      <c r="H1481" s="5">
        <v>46083</v>
      </c>
      <c r="I1481" t="s">
        <v>163</v>
      </c>
      <c r="J1481">
        <v>307.02</v>
      </c>
      <c r="N1481"/>
      <c r="S1481"/>
      <c r="X1481"/>
    </row>
    <row r="1482" spans="2:24" ht="18.75">
      <c r="B1482">
        <v>2</v>
      </c>
      <c r="C1482" s="5">
        <v>46027</v>
      </c>
      <c r="D1482" t="s">
        <v>124</v>
      </c>
      <c r="E1482">
        <v>286.36</v>
      </c>
      <c r="G1482">
        <v>10</v>
      </c>
      <c r="H1482" s="5">
        <v>46083</v>
      </c>
      <c r="I1482" t="s">
        <v>168</v>
      </c>
      <c r="J1482">
        <v>323.98</v>
      </c>
      <c r="N1482"/>
      <c r="S1482"/>
      <c r="X1482"/>
    </row>
    <row r="1483" spans="2:24" ht="18.75">
      <c r="B1483">
        <v>2</v>
      </c>
      <c r="C1483" s="5">
        <v>46027</v>
      </c>
      <c r="D1483" t="s">
        <v>126</v>
      </c>
      <c r="E1483">
        <v>100.05</v>
      </c>
      <c r="G1483">
        <v>10</v>
      </c>
      <c r="H1483" s="5">
        <v>46083</v>
      </c>
      <c r="I1483" t="s">
        <v>204</v>
      </c>
      <c r="J1483">
        <v>0.62</v>
      </c>
      <c r="N1483"/>
      <c r="S1483"/>
      <c r="X1483"/>
    </row>
    <row r="1484" spans="2:24" ht="18.75">
      <c r="B1484">
        <v>2</v>
      </c>
      <c r="C1484" s="5">
        <v>46027</v>
      </c>
      <c r="D1484" t="s">
        <v>129</v>
      </c>
      <c r="E1484">
        <v>421.35</v>
      </c>
      <c r="G1484">
        <v>10</v>
      </c>
      <c r="H1484" s="5">
        <v>46083</v>
      </c>
      <c r="I1484" t="s">
        <v>201</v>
      </c>
      <c r="J1484">
        <v>141.68</v>
      </c>
      <c r="N1484"/>
      <c r="S1484"/>
      <c r="X1484"/>
    </row>
    <row r="1485" spans="2:24" ht="18.75">
      <c r="B1485">
        <v>2</v>
      </c>
      <c r="C1485" s="5">
        <v>46027</v>
      </c>
      <c r="D1485" t="s">
        <v>132</v>
      </c>
      <c r="E1485">
        <v>179.52</v>
      </c>
      <c r="G1485">
        <v>10</v>
      </c>
      <c r="H1485" s="5">
        <v>46083</v>
      </c>
      <c r="I1485" t="s">
        <v>172</v>
      </c>
      <c r="J1485">
        <v>33.83</v>
      </c>
      <c r="N1485"/>
      <c r="S1485"/>
      <c r="X1485"/>
    </row>
    <row r="1486" spans="2:24" ht="18.75">
      <c r="B1486">
        <v>2</v>
      </c>
      <c r="C1486" s="5">
        <v>46027</v>
      </c>
      <c r="D1486" t="s">
        <v>133</v>
      </c>
      <c r="E1486">
        <v>287.04000000000002</v>
      </c>
      <c r="G1486">
        <v>10</v>
      </c>
      <c r="H1486" s="5">
        <v>46083</v>
      </c>
      <c r="I1486" t="s">
        <v>173</v>
      </c>
      <c r="J1486">
        <v>840.75</v>
      </c>
      <c r="N1486"/>
      <c r="S1486"/>
      <c r="X1486"/>
    </row>
    <row r="1487" spans="2:24" ht="18.75">
      <c r="B1487">
        <v>2</v>
      </c>
      <c r="C1487" s="5">
        <v>46027</v>
      </c>
      <c r="D1487" t="s">
        <v>134</v>
      </c>
      <c r="E1487">
        <v>334.77</v>
      </c>
      <c r="G1487">
        <v>11</v>
      </c>
      <c r="H1487" s="5">
        <v>46090</v>
      </c>
      <c r="I1487" t="s">
        <v>160</v>
      </c>
      <c r="J1487">
        <v>2998.66</v>
      </c>
      <c r="N1487"/>
      <c r="S1487"/>
      <c r="X1487"/>
    </row>
    <row r="1488" spans="2:24" ht="18.75">
      <c r="B1488">
        <v>2</v>
      </c>
      <c r="C1488" s="5">
        <v>46027</v>
      </c>
      <c r="D1488" t="s">
        <v>138</v>
      </c>
      <c r="E1488">
        <v>482.27</v>
      </c>
      <c r="G1488">
        <v>11</v>
      </c>
      <c r="H1488" s="5">
        <v>46090</v>
      </c>
      <c r="I1488" t="s">
        <v>158</v>
      </c>
      <c r="J1488">
        <v>343.4</v>
      </c>
      <c r="N1488"/>
      <c r="S1488"/>
      <c r="X1488"/>
    </row>
    <row r="1489" spans="2:24" ht="18.75">
      <c r="B1489">
        <v>2</v>
      </c>
      <c r="C1489" s="5">
        <v>46027</v>
      </c>
      <c r="D1489" t="s">
        <v>140</v>
      </c>
      <c r="E1489">
        <v>85.7</v>
      </c>
      <c r="G1489">
        <v>11</v>
      </c>
      <c r="H1489" s="5">
        <v>46090</v>
      </c>
      <c r="I1489" t="s">
        <v>165</v>
      </c>
      <c r="J1489">
        <v>28.2</v>
      </c>
      <c r="N1489"/>
      <c r="S1489"/>
      <c r="X1489"/>
    </row>
    <row r="1490" spans="2:24" ht="18.75">
      <c r="B1490">
        <v>2</v>
      </c>
      <c r="C1490" s="5">
        <v>46027</v>
      </c>
      <c r="D1490" t="s">
        <v>141</v>
      </c>
      <c r="E1490">
        <v>425.62</v>
      </c>
      <c r="G1490">
        <v>11</v>
      </c>
      <c r="H1490" s="5">
        <v>46090</v>
      </c>
      <c r="I1490" t="s">
        <v>171</v>
      </c>
      <c r="J1490">
        <v>285</v>
      </c>
      <c r="N1490"/>
      <c r="S1490"/>
      <c r="X1490"/>
    </row>
    <row r="1491" spans="2:24" ht="18.75">
      <c r="B1491">
        <v>2</v>
      </c>
      <c r="C1491" s="5">
        <v>46027</v>
      </c>
      <c r="D1491" t="s">
        <v>142</v>
      </c>
      <c r="E1491">
        <v>151.94</v>
      </c>
      <c r="G1491">
        <v>11</v>
      </c>
      <c r="H1491" s="5">
        <v>46090</v>
      </c>
      <c r="I1491" t="s">
        <v>174</v>
      </c>
      <c r="J1491">
        <v>703.38</v>
      </c>
      <c r="N1491"/>
      <c r="S1491"/>
      <c r="X1491"/>
    </row>
    <row r="1492" spans="2:24" ht="18.75">
      <c r="B1492">
        <v>2</v>
      </c>
      <c r="C1492" s="5">
        <v>46027</v>
      </c>
      <c r="D1492" t="s">
        <v>139</v>
      </c>
      <c r="E1492">
        <v>225.83</v>
      </c>
      <c r="G1492">
        <v>11</v>
      </c>
      <c r="H1492" s="5">
        <v>46090</v>
      </c>
      <c r="I1492" t="s">
        <v>198</v>
      </c>
      <c r="J1492">
        <v>297.5</v>
      </c>
      <c r="N1492"/>
      <c r="S1492"/>
      <c r="X1492"/>
    </row>
    <row r="1493" spans="2:24" ht="18.75">
      <c r="B1493">
        <v>2</v>
      </c>
      <c r="C1493" s="5">
        <v>46027</v>
      </c>
      <c r="D1493" t="s">
        <v>143</v>
      </c>
      <c r="E1493">
        <v>1409.33</v>
      </c>
      <c r="G1493">
        <v>11</v>
      </c>
      <c r="H1493" s="5">
        <v>46090</v>
      </c>
      <c r="I1493" t="s">
        <v>169</v>
      </c>
      <c r="J1493">
        <v>1170.3699999999999</v>
      </c>
      <c r="N1493"/>
      <c r="S1493"/>
      <c r="X1493"/>
    </row>
    <row r="1494" spans="2:24" ht="18.75">
      <c r="B1494">
        <v>2</v>
      </c>
      <c r="C1494" s="5">
        <v>46027</v>
      </c>
      <c r="D1494" t="s">
        <v>145</v>
      </c>
      <c r="E1494">
        <v>320.94</v>
      </c>
      <c r="G1494">
        <v>11</v>
      </c>
      <c r="H1494" s="5">
        <v>46090</v>
      </c>
      <c r="I1494" t="s">
        <v>176</v>
      </c>
      <c r="J1494">
        <v>93.36</v>
      </c>
      <c r="N1494"/>
      <c r="S1494"/>
      <c r="X1494"/>
    </row>
    <row r="1495" spans="2:24" ht="18.75">
      <c r="B1495">
        <v>2</v>
      </c>
      <c r="C1495" s="5">
        <v>46027</v>
      </c>
      <c r="D1495" t="s">
        <v>146</v>
      </c>
      <c r="E1495">
        <v>676.23</v>
      </c>
      <c r="G1495">
        <v>11</v>
      </c>
      <c r="H1495" s="5">
        <v>46090</v>
      </c>
      <c r="I1495" t="s">
        <v>170</v>
      </c>
      <c r="J1495">
        <v>48</v>
      </c>
      <c r="N1495"/>
      <c r="S1495"/>
      <c r="X1495"/>
    </row>
    <row r="1496" spans="2:24" ht="18.75">
      <c r="B1496">
        <v>2</v>
      </c>
      <c r="C1496" s="5">
        <v>46027</v>
      </c>
      <c r="D1496" t="s">
        <v>148</v>
      </c>
      <c r="E1496">
        <v>101.26</v>
      </c>
      <c r="G1496">
        <v>11</v>
      </c>
      <c r="H1496" s="5">
        <v>46090</v>
      </c>
      <c r="I1496" t="s">
        <v>163</v>
      </c>
      <c r="J1496">
        <v>134.16</v>
      </c>
      <c r="N1496"/>
      <c r="S1496"/>
      <c r="X1496"/>
    </row>
    <row r="1497" spans="2:24" ht="18.75">
      <c r="B1497">
        <v>2</v>
      </c>
      <c r="C1497" s="5">
        <v>46027</v>
      </c>
      <c r="D1497" t="s">
        <v>147</v>
      </c>
      <c r="E1497">
        <v>265.98</v>
      </c>
      <c r="G1497">
        <v>11</v>
      </c>
      <c r="H1497" s="5">
        <v>46090</v>
      </c>
      <c r="I1497" t="s">
        <v>168</v>
      </c>
      <c r="J1497">
        <v>182.01</v>
      </c>
      <c r="N1497"/>
      <c r="S1497"/>
      <c r="X1497"/>
    </row>
    <row r="1498" spans="2:24" ht="18.75">
      <c r="B1498">
        <v>2</v>
      </c>
      <c r="C1498" s="5">
        <v>46027</v>
      </c>
      <c r="D1498" t="s">
        <v>150</v>
      </c>
      <c r="E1498">
        <v>83.55</v>
      </c>
      <c r="G1498">
        <v>11</v>
      </c>
      <c r="H1498" s="5">
        <v>46090</v>
      </c>
      <c r="I1498" t="s">
        <v>201</v>
      </c>
      <c r="J1498">
        <v>77</v>
      </c>
      <c r="N1498"/>
      <c r="S1498"/>
      <c r="X1498"/>
    </row>
    <row r="1499" spans="2:24" ht="18.75">
      <c r="B1499">
        <v>2</v>
      </c>
      <c r="C1499" s="5">
        <v>46027</v>
      </c>
      <c r="D1499" t="s">
        <v>151</v>
      </c>
      <c r="E1499">
        <v>585.16</v>
      </c>
      <c r="G1499">
        <v>11</v>
      </c>
      <c r="H1499" s="5">
        <v>46090</v>
      </c>
      <c r="I1499" t="s">
        <v>172</v>
      </c>
      <c r="J1499">
        <v>15.92</v>
      </c>
      <c r="N1499"/>
      <c r="S1499"/>
      <c r="X1499"/>
    </row>
    <row r="1500" spans="2:24" ht="18.75">
      <c r="B1500">
        <v>2</v>
      </c>
      <c r="C1500" s="5">
        <v>46027</v>
      </c>
      <c r="D1500" t="s">
        <v>125</v>
      </c>
      <c r="E1500">
        <v>54.96</v>
      </c>
      <c r="G1500">
        <v>11</v>
      </c>
      <c r="H1500" s="5">
        <v>46090</v>
      </c>
      <c r="I1500" t="s">
        <v>173</v>
      </c>
      <c r="J1500">
        <v>531.15</v>
      </c>
      <c r="N1500"/>
      <c r="S1500"/>
      <c r="X1500"/>
    </row>
    <row r="1501" spans="2:24" ht="18.75">
      <c r="B1501">
        <v>2</v>
      </c>
      <c r="C1501" s="5">
        <v>46027</v>
      </c>
      <c r="D1501" t="s">
        <v>135</v>
      </c>
      <c r="E1501">
        <v>62.68</v>
      </c>
      <c r="N1501"/>
      <c r="S1501"/>
      <c r="X1501"/>
    </row>
    <row r="1502" spans="2:24" ht="18.75">
      <c r="B1502">
        <v>2</v>
      </c>
      <c r="C1502" s="5">
        <v>46027</v>
      </c>
      <c r="D1502" t="s">
        <v>136</v>
      </c>
      <c r="E1502">
        <v>66.17</v>
      </c>
      <c r="N1502"/>
      <c r="S1502"/>
      <c r="X1502"/>
    </row>
    <row r="1503" spans="2:24" ht="18.75">
      <c r="B1503">
        <v>2</v>
      </c>
      <c r="C1503" s="5">
        <v>46027</v>
      </c>
      <c r="D1503" t="s">
        <v>137</v>
      </c>
      <c r="E1503">
        <v>55.6</v>
      </c>
      <c r="N1503"/>
      <c r="S1503"/>
      <c r="X1503"/>
    </row>
    <row r="1504" spans="2:24" ht="18.75">
      <c r="B1504">
        <v>2</v>
      </c>
      <c r="C1504" s="5">
        <v>46027</v>
      </c>
      <c r="D1504" t="s">
        <v>149</v>
      </c>
      <c r="E1504">
        <v>177.61</v>
      </c>
      <c r="N1504"/>
      <c r="S1504"/>
      <c r="X1504"/>
    </row>
    <row r="1505" spans="2:24" ht="18.75">
      <c r="B1505">
        <v>2</v>
      </c>
      <c r="C1505" s="5">
        <v>46027</v>
      </c>
      <c r="D1505" t="s">
        <v>127</v>
      </c>
      <c r="E1505">
        <v>158.38999999999999</v>
      </c>
      <c r="N1505"/>
      <c r="S1505"/>
      <c r="X1505"/>
    </row>
    <row r="1506" spans="2:24" ht="18.75">
      <c r="B1506">
        <v>3</v>
      </c>
      <c r="C1506" s="5">
        <v>46034</v>
      </c>
      <c r="D1506" t="s">
        <v>111</v>
      </c>
      <c r="E1506">
        <v>116.8</v>
      </c>
      <c r="N1506"/>
      <c r="S1506"/>
      <c r="X1506"/>
    </row>
    <row r="1507" spans="2:24" ht="18.75">
      <c r="B1507">
        <v>3</v>
      </c>
      <c r="C1507" s="5">
        <v>46034</v>
      </c>
      <c r="D1507" t="s">
        <v>112</v>
      </c>
      <c r="E1507">
        <v>71.42</v>
      </c>
      <c r="N1507"/>
      <c r="S1507"/>
      <c r="X1507"/>
    </row>
    <row r="1508" spans="2:24" ht="18.75">
      <c r="B1508">
        <v>3</v>
      </c>
      <c r="C1508" s="5">
        <v>46034</v>
      </c>
      <c r="D1508" t="s">
        <v>114</v>
      </c>
      <c r="E1508">
        <v>164.37</v>
      </c>
      <c r="N1508"/>
      <c r="S1508"/>
      <c r="X1508"/>
    </row>
    <row r="1509" spans="2:24" ht="18.75">
      <c r="B1509">
        <v>3</v>
      </c>
      <c r="C1509" s="5">
        <v>46034</v>
      </c>
      <c r="D1509" t="s">
        <v>116</v>
      </c>
      <c r="E1509">
        <v>82.86</v>
      </c>
      <c r="N1509"/>
      <c r="S1509"/>
      <c r="X1509"/>
    </row>
    <row r="1510" spans="2:24" ht="18.75">
      <c r="B1510">
        <v>3</v>
      </c>
      <c r="C1510" s="5">
        <v>46034</v>
      </c>
      <c r="D1510" t="s">
        <v>117</v>
      </c>
      <c r="E1510">
        <v>145.71</v>
      </c>
      <c r="N1510"/>
      <c r="S1510"/>
      <c r="X1510"/>
    </row>
    <row r="1511" spans="2:24" ht="18.75">
      <c r="B1511">
        <v>3</v>
      </c>
      <c r="C1511" s="5">
        <v>46034</v>
      </c>
      <c r="D1511" t="s">
        <v>119</v>
      </c>
      <c r="E1511">
        <v>233.73</v>
      </c>
      <c r="N1511"/>
      <c r="S1511"/>
      <c r="X1511"/>
    </row>
    <row r="1512" spans="2:24" ht="18.75">
      <c r="B1512">
        <v>3</v>
      </c>
      <c r="C1512" s="5">
        <v>46034</v>
      </c>
      <c r="D1512" t="s">
        <v>120</v>
      </c>
      <c r="E1512">
        <v>122.14</v>
      </c>
      <c r="N1512"/>
      <c r="S1512"/>
      <c r="X1512"/>
    </row>
    <row r="1513" spans="2:24" ht="18.75">
      <c r="B1513">
        <v>3</v>
      </c>
      <c r="C1513" s="5">
        <v>46034</v>
      </c>
      <c r="D1513" t="s">
        <v>122</v>
      </c>
      <c r="E1513">
        <v>224.08</v>
      </c>
      <c r="N1513"/>
      <c r="S1513"/>
      <c r="X1513"/>
    </row>
    <row r="1514" spans="2:24" ht="18.75">
      <c r="B1514">
        <v>3</v>
      </c>
      <c r="C1514" s="5">
        <v>46034</v>
      </c>
      <c r="D1514" t="s">
        <v>123</v>
      </c>
      <c r="E1514">
        <v>473.42</v>
      </c>
      <c r="N1514"/>
      <c r="S1514"/>
      <c r="X1514"/>
    </row>
    <row r="1515" spans="2:24" ht="18.75">
      <c r="B1515">
        <v>3</v>
      </c>
      <c r="C1515" s="5">
        <v>46034</v>
      </c>
      <c r="D1515" t="s">
        <v>124</v>
      </c>
      <c r="E1515">
        <v>392.45</v>
      </c>
      <c r="N1515"/>
      <c r="S1515"/>
      <c r="X1515"/>
    </row>
    <row r="1516" spans="2:24" ht="18.75">
      <c r="B1516">
        <v>3</v>
      </c>
      <c r="C1516" s="5">
        <v>46034</v>
      </c>
      <c r="D1516" t="s">
        <v>126</v>
      </c>
      <c r="E1516">
        <v>157.22999999999999</v>
      </c>
      <c r="N1516"/>
      <c r="S1516"/>
      <c r="X1516"/>
    </row>
    <row r="1517" spans="2:24" ht="18.75">
      <c r="B1517">
        <v>3</v>
      </c>
      <c r="C1517" s="5">
        <v>46034</v>
      </c>
      <c r="D1517" t="s">
        <v>129</v>
      </c>
      <c r="E1517">
        <v>279.38</v>
      </c>
      <c r="N1517"/>
      <c r="S1517"/>
      <c r="X1517"/>
    </row>
    <row r="1518" spans="2:24" ht="18.75">
      <c r="B1518">
        <v>3</v>
      </c>
      <c r="C1518" s="5">
        <v>46034</v>
      </c>
      <c r="D1518" t="s">
        <v>132</v>
      </c>
      <c r="E1518">
        <v>221.51</v>
      </c>
      <c r="N1518"/>
      <c r="S1518"/>
      <c r="X1518"/>
    </row>
    <row r="1519" spans="2:24" ht="18.75">
      <c r="B1519">
        <v>3</v>
      </c>
      <c r="C1519" s="5">
        <v>46034</v>
      </c>
      <c r="D1519" t="s">
        <v>133</v>
      </c>
      <c r="E1519">
        <v>196.9</v>
      </c>
      <c r="N1519"/>
      <c r="S1519"/>
      <c r="X1519"/>
    </row>
    <row r="1520" spans="2:24" ht="18.75">
      <c r="B1520">
        <v>3</v>
      </c>
      <c r="C1520" s="5">
        <v>46034</v>
      </c>
      <c r="D1520" t="s">
        <v>134</v>
      </c>
      <c r="E1520">
        <v>208.68</v>
      </c>
      <c r="N1520"/>
      <c r="S1520"/>
      <c r="X1520"/>
    </row>
    <row r="1521" spans="2:24" ht="18.75">
      <c r="B1521">
        <v>3</v>
      </c>
      <c r="C1521" s="5">
        <v>46034</v>
      </c>
      <c r="D1521" t="s">
        <v>138</v>
      </c>
      <c r="E1521">
        <v>282.61</v>
      </c>
      <c r="N1521"/>
      <c r="S1521"/>
      <c r="X1521"/>
    </row>
    <row r="1522" spans="2:24" ht="18.75">
      <c r="B1522">
        <v>3</v>
      </c>
      <c r="C1522" s="5">
        <v>46034</v>
      </c>
      <c r="D1522" t="s">
        <v>140</v>
      </c>
      <c r="E1522">
        <v>70.069999999999993</v>
      </c>
      <c r="N1522"/>
      <c r="S1522"/>
      <c r="X1522"/>
    </row>
    <row r="1523" spans="2:24" ht="18.75">
      <c r="B1523">
        <v>3</v>
      </c>
      <c r="C1523" s="5">
        <v>46034</v>
      </c>
      <c r="D1523" t="s">
        <v>141</v>
      </c>
      <c r="E1523">
        <v>355.46</v>
      </c>
      <c r="N1523"/>
      <c r="S1523"/>
      <c r="X1523"/>
    </row>
    <row r="1524" spans="2:24" ht="18.75">
      <c r="B1524">
        <v>3</v>
      </c>
      <c r="C1524" s="5">
        <v>46034</v>
      </c>
      <c r="D1524" t="s">
        <v>142</v>
      </c>
      <c r="E1524">
        <v>164.77</v>
      </c>
      <c r="N1524"/>
      <c r="S1524"/>
      <c r="X1524"/>
    </row>
    <row r="1525" spans="2:24" ht="18.75">
      <c r="B1525">
        <v>3</v>
      </c>
      <c r="C1525" s="5">
        <v>46034</v>
      </c>
      <c r="D1525" t="s">
        <v>139</v>
      </c>
      <c r="E1525">
        <v>210.79</v>
      </c>
      <c r="N1525"/>
      <c r="S1525"/>
      <c r="X1525"/>
    </row>
    <row r="1526" spans="2:24" ht="18.75">
      <c r="B1526">
        <v>3</v>
      </c>
      <c r="C1526" s="5">
        <v>46034</v>
      </c>
      <c r="D1526" t="s">
        <v>143</v>
      </c>
      <c r="E1526">
        <v>1217.28</v>
      </c>
      <c r="N1526"/>
      <c r="S1526"/>
      <c r="X1526"/>
    </row>
    <row r="1527" spans="2:24" ht="18.75">
      <c r="B1527">
        <v>3</v>
      </c>
      <c r="C1527" s="5">
        <v>46034</v>
      </c>
      <c r="D1527" t="s">
        <v>145</v>
      </c>
      <c r="E1527">
        <v>181.44</v>
      </c>
      <c r="N1527"/>
      <c r="S1527"/>
      <c r="X1527"/>
    </row>
    <row r="1528" spans="2:24" ht="18.75">
      <c r="B1528">
        <v>3</v>
      </c>
      <c r="C1528" s="5">
        <v>46034</v>
      </c>
      <c r="D1528" t="s">
        <v>221</v>
      </c>
      <c r="E1528">
        <v>283.08999999999997</v>
      </c>
      <c r="N1528"/>
      <c r="S1528"/>
      <c r="X1528"/>
    </row>
    <row r="1529" spans="2:24" ht="18.75">
      <c r="B1529">
        <v>3</v>
      </c>
      <c r="C1529" s="5">
        <v>46034</v>
      </c>
      <c r="D1529" t="s">
        <v>146</v>
      </c>
      <c r="E1529">
        <v>337.22</v>
      </c>
      <c r="N1529"/>
      <c r="S1529"/>
      <c r="X1529"/>
    </row>
    <row r="1530" spans="2:24" ht="18.75">
      <c r="B1530">
        <v>3</v>
      </c>
      <c r="C1530" s="5">
        <v>46034</v>
      </c>
      <c r="D1530" t="s">
        <v>147</v>
      </c>
      <c r="E1530">
        <v>288.81</v>
      </c>
      <c r="N1530"/>
      <c r="S1530"/>
      <c r="X1530"/>
    </row>
    <row r="1531" spans="2:24" ht="18.75">
      <c r="B1531">
        <v>3</v>
      </c>
      <c r="C1531" s="5">
        <v>46034</v>
      </c>
      <c r="D1531" t="s">
        <v>151</v>
      </c>
      <c r="E1531">
        <v>330.79</v>
      </c>
      <c r="N1531"/>
      <c r="S1531"/>
      <c r="X1531"/>
    </row>
    <row r="1532" spans="2:24" ht="18.75">
      <c r="B1532">
        <v>3</v>
      </c>
      <c r="C1532" s="5">
        <v>46034</v>
      </c>
      <c r="D1532" t="s">
        <v>113</v>
      </c>
      <c r="E1532">
        <v>259.39</v>
      </c>
      <c r="N1532"/>
      <c r="S1532"/>
      <c r="X1532"/>
    </row>
    <row r="1533" spans="2:24" ht="18.75">
      <c r="B1533">
        <v>3</v>
      </c>
      <c r="C1533" s="5">
        <v>46034</v>
      </c>
      <c r="D1533" t="s">
        <v>118</v>
      </c>
      <c r="E1533">
        <v>127.74</v>
      </c>
      <c r="N1533"/>
      <c r="S1533"/>
      <c r="X1533"/>
    </row>
    <row r="1534" spans="2:24" ht="18.75">
      <c r="B1534">
        <v>3</v>
      </c>
      <c r="C1534" s="5">
        <v>46034</v>
      </c>
      <c r="D1534" t="s">
        <v>125</v>
      </c>
      <c r="E1534">
        <v>57.29</v>
      </c>
      <c r="N1534"/>
      <c r="S1534"/>
      <c r="X1534"/>
    </row>
    <row r="1535" spans="2:24" ht="18.75">
      <c r="B1535">
        <v>3</v>
      </c>
      <c r="C1535" s="5">
        <v>46034</v>
      </c>
      <c r="D1535" t="s">
        <v>135</v>
      </c>
      <c r="E1535">
        <v>62.38</v>
      </c>
      <c r="N1535"/>
      <c r="S1535"/>
      <c r="X1535"/>
    </row>
    <row r="1536" spans="2:24" ht="18.75">
      <c r="B1536">
        <v>3</v>
      </c>
      <c r="C1536" s="5">
        <v>46034</v>
      </c>
      <c r="D1536" t="s">
        <v>136</v>
      </c>
      <c r="E1536">
        <v>87.49</v>
      </c>
      <c r="N1536"/>
      <c r="S1536"/>
      <c r="X1536"/>
    </row>
    <row r="1537" spans="2:24" ht="18.75">
      <c r="B1537">
        <v>3</v>
      </c>
      <c r="C1537" s="5">
        <v>46034</v>
      </c>
      <c r="D1537" t="s">
        <v>137</v>
      </c>
      <c r="E1537">
        <v>53.73</v>
      </c>
      <c r="N1537"/>
      <c r="S1537"/>
      <c r="X1537"/>
    </row>
    <row r="1538" spans="2:24" ht="18.75">
      <c r="B1538">
        <v>3</v>
      </c>
      <c r="C1538" s="5">
        <v>46034</v>
      </c>
      <c r="D1538" t="s">
        <v>148</v>
      </c>
      <c r="E1538">
        <v>63.11</v>
      </c>
      <c r="N1538"/>
      <c r="S1538"/>
      <c r="X1538"/>
    </row>
    <row r="1539" spans="2:24" ht="18.75">
      <c r="B1539">
        <v>3</v>
      </c>
      <c r="C1539" s="5">
        <v>46034</v>
      </c>
      <c r="D1539" t="s">
        <v>150</v>
      </c>
      <c r="E1539">
        <v>64.87</v>
      </c>
      <c r="N1539"/>
      <c r="S1539"/>
      <c r="X1539"/>
    </row>
    <row r="1540" spans="2:24" ht="18.75">
      <c r="B1540">
        <v>3</v>
      </c>
      <c r="C1540" s="5">
        <v>46034</v>
      </c>
      <c r="D1540" t="s">
        <v>127</v>
      </c>
      <c r="E1540">
        <v>179.37</v>
      </c>
      <c r="N1540"/>
      <c r="S1540"/>
      <c r="X1540"/>
    </row>
    <row r="1541" spans="2:24" ht="18.75">
      <c r="B1541">
        <v>3</v>
      </c>
      <c r="C1541" s="5">
        <v>46034</v>
      </c>
      <c r="D1541" t="s">
        <v>149</v>
      </c>
      <c r="E1541">
        <v>149.27000000000001</v>
      </c>
      <c r="N1541"/>
      <c r="S1541"/>
      <c r="X1541"/>
    </row>
    <row r="1542" spans="2:24" ht="18.75">
      <c r="B1542">
        <v>4</v>
      </c>
      <c r="C1542" s="5">
        <v>46041</v>
      </c>
      <c r="D1542" t="s">
        <v>111</v>
      </c>
      <c r="E1542">
        <v>154.96</v>
      </c>
      <c r="N1542"/>
      <c r="S1542"/>
      <c r="X1542"/>
    </row>
    <row r="1543" spans="2:24" ht="18.75">
      <c r="B1543">
        <v>4</v>
      </c>
      <c r="C1543" s="5">
        <v>46041</v>
      </c>
      <c r="D1543" t="s">
        <v>112</v>
      </c>
      <c r="E1543">
        <v>108.87</v>
      </c>
      <c r="N1543"/>
      <c r="S1543"/>
      <c r="X1543"/>
    </row>
    <row r="1544" spans="2:24" ht="18.75">
      <c r="B1544">
        <v>4</v>
      </c>
      <c r="C1544" s="5">
        <v>46041</v>
      </c>
      <c r="D1544" t="s">
        <v>113</v>
      </c>
      <c r="E1544">
        <v>191.42</v>
      </c>
      <c r="N1544"/>
      <c r="S1544"/>
      <c r="X1544"/>
    </row>
    <row r="1545" spans="2:24" ht="18.75">
      <c r="B1545">
        <v>4</v>
      </c>
      <c r="C1545" s="5">
        <v>46041</v>
      </c>
      <c r="D1545" t="s">
        <v>114</v>
      </c>
      <c r="E1545">
        <v>207.75</v>
      </c>
      <c r="N1545"/>
      <c r="S1545"/>
      <c r="X1545"/>
    </row>
    <row r="1546" spans="2:24" ht="18.75">
      <c r="B1546">
        <v>4</v>
      </c>
      <c r="C1546" s="5">
        <v>46041</v>
      </c>
      <c r="D1546" t="s">
        <v>116</v>
      </c>
      <c r="E1546">
        <v>99.84</v>
      </c>
      <c r="N1546"/>
      <c r="S1546"/>
      <c r="X1546"/>
    </row>
    <row r="1547" spans="2:24" ht="18.75">
      <c r="B1547">
        <v>4</v>
      </c>
      <c r="C1547" s="5">
        <v>46041</v>
      </c>
      <c r="D1547" t="s">
        <v>117</v>
      </c>
      <c r="E1547">
        <v>151.32</v>
      </c>
      <c r="N1547"/>
      <c r="S1547"/>
      <c r="X1547"/>
    </row>
    <row r="1548" spans="2:24" ht="18.75">
      <c r="B1548">
        <v>4</v>
      </c>
      <c r="C1548" s="5">
        <v>46041</v>
      </c>
      <c r="D1548" t="s">
        <v>118</v>
      </c>
      <c r="E1548">
        <v>160.84</v>
      </c>
      <c r="N1548"/>
      <c r="S1548"/>
      <c r="X1548"/>
    </row>
    <row r="1549" spans="2:24" ht="18.75">
      <c r="B1549">
        <v>4</v>
      </c>
      <c r="C1549" s="5">
        <v>46041</v>
      </c>
      <c r="D1549" t="s">
        <v>119</v>
      </c>
      <c r="E1549">
        <v>271.33</v>
      </c>
      <c r="N1549"/>
      <c r="S1549"/>
      <c r="X1549"/>
    </row>
    <row r="1550" spans="2:24" ht="18.75">
      <c r="B1550">
        <v>4</v>
      </c>
      <c r="C1550" s="5">
        <v>46041</v>
      </c>
      <c r="D1550" t="s">
        <v>120</v>
      </c>
      <c r="E1550">
        <v>138.51</v>
      </c>
      <c r="N1550"/>
      <c r="S1550"/>
      <c r="X1550"/>
    </row>
    <row r="1551" spans="2:24" ht="18.75">
      <c r="B1551">
        <v>4</v>
      </c>
      <c r="C1551" s="5">
        <v>46041</v>
      </c>
      <c r="D1551" t="s">
        <v>121</v>
      </c>
      <c r="E1551">
        <v>147.24</v>
      </c>
      <c r="N1551"/>
      <c r="S1551"/>
      <c r="X1551"/>
    </row>
    <row r="1552" spans="2:24" ht="18.75">
      <c r="B1552">
        <v>4</v>
      </c>
      <c r="C1552" s="5">
        <v>46041</v>
      </c>
      <c r="D1552" t="s">
        <v>122</v>
      </c>
      <c r="E1552">
        <v>245.6</v>
      </c>
      <c r="N1552"/>
      <c r="S1552"/>
      <c r="X1552"/>
    </row>
    <row r="1553" spans="2:24" ht="18.75">
      <c r="B1553">
        <v>4</v>
      </c>
      <c r="C1553" s="5">
        <v>46041</v>
      </c>
      <c r="D1553" t="s">
        <v>123</v>
      </c>
      <c r="E1553">
        <v>423.28</v>
      </c>
      <c r="N1553"/>
      <c r="S1553"/>
      <c r="X1553"/>
    </row>
    <row r="1554" spans="2:24" ht="18.75">
      <c r="B1554">
        <v>4</v>
      </c>
      <c r="C1554" s="5">
        <v>46041</v>
      </c>
      <c r="D1554" t="s">
        <v>124</v>
      </c>
      <c r="E1554">
        <v>381.03</v>
      </c>
      <c r="N1554"/>
      <c r="S1554"/>
      <c r="X1554"/>
    </row>
    <row r="1555" spans="2:24" ht="18.75">
      <c r="B1555">
        <v>4</v>
      </c>
      <c r="C1555" s="5">
        <v>46041</v>
      </c>
      <c r="D1555" t="s">
        <v>125</v>
      </c>
      <c r="E1555">
        <v>77.55</v>
      </c>
      <c r="N1555"/>
      <c r="S1555"/>
      <c r="X1555"/>
    </row>
    <row r="1556" spans="2:24" ht="18.75">
      <c r="B1556">
        <v>4</v>
      </c>
      <c r="C1556" s="5">
        <v>46041</v>
      </c>
      <c r="D1556" t="s">
        <v>126</v>
      </c>
      <c r="E1556">
        <v>155.13</v>
      </c>
      <c r="N1556"/>
      <c r="S1556"/>
      <c r="X1556"/>
    </row>
    <row r="1557" spans="2:24" ht="18.75">
      <c r="B1557">
        <v>4</v>
      </c>
      <c r="C1557" s="5">
        <v>46041</v>
      </c>
      <c r="D1557" t="s">
        <v>130</v>
      </c>
      <c r="E1557">
        <v>258.01</v>
      </c>
      <c r="N1557"/>
      <c r="S1557"/>
      <c r="X1557"/>
    </row>
    <row r="1558" spans="2:24" ht="18.75">
      <c r="B1558">
        <v>4</v>
      </c>
      <c r="C1558" s="5">
        <v>46041</v>
      </c>
      <c r="D1558" t="s">
        <v>132</v>
      </c>
      <c r="E1558">
        <v>227.96</v>
      </c>
      <c r="N1558"/>
      <c r="S1558"/>
      <c r="X1558"/>
    </row>
    <row r="1559" spans="2:24" ht="18.75">
      <c r="B1559">
        <v>4</v>
      </c>
      <c r="C1559" s="5">
        <v>46041</v>
      </c>
      <c r="D1559" t="s">
        <v>133</v>
      </c>
      <c r="E1559">
        <v>213.49</v>
      </c>
      <c r="N1559"/>
      <c r="S1559"/>
      <c r="X1559"/>
    </row>
    <row r="1560" spans="2:24" ht="18.75">
      <c r="B1560">
        <v>4</v>
      </c>
      <c r="C1560" s="5">
        <v>46041</v>
      </c>
      <c r="D1560" t="s">
        <v>134</v>
      </c>
      <c r="E1560">
        <v>222.56</v>
      </c>
      <c r="N1560"/>
      <c r="S1560"/>
      <c r="X1560"/>
    </row>
    <row r="1561" spans="2:24" ht="18.75">
      <c r="B1561">
        <v>4</v>
      </c>
      <c r="C1561" s="5">
        <v>46041</v>
      </c>
      <c r="D1561" t="s">
        <v>135</v>
      </c>
      <c r="E1561">
        <v>70.61</v>
      </c>
      <c r="N1561"/>
      <c r="S1561"/>
      <c r="X1561"/>
    </row>
    <row r="1562" spans="2:24" ht="18.75">
      <c r="B1562">
        <v>4</v>
      </c>
      <c r="C1562" s="5">
        <v>46041</v>
      </c>
      <c r="D1562" t="s">
        <v>136</v>
      </c>
      <c r="E1562">
        <v>152.79</v>
      </c>
      <c r="N1562"/>
      <c r="S1562"/>
      <c r="X1562"/>
    </row>
    <row r="1563" spans="2:24" ht="18.75">
      <c r="B1563">
        <v>4</v>
      </c>
      <c r="C1563" s="5">
        <v>46041</v>
      </c>
      <c r="D1563" t="s">
        <v>137</v>
      </c>
      <c r="E1563">
        <v>57.38</v>
      </c>
      <c r="N1563"/>
      <c r="S1563"/>
      <c r="X1563"/>
    </row>
    <row r="1564" spans="2:24" ht="18.75">
      <c r="B1564">
        <v>4</v>
      </c>
      <c r="C1564" s="5">
        <v>46041</v>
      </c>
      <c r="D1564" t="s">
        <v>138</v>
      </c>
      <c r="E1564">
        <v>318.99</v>
      </c>
      <c r="N1564"/>
      <c r="S1564"/>
      <c r="X1564"/>
    </row>
    <row r="1565" spans="2:24" ht="18.75">
      <c r="B1565">
        <v>4</v>
      </c>
      <c r="C1565" s="5">
        <v>46041</v>
      </c>
      <c r="D1565" t="s">
        <v>140</v>
      </c>
      <c r="E1565">
        <v>102.53</v>
      </c>
      <c r="N1565"/>
      <c r="S1565"/>
      <c r="X1565"/>
    </row>
    <row r="1566" spans="2:24" ht="18.75">
      <c r="B1566">
        <v>4</v>
      </c>
      <c r="C1566" s="5">
        <v>46041</v>
      </c>
      <c r="D1566" t="s">
        <v>141</v>
      </c>
      <c r="E1566">
        <v>332.39</v>
      </c>
      <c r="N1566"/>
      <c r="S1566"/>
      <c r="X1566"/>
    </row>
    <row r="1567" spans="2:24" ht="18.75">
      <c r="B1567">
        <v>4</v>
      </c>
      <c r="C1567" s="5">
        <v>46041</v>
      </c>
      <c r="D1567" t="s">
        <v>142</v>
      </c>
      <c r="E1567">
        <v>204.09</v>
      </c>
      <c r="N1567"/>
      <c r="S1567"/>
      <c r="X1567"/>
    </row>
    <row r="1568" spans="2:24" ht="18.75">
      <c r="B1568">
        <v>4</v>
      </c>
      <c r="C1568" s="5">
        <v>46041</v>
      </c>
      <c r="D1568" t="s">
        <v>139</v>
      </c>
      <c r="E1568">
        <v>237.18</v>
      </c>
      <c r="N1568"/>
      <c r="S1568"/>
      <c r="X1568"/>
    </row>
    <row r="1569" spans="2:24" ht="18.75">
      <c r="B1569">
        <v>4</v>
      </c>
      <c r="C1569" s="5">
        <v>46041</v>
      </c>
      <c r="D1569" t="s">
        <v>143</v>
      </c>
      <c r="E1569">
        <v>1139.99</v>
      </c>
      <c r="N1569"/>
      <c r="S1569"/>
      <c r="X1569"/>
    </row>
    <row r="1570" spans="2:24" ht="18.75">
      <c r="B1570">
        <v>4</v>
      </c>
      <c r="C1570" s="5">
        <v>46041</v>
      </c>
      <c r="D1570" t="s">
        <v>145</v>
      </c>
      <c r="E1570">
        <v>201.04</v>
      </c>
      <c r="N1570"/>
      <c r="S1570"/>
      <c r="X1570"/>
    </row>
    <row r="1571" spans="2:24" ht="18.75">
      <c r="B1571">
        <v>4</v>
      </c>
      <c r="C1571" s="5">
        <v>46041</v>
      </c>
      <c r="D1571" t="s">
        <v>146</v>
      </c>
      <c r="E1571">
        <v>390.24</v>
      </c>
      <c r="N1571"/>
      <c r="S1571"/>
      <c r="X1571"/>
    </row>
    <row r="1572" spans="2:24" ht="18.75">
      <c r="B1572">
        <v>4</v>
      </c>
      <c r="C1572" s="5">
        <v>46041</v>
      </c>
      <c r="D1572" t="s">
        <v>148</v>
      </c>
      <c r="E1572">
        <v>100.58</v>
      </c>
      <c r="N1572"/>
      <c r="S1572"/>
      <c r="X1572"/>
    </row>
    <row r="1573" spans="2:24" ht="18.75">
      <c r="B1573">
        <v>4</v>
      </c>
      <c r="C1573" s="5">
        <v>46041</v>
      </c>
      <c r="D1573" t="s">
        <v>147</v>
      </c>
      <c r="E1573">
        <v>286.42</v>
      </c>
      <c r="N1573"/>
      <c r="S1573"/>
      <c r="X1573"/>
    </row>
    <row r="1574" spans="2:24" ht="18.75">
      <c r="B1574">
        <v>4</v>
      </c>
      <c r="C1574" s="5">
        <v>46041</v>
      </c>
      <c r="D1574" t="s">
        <v>150</v>
      </c>
      <c r="E1574">
        <v>85.73</v>
      </c>
      <c r="N1574"/>
      <c r="S1574"/>
      <c r="X1574"/>
    </row>
    <row r="1575" spans="2:24" ht="18.75">
      <c r="B1575">
        <v>4</v>
      </c>
      <c r="C1575" s="5">
        <v>46041</v>
      </c>
      <c r="D1575" t="s">
        <v>151</v>
      </c>
      <c r="E1575">
        <v>316.2</v>
      </c>
      <c r="N1575"/>
      <c r="S1575"/>
      <c r="X1575"/>
    </row>
    <row r="1576" spans="2:24" ht="18.75">
      <c r="B1576">
        <v>4</v>
      </c>
      <c r="C1576" s="5">
        <v>46041</v>
      </c>
      <c r="D1576" t="s">
        <v>127</v>
      </c>
      <c r="E1576">
        <v>276.81</v>
      </c>
      <c r="N1576"/>
      <c r="S1576"/>
      <c r="X1576"/>
    </row>
    <row r="1577" spans="2:24" ht="18.75">
      <c r="B1577">
        <v>4</v>
      </c>
      <c r="C1577" s="5">
        <v>46041</v>
      </c>
      <c r="D1577" t="s">
        <v>129</v>
      </c>
      <c r="E1577">
        <v>275.26</v>
      </c>
      <c r="N1577"/>
      <c r="S1577"/>
      <c r="X1577"/>
    </row>
    <row r="1578" spans="2:24" ht="18.75">
      <c r="B1578">
        <v>4</v>
      </c>
      <c r="C1578" s="5">
        <v>46041</v>
      </c>
      <c r="D1578" t="s">
        <v>149</v>
      </c>
      <c r="E1578">
        <v>127.33</v>
      </c>
      <c r="N1578"/>
      <c r="S1578"/>
      <c r="X1578"/>
    </row>
    <row r="1579" spans="2:24" ht="18.75">
      <c r="B1579">
        <v>5</v>
      </c>
      <c r="C1579" s="5">
        <v>46048</v>
      </c>
      <c r="D1579" t="s">
        <v>111</v>
      </c>
      <c r="E1579">
        <v>228.56</v>
      </c>
      <c r="N1579"/>
      <c r="S1579"/>
      <c r="X1579"/>
    </row>
    <row r="1580" spans="2:24" ht="18.75">
      <c r="B1580">
        <v>5</v>
      </c>
      <c r="C1580" s="5">
        <v>46048</v>
      </c>
      <c r="D1580" t="s">
        <v>113</v>
      </c>
      <c r="E1580">
        <v>278.56</v>
      </c>
      <c r="N1580"/>
      <c r="S1580"/>
      <c r="X1580"/>
    </row>
    <row r="1581" spans="2:24" ht="18.75">
      <c r="B1581">
        <v>5</v>
      </c>
      <c r="C1581" s="5">
        <v>46048</v>
      </c>
      <c r="D1581" t="s">
        <v>114</v>
      </c>
      <c r="E1581">
        <v>302.69</v>
      </c>
      <c r="N1581"/>
      <c r="S1581"/>
      <c r="X1581"/>
    </row>
    <row r="1582" spans="2:24" ht="18.75">
      <c r="B1582">
        <v>5</v>
      </c>
      <c r="C1582" s="5">
        <v>46048</v>
      </c>
      <c r="D1582" t="s">
        <v>116</v>
      </c>
      <c r="E1582">
        <v>108.59</v>
      </c>
      <c r="N1582"/>
      <c r="S1582"/>
      <c r="X1582"/>
    </row>
    <row r="1583" spans="2:24" ht="18.75">
      <c r="B1583">
        <v>5</v>
      </c>
      <c r="C1583" s="5">
        <v>46048</v>
      </c>
      <c r="D1583" t="s">
        <v>117</v>
      </c>
      <c r="E1583">
        <v>259.72000000000003</v>
      </c>
      <c r="N1583"/>
      <c r="S1583"/>
      <c r="X1583"/>
    </row>
    <row r="1584" spans="2:24" ht="18.75">
      <c r="B1584">
        <v>5</v>
      </c>
      <c r="C1584" s="5">
        <v>46048</v>
      </c>
      <c r="D1584" t="s">
        <v>118</v>
      </c>
      <c r="E1584">
        <v>201.66</v>
      </c>
      <c r="N1584"/>
      <c r="S1584"/>
      <c r="X1584"/>
    </row>
    <row r="1585" spans="2:24" ht="18.75">
      <c r="B1585">
        <v>5</v>
      </c>
      <c r="C1585" s="5">
        <v>46048</v>
      </c>
      <c r="D1585" t="s">
        <v>119</v>
      </c>
      <c r="E1585">
        <v>485.16</v>
      </c>
      <c r="N1585"/>
      <c r="S1585"/>
      <c r="X1585"/>
    </row>
    <row r="1586" spans="2:24" ht="18.75">
      <c r="B1586">
        <v>5</v>
      </c>
      <c r="C1586" s="5">
        <v>46048</v>
      </c>
      <c r="D1586" t="s">
        <v>121</v>
      </c>
      <c r="E1586">
        <v>134.29</v>
      </c>
      <c r="N1586"/>
      <c r="S1586"/>
      <c r="X1586"/>
    </row>
    <row r="1587" spans="2:24" ht="18.75">
      <c r="B1587">
        <v>5</v>
      </c>
      <c r="C1587" s="5">
        <v>46048</v>
      </c>
      <c r="D1587" t="s">
        <v>122</v>
      </c>
      <c r="E1587">
        <v>237.69</v>
      </c>
      <c r="N1587"/>
      <c r="S1587"/>
      <c r="X1587"/>
    </row>
    <row r="1588" spans="2:24" ht="18.75">
      <c r="B1588">
        <v>5</v>
      </c>
      <c r="C1588" s="5">
        <v>46048</v>
      </c>
      <c r="D1588" t="s">
        <v>123</v>
      </c>
      <c r="E1588">
        <v>490.74</v>
      </c>
      <c r="N1588"/>
      <c r="S1588"/>
      <c r="X1588"/>
    </row>
    <row r="1589" spans="2:24" ht="18.75">
      <c r="B1589">
        <v>5</v>
      </c>
      <c r="C1589" s="5">
        <v>46048</v>
      </c>
      <c r="D1589" t="s">
        <v>124</v>
      </c>
      <c r="E1589">
        <v>487.88</v>
      </c>
      <c r="N1589"/>
      <c r="S1589"/>
      <c r="X1589"/>
    </row>
    <row r="1590" spans="2:24" ht="18.75">
      <c r="B1590">
        <v>5</v>
      </c>
      <c r="C1590" s="5">
        <v>46048</v>
      </c>
      <c r="D1590" t="s">
        <v>125</v>
      </c>
      <c r="E1590">
        <v>84.45</v>
      </c>
      <c r="N1590"/>
      <c r="S1590"/>
      <c r="X1590"/>
    </row>
    <row r="1591" spans="2:24" ht="18.75">
      <c r="B1591">
        <v>5</v>
      </c>
      <c r="C1591" s="5">
        <v>46048</v>
      </c>
      <c r="D1591" t="s">
        <v>126</v>
      </c>
      <c r="E1591">
        <v>256.67</v>
      </c>
      <c r="N1591"/>
      <c r="S1591"/>
      <c r="X1591"/>
    </row>
    <row r="1592" spans="2:24" ht="18.75">
      <c r="B1592">
        <v>5</v>
      </c>
      <c r="C1592" s="5">
        <v>46048</v>
      </c>
      <c r="D1592" t="s">
        <v>130</v>
      </c>
      <c r="E1592">
        <v>394.43</v>
      </c>
      <c r="N1592"/>
      <c r="S1592"/>
      <c r="X1592"/>
    </row>
    <row r="1593" spans="2:24" ht="18.75">
      <c r="B1593">
        <v>5</v>
      </c>
      <c r="C1593" s="5">
        <v>46048</v>
      </c>
      <c r="D1593" t="s">
        <v>132</v>
      </c>
      <c r="E1593">
        <v>171.64</v>
      </c>
      <c r="N1593"/>
      <c r="S1593"/>
      <c r="X1593"/>
    </row>
    <row r="1594" spans="2:24" ht="18.75">
      <c r="B1594">
        <v>5</v>
      </c>
      <c r="C1594" s="5">
        <v>46048</v>
      </c>
      <c r="D1594" t="s">
        <v>133</v>
      </c>
      <c r="E1594">
        <v>354.51</v>
      </c>
      <c r="N1594"/>
      <c r="S1594"/>
      <c r="X1594"/>
    </row>
    <row r="1595" spans="2:24" ht="18.75">
      <c r="B1595">
        <v>5</v>
      </c>
      <c r="C1595" s="5">
        <v>46048</v>
      </c>
      <c r="D1595" t="s">
        <v>134</v>
      </c>
      <c r="E1595">
        <v>362.67</v>
      </c>
      <c r="N1595"/>
      <c r="S1595"/>
      <c r="X1595"/>
    </row>
    <row r="1596" spans="2:24" ht="18.75">
      <c r="B1596">
        <v>5</v>
      </c>
      <c r="C1596" s="5">
        <v>46048</v>
      </c>
      <c r="D1596" t="s">
        <v>136</v>
      </c>
      <c r="E1596">
        <v>123.08</v>
      </c>
      <c r="N1596"/>
      <c r="S1596"/>
      <c r="X1596"/>
    </row>
    <row r="1597" spans="2:24" ht="18.75">
      <c r="B1597">
        <v>5</v>
      </c>
      <c r="C1597" s="5">
        <v>46048</v>
      </c>
      <c r="D1597" t="s">
        <v>138</v>
      </c>
      <c r="E1597">
        <v>612.94000000000005</v>
      </c>
      <c r="N1597"/>
      <c r="S1597"/>
      <c r="X1597"/>
    </row>
    <row r="1598" spans="2:24" ht="18.75">
      <c r="B1598">
        <v>5</v>
      </c>
      <c r="C1598" s="5">
        <v>46048</v>
      </c>
      <c r="D1598" t="s">
        <v>140</v>
      </c>
      <c r="E1598">
        <v>111.24</v>
      </c>
      <c r="N1598"/>
      <c r="S1598"/>
      <c r="X1598"/>
    </row>
    <row r="1599" spans="2:24" ht="18.75">
      <c r="B1599">
        <v>5</v>
      </c>
      <c r="C1599" s="5">
        <v>46048</v>
      </c>
      <c r="D1599" t="s">
        <v>141</v>
      </c>
      <c r="E1599">
        <v>659.8</v>
      </c>
      <c r="N1599"/>
      <c r="S1599"/>
      <c r="X1599"/>
    </row>
    <row r="1600" spans="2:24" ht="18.75">
      <c r="B1600">
        <v>5</v>
      </c>
      <c r="C1600" s="5">
        <v>46048</v>
      </c>
      <c r="D1600" t="s">
        <v>142</v>
      </c>
      <c r="E1600">
        <v>192.68</v>
      </c>
      <c r="N1600"/>
      <c r="S1600"/>
      <c r="X1600"/>
    </row>
    <row r="1601" spans="2:24" ht="18.75">
      <c r="B1601">
        <v>5</v>
      </c>
      <c r="C1601" s="5">
        <v>46048</v>
      </c>
      <c r="D1601" t="s">
        <v>139</v>
      </c>
      <c r="E1601">
        <v>313.52999999999997</v>
      </c>
      <c r="N1601"/>
      <c r="S1601"/>
      <c r="X1601"/>
    </row>
    <row r="1602" spans="2:24" ht="18.75">
      <c r="B1602">
        <v>5</v>
      </c>
      <c r="C1602" s="5">
        <v>46048</v>
      </c>
      <c r="D1602" t="s">
        <v>143</v>
      </c>
      <c r="E1602">
        <v>1998.88</v>
      </c>
      <c r="N1602"/>
      <c r="S1602"/>
      <c r="X1602"/>
    </row>
    <row r="1603" spans="2:24" ht="18.75">
      <c r="B1603">
        <v>5</v>
      </c>
      <c r="C1603" s="5">
        <v>46048</v>
      </c>
      <c r="D1603" t="s">
        <v>145</v>
      </c>
      <c r="E1603">
        <v>332.34</v>
      </c>
      <c r="N1603"/>
      <c r="S1603"/>
      <c r="X1603"/>
    </row>
    <row r="1604" spans="2:24" ht="18.75">
      <c r="B1604">
        <v>5</v>
      </c>
      <c r="C1604" s="5">
        <v>46048</v>
      </c>
      <c r="D1604" t="s">
        <v>146</v>
      </c>
      <c r="E1604">
        <v>696.2</v>
      </c>
      <c r="N1604"/>
      <c r="S1604"/>
      <c r="X1604"/>
    </row>
    <row r="1605" spans="2:24" ht="18.75">
      <c r="B1605">
        <v>5</v>
      </c>
      <c r="C1605" s="5">
        <v>46048</v>
      </c>
      <c r="D1605" t="s">
        <v>147</v>
      </c>
      <c r="E1605">
        <v>405.98</v>
      </c>
      <c r="N1605"/>
      <c r="S1605"/>
      <c r="X1605"/>
    </row>
    <row r="1606" spans="2:24" ht="18.75">
      <c r="B1606">
        <v>5</v>
      </c>
      <c r="C1606" s="5">
        <v>46048</v>
      </c>
      <c r="D1606" t="s">
        <v>150</v>
      </c>
      <c r="E1606">
        <v>74.08</v>
      </c>
      <c r="N1606"/>
      <c r="S1606"/>
      <c r="X1606"/>
    </row>
    <row r="1607" spans="2:24" ht="18.75">
      <c r="B1607">
        <v>5</v>
      </c>
      <c r="C1607" s="5">
        <v>46048</v>
      </c>
      <c r="D1607" t="s">
        <v>151</v>
      </c>
      <c r="E1607">
        <v>649.84</v>
      </c>
      <c r="N1607"/>
      <c r="S1607"/>
      <c r="X1607"/>
    </row>
    <row r="1608" spans="2:24" ht="18.75">
      <c r="B1608">
        <v>5</v>
      </c>
      <c r="C1608" s="5">
        <v>46048</v>
      </c>
      <c r="D1608" t="s">
        <v>112</v>
      </c>
      <c r="E1608">
        <v>71.150000000000006</v>
      </c>
      <c r="N1608"/>
      <c r="S1608"/>
      <c r="X1608"/>
    </row>
    <row r="1609" spans="2:24" ht="18.75">
      <c r="B1609">
        <v>5</v>
      </c>
      <c r="C1609" s="5">
        <v>46048</v>
      </c>
      <c r="D1609" t="s">
        <v>120</v>
      </c>
      <c r="E1609">
        <v>138.13</v>
      </c>
      <c r="N1609"/>
      <c r="S1609"/>
      <c r="X1609"/>
    </row>
    <row r="1610" spans="2:24" ht="18.75">
      <c r="B1610">
        <v>5</v>
      </c>
      <c r="C1610" s="5">
        <v>46048</v>
      </c>
      <c r="D1610" t="s">
        <v>135</v>
      </c>
      <c r="E1610">
        <v>71.739999999999995</v>
      </c>
      <c r="G1610">
        <v>50</v>
      </c>
      <c r="I1610" t="s">
        <v>163</v>
      </c>
      <c r="J1610">
        <v>276.06</v>
      </c>
      <c r="N1610"/>
      <c r="S1610"/>
      <c r="X1610"/>
    </row>
    <row r="1611" spans="2:24" ht="18.75">
      <c r="B1611">
        <v>5</v>
      </c>
      <c r="C1611" s="5">
        <v>46048</v>
      </c>
      <c r="D1611" t="s">
        <v>137</v>
      </c>
      <c r="E1611">
        <v>59.3</v>
      </c>
      <c r="G1611">
        <v>50</v>
      </c>
      <c r="I1611" t="s">
        <v>168</v>
      </c>
      <c r="J1611">
        <v>269.42</v>
      </c>
      <c r="N1611"/>
      <c r="S1611"/>
      <c r="X1611"/>
    </row>
    <row r="1612" spans="2:24" ht="18.75">
      <c r="B1612">
        <v>5</v>
      </c>
      <c r="C1612" s="5">
        <v>46048</v>
      </c>
      <c r="D1612" t="s">
        <v>148</v>
      </c>
      <c r="E1612">
        <v>75.930000000000007</v>
      </c>
      <c r="G1612">
        <v>50</v>
      </c>
      <c r="I1612" t="s">
        <v>172</v>
      </c>
      <c r="J1612">
        <v>63.68</v>
      </c>
      <c r="N1612"/>
      <c r="S1612"/>
      <c r="X1612"/>
    </row>
    <row r="1613" spans="2:24" ht="18.75">
      <c r="B1613">
        <v>5</v>
      </c>
      <c r="C1613" s="5">
        <v>46048</v>
      </c>
      <c r="D1613" t="s">
        <v>127</v>
      </c>
      <c r="E1613">
        <v>305.63</v>
      </c>
      <c r="G1613">
        <v>50</v>
      </c>
      <c r="I1613" t="s">
        <v>173</v>
      </c>
      <c r="J1613">
        <v>666.4</v>
      </c>
      <c r="N1613"/>
      <c r="S1613"/>
      <c r="X1613"/>
    </row>
    <row r="1614" spans="2:24" ht="18.75">
      <c r="B1614">
        <v>5</v>
      </c>
      <c r="C1614" s="5">
        <v>46048</v>
      </c>
      <c r="D1614" t="s">
        <v>129</v>
      </c>
      <c r="E1614">
        <v>502.12</v>
      </c>
      <c r="G1614">
        <v>50</v>
      </c>
      <c r="I1614" t="s">
        <v>175</v>
      </c>
      <c r="J1614">
        <v>281.25</v>
      </c>
      <c r="N1614"/>
      <c r="S1614"/>
      <c r="X1614"/>
    </row>
    <row r="1615" spans="2:24" ht="18.75">
      <c r="B1615">
        <v>5</v>
      </c>
      <c r="C1615" s="5">
        <v>46048</v>
      </c>
      <c r="D1615" t="s">
        <v>149</v>
      </c>
      <c r="E1615">
        <v>170</v>
      </c>
      <c r="G1615">
        <v>51</v>
      </c>
      <c r="I1615" t="s">
        <v>160</v>
      </c>
      <c r="J1615">
        <v>2561.37</v>
      </c>
      <c r="N1615"/>
      <c r="S1615"/>
      <c r="X1615"/>
    </row>
    <row r="1616" spans="2:24" ht="18.75">
      <c r="B1616">
        <v>5</v>
      </c>
      <c r="C1616" s="5">
        <v>46048</v>
      </c>
      <c r="D1616" t="s">
        <v>128</v>
      </c>
      <c r="E1616">
        <v>189.23</v>
      </c>
      <c r="G1616">
        <v>51</v>
      </c>
      <c r="I1616" t="s">
        <v>158</v>
      </c>
      <c r="J1616">
        <v>395.92</v>
      </c>
      <c r="N1616"/>
      <c r="S1616"/>
      <c r="X1616"/>
    </row>
    <row r="1617" spans="2:24" ht="18.75">
      <c r="B1617">
        <v>6</v>
      </c>
      <c r="C1617" s="5">
        <v>46055</v>
      </c>
      <c r="D1617" t="s">
        <v>143</v>
      </c>
      <c r="E1617">
        <v>890.06</v>
      </c>
      <c r="G1617">
        <v>51</v>
      </c>
      <c r="I1617" t="s">
        <v>165</v>
      </c>
      <c r="J1617">
        <v>130.30000000000001</v>
      </c>
      <c r="N1617"/>
      <c r="S1617"/>
      <c r="X1617"/>
    </row>
    <row r="1618" spans="2:24" ht="18.75">
      <c r="B1618">
        <v>6</v>
      </c>
      <c r="C1618" s="5">
        <v>46055</v>
      </c>
      <c r="D1618" t="s">
        <v>127</v>
      </c>
      <c r="E1618">
        <v>158.37</v>
      </c>
      <c r="G1618">
        <v>51</v>
      </c>
      <c r="I1618" t="s">
        <v>198</v>
      </c>
      <c r="J1618">
        <v>351.05</v>
      </c>
      <c r="N1618"/>
      <c r="S1618"/>
      <c r="X1618"/>
    </row>
    <row r="1619" spans="2:24" ht="18.75">
      <c r="B1619">
        <v>6</v>
      </c>
      <c r="C1619" s="5">
        <v>46055</v>
      </c>
      <c r="D1619" t="s">
        <v>126</v>
      </c>
      <c r="E1619">
        <v>30.53</v>
      </c>
      <c r="G1619">
        <v>51</v>
      </c>
      <c r="I1619" t="s">
        <v>174</v>
      </c>
      <c r="J1619">
        <v>210.7</v>
      </c>
      <c r="N1619"/>
      <c r="S1619"/>
      <c r="X1619"/>
    </row>
    <row r="1620" spans="2:24" ht="18.75">
      <c r="B1620">
        <v>6</v>
      </c>
      <c r="C1620" s="5">
        <v>46055</v>
      </c>
      <c r="D1620" t="s">
        <v>111</v>
      </c>
      <c r="E1620">
        <v>75.400000000000006</v>
      </c>
      <c r="G1620">
        <v>51</v>
      </c>
      <c r="I1620" t="s">
        <v>171</v>
      </c>
      <c r="J1620">
        <v>613.55999999999995</v>
      </c>
      <c r="N1620"/>
      <c r="S1620"/>
      <c r="X1620"/>
    </row>
    <row r="1621" spans="2:24" ht="18.75">
      <c r="B1621">
        <v>6</v>
      </c>
      <c r="C1621" s="5">
        <v>46055</v>
      </c>
      <c r="D1621" t="s">
        <v>121</v>
      </c>
      <c r="E1621">
        <v>78.78</v>
      </c>
      <c r="G1621">
        <v>51</v>
      </c>
      <c r="I1621" t="s">
        <v>169</v>
      </c>
      <c r="J1621">
        <v>1253.93</v>
      </c>
      <c r="N1621"/>
      <c r="S1621"/>
      <c r="X1621"/>
    </row>
    <row r="1622" spans="2:24" ht="18.75">
      <c r="B1622">
        <v>6</v>
      </c>
      <c r="C1622" s="5">
        <v>46055</v>
      </c>
      <c r="D1622" t="s">
        <v>122</v>
      </c>
      <c r="E1622">
        <v>143.57</v>
      </c>
      <c r="G1622">
        <v>51</v>
      </c>
      <c r="I1622" t="s">
        <v>170</v>
      </c>
      <c r="J1622">
        <v>64</v>
      </c>
      <c r="N1622"/>
      <c r="S1622"/>
      <c r="X1622"/>
    </row>
    <row r="1623" spans="2:24" ht="18.75">
      <c r="B1623">
        <v>6</v>
      </c>
      <c r="C1623" s="5">
        <v>46055</v>
      </c>
      <c r="D1623" t="s">
        <v>130</v>
      </c>
      <c r="E1623">
        <v>232.92</v>
      </c>
      <c r="G1623">
        <v>51</v>
      </c>
      <c r="I1623" t="s">
        <v>176</v>
      </c>
      <c r="J1623">
        <v>48.96</v>
      </c>
      <c r="N1623"/>
      <c r="S1623"/>
      <c r="X1623"/>
    </row>
    <row r="1624" spans="2:24" ht="18.75">
      <c r="B1624">
        <v>6</v>
      </c>
      <c r="C1624" s="5">
        <v>46055</v>
      </c>
      <c r="D1624" t="s">
        <v>133</v>
      </c>
      <c r="E1624">
        <v>117.55</v>
      </c>
      <c r="G1624">
        <v>51</v>
      </c>
      <c r="I1624" t="s">
        <v>164</v>
      </c>
      <c r="J1624">
        <v>-2.4</v>
      </c>
      <c r="N1624"/>
      <c r="S1624"/>
      <c r="X1624"/>
    </row>
    <row r="1625" spans="2:24" ht="18.75">
      <c r="B1625">
        <v>6</v>
      </c>
      <c r="C1625" s="5">
        <v>46055</v>
      </c>
      <c r="D1625" t="s">
        <v>134</v>
      </c>
      <c r="E1625">
        <v>144.96</v>
      </c>
      <c r="G1625">
        <v>51</v>
      </c>
      <c r="I1625" t="s">
        <v>163</v>
      </c>
      <c r="J1625">
        <v>185.76</v>
      </c>
      <c r="N1625"/>
      <c r="S1625"/>
      <c r="X1625"/>
    </row>
    <row r="1626" spans="2:24" ht="18.75">
      <c r="B1626">
        <v>6</v>
      </c>
      <c r="C1626" s="5">
        <v>46055</v>
      </c>
      <c r="D1626" t="s">
        <v>138</v>
      </c>
      <c r="E1626">
        <v>198.53</v>
      </c>
      <c r="G1626">
        <v>51</v>
      </c>
      <c r="I1626" t="s">
        <v>168</v>
      </c>
      <c r="J1626">
        <v>164.66</v>
      </c>
      <c r="N1626"/>
      <c r="S1626"/>
      <c r="X1626"/>
    </row>
    <row r="1627" spans="2:24" ht="18.75">
      <c r="B1627">
        <v>6</v>
      </c>
      <c r="C1627" s="5">
        <v>46055</v>
      </c>
      <c r="D1627" t="s">
        <v>141</v>
      </c>
      <c r="E1627">
        <v>204.8</v>
      </c>
      <c r="G1627">
        <v>51</v>
      </c>
      <c r="I1627" t="s">
        <v>172</v>
      </c>
      <c r="J1627">
        <v>31.84</v>
      </c>
      <c r="N1627"/>
      <c r="S1627"/>
      <c r="X1627"/>
    </row>
    <row r="1628" spans="2:24" ht="18.75">
      <c r="B1628">
        <v>6</v>
      </c>
      <c r="C1628" s="5">
        <v>46055</v>
      </c>
      <c r="D1628" t="s">
        <v>145</v>
      </c>
      <c r="E1628">
        <v>134.66999999999999</v>
      </c>
      <c r="G1628">
        <v>51</v>
      </c>
      <c r="I1628" t="s">
        <v>173</v>
      </c>
      <c r="J1628">
        <v>464.9</v>
      </c>
      <c r="N1628"/>
      <c r="S1628"/>
      <c r="X1628"/>
    </row>
    <row r="1629" spans="2:24" ht="18.75">
      <c r="B1629">
        <v>6</v>
      </c>
      <c r="C1629" s="5">
        <v>46055</v>
      </c>
      <c r="D1629" t="s">
        <v>146</v>
      </c>
      <c r="E1629">
        <v>255.19</v>
      </c>
      <c r="G1629">
        <v>51</v>
      </c>
      <c r="I1629" t="s">
        <v>175</v>
      </c>
      <c r="J1629">
        <v>238.5</v>
      </c>
      <c r="N1629"/>
      <c r="S1629"/>
      <c r="X1629"/>
    </row>
    <row r="1630" spans="2:24" ht="18.75">
      <c r="B1630">
        <v>6</v>
      </c>
      <c r="C1630" s="5">
        <v>46055</v>
      </c>
      <c r="D1630" t="s">
        <v>151</v>
      </c>
      <c r="E1630">
        <v>301.45999999999998</v>
      </c>
      <c r="N1630"/>
      <c r="S1630"/>
      <c r="X1630"/>
    </row>
    <row r="1631" spans="2:24" ht="18.75">
      <c r="B1631">
        <v>6</v>
      </c>
      <c r="C1631" s="5">
        <v>46055</v>
      </c>
      <c r="D1631" t="s">
        <v>114</v>
      </c>
      <c r="E1631">
        <v>85.92</v>
      </c>
      <c r="N1631"/>
      <c r="S1631"/>
      <c r="X1631"/>
    </row>
    <row r="1632" spans="2:24" ht="18.75">
      <c r="B1632">
        <v>6</v>
      </c>
      <c r="C1632" s="5">
        <v>46055</v>
      </c>
      <c r="D1632" t="s">
        <v>117</v>
      </c>
      <c r="E1632">
        <v>127.35</v>
      </c>
      <c r="N1632"/>
      <c r="S1632"/>
      <c r="X1632"/>
    </row>
    <row r="1633" spans="2:24" ht="18.75">
      <c r="B1633">
        <v>6</v>
      </c>
      <c r="C1633" s="5">
        <v>46055</v>
      </c>
      <c r="D1633" t="s">
        <v>119</v>
      </c>
      <c r="E1633">
        <v>143.08000000000001</v>
      </c>
      <c r="N1633"/>
      <c r="S1633"/>
      <c r="X1633"/>
    </row>
    <row r="1634" spans="2:24" ht="18.75">
      <c r="B1634">
        <v>6</v>
      </c>
      <c r="C1634" s="5">
        <v>46055</v>
      </c>
      <c r="D1634" t="s">
        <v>129</v>
      </c>
      <c r="E1634">
        <v>191.19</v>
      </c>
      <c r="N1634"/>
      <c r="S1634"/>
      <c r="X1634"/>
    </row>
    <row r="1635" spans="2:24" ht="18.75">
      <c r="B1635">
        <v>6</v>
      </c>
      <c r="C1635" s="5">
        <v>46055</v>
      </c>
      <c r="D1635" t="s">
        <v>148</v>
      </c>
      <c r="E1635">
        <v>37.5</v>
      </c>
      <c r="N1635"/>
      <c r="S1635"/>
      <c r="X1635"/>
    </row>
    <row r="1636" spans="2:24" ht="18.75">
      <c r="B1636">
        <v>6</v>
      </c>
      <c r="C1636" s="5">
        <v>46055</v>
      </c>
      <c r="D1636" t="s">
        <v>128</v>
      </c>
      <c r="E1636">
        <v>3.24</v>
      </c>
      <c r="N1636"/>
      <c r="S1636"/>
      <c r="X1636"/>
    </row>
    <row r="1637" spans="2:24" ht="18.75">
      <c r="B1637">
        <v>7</v>
      </c>
      <c r="C1637" s="5">
        <v>46062</v>
      </c>
      <c r="D1637" t="s">
        <v>123</v>
      </c>
      <c r="E1637">
        <v>143.41999999999999</v>
      </c>
      <c r="N1637"/>
      <c r="S1637"/>
      <c r="X1637"/>
    </row>
    <row r="1638" spans="2:24" ht="18.75">
      <c r="B1638">
        <v>7</v>
      </c>
      <c r="C1638" s="5">
        <v>46062</v>
      </c>
      <c r="D1638" t="s">
        <v>139</v>
      </c>
      <c r="E1638">
        <v>87.17</v>
      </c>
      <c r="N1638"/>
      <c r="S1638"/>
      <c r="X1638"/>
    </row>
    <row r="1639" spans="2:24" ht="18.75">
      <c r="B1639">
        <v>7</v>
      </c>
      <c r="C1639" s="5">
        <v>46062</v>
      </c>
      <c r="D1639" t="s">
        <v>143</v>
      </c>
      <c r="E1639">
        <v>318.89</v>
      </c>
      <c r="N1639"/>
      <c r="S1639"/>
      <c r="X1639"/>
    </row>
    <row r="1640" spans="2:24" ht="18.75">
      <c r="B1640">
        <v>7</v>
      </c>
      <c r="C1640" s="5">
        <v>46062</v>
      </c>
      <c r="D1640" t="s">
        <v>147</v>
      </c>
      <c r="E1640">
        <v>124.31</v>
      </c>
      <c r="N1640"/>
      <c r="S1640"/>
      <c r="X1640"/>
    </row>
    <row r="1641" spans="2:24" ht="18.75">
      <c r="B1641">
        <v>7</v>
      </c>
      <c r="C1641" s="5">
        <v>46062</v>
      </c>
      <c r="D1641" t="s">
        <v>126</v>
      </c>
      <c r="E1641">
        <v>14.39</v>
      </c>
      <c r="N1641"/>
      <c r="S1641"/>
      <c r="X1641"/>
    </row>
    <row r="1642" spans="2:24" ht="18.75">
      <c r="B1642">
        <v>7</v>
      </c>
      <c r="C1642" s="5">
        <v>46062</v>
      </c>
      <c r="D1642" t="s">
        <v>113</v>
      </c>
      <c r="E1642">
        <v>90.46</v>
      </c>
      <c r="N1642"/>
      <c r="S1642"/>
      <c r="X1642"/>
    </row>
    <row r="1643" spans="2:24" ht="18.75">
      <c r="B1643">
        <v>7</v>
      </c>
      <c r="C1643" s="5">
        <v>46062</v>
      </c>
      <c r="D1643" t="s">
        <v>118</v>
      </c>
      <c r="E1643">
        <v>62.79</v>
      </c>
      <c r="N1643"/>
      <c r="S1643"/>
      <c r="X1643"/>
    </row>
    <row r="1644" spans="2:24" ht="18.75">
      <c r="B1644">
        <v>7</v>
      </c>
      <c r="C1644" s="5">
        <v>46062</v>
      </c>
      <c r="D1644" t="s">
        <v>121</v>
      </c>
      <c r="E1644">
        <v>76.569999999999993</v>
      </c>
      <c r="N1644"/>
      <c r="S1644"/>
      <c r="X1644"/>
    </row>
    <row r="1645" spans="2:24" ht="18.75">
      <c r="B1645">
        <v>7</v>
      </c>
      <c r="C1645" s="5">
        <v>46062</v>
      </c>
      <c r="D1645" t="s">
        <v>124</v>
      </c>
      <c r="E1645">
        <v>87.11</v>
      </c>
      <c r="N1645"/>
      <c r="S1645"/>
      <c r="X1645"/>
    </row>
    <row r="1646" spans="2:24" ht="18.75">
      <c r="B1646">
        <v>7</v>
      </c>
      <c r="C1646" s="5">
        <v>46062</v>
      </c>
      <c r="D1646" t="s">
        <v>127</v>
      </c>
      <c r="E1646">
        <v>80.88</v>
      </c>
      <c r="N1646"/>
      <c r="S1646"/>
      <c r="X1646"/>
    </row>
    <row r="1647" spans="2:24" ht="18.75">
      <c r="B1647">
        <v>8</v>
      </c>
      <c r="C1647" s="5">
        <v>46069</v>
      </c>
      <c r="D1647" t="s">
        <v>111</v>
      </c>
      <c r="E1647">
        <v>219.53</v>
      </c>
      <c r="N1647"/>
      <c r="S1647"/>
      <c r="X1647"/>
    </row>
    <row r="1648" spans="2:24" ht="18.75">
      <c r="B1648">
        <v>8</v>
      </c>
      <c r="C1648" s="5">
        <v>46069</v>
      </c>
      <c r="D1648" t="s">
        <v>113</v>
      </c>
      <c r="E1648">
        <v>193.2</v>
      </c>
      <c r="N1648"/>
      <c r="S1648"/>
      <c r="X1648"/>
    </row>
    <row r="1649" spans="2:24" ht="18.75">
      <c r="B1649">
        <v>8</v>
      </c>
      <c r="C1649" s="5">
        <v>46069</v>
      </c>
      <c r="D1649" t="s">
        <v>139</v>
      </c>
      <c r="E1649">
        <v>308.79000000000002</v>
      </c>
      <c r="N1649"/>
      <c r="S1649"/>
      <c r="X1649"/>
    </row>
    <row r="1650" spans="2:24" ht="18.75">
      <c r="B1650">
        <v>8</v>
      </c>
      <c r="C1650" s="5">
        <v>46069</v>
      </c>
      <c r="D1650" t="s">
        <v>143</v>
      </c>
      <c r="E1650">
        <v>1739.31</v>
      </c>
      <c r="N1650"/>
      <c r="S1650"/>
      <c r="X1650"/>
    </row>
    <row r="1651" spans="2:24" ht="18.75">
      <c r="B1651">
        <v>8</v>
      </c>
      <c r="C1651" s="5">
        <v>46069</v>
      </c>
      <c r="D1651" t="s">
        <v>147</v>
      </c>
      <c r="E1651">
        <v>287.67</v>
      </c>
      <c r="N1651"/>
      <c r="S1651"/>
      <c r="X1651"/>
    </row>
    <row r="1652" spans="2:24" ht="18.75">
      <c r="B1652">
        <v>8</v>
      </c>
      <c r="C1652" s="5">
        <v>46069</v>
      </c>
      <c r="D1652" t="s">
        <v>121</v>
      </c>
      <c r="E1652">
        <v>177.64</v>
      </c>
      <c r="N1652"/>
      <c r="S1652"/>
      <c r="X1652"/>
    </row>
    <row r="1653" spans="2:24" ht="18.75">
      <c r="B1653">
        <v>8</v>
      </c>
      <c r="C1653" s="5">
        <v>46069</v>
      </c>
      <c r="D1653" t="s">
        <v>123</v>
      </c>
      <c r="E1653">
        <v>345.1</v>
      </c>
      <c r="N1653"/>
      <c r="S1653"/>
      <c r="X1653"/>
    </row>
    <row r="1654" spans="2:24" ht="18.75">
      <c r="B1654">
        <v>8</v>
      </c>
      <c r="C1654" s="5">
        <v>46069</v>
      </c>
      <c r="D1654" t="s">
        <v>124</v>
      </c>
      <c r="E1654">
        <v>345.46</v>
      </c>
      <c r="N1654"/>
      <c r="S1654"/>
      <c r="X1654"/>
    </row>
    <row r="1655" spans="2:24" ht="18.75">
      <c r="B1655">
        <v>8</v>
      </c>
      <c r="C1655" s="5">
        <v>46069</v>
      </c>
      <c r="D1655" t="s">
        <v>118</v>
      </c>
      <c r="E1655">
        <v>137.37</v>
      </c>
      <c r="N1655"/>
      <c r="S1655"/>
      <c r="X1655"/>
    </row>
    <row r="1656" spans="2:24" ht="18.75">
      <c r="B1656">
        <v>8</v>
      </c>
      <c r="C1656" s="5">
        <v>46069</v>
      </c>
      <c r="D1656" t="s">
        <v>127</v>
      </c>
      <c r="E1656">
        <v>191.34</v>
      </c>
      <c r="N1656"/>
      <c r="S1656"/>
      <c r="X1656"/>
    </row>
    <row r="1657" spans="2:24" ht="18.75">
      <c r="B1657">
        <v>8</v>
      </c>
      <c r="C1657" s="5">
        <v>46069</v>
      </c>
      <c r="D1657" t="s">
        <v>126</v>
      </c>
      <c r="E1657">
        <v>234.8</v>
      </c>
      <c r="N1657"/>
      <c r="S1657"/>
      <c r="X1657"/>
    </row>
    <row r="1658" spans="2:24" ht="18.75">
      <c r="B1658">
        <v>8</v>
      </c>
      <c r="C1658" s="5">
        <v>46069</v>
      </c>
      <c r="D1658" t="s">
        <v>129</v>
      </c>
      <c r="E1658">
        <v>397.19</v>
      </c>
      <c r="N1658"/>
      <c r="S1658"/>
      <c r="X1658"/>
    </row>
    <row r="1659" spans="2:24" ht="18.75">
      <c r="B1659">
        <v>8</v>
      </c>
      <c r="C1659" s="5">
        <v>46069</v>
      </c>
      <c r="D1659" t="s">
        <v>130</v>
      </c>
      <c r="E1659">
        <v>429.31</v>
      </c>
      <c r="N1659"/>
      <c r="S1659"/>
      <c r="X1659"/>
    </row>
    <row r="1660" spans="2:24" ht="18.75">
      <c r="B1660">
        <v>8</v>
      </c>
      <c r="C1660" s="5">
        <v>46069</v>
      </c>
      <c r="D1660" t="s">
        <v>138</v>
      </c>
      <c r="E1660">
        <v>401.54</v>
      </c>
      <c r="N1660"/>
      <c r="S1660"/>
      <c r="X1660"/>
    </row>
    <row r="1661" spans="2:24" ht="18.75">
      <c r="B1661">
        <v>8</v>
      </c>
      <c r="C1661" s="5">
        <v>46069</v>
      </c>
      <c r="D1661" t="s">
        <v>114</v>
      </c>
      <c r="E1661">
        <v>268.58</v>
      </c>
      <c r="N1661"/>
      <c r="S1661"/>
      <c r="X1661"/>
    </row>
    <row r="1662" spans="2:24" ht="18.75">
      <c r="B1662">
        <v>8</v>
      </c>
      <c r="C1662" s="5">
        <v>46069</v>
      </c>
      <c r="D1662" t="s">
        <v>119</v>
      </c>
      <c r="E1662">
        <v>396.63</v>
      </c>
      <c r="N1662"/>
      <c r="S1662"/>
      <c r="X1662"/>
    </row>
    <row r="1663" spans="2:24" ht="18.75">
      <c r="B1663">
        <v>8</v>
      </c>
      <c r="C1663" s="5">
        <v>46069</v>
      </c>
      <c r="D1663" t="s">
        <v>151</v>
      </c>
      <c r="E1663">
        <v>658.9</v>
      </c>
      <c r="N1663"/>
      <c r="S1663"/>
      <c r="X1663"/>
    </row>
    <row r="1664" spans="2:24" ht="18.75">
      <c r="B1664">
        <v>8</v>
      </c>
      <c r="C1664" s="5">
        <v>46069</v>
      </c>
      <c r="D1664" t="s">
        <v>141</v>
      </c>
      <c r="E1664">
        <v>512.85</v>
      </c>
      <c r="N1664"/>
      <c r="S1664"/>
      <c r="X1664"/>
    </row>
    <row r="1665" spans="2:24" ht="18.75">
      <c r="B1665">
        <v>8</v>
      </c>
      <c r="C1665" s="5">
        <v>46069</v>
      </c>
      <c r="D1665" t="s">
        <v>134</v>
      </c>
      <c r="E1665">
        <v>237.01</v>
      </c>
      <c r="N1665"/>
      <c r="S1665"/>
      <c r="X1665"/>
    </row>
    <row r="1666" spans="2:24" ht="18.75">
      <c r="B1666">
        <v>8</v>
      </c>
      <c r="C1666" s="5">
        <v>46069</v>
      </c>
      <c r="D1666" t="s">
        <v>133</v>
      </c>
      <c r="E1666">
        <v>234.45</v>
      </c>
      <c r="N1666"/>
      <c r="S1666"/>
      <c r="X1666"/>
    </row>
    <row r="1667" spans="2:24" ht="18.75">
      <c r="B1667">
        <v>8</v>
      </c>
      <c r="C1667" s="5">
        <v>46069</v>
      </c>
      <c r="D1667" t="s">
        <v>146</v>
      </c>
      <c r="E1667">
        <v>424.8</v>
      </c>
      <c r="N1667"/>
      <c r="S1667"/>
      <c r="X1667"/>
    </row>
    <row r="1668" spans="2:24" ht="18.75">
      <c r="B1668">
        <v>8</v>
      </c>
      <c r="C1668" s="5">
        <v>46069</v>
      </c>
      <c r="D1668" t="s">
        <v>132</v>
      </c>
      <c r="E1668">
        <v>208.28</v>
      </c>
      <c r="N1668"/>
      <c r="S1668"/>
      <c r="X1668"/>
    </row>
    <row r="1669" spans="2:24" ht="18.75">
      <c r="B1669">
        <v>9</v>
      </c>
      <c r="C1669" s="5">
        <v>46076</v>
      </c>
      <c r="D1669" t="s">
        <v>143</v>
      </c>
      <c r="E1669">
        <v>1603.2</v>
      </c>
      <c r="N1669"/>
      <c r="S1669"/>
      <c r="X1669"/>
    </row>
    <row r="1670" spans="2:24" ht="18.75">
      <c r="B1670">
        <v>9</v>
      </c>
      <c r="C1670" s="5">
        <v>46076</v>
      </c>
      <c r="D1670" t="s">
        <v>126</v>
      </c>
      <c r="E1670">
        <v>166.26</v>
      </c>
      <c r="N1670"/>
      <c r="S1670"/>
      <c r="X1670"/>
    </row>
    <row r="1671" spans="2:24" ht="18.75">
      <c r="B1671">
        <v>9</v>
      </c>
      <c r="C1671" s="5">
        <v>46076</v>
      </c>
      <c r="D1671" t="s">
        <v>127</v>
      </c>
      <c r="E1671">
        <v>292.33</v>
      </c>
      <c r="N1671"/>
      <c r="S1671"/>
      <c r="X1671"/>
    </row>
    <row r="1672" spans="2:24" ht="18.75">
      <c r="B1672">
        <v>8</v>
      </c>
      <c r="C1672" s="5">
        <v>46069</v>
      </c>
      <c r="D1672" t="s">
        <v>112</v>
      </c>
      <c r="E1672">
        <v>69.84</v>
      </c>
      <c r="N1672"/>
      <c r="S1672"/>
      <c r="X1672"/>
    </row>
    <row r="1673" spans="2:24" ht="18.75">
      <c r="B1673">
        <v>8</v>
      </c>
      <c r="C1673" s="5">
        <v>46069</v>
      </c>
      <c r="D1673" t="s">
        <v>116</v>
      </c>
      <c r="E1673">
        <v>96.73</v>
      </c>
      <c r="N1673"/>
      <c r="S1673"/>
      <c r="X1673"/>
    </row>
    <row r="1674" spans="2:24" ht="18.75">
      <c r="B1674">
        <v>8</v>
      </c>
      <c r="C1674" s="5">
        <v>46069</v>
      </c>
      <c r="D1674" t="s">
        <v>117</v>
      </c>
      <c r="E1674">
        <v>197.64</v>
      </c>
      <c r="N1674"/>
      <c r="S1674"/>
      <c r="X1674"/>
    </row>
    <row r="1675" spans="2:24" ht="18.75">
      <c r="B1675">
        <v>8</v>
      </c>
      <c r="C1675" s="5">
        <v>46069</v>
      </c>
      <c r="D1675" t="s">
        <v>120</v>
      </c>
      <c r="E1675">
        <v>116.39</v>
      </c>
      <c r="N1675"/>
      <c r="S1675"/>
      <c r="X1675"/>
    </row>
    <row r="1676" spans="2:24" ht="18.75">
      <c r="B1676">
        <v>8</v>
      </c>
      <c r="C1676" s="5">
        <v>46069</v>
      </c>
      <c r="D1676" t="s">
        <v>122</v>
      </c>
      <c r="E1676">
        <v>183.65</v>
      </c>
      <c r="N1676"/>
      <c r="S1676"/>
      <c r="X1676"/>
    </row>
    <row r="1677" spans="2:24" ht="18.75">
      <c r="B1677">
        <v>8</v>
      </c>
      <c r="C1677" s="5">
        <v>46069</v>
      </c>
      <c r="D1677" t="s">
        <v>125</v>
      </c>
      <c r="E1677">
        <v>72.760000000000005</v>
      </c>
      <c r="N1677"/>
      <c r="S1677"/>
      <c r="X1677"/>
    </row>
    <row r="1678" spans="2:24" ht="18.75">
      <c r="B1678">
        <v>8</v>
      </c>
      <c r="C1678" s="5">
        <v>46069</v>
      </c>
      <c r="D1678" t="s">
        <v>128</v>
      </c>
      <c r="E1678">
        <v>136.04</v>
      </c>
      <c r="N1678"/>
      <c r="S1678"/>
      <c r="X1678"/>
    </row>
    <row r="1679" spans="2:24" ht="18.75">
      <c r="B1679">
        <v>8</v>
      </c>
      <c r="C1679" s="5">
        <v>46069</v>
      </c>
      <c r="D1679" t="s">
        <v>135</v>
      </c>
      <c r="E1679">
        <v>73.89</v>
      </c>
      <c r="N1679"/>
      <c r="S1679"/>
      <c r="X1679"/>
    </row>
    <row r="1680" spans="2:24" ht="18.75">
      <c r="B1680">
        <v>8</v>
      </c>
      <c r="C1680" s="5">
        <v>46069</v>
      </c>
      <c r="D1680" t="s">
        <v>136</v>
      </c>
      <c r="E1680">
        <v>102.34</v>
      </c>
      <c r="N1680"/>
      <c r="S1680"/>
      <c r="X1680"/>
    </row>
    <row r="1681" spans="2:24" ht="18.75">
      <c r="B1681">
        <v>8</v>
      </c>
      <c r="C1681" s="5">
        <v>46069</v>
      </c>
      <c r="D1681" t="s">
        <v>137</v>
      </c>
      <c r="E1681">
        <v>67.930000000000007</v>
      </c>
      <c r="N1681"/>
      <c r="S1681"/>
      <c r="X1681"/>
    </row>
    <row r="1682" spans="2:24" ht="18.75">
      <c r="B1682">
        <v>8</v>
      </c>
      <c r="C1682" s="5">
        <v>46069</v>
      </c>
      <c r="D1682" t="s">
        <v>140</v>
      </c>
      <c r="E1682">
        <v>104.64</v>
      </c>
      <c r="N1682"/>
      <c r="S1682"/>
      <c r="X1682"/>
    </row>
    <row r="1683" spans="2:24" ht="18.75">
      <c r="B1683">
        <v>8</v>
      </c>
      <c r="C1683" s="5">
        <v>46069</v>
      </c>
      <c r="D1683" t="s">
        <v>142</v>
      </c>
      <c r="E1683">
        <v>127.31</v>
      </c>
      <c r="N1683"/>
      <c r="S1683"/>
      <c r="X1683"/>
    </row>
    <row r="1684" spans="2:24" ht="18.75">
      <c r="B1684">
        <v>8</v>
      </c>
      <c r="C1684" s="5">
        <v>46069</v>
      </c>
      <c r="D1684" t="s">
        <v>145</v>
      </c>
      <c r="E1684">
        <v>222.85</v>
      </c>
      <c r="N1684"/>
      <c r="S1684"/>
      <c r="X1684"/>
    </row>
    <row r="1685" spans="2:24" ht="18.75">
      <c r="B1685">
        <v>8</v>
      </c>
      <c r="C1685" s="5">
        <v>46069</v>
      </c>
      <c r="D1685" t="s">
        <v>148</v>
      </c>
      <c r="E1685">
        <v>87.18</v>
      </c>
      <c r="N1685"/>
      <c r="S1685"/>
      <c r="X1685"/>
    </row>
    <row r="1686" spans="2:24" ht="18.75">
      <c r="B1686">
        <v>8</v>
      </c>
      <c r="C1686" s="5">
        <v>46069</v>
      </c>
      <c r="D1686" t="s">
        <v>150</v>
      </c>
      <c r="E1686">
        <v>67.91</v>
      </c>
      <c r="N1686"/>
      <c r="S1686"/>
      <c r="X1686"/>
    </row>
    <row r="1687" spans="2:24" ht="18.75">
      <c r="B1687">
        <v>8</v>
      </c>
      <c r="C1687" s="5">
        <v>46069</v>
      </c>
      <c r="D1687" t="s">
        <v>149</v>
      </c>
      <c r="E1687">
        <v>113.09</v>
      </c>
      <c r="N1687"/>
      <c r="S1687"/>
      <c r="X1687"/>
    </row>
    <row r="1688" spans="2:24" ht="18.75">
      <c r="B1688">
        <v>9</v>
      </c>
      <c r="C1688" s="5">
        <v>46076</v>
      </c>
      <c r="D1688" t="s">
        <v>114</v>
      </c>
      <c r="E1688">
        <v>281.12</v>
      </c>
      <c r="N1688"/>
      <c r="S1688"/>
      <c r="X1688"/>
    </row>
    <row r="1689" spans="2:24" ht="18.75">
      <c r="B1689">
        <v>9</v>
      </c>
      <c r="C1689" s="5">
        <v>46076</v>
      </c>
      <c r="D1689" t="s">
        <v>133</v>
      </c>
      <c r="E1689">
        <v>281.68</v>
      </c>
      <c r="N1689"/>
      <c r="S1689"/>
      <c r="X1689"/>
    </row>
    <row r="1690" spans="2:24" ht="18.75">
      <c r="B1690">
        <v>9</v>
      </c>
      <c r="C1690" s="5">
        <v>46076</v>
      </c>
      <c r="D1690" t="s">
        <v>134</v>
      </c>
      <c r="E1690">
        <v>311.32</v>
      </c>
      <c r="N1690"/>
      <c r="S1690"/>
      <c r="X1690"/>
    </row>
    <row r="1691" spans="2:24" ht="18.75">
      <c r="B1691">
        <v>9</v>
      </c>
      <c r="C1691" s="5">
        <v>46076</v>
      </c>
      <c r="D1691" t="s">
        <v>138</v>
      </c>
      <c r="E1691">
        <v>486.61</v>
      </c>
      <c r="N1691"/>
      <c r="S1691"/>
      <c r="X1691"/>
    </row>
    <row r="1692" spans="2:24" ht="18.75">
      <c r="B1692">
        <v>9</v>
      </c>
      <c r="C1692" s="5">
        <v>46076</v>
      </c>
      <c r="D1692" t="s">
        <v>141</v>
      </c>
      <c r="E1692">
        <v>579.47</v>
      </c>
      <c r="N1692"/>
      <c r="S1692"/>
      <c r="X1692"/>
    </row>
    <row r="1693" spans="2:24" ht="18.75">
      <c r="B1693">
        <v>9</v>
      </c>
      <c r="C1693" s="5">
        <v>46076</v>
      </c>
      <c r="D1693" t="s">
        <v>139</v>
      </c>
      <c r="E1693">
        <v>228.32</v>
      </c>
      <c r="N1693"/>
      <c r="S1693"/>
      <c r="X1693"/>
    </row>
    <row r="1694" spans="2:24" ht="18.75">
      <c r="B1694">
        <v>9</v>
      </c>
      <c r="C1694" s="5">
        <v>46076</v>
      </c>
      <c r="D1694" t="s">
        <v>145</v>
      </c>
      <c r="E1694">
        <v>293.76</v>
      </c>
      <c r="N1694"/>
      <c r="S1694"/>
      <c r="X1694"/>
    </row>
    <row r="1695" spans="2:24" ht="18.75">
      <c r="B1695">
        <v>9</v>
      </c>
      <c r="C1695" s="5">
        <v>46076</v>
      </c>
      <c r="D1695" t="s">
        <v>146</v>
      </c>
      <c r="E1695">
        <v>516.65</v>
      </c>
      <c r="N1695"/>
      <c r="S1695"/>
      <c r="X1695"/>
    </row>
    <row r="1696" spans="2:24" ht="18.75">
      <c r="B1696">
        <v>9</v>
      </c>
      <c r="C1696" s="5">
        <v>46076</v>
      </c>
      <c r="D1696" t="s">
        <v>151</v>
      </c>
      <c r="E1696">
        <v>659.75</v>
      </c>
      <c r="N1696"/>
      <c r="S1696"/>
      <c r="X1696"/>
    </row>
    <row r="1697" spans="2:24" ht="18.75">
      <c r="B1697">
        <v>9</v>
      </c>
      <c r="C1697" s="5">
        <v>46076</v>
      </c>
      <c r="D1697" t="s">
        <v>111</v>
      </c>
      <c r="E1697">
        <v>188.18</v>
      </c>
      <c r="N1697"/>
      <c r="S1697"/>
      <c r="X1697"/>
    </row>
    <row r="1698" spans="2:24" ht="18.75">
      <c r="B1698">
        <v>9</v>
      </c>
      <c r="C1698" s="5">
        <v>46076</v>
      </c>
      <c r="D1698" t="s">
        <v>117</v>
      </c>
      <c r="E1698">
        <v>243.46</v>
      </c>
      <c r="N1698"/>
      <c r="S1698"/>
      <c r="X1698"/>
    </row>
    <row r="1699" spans="2:24" ht="18.75">
      <c r="B1699">
        <v>9</v>
      </c>
      <c r="C1699" s="5">
        <v>46076</v>
      </c>
      <c r="D1699" t="s">
        <v>119</v>
      </c>
      <c r="E1699">
        <v>396.68</v>
      </c>
      <c r="N1699"/>
      <c r="S1699"/>
      <c r="X1699"/>
    </row>
    <row r="1700" spans="2:24" ht="18.75">
      <c r="B1700">
        <v>9</v>
      </c>
      <c r="C1700" s="5">
        <v>46076</v>
      </c>
      <c r="D1700" t="s">
        <v>130</v>
      </c>
      <c r="E1700">
        <v>500.83</v>
      </c>
      <c r="N1700"/>
      <c r="S1700"/>
      <c r="X1700"/>
    </row>
    <row r="1701" spans="2:24" ht="18.75">
      <c r="B1701">
        <v>9</v>
      </c>
      <c r="C1701" s="5">
        <v>46076</v>
      </c>
      <c r="D1701" t="s">
        <v>129</v>
      </c>
      <c r="E1701">
        <v>375.94</v>
      </c>
      <c r="N1701"/>
      <c r="S1701"/>
      <c r="X1701"/>
    </row>
    <row r="1702" spans="2:24" ht="18.75">
      <c r="B1702">
        <v>9</v>
      </c>
      <c r="C1702" s="5">
        <v>46076</v>
      </c>
      <c r="D1702" t="s">
        <v>123</v>
      </c>
      <c r="E1702">
        <v>316.72000000000003</v>
      </c>
      <c r="N1702"/>
      <c r="S1702"/>
      <c r="X1702"/>
    </row>
    <row r="1703" spans="2:24" ht="18.75">
      <c r="B1703">
        <v>9</v>
      </c>
      <c r="C1703" s="5">
        <v>46076</v>
      </c>
      <c r="D1703" t="s">
        <v>124</v>
      </c>
      <c r="E1703">
        <v>438.22</v>
      </c>
      <c r="N1703"/>
      <c r="S1703"/>
      <c r="X1703"/>
    </row>
    <row r="1704" spans="2:24" ht="18.75">
      <c r="B1704">
        <v>9</v>
      </c>
      <c r="C1704" s="5">
        <v>46076</v>
      </c>
      <c r="D1704" t="s">
        <v>113</v>
      </c>
      <c r="E1704">
        <v>139.46</v>
      </c>
      <c r="N1704"/>
      <c r="S1704"/>
      <c r="X1704"/>
    </row>
    <row r="1705" spans="2:24" ht="18.75">
      <c r="B1705">
        <v>9</v>
      </c>
      <c r="C1705" s="5">
        <v>46076</v>
      </c>
      <c r="D1705" t="s">
        <v>118</v>
      </c>
      <c r="E1705">
        <v>133.54</v>
      </c>
      <c r="N1705"/>
      <c r="S1705"/>
      <c r="X1705"/>
    </row>
    <row r="1706" spans="2:24" ht="18.75">
      <c r="B1706">
        <v>9</v>
      </c>
      <c r="C1706" s="5">
        <v>46076</v>
      </c>
      <c r="D1706" t="s">
        <v>121</v>
      </c>
      <c r="E1706">
        <v>133.9</v>
      </c>
      <c r="N1706"/>
      <c r="S1706"/>
      <c r="X1706"/>
    </row>
    <row r="1707" spans="2:24" ht="18.75">
      <c r="B1707">
        <v>9</v>
      </c>
      <c r="C1707" s="5">
        <v>46076</v>
      </c>
      <c r="D1707" t="s">
        <v>147</v>
      </c>
      <c r="E1707">
        <v>267.22000000000003</v>
      </c>
      <c r="N1707"/>
      <c r="S1707"/>
      <c r="X1707"/>
    </row>
    <row r="1708" spans="2:24" ht="18.75">
      <c r="B1708">
        <v>9</v>
      </c>
      <c r="C1708" s="5">
        <v>46076</v>
      </c>
      <c r="D1708" t="s">
        <v>112</v>
      </c>
      <c r="E1708">
        <v>47.81</v>
      </c>
      <c r="N1708"/>
      <c r="S1708"/>
      <c r="X1708"/>
    </row>
    <row r="1709" spans="2:24" ht="18.75">
      <c r="B1709">
        <v>9</v>
      </c>
      <c r="C1709" s="5">
        <v>46076</v>
      </c>
      <c r="D1709" t="s">
        <v>116</v>
      </c>
      <c r="E1709">
        <v>66.260000000000005</v>
      </c>
      <c r="N1709"/>
      <c r="S1709"/>
      <c r="X1709"/>
    </row>
    <row r="1710" spans="2:24" ht="18.75">
      <c r="B1710">
        <v>9</v>
      </c>
      <c r="C1710" s="5">
        <v>46076</v>
      </c>
      <c r="D1710" t="s">
        <v>120</v>
      </c>
      <c r="E1710">
        <v>87.29</v>
      </c>
      <c r="N1710"/>
      <c r="S1710"/>
      <c r="X1710"/>
    </row>
    <row r="1711" spans="2:24" ht="18.75">
      <c r="B1711">
        <v>9</v>
      </c>
      <c r="C1711" s="5">
        <v>46076</v>
      </c>
      <c r="D1711" t="s">
        <v>122</v>
      </c>
      <c r="E1711">
        <v>242.84</v>
      </c>
      <c r="N1711"/>
      <c r="S1711"/>
      <c r="X1711"/>
    </row>
    <row r="1712" spans="2:24" ht="18.75">
      <c r="B1712">
        <v>9</v>
      </c>
      <c r="C1712" s="5">
        <v>46076</v>
      </c>
      <c r="D1712" t="s">
        <v>125</v>
      </c>
      <c r="E1712">
        <v>77.38</v>
      </c>
      <c r="N1712"/>
      <c r="S1712"/>
      <c r="X1712"/>
    </row>
    <row r="1713" spans="2:24" ht="18.75">
      <c r="B1713">
        <v>9</v>
      </c>
      <c r="C1713" s="5">
        <v>46076</v>
      </c>
      <c r="D1713" t="s">
        <v>128</v>
      </c>
      <c r="E1713">
        <v>78.569999999999993</v>
      </c>
      <c r="N1713"/>
      <c r="S1713"/>
      <c r="X1713"/>
    </row>
    <row r="1714" spans="2:24" ht="18.75">
      <c r="B1714">
        <v>9</v>
      </c>
      <c r="C1714" s="5">
        <v>46076</v>
      </c>
      <c r="D1714" t="s">
        <v>132</v>
      </c>
      <c r="E1714">
        <v>124.06</v>
      </c>
      <c r="N1714"/>
      <c r="S1714"/>
      <c r="X1714"/>
    </row>
    <row r="1715" spans="2:24" ht="18.75">
      <c r="B1715">
        <v>9</v>
      </c>
      <c r="C1715" s="5">
        <v>46076</v>
      </c>
      <c r="D1715" t="s">
        <v>135</v>
      </c>
      <c r="E1715">
        <v>58.74</v>
      </c>
      <c r="N1715"/>
      <c r="S1715"/>
      <c r="X1715"/>
    </row>
    <row r="1716" spans="2:24" ht="18.75">
      <c r="B1716">
        <v>9</v>
      </c>
      <c r="C1716" s="5">
        <v>46076</v>
      </c>
      <c r="D1716" t="s">
        <v>136</v>
      </c>
      <c r="E1716">
        <v>178.4</v>
      </c>
      <c r="N1716"/>
      <c r="S1716"/>
      <c r="X1716"/>
    </row>
    <row r="1717" spans="2:24" ht="18.75">
      <c r="B1717">
        <v>9</v>
      </c>
      <c r="C1717" s="5">
        <v>46076</v>
      </c>
      <c r="D1717" t="s">
        <v>137</v>
      </c>
      <c r="E1717">
        <v>74.28</v>
      </c>
      <c r="N1717"/>
      <c r="S1717"/>
      <c r="X1717"/>
    </row>
    <row r="1718" spans="2:24" ht="18.75">
      <c r="B1718">
        <v>9</v>
      </c>
      <c r="C1718" s="5">
        <v>46076</v>
      </c>
      <c r="D1718" t="s">
        <v>140</v>
      </c>
      <c r="E1718">
        <v>75.27</v>
      </c>
      <c r="N1718"/>
      <c r="S1718"/>
      <c r="X1718"/>
    </row>
    <row r="1719" spans="2:24" ht="18.75">
      <c r="B1719">
        <v>9</v>
      </c>
      <c r="C1719" s="5">
        <v>46076</v>
      </c>
      <c r="D1719" t="s">
        <v>142</v>
      </c>
      <c r="E1719">
        <v>185.7</v>
      </c>
      <c r="N1719"/>
      <c r="S1719"/>
      <c r="X1719"/>
    </row>
    <row r="1720" spans="2:24" ht="18.75">
      <c r="B1720">
        <v>9</v>
      </c>
      <c r="C1720" s="5">
        <v>46076</v>
      </c>
      <c r="D1720" t="s">
        <v>148</v>
      </c>
      <c r="E1720">
        <v>97.7</v>
      </c>
      <c r="N1720"/>
      <c r="S1720"/>
      <c r="X1720"/>
    </row>
    <row r="1721" spans="2:24" ht="18.75">
      <c r="B1721">
        <v>9</v>
      </c>
      <c r="C1721" s="5">
        <v>46076</v>
      </c>
      <c r="D1721" t="s">
        <v>150</v>
      </c>
      <c r="E1721">
        <v>71.73</v>
      </c>
      <c r="N1721"/>
      <c r="S1721"/>
      <c r="X1721"/>
    </row>
    <row r="1722" spans="2:24" ht="18.75">
      <c r="B1722">
        <v>9</v>
      </c>
      <c r="C1722" s="5">
        <v>46076</v>
      </c>
      <c r="D1722" t="s">
        <v>149</v>
      </c>
      <c r="E1722">
        <v>134.1</v>
      </c>
      <c r="N1722"/>
      <c r="S1722"/>
      <c r="X1722"/>
    </row>
    <row r="1723" spans="2:24" ht="18.75">
      <c r="B1723">
        <v>10</v>
      </c>
      <c r="C1723" s="5">
        <v>46083</v>
      </c>
      <c r="D1723" t="s">
        <v>111</v>
      </c>
      <c r="E1723">
        <v>203.76</v>
      </c>
      <c r="N1723"/>
      <c r="S1723"/>
      <c r="X1723"/>
    </row>
    <row r="1724" spans="2:24" ht="18.75">
      <c r="B1724">
        <v>10</v>
      </c>
      <c r="C1724" s="5">
        <v>46083</v>
      </c>
      <c r="D1724" t="s">
        <v>112</v>
      </c>
      <c r="E1724">
        <v>71.66</v>
      </c>
      <c r="N1724"/>
      <c r="S1724"/>
      <c r="X1724"/>
    </row>
    <row r="1725" spans="2:24" ht="18.75">
      <c r="B1725">
        <v>10</v>
      </c>
      <c r="C1725" s="5">
        <v>46083</v>
      </c>
      <c r="D1725" t="s">
        <v>113</v>
      </c>
      <c r="E1725">
        <v>204.79</v>
      </c>
      <c r="N1725"/>
      <c r="S1725"/>
      <c r="X1725"/>
    </row>
    <row r="1726" spans="2:24" ht="18.75">
      <c r="B1726">
        <v>10</v>
      </c>
      <c r="C1726" s="5">
        <v>46083</v>
      </c>
      <c r="D1726" t="s">
        <v>114</v>
      </c>
      <c r="E1726">
        <v>285.01</v>
      </c>
      <c r="N1726"/>
      <c r="S1726"/>
      <c r="X1726"/>
    </row>
    <row r="1727" spans="2:24" ht="18.75">
      <c r="B1727">
        <v>10</v>
      </c>
      <c r="C1727" s="5">
        <v>46083</v>
      </c>
      <c r="D1727" t="s">
        <v>116</v>
      </c>
      <c r="E1727">
        <v>123.85</v>
      </c>
      <c r="N1727"/>
      <c r="S1727"/>
      <c r="X1727"/>
    </row>
    <row r="1728" spans="2:24" ht="18.75">
      <c r="B1728">
        <v>10</v>
      </c>
      <c r="C1728" s="5">
        <v>46083</v>
      </c>
      <c r="D1728" t="s">
        <v>117</v>
      </c>
      <c r="E1728">
        <v>231.01</v>
      </c>
      <c r="N1728"/>
      <c r="S1728"/>
      <c r="X1728"/>
    </row>
    <row r="1729" spans="2:24" ht="18.75">
      <c r="B1729">
        <v>10</v>
      </c>
      <c r="C1729" s="5">
        <v>46083</v>
      </c>
      <c r="D1729" t="s">
        <v>118</v>
      </c>
      <c r="E1729">
        <v>158.91</v>
      </c>
      <c r="N1729"/>
      <c r="S1729"/>
      <c r="X1729"/>
    </row>
    <row r="1730" spans="2:24" ht="18.75">
      <c r="B1730">
        <v>10</v>
      </c>
      <c r="C1730" s="5">
        <v>46083</v>
      </c>
      <c r="D1730" t="s">
        <v>119</v>
      </c>
      <c r="E1730">
        <v>407.17</v>
      </c>
      <c r="N1730"/>
      <c r="S1730"/>
      <c r="X1730"/>
    </row>
    <row r="1731" spans="2:24" ht="18.75">
      <c r="B1731">
        <v>10</v>
      </c>
      <c r="C1731" s="5">
        <v>46083</v>
      </c>
      <c r="D1731" t="s">
        <v>120</v>
      </c>
      <c r="E1731">
        <v>167.24</v>
      </c>
      <c r="N1731"/>
      <c r="S1731"/>
      <c r="X1731"/>
    </row>
    <row r="1732" spans="2:24" ht="18.75">
      <c r="B1732">
        <v>10</v>
      </c>
      <c r="C1732" s="5">
        <v>46083</v>
      </c>
      <c r="D1732" t="s">
        <v>121</v>
      </c>
      <c r="E1732">
        <v>169.03</v>
      </c>
      <c r="N1732"/>
      <c r="S1732"/>
      <c r="X1732"/>
    </row>
    <row r="1733" spans="2:24" ht="18.75">
      <c r="B1733">
        <v>10</v>
      </c>
      <c r="C1733" s="5">
        <v>46083</v>
      </c>
      <c r="D1733" t="s">
        <v>122</v>
      </c>
      <c r="E1733">
        <v>233.76</v>
      </c>
      <c r="N1733"/>
      <c r="S1733"/>
      <c r="X1733"/>
    </row>
    <row r="1734" spans="2:24" ht="18.75">
      <c r="B1734">
        <v>10</v>
      </c>
      <c r="C1734" s="5">
        <v>46083</v>
      </c>
      <c r="D1734" t="s">
        <v>123</v>
      </c>
      <c r="E1734">
        <v>408.43</v>
      </c>
      <c r="N1734"/>
      <c r="S1734"/>
      <c r="X1734"/>
    </row>
    <row r="1735" spans="2:24" ht="18.75">
      <c r="B1735">
        <v>10</v>
      </c>
      <c r="C1735" s="5">
        <v>46083</v>
      </c>
      <c r="D1735" t="s">
        <v>124</v>
      </c>
      <c r="E1735">
        <v>435.19</v>
      </c>
      <c r="N1735"/>
      <c r="S1735"/>
      <c r="X1735"/>
    </row>
    <row r="1736" spans="2:24" ht="18.75">
      <c r="B1736">
        <v>10</v>
      </c>
      <c r="C1736" s="5">
        <v>46083</v>
      </c>
      <c r="D1736" t="s">
        <v>125</v>
      </c>
      <c r="E1736">
        <v>51.91</v>
      </c>
      <c r="N1736"/>
      <c r="S1736"/>
      <c r="X1736"/>
    </row>
    <row r="1737" spans="2:24" ht="18.75">
      <c r="B1737">
        <v>10</v>
      </c>
      <c r="C1737" s="5">
        <v>46083</v>
      </c>
      <c r="D1737" t="s">
        <v>126</v>
      </c>
      <c r="E1737">
        <v>137.81</v>
      </c>
      <c r="N1737"/>
      <c r="S1737"/>
      <c r="X1737"/>
    </row>
    <row r="1738" spans="2:24" ht="18.75">
      <c r="B1738">
        <v>10</v>
      </c>
      <c r="C1738" s="5">
        <v>46083</v>
      </c>
      <c r="D1738" t="s">
        <v>129</v>
      </c>
      <c r="E1738">
        <v>388.51</v>
      </c>
      <c r="N1738"/>
      <c r="S1738"/>
      <c r="X1738"/>
    </row>
    <row r="1739" spans="2:24" ht="18.75">
      <c r="B1739">
        <v>10</v>
      </c>
      <c r="C1739" s="5">
        <v>46083</v>
      </c>
      <c r="D1739" t="s">
        <v>130</v>
      </c>
      <c r="E1739">
        <v>461.1</v>
      </c>
      <c r="N1739"/>
      <c r="S1739"/>
      <c r="X1739"/>
    </row>
    <row r="1740" spans="2:24" ht="18.75">
      <c r="B1740">
        <v>10</v>
      </c>
      <c r="C1740" s="5">
        <v>46083</v>
      </c>
      <c r="D1740" t="s">
        <v>132</v>
      </c>
      <c r="E1740">
        <v>195.79</v>
      </c>
      <c r="N1740"/>
      <c r="S1740"/>
      <c r="X1740"/>
    </row>
    <row r="1741" spans="2:24" ht="18.75">
      <c r="B1741">
        <v>10</v>
      </c>
      <c r="C1741" s="5">
        <v>46083</v>
      </c>
      <c r="D1741" t="s">
        <v>133</v>
      </c>
      <c r="E1741">
        <v>224.52</v>
      </c>
      <c r="N1741"/>
      <c r="S1741"/>
      <c r="X1741"/>
    </row>
    <row r="1742" spans="2:24" ht="18.75">
      <c r="B1742">
        <v>10</v>
      </c>
      <c r="C1742" s="5">
        <v>46083</v>
      </c>
      <c r="D1742" t="s">
        <v>134</v>
      </c>
      <c r="E1742">
        <v>262.47000000000003</v>
      </c>
      <c r="N1742"/>
      <c r="S1742"/>
      <c r="X1742"/>
    </row>
    <row r="1743" spans="2:24" ht="18.75">
      <c r="B1743">
        <v>10</v>
      </c>
      <c r="C1743" s="5">
        <v>46083</v>
      </c>
      <c r="D1743" t="s">
        <v>136</v>
      </c>
      <c r="E1743">
        <v>203.86</v>
      </c>
      <c r="N1743"/>
      <c r="S1743"/>
      <c r="X1743"/>
    </row>
    <row r="1744" spans="2:24" ht="18.75">
      <c r="B1744">
        <v>10</v>
      </c>
      <c r="C1744" s="5">
        <v>46083</v>
      </c>
      <c r="D1744" t="s">
        <v>137</v>
      </c>
      <c r="E1744">
        <v>72.66</v>
      </c>
      <c r="N1744"/>
      <c r="S1744"/>
      <c r="X1744"/>
    </row>
    <row r="1745" spans="2:24" ht="18.75">
      <c r="B1745">
        <v>10</v>
      </c>
      <c r="C1745" s="5">
        <v>46083</v>
      </c>
      <c r="D1745" t="s">
        <v>138</v>
      </c>
      <c r="E1745">
        <v>450.26</v>
      </c>
      <c r="N1745"/>
      <c r="S1745"/>
      <c r="X1745"/>
    </row>
    <row r="1746" spans="2:24" ht="18.75">
      <c r="B1746">
        <v>10</v>
      </c>
      <c r="C1746" s="5">
        <v>46083</v>
      </c>
      <c r="D1746" t="s">
        <v>140</v>
      </c>
      <c r="E1746">
        <v>72.459999999999994</v>
      </c>
      <c r="N1746"/>
      <c r="S1746"/>
      <c r="X1746"/>
    </row>
    <row r="1747" spans="2:24" ht="18.75">
      <c r="B1747">
        <v>10</v>
      </c>
      <c r="C1747" s="5">
        <v>46083</v>
      </c>
      <c r="D1747" t="s">
        <v>141</v>
      </c>
      <c r="E1747">
        <v>585.86</v>
      </c>
      <c r="N1747"/>
      <c r="S1747"/>
      <c r="X1747"/>
    </row>
    <row r="1748" spans="2:24" ht="18.75">
      <c r="B1748">
        <v>10</v>
      </c>
      <c r="C1748" s="5">
        <v>46083</v>
      </c>
      <c r="D1748" t="s">
        <v>142</v>
      </c>
      <c r="E1748">
        <v>197.13</v>
      </c>
      <c r="N1748"/>
      <c r="S1748"/>
      <c r="X1748"/>
    </row>
    <row r="1749" spans="2:24" ht="18.75">
      <c r="B1749">
        <v>10</v>
      </c>
      <c r="C1749" s="5">
        <v>46083</v>
      </c>
      <c r="D1749" t="s">
        <v>139</v>
      </c>
      <c r="E1749">
        <v>291.17</v>
      </c>
      <c r="N1749"/>
      <c r="S1749"/>
      <c r="X1749"/>
    </row>
    <row r="1750" spans="2:24" ht="18.75">
      <c r="B1750">
        <v>10</v>
      </c>
      <c r="C1750" s="5">
        <v>46083</v>
      </c>
      <c r="D1750" t="s">
        <v>143</v>
      </c>
      <c r="E1750">
        <v>2055.5100000000002</v>
      </c>
      <c r="N1750"/>
      <c r="S1750"/>
      <c r="X1750"/>
    </row>
    <row r="1751" spans="2:24" ht="18.75">
      <c r="B1751">
        <v>10</v>
      </c>
      <c r="C1751" s="5">
        <v>46083</v>
      </c>
      <c r="D1751" t="s">
        <v>145</v>
      </c>
      <c r="E1751">
        <v>262.19</v>
      </c>
      <c r="N1751"/>
      <c r="S1751"/>
      <c r="X1751"/>
    </row>
    <row r="1752" spans="2:24" ht="18.75">
      <c r="B1752">
        <v>10</v>
      </c>
      <c r="C1752" s="5">
        <v>46083</v>
      </c>
      <c r="D1752" t="s">
        <v>146</v>
      </c>
      <c r="E1752">
        <v>555.66</v>
      </c>
      <c r="N1752"/>
      <c r="S1752"/>
      <c r="X1752"/>
    </row>
    <row r="1753" spans="2:24" ht="18.75">
      <c r="B1753">
        <v>10</v>
      </c>
      <c r="C1753" s="5">
        <v>46083</v>
      </c>
      <c r="D1753" t="s">
        <v>148</v>
      </c>
      <c r="E1753">
        <v>123.83</v>
      </c>
      <c r="N1753"/>
      <c r="S1753"/>
      <c r="X1753"/>
    </row>
    <row r="1754" spans="2:24" ht="18.75">
      <c r="B1754">
        <v>10</v>
      </c>
      <c r="C1754" s="5">
        <v>46083</v>
      </c>
      <c r="D1754" t="s">
        <v>147</v>
      </c>
      <c r="E1754">
        <v>330.55</v>
      </c>
      <c r="N1754"/>
      <c r="S1754"/>
      <c r="X1754"/>
    </row>
    <row r="1755" spans="2:24" ht="18.75">
      <c r="B1755">
        <v>10</v>
      </c>
      <c r="C1755" s="5">
        <v>46083</v>
      </c>
      <c r="D1755" t="s">
        <v>150</v>
      </c>
      <c r="E1755">
        <v>68.739999999999995</v>
      </c>
      <c r="N1755"/>
      <c r="S1755"/>
      <c r="X1755"/>
    </row>
    <row r="1756" spans="2:24" ht="18.75">
      <c r="B1756">
        <v>10</v>
      </c>
      <c r="C1756" s="5">
        <v>46083</v>
      </c>
      <c r="D1756" t="s">
        <v>151</v>
      </c>
      <c r="E1756">
        <v>726.81</v>
      </c>
      <c r="N1756"/>
      <c r="S1756"/>
      <c r="X1756"/>
    </row>
    <row r="1757" spans="2:24" ht="18.75">
      <c r="B1757">
        <v>10</v>
      </c>
      <c r="C1757" s="5">
        <v>46083</v>
      </c>
      <c r="D1757" t="s">
        <v>128</v>
      </c>
      <c r="E1757">
        <v>139.63</v>
      </c>
      <c r="N1757"/>
      <c r="S1757"/>
      <c r="X1757"/>
    </row>
    <row r="1758" spans="2:24" ht="18.75">
      <c r="B1758">
        <v>10</v>
      </c>
      <c r="C1758" s="5">
        <v>46083</v>
      </c>
      <c r="D1758" t="s">
        <v>135</v>
      </c>
      <c r="E1758">
        <v>85.21</v>
      </c>
      <c r="N1758"/>
      <c r="S1758"/>
      <c r="X1758"/>
    </row>
    <row r="1759" spans="2:24" ht="18.75">
      <c r="B1759">
        <v>10</v>
      </c>
      <c r="C1759" s="5">
        <v>46083</v>
      </c>
      <c r="D1759" t="s">
        <v>127</v>
      </c>
      <c r="E1759">
        <v>265.91000000000003</v>
      </c>
      <c r="N1759"/>
      <c r="S1759"/>
      <c r="X1759"/>
    </row>
    <row r="1760" spans="2:24" ht="18.75">
      <c r="B1760">
        <v>10</v>
      </c>
      <c r="C1760" s="5">
        <v>46083</v>
      </c>
      <c r="D1760" t="s">
        <v>149</v>
      </c>
      <c r="E1760">
        <v>161.25</v>
      </c>
      <c r="N1760"/>
      <c r="S1760"/>
      <c r="X1760"/>
    </row>
    <row r="1761" spans="2:24" ht="18.75">
      <c r="B1761">
        <v>11</v>
      </c>
      <c r="C1761" s="5">
        <v>46090</v>
      </c>
      <c r="D1761" t="s">
        <v>111</v>
      </c>
      <c r="E1761">
        <v>177.21</v>
      </c>
      <c r="N1761"/>
      <c r="S1761"/>
      <c r="X1761"/>
    </row>
    <row r="1762" spans="2:24" ht="18.75">
      <c r="B1762">
        <v>11</v>
      </c>
      <c r="C1762" s="5">
        <v>46090</v>
      </c>
      <c r="D1762" t="s">
        <v>112</v>
      </c>
      <c r="E1762">
        <v>65.069999999999993</v>
      </c>
      <c r="N1762"/>
      <c r="S1762"/>
      <c r="X1762"/>
    </row>
    <row r="1763" spans="2:24" ht="18.75">
      <c r="B1763">
        <v>11</v>
      </c>
      <c r="C1763" s="5">
        <v>46090</v>
      </c>
      <c r="D1763" t="s">
        <v>113</v>
      </c>
      <c r="E1763">
        <v>183.98</v>
      </c>
      <c r="N1763"/>
      <c r="S1763"/>
      <c r="X1763"/>
    </row>
    <row r="1764" spans="2:24" ht="18.75">
      <c r="B1764">
        <v>11</v>
      </c>
      <c r="C1764" s="5">
        <v>46090</v>
      </c>
      <c r="D1764" t="s">
        <v>114</v>
      </c>
      <c r="E1764">
        <v>309.14</v>
      </c>
      <c r="N1764"/>
      <c r="S1764"/>
      <c r="X1764"/>
    </row>
    <row r="1765" spans="2:24" ht="18.75">
      <c r="B1765">
        <v>11</v>
      </c>
      <c r="C1765" s="5">
        <v>46090</v>
      </c>
      <c r="D1765" t="s">
        <v>116</v>
      </c>
      <c r="E1765">
        <v>80.489999999999995</v>
      </c>
      <c r="N1765"/>
      <c r="S1765"/>
      <c r="X1765"/>
    </row>
    <row r="1766" spans="2:24" ht="18.75">
      <c r="B1766">
        <v>11</v>
      </c>
      <c r="C1766" s="5">
        <v>46090</v>
      </c>
      <c r="D1766" t="s">
        <v>117</v>
      </c>
      <c r="E1766">
        <v>213.53</v>
      </c>
      <c r="N1766"/>
      <c r="S1766"/>
      <c r="X1766"/>
    </row>
    <row r="1767" spans="2:24" ht="18.75">
      <c r="B1767">
        <v>11</v>
      </c>
      <c r="C1767" s="5">
        <v>46090</v>
      </c>
      <c r="D1767" t="s">
        <v>118</v>
      </c>
      <c r="E1767">
        <v>195.08</v>
      </c>
      <c r="N1767"/>
      <c r="S1767"/>
      <c r="X1767"/>
    </row>
    <row r="1768" spans="2:24" ht="18.75">
      <c r="B1768">
        <v>11</v>
      </c>
      <c r="C1768" s="5">
        <v>46090</v>
      </c>
      <c r="D1768" t="s">
        <v>119</v>
      </c>
      <c r="E1768">
        <v>394.59</v>
      </c>
      <c r="N1768"/>
      <c r="S1768"/>
      <c r="X1768"/>
    </row>
    <row r="1769" spans="2:24" ht="18.75">
      <c r="B1769">
        <v>11</v>
      </c>
      <c r="C1769" s="5">
        <v>46090</v>
      </c>
      <c r="D1769" t="s">
        <v>120</v>
      </c>
      <c r="E1769">
        <v>102.31</v>
      </c>
      <c r="N1769"/>
      <c r="S1769"/>
      <c r="X1769"/>
    </row>
    <row r="1770" spans="2:24" ht="18.75">
      <c r="B1770">
        <v>11</v>
      </c>
      <c r="C1770" s="5">
        <v>46090</v>
      </c>
      <c r="D1770" t="s">
        <v>121</v>
      </c>
      <c r="E1770">
        <v>173.47</v>
      </c>
      <c r="N1770"/>
      <c r="S1770"/>
      <c r="X1770"/>
    </row>
    <row r="1771" spans="2:24" ht="18.75">
      <c r="B1771">
        <v>11</v>
      </c>
      <c r="C1771" s="5">
        <v>46090</v>
      </c>
      <c r="D1771" t="s">
        <v>122</v>
      </c>
      <c r="E1771">
        <v>279.95999999999998</v>
      </c>
      <c r="N1771"/>
      <c r="S1771"/>
      <c r="X1771"/>
    </row>
    <row r="1772" spans="2:24" ht="18.75">
      <c r="B1772">
        <v>11</v>
      </c>
      <c r="C1772" s="5">
        <v>46090</v>
      </c>
      <c r="D1772" t="s">
        <v>123</v>
      </c>
      <c r="E1772">
        <v>472.2</v>
      </c>
      <c r="N1772"/>
      <c r="S1772"/>
      <c r="X1772"/>
    </row>
    <row r="1773" spans="2:24" ht="18.75">
      <c r="B1773">
        <v>11</v>
      </c>
      <c r="C1773" s="5">
        <v>46090</v>
      </c>
      <c r="D1773" t="s">
        <v>124</v>
      </c>
      <c r="E1773">
        <v>483.07</v>
      </c>
      <c r="N1773"/>
      <c r="S1773"/>
      <c r="X1773"/>
    </row>
    <row r="1774" spans="2:24" ht="18.75">
      <c r="B1774">
        <v>11</v>
      </c>
      <c r="C1774" s="5">
        <v>46090</v>
      </c>
      <c r="D1774" t="s">
        <v>125</v>
      </c>
      <c r="E1774">
        <v>60.12</v>
      </c>
      <c r="N1774"/>
      <c r="S1774"/>
      <c r="X1774"/>
    </row>
    <row r="1775" spans="2:24" ht="18.75">
      <c r="B1775">
        <v>11</v>
      </c>
      <c r="C1775" s="5">
        <v>46090</v>
      </c>
      <c r="D1775" t="s">
        <v>126</v>
      </c>
      <c r="E1775">
        <v>140.36000000000001</v>
      </c>
      <c r="N1775"/>
      <c r="S1775"/>
      <c r="X1775"/>
    </row>
    <row r="1776" spans="2:24" ht="18.75">
      <c r="B1776">
        <v>11</v>
      </c>
      <c r="C1776" s="5">
        <v>46090</v>
      </c>
      <c r="D1776" t="s">
        <v>128</v>
      </c>
      <c r="E1776">
        <v>185.05</v>
      </c>
      <c r="N1776"/>
      <c r="S1776"/>
      <c r="X1776"/>
    </row>
    <row r="1777" spans="2:24" ht="18.75">
      <c r="B1777">
        <v>11</v>
      </c>
      <c r="C1777" s="5">
        <v>46090</v>
      </c>
      <c r="D1777" t="s">
        <v>129</v>
      </c>
      <c r="E1777">
        <v>387.4</v>
      </c>
      <c r="N1777"/>
      <c r="S1777"/>
      <c r="X1777"/>
    </row>
    <row r="1778" spans="2:24" ht="18.75">
      <c r="B1778">
        <v>11</v>
      </c>
      <c r="C1778" s="5">
        <v>46090</v>
      </c>
      <c r="D1778" t="s">
        <v>130</v>
      </c>
      <c r="E1778">
        <v>500.63</v>
      </c>
      <c r="N1778"/>
      <c r="S1778"/>
      <c r="X1778"/>
    </row>
    <row r="1779" spans="2:24" ht="18.75">
      <c r="B1779">
        <v>11</v>
      </c>
      <c r="C1779" s="5">
        <v>46090</v>
      </c>
      <c r="D1779" t="s">
        <v>132</v>
      </c>
      <c r="E1779">
        <v>181.52</v>
      </c>
      <c r="N1779"/>
      <c r="S1779"/>
      <c r="X1779"/>
    </row>
    <row r="1780" spans="2:24" ht="18.75">
      <c r="B1780">
        <v>11</v>
      </c>
      <c r="C1780" s="5">
        <v>46090</v>
      </c>
      <c r="D1780" t="s">
        <v>133</v>
      </c>
      <c r="E1780">
        <v>281.57</v>
      </c>
      <c r="N1780"/>
      <c r="S1780"/>
      <c r="X1780"/>
    </row>
    <row r="1781" spans="2:24" ht="18.75">
      <c r="B1781">
        <v>11</v>
      </c>
      <c r="C1781" s="5">
        <v>46090</v>
      </c>
      <c r="D1781" t="s">
        <v>134</v>
      </c>
      <c r="E1781">
        <v>281.73</v>
      </c>
      <c r="N1781"/>
      <c r="S1781"/>
      <c r="X1781"/>
    </row>
    <row r="1782" spans="2:24" ht="18.75">
      <c r="B1782">
        <v>11</v>
      </c>
      <c r="C1782" s="5">
        <v>46090</v>
      </c>
      <c r="D1782" t="s">
        <v>135</v>
      </c>
      <c r="E1782">
        <v>75.33</v>
      </c>
      <c r="N1782"/>
      <c r="S1782"/>
      <c r="X1782"/>
    </row>
    <row r="1783" spans="2:24" ht="18.75">
      <c r="B1783">
        <v>11</v>
      </c>
      <c r="C1783" s="5">
        <v>46090</v>
      </c>
      <c r="D1783" t="s">
        <v>136</v>
      </c>
      <c r="E1783">
        <v>193.94</v>
      </c>
      <c r="N1783"/>
      <c r="S1783"/>
      <c r="X1783"/>
    </row>
    <row r="1784" spans="2:24" ht="18.75">
      <c r="B1784">
        <v>11</v>
      </c>
      <c r="C1784" s="5">
        <v>46090</v>
      </c>
      <c r="D1784" t="s">
        <v>137</v>
      </c>
      <c r="E1784">
        <v>71.63</v>
      </c>
      <c r="N1784"/>
      <c r="S1784"/>
      <c r="X1784"/>
    </row>
    <row r="1785" spans="2:24" ht="18.75">
      <c r="B1785">
        <v>11</v>
      </c>
      <c r="C1785" s="5">
        <v>46090</v>
      </c>
      <c r="D1785" t="s">
        <v>138</v>
      </c>
      <c r="E1785">
        <v>405.25</v>
      </c>
      <c r="N1785"/>
      <c r="S1785"/>
      <c r="X1785"/>
    </row>
    <row r="1786" spans="2:24" ht="18.75">
      <c r="B1786">
        <v>11</v>
      </c>
      <c r="C1786" s="5">
        <v>46090</v>
      </c>
      <c r="D1786" t="s">
        <v>140</v>
      </c>
      <c r="E1786">
        <v>64.78</v>
      </c>
      <c r="N1786"/>
      <c r="S1786"/>
      <c r="X1786"/>
    </row>
    <row r="1787" spans="2:24" ht="18.75">
      <c r="B1787">
        <v>11</v>
      </c>
      <c r="C1787" s="5">
        <v>46090</v>
      </c>
      <c r="D1787" t="s">
        <v>141</v>
      </c>
      <c r="E1787">
        <v>519.04999999999995</v>
      </c>
      <c r="N1787"/>
      <c r="S1787"/>
      <c r="X1787"/>
    </row>
    <row r="1788" spans="2:24" ht="18.75">
      <c r="B1788">
        <v>11</v>
      </c>
      <c r="C1788" s="5">
        <v>46090</v>
      </c>
      <c r="D1788" t="s">
        <v>142</v>
      </c>
      <c r="E1788">
        <v>221.64</v>
      </c>
      <c r="N1788"/>
      <c r="S1788"/>
      <c r="X1788"/>
    </row>
    <row r="1789" spans="2:24" ht="18.75">
      <c r="B1789">
        <v>11</v>
      </c>
      <c r="C1789" s="5">
        <v>46090</v>
      </c>
      <c r="D1789" t="s">
        <v>139</v>
      </c>
      <c r="E1789">
        <v>286.24</v>
      </c>
      <c r="N1789"/>
      <c r="S1789"/>
      <c r="X1789"/>
    </row>
    <row r="1790" spans="2:24" ht="18.75">
      <c r="B1790">
        <v>11</v>
      </c>
      <c r="C1790" s="5">
        <v>46090</v>
      </c>
      <c r="D1790" t="s">
        <v>143</v>
      </c>
      <c r="E1790">
        <v>2160.44</v>
      </c>
      <c r="N1790"/>
      <c r="S1790"/>
      <c r="X1790"/>
    </row>
    <row r="1791" spans="2:24" ht="18.75">
      <c r="B1791">
        <v>11</v>
      </c>
      <c r="C1791" s="5">
        <v>46090</v>
      </c>
      <c r="D1791" t="s">
        <v>145</v>
      </c>
      <c r="E1791">
        <v>255.58</v>
      </c>
      <c r="N1791"/>
      <c r="S1791"/>
      <c r="X1791"/>
    </row>
    <row r="1792" spans="2:24" ht="18.75">
      <c r="B1792">
        <v>11</v>
      </c>
      <c r="C1792" s="5">
        <v>46090</v>
      </c>
      <c r="D1792" t="s">
        <v>146</v>
      </c>
      <c r="E1792">
        <v>562.91</v>
      </c>
      <c r="N1792"/>
      <c r="S1792"/>
      <c r="X1792"/>
    </row>
    <row r="1793" spans="2:24" ht="18.75">
      <c r="B1793">
        <v>11</v>
      </c>
      <c r="C1793" s="5">
        <v>46090</v>
      </c>
      <c r="D1793" t="s">
        <v>148</v>
      </c>
      <c r="E1793">
        <v>89.49</v>
      </c>
      <c r="N1793"/>
      <c r="S1793"/>
      <c r="X1793"/>
    </row>
    <row r="1794" spans="2:24" ht="18.75">
      <c r="B1794">
        <v>11</v>
      </c>
      <c r="C1794" s="5">
        <v>46090</v>
      </c>
      <c r="D1794" t="s">
        <v>147</v>
      </c>
      <c r="E1794">
        <v>243.43</v>
      </c>
      <c r="N1794"/>
      <c r="S1794"/>
      <c r="X1794"/>
    </row>
    <row r="1795" spans="2:24" ht="18.75">
      <c r="B1795">
        <v>11</v>
      </c>
      <c r="C1795" s="5">
        <v>46090</v>
      </c>
      <c r="D1795" t="s">
        <v>150</v>
      </c>
      <c r="E1795">
        <v>86.27</v>
      </c>
      <c r="N1795"/>
      <c r="S1795"/>
      <c r="X1795"/>
    </row>
    <row r="1796" spans="2:24" ht="18.75">
      <c r="B1796">
        <v>11</v>
      </c>
      <c r="C1796" s="5">
        <v>46090</v>
      </c>
      <c r="D1796" t="s">
        <v>151</v>
      </c>
      <c r="E1796">
        <v>668.58</v>
      </c>
      <c r="N1796"/>
      <c r="S1796"/>
      <c r="X1796"/>
    </row>
    <row r="1797" spans="2:24" ht="18.75">
      <c r="B1797">
        <v>11</v>
      </c>
      <c r="C1797" s="5">
        <v>46090</v>
      </c>
      <c r="D1797" t="s">
        <v>127</v>
      </c>
      <c r="E1797">
        <v>226.85</v>
      </c>
      <c r="N1797"/>
      <c r="S1797"/>
      <c r="X1797"/>
    </row>
    <row r="1798" spans="2:24" ht="18.75">
      <c r="B1798">
        <v>11</v>
      </c>
      <c r="C1798" s="5">
        <v>46090</v>
      </c>
      <c r="D1798" t="s">
        <v>149</v>
      </c>
      <c r="E1798">
        <v>168.83</v>
      </c>
      <c r="N1798"/>
      <c r="S1798"/>
      <c r="X1798"/>
    </row>
    <row r="1799" spans="2:24" ht="18.75">
      <c r="B1799">
        <v>12</v>
      </c>
      <c r="C1799" s="5">
        <v>46097</v>
      </c>
      <c r="D1799" t="s">
        <v>143</v>
      </c>
      <c r="E1799">
        <v>2203.6</v>
      </c>
      <c r="N1799"/>
      <c r="S1799"/>
      <c r="X1799"/>
    </row>
    <row r="1800" spans="2:24" ht="18.75">
      <c r="B1800">
        <v>12</v>
      </c>
      <c r="C1800" s="5">
        <v>46097</v>
      </c>
      <c r="D1800" t="s">
        <v>126</v>
      </c>
      <c r="E1800">
        <v>184.78</v>
      </c>
      <c r="N1800"/>
      <c r="S1800"/>
      <c r="X1800"/>
    </row>
    <row r="1801" spans="2:24" ht="18.75">
      <c r="B1801">
        <v>12</v>
      </c>
      <c r="C1801" s="5">
        <v>46097</v>
      </c>
      <c r="D1801" t="s">
        <v>127</v>
      </c>
      <c r="E1801">
        <v>282.85000000000002</v>
      </c>
      <c r="N1801"/>
      <c r="S1801"/>
      <c r="X1801"/>
    </row>
    <row r="1802" spans="2:24" ht="18.75">
      <c r="B1802">
        <v>12</v>
      </c>
      <c r="C1802" s="5">
        <v>46097</v>
      </c>
      <c r="D1802" t="s">
        <v>123</v>
      </c>
      <c r="E1802">
        <v>455.13</v>
      </c>
      <c r="N1802"/>
      <c r="S1802"/>
      <c r="X1802"/>
    </row>
    <row r="1803" spans="2:24" ht="18.75">
      <c r="B1803">
        <v>12</v>
      </c>
      <c r="C1803" s="5">
        <v>46097</v>
      </c>
      <c r="D1803" t="s">
        <v>124</v>
      </c>
      <c r="E1803">
        <v>419.69</v>
      </c>
      <c r="N1803"/>
      <c r="S1803"/>
      <c r="X1803"/>
    </row>
    <row r="1804" spans="2:24" ht="18.75">
      <c r="B1804">
        <v>12</v>
      </c>
      <c r="C1804" s="5">
        <v>46097</v>
      </c>
      <c r="D1804" t="s">
        <v>139</v>
      </c>
      <c r="E1804">
        <v>302.52999999999997</v>
      </c>
      <c r="N1804"/>
      <c r="S1804"/>
      <c r="X1804"/>
    </row>
    <row r="1805" spans="2:24" ht="18.75">
      <c r="B1805">
        <v>12</v>
      </c>
      <c r="C1805" s="5">
        <v>46097</v>
      </c>
      <c r="D1805" t="s">
        <v>147</v>
      </c>
      <c r="E1805">
        <v>325.33</v>
      </c>
      <c r="N1805"/>
      <c r="S1805"/>
      <c r="X1805"/>
    </row>
    <row r="1806" spans="2:24" ht="18.75">
      <c r="B1806">
        <v>12</v>
      </c>
      <c r="C1806" s="5">
        <v>46097</v>
      </c>
      <c r="D1806" t="s">
        <v>113</v>
      </c>
      <c r="E1806">
        <v>194.74</v>
      </c>
      <c r="N1806"/>
      <c r="S1806"/>
      <c r="X1806"/>
    </row>
    <row r="1807" spans="2:24" ht="18.75">
      <c r="B1807">
        <v>12</v>
      </c>
      <c r="C1807" s="5">
        <v>46097</v>
      </c>
      <c r="D1807" t="s">
        <v>121</v>
      </c>
      <c r="E1807">
        <v>163.22</v>
      </c>
      <c r="N1807"/>
      <c r="S1807"/>
      <c r="X1807"/>
    </row>
    <row r="1808" spans="2:24" ht="18.75">
      <c r="B1808">
        <v>12</v>
      </c>
      <c r="C1808" s="5">
        <v>46097</v>
      </c>
      <c r="D1808" t="s">
        <v>118</v>
      </c>
      <c r="E1808">
        <v>148.84</v>
      </c>
      <c r="N1808"/>
      <c r="S1808"/>
      <c r="X1808"/>
    </row>
    <row r="1809" spans="2:24" ht="18.75">
      <c r="B1809">
        <v>12</v>
      </c>
      <c r="C1809" s="5">
        <v>46097</v>
      </c>
      <c r="D1809" t="s">
        <v>111</v>
      </c>
      <c r="E1809">
        <v>210.39</v>
      </c>
      <c r="N1809"/>
      <c r="S1809"/>
      <c r="X1809"/>
    </row>
    <row r="1810" spans="2:24" ht="18.75">
      <c r="B1810">
        <v>12</v>
      </c>
      <c r="C1810" s="5">
        <v>46097</v>
      </c>
      <c r="D1810" t="s">
        <v>112</v>
      </c>
      <c r="E1810">
        <v>80.650000000000006</v>
      </c>
      <c r="N1810"/>
      <c r="S1810"/>
      <c r="X1810"/>
    </row>
    <row r="1811" spans="2:24" ht="18.75">
      <c r="B1811">
        <v>12</v>
      </c>
      <c r="C1811" s="5">
        <v>46097</v>
      </c>
      <c r="D1811" t="s">
        <v>114</v>
      </c>
      <c r="E1811">
        <v>303.92</v>
      </c>
      <c r="N1811"/>
      <c r="S1811"/>
      <c r="X1811"/>
    </row>
    <row r="1812" spans="2:24" ht="18.75">
      <c r="B1812">
        <v>12</v>
      </c>
      <c r="C1812" s="5">
        <v>46097</v>
      </c>
      <c r="D1812" t="s">
        <v>116</v>
      </c>
      <c r="E1812">
        <v>101.89</v>
      </c>
      <c r="N1812"/>
      <c r="S1812"/>
      <c r="X1812"/>
    </row>
    <row r="1813" spans="2:24" ht="18.75">
      <c r="B1813">
        <v>12</v>
      </c>
      <c r="C1813" s="5">
        <v>46097</v>
      </c>
      <c r="D1813" t="s">
        <v>117</v>
      </c>
      <c r="E1813">
        <v>225.53</v>
      </c>
      <c r="N1813"/>
      <c r="S1813"/>
      <c r="X1813"/>
    </row>
    <row r="1814" spans="2:24" ht="18.75">
      <c r="B1814">
        <v>12</v>
      </c>
      <c r="C1814" s="5">
        <v>46097</v>
      </c>
      <c r="D1814" t="s">
        <v>119</v>
      </c>
      <c r="E1814">
        <v>424.57</v>
      </c>
      <c r="N1814"/>
      <c r="S1814"/>
      <c r="X1814"/>
    </row>
    <row r="1815" spans="2:24" ht="18.75">
      <c r="B1815">
        <v>12</v>
      </c>
      <c r="C1815" s="5">
        <v>46097</v>
      </c>
      <c r="D1815" t="s">
        <v>120</v>
      </c>
      <c r="E1815">
        <v>113.28</v>
      </c>
      <c r="N1815"/>
      <c r="S1815"/>
      <c r="X1815"/>
    </row>
    <row r="1816" spans="2:24" ht="18.75">
      <c r="B1816">
        <v>12</v>
      </c>
      <c r="C1816" s="5">
        <v>46097</v>
      </c>
      <c r="D1816" t="s">
        <v>122</v>
      </c>
      <c r="E1816">
        <v>269.33</v>
      </c>
      <c r="N1816"/>
      <c r="S1816"/>
      <c r="X1816"/>
    </row>
    <row r="1817" spans="2:24" ht="18.75">
      <c r="B1817">
        <v>12</v>
      </c>
      <c r="C1817" s="5">
        <v>46097</v>
      </c>
      <c r="D1817" t="s">
        <v>125</v>
      </c>
      <c r="E1817">
        <v>77.760000000000005</v>
      </c>
      <c r="N1817"/>
      <c r="S1817"/>
      <c r="X1817"/>
    </row>
    <row r="1818" spans="2:24" ht="18.75">
      <c r="B1818">
        <v>12</v>
      </c>
      <c r="C1818" s="5">
        <v>46097</v>
      </c>
      <c r="D1818" t="s">
        <v>128</v>
      </c>
      <c r="E1818">
        <v>191.92</v>
      </c>
      <c r="N1818"/>
      <c r="S1818"/>
      <c r="X1818"/>
    </row>
    <row r="1819" spans="2:24" ht="18.75">
      <c r="B1819">
        <v>12</v>
      </c>
      <c r="C1819" s="5">
        <v>46097</v>
      </c>
      <c r="D1819" t="s">
        <v>129</v>
      </c>
      <c r="E1819">
        <v>420.02</v>
      </c>
      <c r="N1819"/>
      <c r="S1819"/>
      <c r="X1819"/>
    </row>
    <row r="1820" spans="2:24" ht="18.75">
      <c r="B1820">
        <v>12</v>
      </c>
      <c r="C1820" s="5">
        <v>46097</v>
      </c>
      <c r="D1820" t="s">
        <v>130</v>
      </c>
      <c r="E1820">
        <v>434.91</v>
      </c>
      <c r="N1820"/>
      <c r="S1820"/>
      <c r="X1820"/>
    </row>
    <row r="1821" spans="2:24" ht="18.75">
      <c r="B1821">
        <v>12</v>
      </c>
      <c r="C1821" s="5">
        <v>46097</v>
      </c>
      <c r="D1821" t="s">
        <v>132</v>
      </c>
      <c r="E1821">
        <v>177.86</v>
      </c>
      <c r="N1821"/>
      <c r="S1821"/>
      <c r="X1821"/>
    </row>
    <row r="1822" spans="2:24" ht="18.75">
      <c r="B1822">
        <v>12</v>
      </c>
      <c r="C1822" s="5">
        <v>46097</v>
      </c>
      <c r="D1822" t="s">
        <v>133</v>
      </c>
      <c r="E1822">
        <v>329.02</v>
      </c>
      <c r="N1822"/>
      <c r="S1822"/>
      <c r="X1822"/>
    </row>
    <row r="1823" spans="2:24" ht="18.75">
      <c r="B1823">
        <v>12</v>
      </c>
      <c r="C1823" s="5">
        <v>46097</v>
      </c>
      <c r="D1823" t="s">
        <v>134</v>
      </c>
      <c r="E1823">
        <v>362.6</v>
      </c>
      <c r="N1823"/>
      <c r="S1823"/>
      <c r="X1823"/>
    </row>
    <row r="1824" spans="2:24" ht="18.75">
      <c r="B1824">
        <v>12</v>
      </c>
      <c r="C1824" s="5">
        <v>46097</v>
      </c>
      <c r="D1824" t="s">
        <v>135</v>
      </c>
      <c r="E1824">
        <v>58.52</v>
      </c>
      <c r="N1824"/>
      <c r="S1824"/>
      <c r="X1824"/>
    </row>
    <row r="1825" spans="2:24" ht="18.75">
      <c r="B1825">
        <v>12</v>
      </c>
      <c r="C1825" s="5">
        <v>46097</v>
      </c>
      <c r="D1825" t="s">
        <v>136</v>
      </c>
      <c r="E1825">
        <v>186.98</v>
      </c>
      <c r="N1825"/>
      <c r="S1825"/>
      <c r="X1825"/>
    </row>
    <row r="1826" spans="2:24" ht="18.75">
      <c r="B1826">
        <v>12</v>
      </c>
      <c r="C1826" s="5">
        <v>46097</v>
      </c>
      <c r="D1826" t="s">
        <v>137</v>
      </c>
      <c r="E1826">
        <v>76.88</v>
      </c>
      <c r="N1826"/>
      <c r="S1826"/>
      <c r="X1826"/>
    </row>
    <row r="1827" spans="2:24" ht="18.75">
      <c r="B1827">
        <v>12</v>
      </c>
      <c r="C1827" s="5">
        <v>46097</v>
      </c>
      <c r="D1827" t="s">
        <v>138</v>
      </c>
      <c r="E1827">
        <v>418.32</v>
      </c>
      <c r="N1827"/>
      <c r="S1827"/>
      <c r="X1827"/>
    </row>
    <row r="1828" spans="2:24" ht="18.75">
      <c r="B1828">
        <v>12</v>
      </c>
      <c r="C1828" s="5">
        <v>46097</v>
      </c>
      <c r="D1828" t="s">
        <v>140</v>
      </c>
      <c r="E1828">
        <v>64.89</v>
      </c>
      <c r="N1828"/>
      <c r="S1828"/>
      <c r="X1828"/>
    </row>
    <row r="1829" spans="2:24" ht="18.75">
      <c r="B1829">
        <v>12</v>
      </c>
      <c r="C1829" s="5">
        <v>46097</v>
      </c>
      <c r="D1829" t="s">
        <v>141</v>
      </c>
      <c r="E1829">
        <v>548.74</v>
      </c>
      <c r="N1829"/>
      <c r="S1829"/>
      <c r="X1829"/>
    </row>
    <row r="1830" spans="2:24" ht="18.75">
      <c r="B1830">
        <v>12</v>
      </c>
      <c r="C1830" s="5">
        <v>46097</v>
      </c>
      <c r="D1830" t="s">
        <v>142</v>
      </c>
      <c r="E1830">
        <v>194.9</v>
      </c>
      <c r="N1830"/>
      <c r="S1830"/>
      <c r="X1830"/>
    </row>
    <row r="1831" spans="2:24" ht="18.75">
      <c r="B1831">
        <v>12</v>
      </c>
      <c r="C1831" s="5">
        <v>46097</v>
      </c>
      <c r="D1831" t="s">
        <v>145</v>
      </c>
      <c r="E1831">
        <v>266.42</v>
      </c>
      <c r="N1831"/>
      <c r="S1831"/>
      <c r="X1831"/>
    </row>
    <row r="1832" spans="2:24" ht="18.75">
      <c r="B1832">
        <v>12</v>
      </c>
      <c r="C1832" s="5">
        <v>46097</v>
      </c>
      <c r="D1832" t="s">
        <v>146</v>
      </c>
      <c r="E1832">
        <v>582.57000000000005</v>
      </c>
      <c r="N1832"/>
      <c r="S1832"/>
      <c r="X1832"/>
    </row>
    <row r="1833" spans="2:24" ht="18.75">
      <c r="B1833">
        <v>12</v>
      </c>
      <c r="C1833" s="5">
        <v>46097</v>
      </c>
      <c r="D1833" t="s">
        <v>148</v>
      </c>
      <c r="E1833">
        <v>90.6</v>
      </c>
      <c r="N1833"/>
      <c r="S1833"/>
      <c r="X1833"/>
    </row>
    <row r="1834" spans="2:24" ht="18.75">
      <c r="B1834">
        <v>12</v>
      </c>
      <c r="C1834" s="5">
        <v>46097</v>
      </c>
      <c r="D1834" t="s">
        <v>150</v>
      </c>
      <c r="E1834">
        <v>73.88</v>
      </c>
      <c r="N1834"/>
      <c r="S1834"/>
      <c r="X1834"/>
    </row>
    <row r="1835" spans="2:24" ht="18.75">
      <c r="B1835">
        <v>12</v>
      </c>
      <c r="C1835" s="5">
        <v>46097</v>
      </c>
      <c r="D1835" t="s">
        <v>151</v>
      </c>
      <c r="E1835">
        <v>699.15</v>
      </c>
      <c r="N1835"/>
      <c r="S1835"/>
      <c r="X1835"/>
    </row>
    <row r="1836" spans="2:24" ht="18.75">
      <c r="B1836">
        <v>12</v>
      </c>
      <c r="C1836" s="5">
        <v>46097</v>
      </c>
      <c r="D1836" t="s">
        <v>149</v>
      </c>
      <c r="E1836">
        <v>148.38</v>
      </c>
      <c r="N1836"/>
      <c r="S1836"/>
      <c r="X1836"/>
    </row>
    <row r="1837" spans="2:24" ht="18.75">
      <c r="B1837">
        <v>13</v>
      </c>
      <c r="C1837" s="5">
        <v>46104</v>
      </c>
      <c r="D1837" t="s">
        <v>111</v>
      </c>
      <c r="E1837">
        <v>200.15</v>
      </c>
      <c r="N1837"/>
      <c r="S1837"/>
      <c r="X1837"/>
    </row>
    <row r="1838" spans="2:24" ht="18.75">
      <c r="B1838">
        <v>13</v>
      </c>
      <c r="C1838" s="5">
        <v>46104</v>
      </c>
      <c r="D1838" t="s">
        <v>112</v>
      </c>
      <c r="E1838">
        <v>69.44</v>
      </c>
      <c r="N1838"/>
      <c r="S1838"/>
      <c r="X1838"/>
    </row>
    <row r="1839" spans="2:24" ht="18.75">
      <c r="B1839">
        <v>13</v>
      </c>
      <c r="C1839" s="5">
        <v>46104</v>
      </c>
      <c r="D1839" t="s">
        <v>113</v>
      </c>
      <c r="E1839">
        <v>182.24</v>
      </c>
      <c r="N1839"/>
      <c r="S1839"/>
      <c r="X1839"/>
    </row>
    <row r="1840" spans="2:24" ht="18.75">
      <c r="B1840">
        <v>13</v>
      </c>
      <c r="C1840" s="5">
        <v>46104</v>
      </c>
      <c r="D1840" t="s">
        <v>114</v>
      </c>
      <c r="E1840">
        <v>274.58999999999997</v>
      </c>
      <c r="N1840"/>
      <c r="S1840"/>
      <c r="X1840"/>
    </row>
    <row r="1841" spans="2:24" ht="18.75">
      <c r="B1841">
        <v>13</v>
      </c>
      <c r="C1841" s="5">
        <v>46104</v>
      </c>
      <c r="D1841" t="s">
        <v>117</v>
      </c>
      <c r="E1841">
        <v>240.93</v>
      </c>
      <c r="N1841"/>
      <c r="S1841"/>
      <c r="X1841"/>
    </row>
    <row r="1842" spans="2:24" ht="18.75">
      <c r="B1842">
        <v>13</v>
      </c>
      <c r="C1842" s="5">
        <v>46104</v>
      </c>
      <c r="D1842" t="s">
        <v>118</v>
      </c>
      <c r="E1842">
        <v>141.29</v>
      </c>
      <c r="N1842"/>
      <c r="S1842"/>
      <c r="X1842"/>
    </row>
    <row r="1843" spans="2:24" ht="18.75">
      <c r="B1843">
        <v>13</v>
      </c>
      <c r="C1843" s="5">
        <v>46104</v>
      </c>
      <c r="D1843" t="s">
        <v>119</v>
      </c>
      <c r="E1843">
        <v>380.33</v>
      </c>
      <c r="N1843"/>
      <c r="S1843"/>
      <c r="X1843"/>
    </row>
    <row r="1844" spans="2:24" ht="18.75">
      <c r="B1844">
        <v>13</v>
      </c>
      <c r="C1844" s="5">
        <v>46104</v>
      </c>
      <c r="D1844" t="s">
        <v>120</v>
      </c>
      <c r="E1844">
        <v>100.6</v>
      </c>
      <c r="N1844"/>
      <c r="S1844"/>
      <c r="X1844"/>
    </row>
    <row r="1845" spans="2:24" ht="18.75">
      <c r="B1845">
        <v>13</v>
      </c>
      <c r="C1845" s="5">
        <v>46104</v>
      </c>
      <c r="D1845" t="s">
        <v>121</v>
      </c>
      <c r="E1845">
        <v>155.93</v>
      </c>
      <c r="N1845"/>
      <c r="S1845"/>
      <c r="X1845"/>
    </row>
    <row r="1846" spans="2:24" ht="18.75">
      <c r="B1846">
        <v>13</v>
      </c>
      <c r="C1846" s="5">
        <v>46104</v>
      </c>
      <c r="D1846" t="s">
        <v>122</v>
      </c>
      <c r="E1846">
        <v>274.31</v>
      </c>
      <c r="N1846"/>
      <c r="S1846"/>
      <c r="X1846"/>
    </row>
    <row r="1847" spans="2:24" ht="18.75">
      <c r="B1847">
        <v>13</v>
      </c>
      <c r="C1847" s="5">
        <v>46104</v>
      </c>
      <c r="D1847" t="s">
        <v>123</v>
      </c>
      <c r="E1847">
        <v>507.83</v>
      </c>
      <c r="N1847"/>
      <c r="S1847"/>
      <c r="X1847"/>
    </row>
    <row r="1848" spans="2:24" ht="18.75">
      <c r="B1848">
        <v>13</v>
      </c>
      <c r="C1848" s="5">
        <v>46104</v>
      </c>
      <c r="D1848" t="s">
        <v>124</v>
      </c>
      <c r="E1848">
        <v>385.43</v>
      </c>
      <c r="N1848"/>
      <c r="S1848"/>
      <c r="X1848"/>
    </row>
    <row r="1849" spans="2:24" ht="18.75">
      <c r="B1849">
        <v>13</v>
      </c>
      <c r="C1849" s="5">
        <v>46104</v>
      </c>
      <c r="D1849" t="s">
        <v>125</v>
      </c>
      <c r="E1849">
        <v>54.84</v>
      </c>
      <c r="N1849"/>
      <c r="S1849"/>
      <c r="X1849"/>
    </row>
    <row r="1850" spans="2:24" ht="18.75">
      <c r="B1850">
        <v>13</v>
      </c>
      <c r="C1850" s="5">
        <v>46104</v>
      </c>
      <c r="D1850" t="s">
        <v>126</v>
      </c>
      <c r="E1850">
        <v>283.32</v>
      </c>
      <c r="N1850"/>
      <c r="S1850"/>
      <c r="X1850"/>
    </row>
    <row r="1851" spans="2:24" ht="18.75">
      <c r="B1851">
        <v>13</v>
      </c>
      <c r="C1851" s="5">
        <v>46104</v>
      </c>
      <c r="D1851" t="s">
        <v>128</v>
      </c>
      <c r="E1851">
        <v>181.42</v>
      </c>
      <c r="N1851"/>
      <c r="S1851"/>
      <c r="X1851"/>
    </row>
    <row r="1852" spans="2:24" ht="18.75">
      <c r="B1852">
        <v>13</v>
      </c>
      <c r="C1852" s="5">
        <v>46104</v>
      </c>
      <c r="D1852" t="s">
        <v>129</v>
      </c>
      <c r="E1852">
        <v>337.36</v>
      </c>
      <c r="N1852"/>
      <c r="S1852"/>
      <c r="X1852"/>
    </row>
    <row r="1853" spans="2:24" ht="18.75">
      <c r="B1853">
        <v>13</v>
      </c>
      <c r="C1853" s="5">
        <v>46104</v>
      </c>
      <c r="D1853" t="s">
        <v>130</v>
      </c>
      <c r="E1853">
        <v>410.84</v>
      </c>
      <c r="N1853"/>
      <c r="S1853"/>
      <c r="X1853"/>
    </row>
    <row r="1854" spans="2:24" ht="18.75">
      <c r="B1854">
        <v>13</v>
      </c>
      <c r="C1854" s="5">
        <v>46104</v>
      </c>
      <c r="D1854" t="s">
        <v>132</v>
      </c>
      <c r="E1854">
        <v>212.52</v>
      </c>
      <c r="N1854"/>
      <c r="S1854"/>
      <c r="X1854"/>
    </row>
    <row r="1855" spans="2:24" ht="18.75">
      <c r="B1855">
        <v>13</v>
      </c>
      <c r="C1855" s="5">
        <v>46104</v>
      </c>
      <c r="D1855" t="s">
        <v>133</v>
      </c>
      <c r="E1855">
        <v>341.07</v>
      </c>
      <c r="N1855"/>
      <c r="S1855"/>
      <c r="X1855"/>
    </row>
    <row r="1856" spans="2:24" ht="18.75">
      <c r="B1856">
        <v>13</v>
      </c>
      <c r="C1856" s="5">
        <v>46104</v>
      </c>
      <c r="D1856" t="s">
        <v>134</v>
      </c>
      <c r="E1856">
        <v>377.26</v>
      </c>
      <c r="N1856"/>
      <c r="S1856"/>
      <c r="X1856"/>
    </row>
    <row r="1857" spans="2:24" ht="18.75">
      <c r="B1857">
        <v>13</v>
      </c>
      <c r="C1857" s="5">
        <v>46104</v>
      </c>
      <c r="D1857" t="s">
        <v>135</v>
      </c>
      <c r="E1857">
        <v>84.67</v>
      </c>
      <c r="N1857"/>
      <c r="S1857"/>
      <c r="X1857"/>
    </row>
    <row r="1858" spans="2:24" ht="18.75">
      <c r="B1858">
        <v>13</v>
      </c>
      <c r="C1858" s="5">
        <v>46104</v>
      </c>
      <c r="D1858" t="s">
        <v>136</v>
      </c>
      <c r="E1858">
        <v>193.97</v>
      </c>
      <c r="N1858"/>
      <c r="S1858"/>
      <c r="X1858"/>
    </row>
    <row r="1859" spans="2:24" ht="18.75">
      <c r="B1859">
        <v>13</v>
      </c>
      <c r="C1859" s="5">
        <v>46104</v>
      </c>
      <c r="D1859" t="s">
        <v>137</v>
      </c>
      <c r="E1859">
        <v>63.41</v>
      </c>
      <c r="N1859"/>
      <c r="S1859"/>
      <c r="X1859"/>
    </row>
    <row r="1860" spans="2:24" ht="18.75">
      <c r="B1860">
        <v>13</v>
      </c>
      <c r="C1860" s="5">
        <v>46104</v>
      </c>
      <c r="D1860" t="s">
        <v>138</v>
      </c>
      <c r="E1860">
        <v>391.64</v>
      </c>
      <c r="N1860"/>
      <c r="S1860"/>
      <c r="X1860"/>
    </row>
    <row r="1861" spans="2:24" ht="18.75">
      <c r="B1861">
        <v>13</v>
      </c>
      <c r="C1861" s="5">
        <v>46104</v>
      </c>
      <c r="D1861" t="s">
        <v>140</v>
      </c>
      <c r="E1861">
        <v>96.2</v>
      </c>
      <c r="N1861"/>
      <c r="S1861"/>
      <c r="X1861"/>
    </row>
    <row r="1862" spans="2:24" ht="18.75">
      <c r="B1862">
        <v>13</v>
      </c>
      <c r="C1862" s="5">
        <v>46104</v>
      </c>
      <c r="D1862" t="s">
        <v>141</v>
      </c>
      <c r="E1862">
        <v>553.92999999999995</v>
      </c>
      <c r="N1862"/>
      <c r="S1862"/>
      <c r="X1862"/>
    </row>
    <row r="1863" spans="2:24" ht="18.75">
      <c r="B1863">
        <v>13</v>
      </c>
      <c r="C1863" s="5">
        <v>46104</v>
      </c>
      <c r="D1863" t="s">
        <v>142</v>
      </c>
      <c r="E1863">
        <v>185.4</v>
      </c>
      <c r="N1863"/>
      <c r="S1863"/>
      <c r="X1863"/>
    </row>
    <row r="1864" spans="2:24" ht="18.75">
      <c r="B1864">
        <v>13</v>
      </c>
      <c r="C1864" s="5">
        <v>46104</v>
      </c>
      <c r="D1864" t="s">
        <v>139</v>
      </c>
      <c r="E1864">
        <v>292.57</v>
      </c>
      <c r="N1864"/>
      <c r="S1864"/>
      <c r="X1864"/>
    </row>
    <row r="1865" spans="2:24" ht="18.75">
      <c r="B1865">
        <v>13</v>
      </c>
      <c r="C1865" s="5">
        <v>46104</v>
      </c>
      <c r="D1865" t="s">
        <v>143</v>
      </c>
      <c r="E1865">
        <v>2076.73</v>
      </c>
      <c r="N1865"/>
      <c r="S1865"/>
      <c r="X1865"/>
    </row>
    <row r="1866" spans="2:24" ht="18.75">
      <c r="B1866">
        <v>13</v>
      </c>
      <c r="C1866" s="5">
        <v>46104</v>
      </c>
      <c r="D1866" t="s">
        <v>145</v>
      </c>
      <c r="E1866">
        <v>254.94</v>
      </c>
      <c r="N1866"/>
      <c r="S1866"/>
      <c r="X1866"/>
    </row>
    <row r="1867" spans="2:24" ht="18.75">
      <c r="B1867">
        <v>13</v>
      </c>
      <c r="C1867" s="5">
        <v>46104</v>
      </c>
      <c r="D1867" t="s">
        <v>146</v>
      </c>
      <c r="E1867">
        <v>621.14</v>
      </c>
      <c r="N1867"/>
      <c r="S1867"/>
      <c r="X1867"/>
    </row>
    <row r="1868" spans="2:24" ht="18.75">
      <c r="B1868">
        <v>13</v>
      </c>
      <c r="C1868" s="5">
        <v>46104</v>
      </c>
      <c r="D1868" t="s">
        <v>148</v>
      </c>
      <c r="E1868">
        <v>127.75</v>
      </c>
      <c r="N1868"/>
      <c r="S1868"/>
      <c r="X1868"/>
    </row>
    <row r="1869" spans="2:24" ht="18.75">
      <c r="B1869">
        <v>13</v>
      </c>
      <c r="C1869" s="5">
        <v>46104</v>
      </c>
      <c r="D1869" t="s">
        <v>147</v>
      </c>
      <c r="E1869">
        <v>324.07</v>
      </c>
      <c r="N1869"/>
      <c r="S1869"/>
      <c r="X1869"/>
    </row>
    <row r="1870" spans="2:24" ht="18.75">
      <c r="B1870">
        <v>13</v>
      </c>
      <c r="C1870" s="5">
        <v>46104</v>
      </c>
      <c r="D1870" t="s">
        <v>150</v>
      </c>
      <c r="E1870">
        <v>96.02</v>
      </c>
      <c r="N1870"/>
      <c r="S1870"/>
      <c r="X1870"/>
    </row>
    <row r="1871" spans="2:24" ht="18.75">
      <c r="B1871">
        <v>13</v>
      </c>
      <c r="C1871" s="5">
        <v>46104</v>
      </c>
      <c r="D1871" t="s">
        <v>151</v>
      </c>
      <c r="E1871">
        <v>690.47</v>
      </c>
      <c r="N1871"/>
      <c r="S1871"/>
      <c r="X1871"/>
    </row>
    <row r="1872" spans="2:24" ht="18.75">
      <c r="B1872">
        <v>13</v>
      </c>
      <c r="C1872" s="5">
        <v>46104</v>
      </c>
      <c r="D1872" t="s">
        <v>127</v>
      </c>
      <c r="E1872">
        <v>217.43</v>
      </c>
      <c r="N1872"/>
      <c r="S1872"/>
      <c r="X1872"/>
    </row>
    <row r="1873" spans="2:24" ht="18.75">
      <c r="B1873">
        <v>13</v>
      </c>
      <c r="C1873" s="5">
        <v>46104</v>
      </c>
      <c r="D1873" t="s">
        <v>149</v>
      </c>
      <c r="E1873">
        <v>148.09</v>
      </c>
      <c r="N1873"/>
      <c r="S1873"/>
      <c r="X1873"/>
    </row>
    <row r="1874" spans="2:24" ht="18.75">
      <c r="B1874">
        <v>13</v>
      </c>
      <c r="C1874" s="5">
        <v>46104</v>
      </c>
      <c r="D1874" t="s">
        <v>116</v>
      </c>
      <c r="E1874">
        <v>100.19</v>
      </c>
      <c r="N1874"/>
      <c r="S1874"/>
      <c r="X1874"/>
    </row>
    <row r="1875" spans="2:24" ht="18.75">
      <c r="B1875">
        <v>14</v>
      </c>
      <c r="C1875" s="5">
        <v>46111</v>
      </c>
      <c r="D1875" t="s">
        <v>111</v>
      </c>
      <c r="E1875">
        <v>200.02</v>
      </c>
      <c r="N1875"/>
      <c r="S1875"/>
      <c r="X1875"/>
    </row>
    <row r="1876" spans="2:24" ht="18.75">
      <c r="B1876">
        <v>14</v>
      </c>
      <c r="C1876" s="5">
        <v>46111</v>
      </c>
      <c r="D1876" t="s">
        <v>114</v>
      </c>
      <c r="E1876">
        <v>273.62</v>
      </c>
      <c r="N1876"/>
      <c r="S1876"/>
      <c r="X1876"/>
    </row>
    <row r="1877" spans="2:24" ht="18.75">
      <c r="B1877">
        <v>14</v>
      </c>
      <c r="C1877" s="5">
        <v>46111</v>
      </c>
      <c r="D1877" t="s">
        <v>117</v>
      </c>
      <c r="E1877">
        <v>309.73</v>
      </c>
      <c r="N1877"/>
      <c r="S1877"/>
      <c r="X1877"/>
    </row>
    <row r="1878" spans="2:24" ht="18.75">
      <c r="B1878">
        <v>14</v>
      </c>
      <c r="C1878" s="5">
        <v>46111</v>
      </c>
      <c r="D1878" t="s">
        <v>119</v>
      </c>
      <c r="E1878">
        <v>435.01</v>
      </c>
      <c r="N1878"/>
      <c r="S1878"/>
      <c r="X1878"/>
    </row>
    <row r="1879" spans="2:24" ht="18.75">
      <c r="B1879">
        <v>14</v>
      </c>
      <c r="C1879" s="5">
        <v>46111</v>
      </c>
      <c r="D1879" t="s">
        <v>130</v>
      </c>
      <c r="E1879">
        <v>436.99</v>
      </c>
      <c r="N1879"/>
      <c r="S1879"/>
      <c r="X1879"/>
    </row>
    <row r="1880" spans="2:24" ht="18.75">
      <c r="B1880">
        <v>14</v>
      </c>
      <c r="C1880" s="5">
        <v>46111</v>
      </c>
      <c r="D1880" t="s">
        <v>133</v>
      </c>
      <c r="E1880">
        <v>363.91</v>
      </c>
      <c r="N1880"/>
      <c r="S1880"/>
      <c r="X1880"/>
    </row>
    <row r="1881" spans="2:24" ht="18.75">
      <c r="B1881">
        <v>14</v>
      </c>
      <c r="C1881" s="5">
        <v>46111</v>
      </c>
      <c r="D1881" t="s">
        <v>134</v>
      </c>
      <c r="E1881">
        <v>369.54</v>
      </c>
      <c r="N1881"/>
      <c r="S1881"/>
      <c r="X1881"/>
    </row>
    <row r="1882" spans="2:24" ht="18.75">
      <c r="B1882">
        <v>14</v>
      </c>
      <c r="C1882" s="5">
        <v>46111</v>
      </c>
      <c r="D1882" t="s">
        <v>138</v>
      </c>
      <c r="E1882">
        <v>448.77</v>
      </c>
      <c r="N1882"/>
      <c r="S1882"/>
      <c r="X1882"/>
    </row>
    <row r="1883" spans="2:24" ht="18.75">
      <c r="B1883">
        <v>14</v>
      </c>
      <c r="C1883" s="5">
        <v>46111</v>
      </c>
      <c r="D1883" t="s">
        <v>141</v>
      </c>
      <c r="E1883">
        <v>546.54999999999995</v>
      </c>
      <c r="N1883"/>
      <c r="S1883"/>
      <c r="X1883"/>
    </row>
    <row r="1884" spans="2:24" ht="18.75">
      <c r="B1884">
        <v>14</v>
      </c>
      <c r="C1884" s="5">
        <v>46111</v>
      </c>
      <c r="D1884" t="s">
        <v>143</v>
      </c>
      <c r="E1884">
        <v>1716.93</v>
      </c>
      <c r="N1884"/>
      <c r="S1884"/>
      <c r="X1884"/>
    </row>
    <row r="1885" spans="2:24" ht="18.75">
      <c r="B1885">
        <v>14</v>
      </c>
      <c r="C1885" s="5">
        <v>46111</v>
      </c>
      <c r="D1885" t="s">
        <v>145</v>
      </c>
      <c r="E1885">
        <v>248.22</v>
      </c>
      <c r="N1885"/>
      <c r="S1885"/>
      <c r="X1885"/>
    </row>
    <row r="1886" spans="2:24" ht="18.75">
      <c r="B1886">
        <v>14</v>
      </c>
      <c r="C1886" s="5">
        <v>46111</v>
      </c>
      <c r="D1886" t="s">
        <v>146</v>
      </c>
      <c r="E1886">
        <v>608.29</v>
      </c>
      <c r="N1886"/>
      <c r="S1886"/>
      <c r="X1886"/>
    </row>
    <row r="1887" spans="2:24" ht="18.75">
      <c r="B1887">
        <v>14</v>
      </c>
      <c r="C1887" s="5">
        <v>46111</v>
      </c>
      <c r="D1887" t="s">
        <v>151</v>
      </c>
      <c r="E1887">
        <v>555.85</v>
      </c>
      <c r="N1887"/>
      <c r="S1887"/>
      <c r="X1887"/>
    </row>
    <row r="1888" spans="2:24" ht="18.75">
      <c r="B1888">
        <v>14</v>
      </c>
      <c r="C1888" s="5">
        <v>46111</v>
      </c>
      <c r="D1888" t="s">
        <v>129</v>
      </c>
      <c r="E1888">
        <v>385.04</v>
      </c>
      <c r="N1888"/>
      <c r="S1888"/>
      <c r="X1888"/>
    </row>
    <row r="1889" spans="2:24" ht="18.75">
      <c r="B1889">
        <v>14</v>
      </c>
      <c r="C1889" s="5">
        <v>46111</v>
      </c>
      <c r="D1889" t="s">
        <v>126</v>
      </c>
      <c r="E1889">
        <v>327.78</v>
      </c>
      <c r="N1889"/>
      <c r="S1889"/>
      <c r="X1889"/>
    </row>
    <row r="1890" spans="2:24" ht="18.75">
      <c r="B1890">
        <v>14</v>
      </c>
      <c r="C1890" s="5">
        <v>46111</v>
      </c>
      <c r="D1890" t="s">
        <v>113</v>
      </c>
      <c r="E1890">
        <v>207.99</v>
      </c>
      <c r="N1890"/>
      <c r="S1890"/>
      <c r="X1890"/>
    </row>
    <row r="1891" spans="2:24" ht="18.75">
      <c r="B1891">
        <v>14</v>
      </c>
      <c r="C1891" s="5">
        <v>46111</v>
      </c>
      <c r="D1891" t="s">
        <v>118</v>
      </c>
      <c r="E1891">
        <v>181.13</v>
      </c>
      <c r="N1891"/>
      <c r="S1891"/>
      <c r="X1891"/>
    </row>
    <row r="1892" spans="2:24" ht="18.75">
      <c r="B1892">
        <v>14</v>
      </c>
      <c r="C1892" s="5">
        <v>46111</v>
      </c>
      <c r="D1892" t="s">
        <v>123</v>
      </c>
      <c r="E1892">
        <v>486.06</v>
      </c>
      <c r="N1892"/>
      <c r="S1892"/>
      <c r="X1892"/>
    </row>
    <row r="1893" spans="2:24" ht="18.75">
      <c r="B1893">
        <v>14</v>
      </c>
      <c r="C1893" s="5">
        <v>46111</v>
      </c>
      <c r="D1893" t="s">
        <v>124</v>
      </c>
      <c r="E1893">
        <v>350.6</v>
      </c>
      <c r="N1893"/>
      <c r="S1893"/>
      <c r="X1893"/>
    </row>
    <row r="1894" spans="2:24" ht="18.75">
      <c r="B1894">
        <v>14</v>
      </c>
      <c r="C1894" s="5">
        <v>46111</v>
      </c>
      <c r="D1894" t="s">
        <v>147</v>
      </c>
      <c r="E1894">
        <v>376.73</v>
      </c>
      <c r="N1894"/>
      <c r="S1894"/>
    </row>
    <row r="1895" spans="2:24" ht="18.75">
      <c r="B1895">
        <v>14</v>
      </c>
      <c r="C1895" s="5">
        <v>46111</v>
      </c>
      <c r="D1895" t="s">
        <v>121</v>
      </c>
      <c r="E1895">
        <v>180.43</v>
      </c>
      <c r="N1895"/>
      <c r="S1895"/>
    </row>
    <row r="1896" spans="2:24" ht="18.75">
      <c r="B1896">
        <v>14</v>
      </c>
      <c r="C1896" s="5">
        <v>46111</v>
      </c>
      <c r="D1896" t="s">
        <v>139</v>
      </c>
      <c r="E1896">
        <v>291.89999999999998</v>
      </c>
      <c r="N1896"/>
      <c r="S1896"/>
    </row>
    <row r="1897" spans="2:24" ht="18.75">
      <c r="B1897">
        <v>14</v>
      </c>
      <c r="C1897" s="5">
        <v>46111</v>
      </c>
      <c r="D1897" t="s">
        <v>127</v>
      </c>
      <c r="E1897">
        <v>195.57</v>
      </c>
      <c r="N1897"/>
      <c r="S1897"/>
    </row>
    <row r="1898" spans="2:24" ht="18.75">
      <c r="B1898">
        <v>15</v>
      </c>
      <c r="C1898" s="5">
        <v>46118</v>
      </c>
      <c r="D1898" t="s">
        <v>143</v>
      </c>
      <c r="E1898">
        <v>1662.09</v>
      </c>
      <c r="N1898"/>
      <c r="S1898"/>
    </row>
    <row r="1899" spans="2:24" ht="18.75">
      <c r="B1899">
        <v>15</v>
      </c>
      <c r="C1899" s="5">
        <v>46118</v>
      </c>
      <c r="D1899" t="s">
        <v>111</v>
      </c>
      <c r="E1899">
        <v>104.85</v>
      </c>
      <c r="N1899"/>
      <c r="S1899"/>
    </row>
    <row r="1900" spans="2:24" ht="18.75">
      <c r="B1900">
        <v>15</v>
      </c>
      <c r="C1900" s="5">
        <v>46118</v>
      </c>
      <c r="D1900" t="s">
        <v>112</v>
      </c>
      <c r="E1900">
        <v>67.48</v>
      </c>
      <c r="N1900"/>
      <c r="S1900"/>
    </row>
    <row r="1901" spans="2:24" ht="18.75">
      <c r="B1901">
        <v>15</v>
      </c>
      <c r="C1901" s="5">
        <v>46118</v>
      </c>
      <c r="D1901" t="s">
        <v>113</v>
      </c>
      <c r="E1901">
        <v>131.47</v>
      </c>
      <c r="N1901"/>
      <c r="S1901"/>
    </row>
    <row r="1902" spans="2:24" ht="18.75">
      <c r="B1902">
        <v>15</v>
      </c>
      <c r="C1902" s="5">
        <v>46118</v>
      </c>
      <c r="D1902" t="s">
        <v>114</v>
      </c>
      <c r="E1902">
        <v>300.5</v>
      </c>
      <c r="N1902"/>
      <c r="S1902"/>
    </row>
    <row r="1903" spans="2:24" ht="18.75">
      <c r="B1903">
        <v>15</v>
      </c>
      <c r="C1903" s="5">
        <v>46118</v>
      </c>
      <c r="D1903" t="s">
        <v>117</v>
      </c>
      <c r="E1903">
        <v>224.53</v>
      </c>
      <c r="N1903"/>
      <c r="S1903"/>
    </row>
    <row r="1904" spans="2:24" ht="18.75">
      <c r="B1904">
        <v>15</v>
      </c>
      <c r="C1904" s="5">
        <v>46118</v>
      </c>
      <c r="D1904" t="s">
        <v>121</v>
      </c>
      <c r="E1904">
        <v>97.07</v>
      </c>
      <c r="N1904"/>
      <c r="S1904"/>
    </row>
    <row r="1905" spans="2:19" ht="18.75">
      <c r="B1905">
        <v>15</v>
      </c>
      <c r="C1905" s="5">
        <v>46118</v>
      </c>
      <c r="D1905" t="s">
        <v>122</v>
      </c>
      <c r="E1905">
        <v>191.57</v>
      </c>
      <c r="N1905"/>
      <c r="S1905"/>
    </row>
    <row r="1906" spans="2:19" ht="18.75">
      <c r="B1906">
        <v>15</v>
      </c>
      <c r="C1906" s="5">
        <v>46118</v>
      </c>
      <c r="D1906" t="s">
        <v>125</v>
      </c>
      <c r="E1906">
        <v>68.73</v>
      </c>
      <c r="N1906"/>
      <c r="S1906"/>
    </row>
    <row r="1907" spans="2:19" ht="18.75">
      <c r="B1907">
        <v>15</v>
      </c>
      <c r="C1907" s="5">
        <v>46118</v>
      </c>
      <c r="D1907" t="s">
        <v>126</v>
      </c>
      <c r="E1907">
        <v>63.83</v>
      </c>
      <c r="N1907"/>
      <c r="S1907"/>
    </row>
    <row r="1908" spans="2:19" ht="18.75">
      <c r="B1908">
        <v>15</v>
      </c>
      <c r="C1908" s="5">
        <v>46118</v>
      </c>
      <c r="D1908" t="s">
        <v>129</v>
      </c>
      <c r="E1908">
        <v>319.93</v>
      </c>
      <c r="N1908"/>
      <c r="S1908"/>
    </row>
    <row r="1909" spans="2:19" ht="18.75">
      <c r="B1909">
        <v>15</v>
      </c>
      <c r="C1909" s="5">
        <v>46118</v>
      </c>
      <c r="D1909" t="s">
        <v>130</v>
      </c>
      <c r="E1909">
        <v>342.58</v>
      </c>
      <c r="N1909"/>
      <c r="S1909"/>
    </row>
    <row r="1910" spans="2:19" ht="18.75">
      <c r="B1910">
        <v>15</v>
      </c>
      <c r="C1910" s="5">
        <v>46118</v>
      </c>
      <c r="D1910" t="s">
        <v>132</v>
      </c>
      <c r="E1910">
        <v>147.46</v>
      </c>
      <c r="N1910"/>
      <c r="S1910"/>
    </row>
    <row r="1911" spans="2:19" ht="18.75">
      <c r="B1911">
        <v>15</v>
      </c>
      <c r="C1911" s="5">
        <v>46118</v>
      </c>
      <c r="D1911" t="s">
        <v>133</v>
      </c>
      <c r="E1911">
        <v>336.8</v>
      </c>
      <c r="N1911"/>
      <c r="S1911"/>
    </row>
    <row r="1912" spans="2:19" ht="18.75">
      <c r="B1912">
        <v>15</v>
      </c>
      <c r="C1912" s="5">
        <v>46118</v>
      </c>
      <c r="D1912" t="s">
        <v>134</v>
      </c>
      <c r="E1912">
        <v>342.42</v>
      </c>
      <c r="N1912"/>
      <c r="S1912"/>
    </row>
    <row r="1913" spans="2:19" ht="18.75">
      <c r="B1913">
        <v>15</v>
      </c>
      <c r="C1913" s="5">
        <v>46118</v>
      </c>
      <c r="D1913" t="s">
        <v>138</v>
      </c>
      <c r="E1913">
        <v>392.17</v>
      </c>
      <c r="N1913"/>
      <c r="S1913"/>
    </row>
    <row r="1914" spans="2:19" ht="18.75">
      <c r="B1914">
        <v>15</v>
      </c>
      <c r="C1914" s="5">
        <v>46118</v>
      </c>
      <c r="D1914" t="s">
        <v>141</v>
      </c>
      <c r="E1914">
        <v>513.05999999999995</v>
      </c>
      <c r="N1914"/>
      <c r="S1914"/>
    </row>
    <row r="1915" spans="2:19" ht="18.75">
      <c r="B1915">
        <v>15</v>
      </c>
      <c r="C1915" s="5">
        <v>46118</v>
      </c>
      <c r="D1915" t="s">
        <v>142</v>
      </c>
      <c r="E1915">
        <v>94.6</v>
      </c>
      <c r="N1915"/>
      <c r="S1915"/>
    </row>
    <row r="1916" spans="2:19" ht="18.75">
      <c r="B1916">
        <v>15</v>
      </c>
      <c r="C1916" s="5">
        <v>46118</v>
      </c>
      <c r="D1916" t="s">
        <v>139</v>
      </c>
      <c r="E1916">
        <v>78.39</v>
      </c>
      <c r="N1916"/>
      <c r="S1916"/>
    </row>
    <row r="1917" spans="2:19" ht="18.75">
      <c r="B1917">
        <v>15</v>
      </c>
      <c r="C1917" s="5">
        <v>46118</v>
      </c>
      <c r="D1917" t="s">
        <v>145</v>
      </c>
      <c r="E1917">
        <v>216.23</v>
      </c>
      <c r="N1917"/>
      <c r="S1917"/>
    </row>
    <row r="1918" spans="2:19" ht="18.75">
      <c r="B1918">
        <v>15</v>
      </c>
      <c r="C1918" s="5">
        <v>46118</v>
      </c>
      <c r="D1918" t="s">
        <v>146</v>
      </c>
      <c r="E1918">
        <v>555.52</v>
      </c>
      <c r="N1918"/>
      <c r="S1918"/>
    </row>
    <row r="1919" spans="2:19" ht="18.75">
      <c r="B1919">
        <v>15</v>
      </c>
      <c r="C1919" s="5">
        <v>46118</v>
      </c>
      <c r="D1919" t="s">
        <v>147</v>
      </c>
      <c r="E1919">
        <v>139.63999999999999</v>
      </c>
      <c r="N1919"/>
      <c r="S1919"/>
    </row>
    <row r="1920" spans="2:19" ht="18.75">
      <c r="B1920">
        <v>15</v>
      </c>
      <c r="C1920" s="5">
        <v>46118</v>
      </c>
      <c r="D1920" t="s">
        <v>151</v>
      </c>
      <c r="E1920">
        <v>690.79</v>
      </c>
      <c r="N1920"/>
      <c r="S1920"/>
    </row>
    <row r="1921" spans="2:19" ht="18.75">
      <c r="B1921">
        <v>15</v>
      </c>
      <c r="C1921" s="5">
        <v>46118</v>
      </c>
      <c r="D1921" t="s">
        <v>119</v>
      </c>
      <c r="E1921">
        <v>297.7</v>
      </c>
      <c r="N1921"/>
      <c r="S1921"/>
    </row>
    <row r="1922" spans="2:19" ht="18.75">
      <c r="B1922">
        <v>15</v>
      </c>
      <c r="C1922" s="5">
        <v>46118</v>
      </c>
      <c r="D1922" t="s">
        <v>120</v>
      </c>
      <c r="E1922">
        <v>95.37</v>
      </c>
      <c r="N1922"/>
      <c r="S1922"/>
    </row>
    <row r="1923" spans="2:19" ht="18.75">
      <c r="B1923">
        <v>15</v>
      </c>
      <c r="C1923" s="5">
        <v>46118</v>
      </c>
      <c r="D1923" t="s">
        <v>123</v>
      </c>
      <c r="E1923">
        <v>194.83</v>
      </c>
      <c r="N1923"/>
      <c r="S1923"/>
    </row>
    <row r="1924" spans="2:19" ht="18.75">
      <c r="B1924">
        <v>15</v>
      </c>
      <c r="C1924" s="5">
        <v>46118</v>
      </c>
      <c r="D1924" t="s">
        <v>128</v>
      </c>
      <c r="E1924">
        <v>96.03</v>
      </c>
      <c r="N1924"/>
      <c r="S1924"/>
    </row>
    <row r="1925" spans="2:19" ht="18.75">
      <c r="B1925">
        <v>15</v>
      </c>
      <c r="C1925" s="5">
        <v>46118</v>
      </c>
      <c r="D1925" t="s">
        <v>135</v>
      </c>
      <c r="E1925">
        <v>68.06</v>
      </c>
      <c r="N1925"/>
      <c r="S1925"/>
    </row>
    <row r="1926" spans="2:19" ht="18.75">
      <c r="B1926">
        <v>15</v>
      </c>
      <c r="C1926" s="5">
        <v>46118</v>
      </c>
      <c r="D1926" t="s">
        <v>136</v>
      </c>
      <c r="E1926">
        <v>122.45</v>
      </c>
      <c r="N1926"/>
      <c r="S1926"/>
    </row>
    <row r="1927" spans="2:19" ht="18.75">
      <c r="B1927">
        <v>15</v>
      </c>
      <c r="C1927" s="5">
        <v>46118</v>
      </c>
      <c r="D1927" t="s">
        <v>137</v>
      </c>
      <c r="E1927">
        <v>54.05</v>
      </c>
      <c r="N1927"/>
      <c r="S1927"/>
    </row>
    <row r="1928" spans="2:19" ht="18.75">
      <c r="B1928">
        <v>15</v>
      </c>
      <c r="C1928" s="5">
        <v>46118</v>
      </c>
      <c r="D1928" t="s">
        <v>148</v>
      </c>
      <c r="E1928">
        <v>92.3</v>
      </c>
      <c r="N1928"/>
      <c r="S1928"/>
    </row>
    <row r="1929" spans="2:19" ht="18.75">
      <c r="B1929">
        <v>15</v>
      </c>
      <c r="C1929" s="5">
        <v>46118</v>
      </c>
      <c r="D1929" t="s">
        <v>150</v>
      </c>
      <c r="E1929">
        <v>94.53</v>
      </c>
      <c r="N1929"/>
      <c r="S1929"/>
    </row>
    <row r="1930" spans="2:19" ht="18.75">
      <c r="B1930">
        <v>15</v>
      </c>
      <c r="C1930" s="5">
        <v>46118</v>
      </c>
      <c r="D1930" t="s">
        <v>116</v>
      </c>
      <c r="E1930">
        <v>102.6</v>
      </c>
      <c r="N1930"/>
      <c r="S1930"/>
    </row>
    <row r="1931" spans="2:19" ht="18.75">
      <c r="B1931">
        <v>15</v>
      </c>
      <c r="C1931" s="5">
        <v>46118</v>
      </c>
      <c r="D1931" t="s">
        <v>118</v>
      </c>
      <c r="E1931">
        <v>87.94</v>
      </c>
      <c r="N1931"/>
      <c r="S1931"/>
    </row>
    <row r="1932" spans="2:19" ht="18.75">
      <c r="B1932">
        <v>15</v>
      </c>
      <c r="C1932" s="5">
        <v>46118</v>
      </c>
      <c r="D1932" t="s">
        <v>127</v>
      </c>
      <c r="E1932">
        <v>167.09</v>
      </c>
      <c r="N1932"/>
      <c r="S1932"/>
    </row>
    <row r="1933" spans="2:19" ht="18.75">
      <c r="B1933">
        <v>15</v>
      </c>
      <c r="C1933" s="5">
        <v>46118</v>
      </c>
      <c r="D1933" t="s">
        <v>124</v>
      </c>
      <c r="E1933">
        <v>177.55</v>
      </c>
      <c r="N1933"/>
      <c r="S1933"/>
    </row>
    <row r="1934" spans="2:19" ht="18.75">
      <c r="B1934">
        <v>15</v>
      </c>
      <c r="C1934" s="5">
        <v>46118</v>
      </c>
      <c r="D1934" t="s">
        <v>140</v>
      </c>
      <c r="E1934">
        <v>47.61</v>
      </c>
      <c r="N1934"/>
      <c r="S1934"/>
    </row>
    <row r="1935" spans="2:19" ht="18.75">
      <c r="B1935">
        <v>15</v>
      </c>
      <c r="C1935" s="5">
        <v>46118</v>
      </c>
      <c r="D1935" t="s">
        <v>149</v>
      </c>
      <c r="E1935">
        <v>75.95</v>
      </c>
      <c r="N1935"/>
      <c r="S1935"/>
    </row>
    <row r="1936" spans="2:19" ht="18.75">
      <c r="B1936">
        <v>14</v>
      </c>
      <c r="C1936" s="5">
        <v>46111</v>
      </c>
      <c r="D1936" t="s">
        <v>112</v>
      </c>
      <c r="E1936">
        <v>69.44</v>
      </c>
      <c r="N1936"/>
      <c r="S1936"/>
    </row>
    <row r="1937" spans="2:19" ht="18.75">
      <c r="B1937">
        <v>14</v>
      </c>
      <c r="C1937" s="5">
        <v>46111</v>
      </c>
      <c r="D1937" t="s">
        <v>120</v>
      </c>
      <c r="E1937">
        <v>100.6</v>
      </c>
      <c r="N1937"/>
      <c r="S1937"/>
    </row>
    <row r="1938" spans="2:19" ht="18.75">
      <c r="B1938">
        <v>14</v>
      </c>
      <c r="C1938" s="5">
        <v>46111</v>
      </c>
      <c r="D1938" t="s">
        <v>122</v>
      </c>
      <c r="E1938">
        <v>274.31</v>
      </c>
      <c r="N1938"/>
      <c r="S1938"/>
    </row>
    <row r="1939" spans="2:19" ht="18.75">
      <c r="B1939">
        <v>14</v>
      </c>
      <c r="C1939" s="5">
        <v>46111</v>
      </c>
      <c r="D1939" t="s">
        <v>125</v>
      </c>
      <c r="E1939">
        <v>54.84</v>
      </c>
      <c r="N1939"/>
      <c r="S1939"/>
    </row>
    <row r="1940" spans="2:19" ht="18.75">
      <c r="B1940">
        <v>14</v>
      </c>
      <c r="C1940" s="5">
        <v>46111</v>
      </c>
      <c r="D1940" t="s">
        <v>128</v>
      </c>
      <c r="E1940">
        <v>181.42</v>
      </c>
      <c r="N1940"/>
      <c r="S1940"/>
    </row>
    <row r="1941" spans="2:19" ht="18.75">
      <c r="B1941">
        <v>14</v>
      </c>
      <c r="C1941" s="5">
        <v>46111</v>
      </c>
      <c r="D1941" t="s">
        <v>132</v>
      </c>
      <c r="E1941">
        <v>212.52</v>
      </c>
      <c r="N1941"/>
      <c r="S1941"/>
    </row>
    <row r="1942" spans="2:19" ht="18.75">
      <c r="B1942">
        <v>14</v>
      </c>
      <c r="C1942" s="5">
        <v>46111</v>
      </c>
      <c r="D1942" t="s">
        <v>135</v>
      </c>
      <c r="E1942">
        <v>84.67</v>
      </c>
      <c r="N1942"/>
      <c r="S1942"/>
    </row>
    <row r="1943" spans="2:19" ht="18.75">
      <c r="B1943">
        <v>14</v>
      </c>
      <c r="C1943" s="5">
        <v>46111</v>
      </c>
      <c r="D1943" t="s">
        <v>136</v>
      </c>
      <c r="E1943">
        <v>193.97</v>
      </c>
      <c r="N1943"/>
      <c r="S1943"/>
    </row>
    <row r="1944" spans="2:19" ht="18.75">
      <c r="B1944">
        <v>14</v>
      </c>
      <c r="C1944" s="5">
        <v>46111</v>
      </c>
      <c r="D1944" t="s">
        <v>137</v>
      </c>
      <c r="E1944">
        <v>63.41</v>
      </c>
      <c r="N1944"/>
      <c r="S1944"/>
    </row>
    <row r="1945" spans="2:19" ht="18.75">
      <c r="B1945">
        <v>14</v>
      </c>
      <c r="C1945" s="5">
        <v>46111</v>
      </c>
      <c r="D1945" t="s">
        <v>140</v>
      </c>
      <c r="E1945">
        <v>96.2</v>
      </c>
      <c r="N1945"/>
      <c r="S1945"/>
    </row>
    <row r="1946" spans="2:19" ht="18.75">
      <c r="B1946">
        <v>14</v>
      </c>
      <c r="C1946" s="5">
        <v>46111</v>
      </c>
      <c r="D1946" t="s">
        <v>142</v>
      </c>
      <c r="E1946">
        <v>185.4</v>
      </c>
      <c r="N1946"/>
      <c r="S1946"/>
    </row>
    <row r="1947" spans="2:19" ht="18.75">
      <c r="B1947">
        <v>14</v>
      </c>
      <c r="C1947" s="5">
        <v>46111</v>
      </c>
      <c r="D1947" t="s">
        <v>148</v>
      </c>
      <c r="E1947">
        <v>127.75</v>
      </c>
      <c r="N1947"/>
      <c r="S1947"/>
    </row>
    <row r="1948" spans="2:19" ht="18.75">
      <c r="B1948">
        <v>14</v>
      </c>
      <c r="C1948" s="5">
        <v>46111</v>
      </c>
      <c r="D1948" t="s">
        <v>150</v>
      </c>
      <c r="E1948">
        <v>96.02</v>
      </c>
      <c r="N1948"/>
      <c r="S1948"/>
    </row>
    <row r="1949" spans="2:19" ht="18.75">
      <c r="B1949">
        <v>14</v>
      </c>
      <c r="C1949" s="5">
        <v>46111</v>
      </c>
      <c r="D1949" t="s">
        <v>149</v>
      </c>
      <c r="E1949">
        <v>148.09</v>
      </c>
      <c r="N1949"/>
      <c r="S1949"/>
    </row>
    <row r="1950" spans="2:19" ht="18.75">
      <c r="B1950">
        <v>14</v>
      </c>
      <c r="C1950" s="5">
        <v>46111</v>
      </c>
      <c r="D1950" t="s">
        <v>116</v>
      </c>
      <c r="E1950">
        <v>100.19</v>
      </c>
      <c r="N1950"/>
      <c r="S1950"/>
    </row>
    <row r="1951" spans="2:19" ht="18.75">
      <c r="B1951">
        <v>16</v>
      </c>
      <c r="C1951" s="5">
        <v>46125</v>
      </c>
      <c r="D1951" t="s">
        <v>111</v>
      </c>
      <c r="E1951">
        <v>117.14</v>
      </c>
      <c r="N1951"/>
      <c r="S1951"/>
    </row>
    <row r="1952" spans="2:19" ht="18.75">
      <c r="B1952">
        <v>16</v>
      </c>
      <c r="C1952" s="5">
        <v>46125</v>
      </c>
      <c r="D1952" t="s">
        <v>112</v>
      </c>
      <c r="E1952">
        <v>45.54</v>
      </c>
      <c r="N1952"/>
      <c r="S1952"/>
    </row>
    <row r="1953" spans="2:19" ht="18.75">
      <c r="B1953">
        <v>16</v>
      </c>
      <c r="C1953" s="5">
        <v>46125</v>
      </c>
      <c r="D1953" t="s">
        <v>114</v>
      </c>
      <c r="E1953">
        <v>292.02999999999997</v>
      </c>
      <c r="N1953"/>
      <c r="S1953"/>
    </row>
    <row r="1954" spans="2:19" ht="18.75">
      <c r="B1954">
        <v>16</v>
      </c>
      <c r="C1954" s="5">
        <v>46125</v>
      </c>
      <c r="D1954" t="s">
        <v>116</v>
      </c>
      <c r="E1954">
        <v>67.97</v>
      </c>
      <c r="N1954"/>
      <c r="S1954"/>
    </row>
    <row r="1955" spans="2:19" ht="18.75">
      <c r="B1955">
        <v>16</v>
      </c>
      <c r="C1955" s="5">
        <v>46125</v>
      </c>
      <c r="D1955" t="s">
        <v>117</v>
      </c>
      <c r="E1955">
        <v>202.25</v>
      </c>
      <c r="N1955"/>
      <c r="S1955"/>
    </row>
    <row r="1956" spans="2:19" ht="18.75">
      <c r="B1956">
        <v>16</v>
      </c>
      <c r="C1956" s="5">
        <v>46125</v>
      </c>
      <c r="D1956" t="s">
        <v>119</v>
      </c>
      <c r="E1956">
        <v>269.29000000000002</v>
      </c>
      <c r="N1956"/>
      <c r="S1956"/>
    </row>
    <row r="1957" spans="2:19" ht="18.75">
      <c r="B1957">
        <v>16</v>
      </c>
      <c r="C1957" s="5">
        <v>46125</v>
      </c>
      <c r="D1957" t="s">
        <v>120</v>
      </c>
      <c r="E1957">
        <v>78.540000000000006</v>
      </c>
      <c r="N1957"/>
      <c r="S1957"/>
    </row>
    <row r="1958" spans="2:19" ht="18.75">
      <c r="B1958">
        <v>16</v>
      </c>
      <c r="C1958" s="5">
        <v>46125</v>
      </c>
      <c r="D1958" t="s">
        <v>122</v>
      </c>
      <c r="E1958">
        <v>205.65</v>
      </c>
      <c r="N1958"/>
      <c r="S1958"/>
    </row>
    <row r="1959" spans="2:19" ht="18.75">
      <c r="B1959">
        <v>16</v>
      </c>
      <c r="C1959" s="5">
        <v>46125</v>
      </c>
      <c r="D1959" t="s">
        <v>123</v>
      </c>
      <c r="E1959">
        <v>423.98</v>
      </c>
      <c r="N1959"/>
      <c r="S1959"/>
    </row>
    <row r="1960" spans="2:19" ht="18.75">
      <c r="B1960">
        <v>16</v>
      </c>
      <c r="C1960" s="5">
        <v>46125</v>
      </c>
      <c r="D1960" t="s">
        <v>126</v>
      </c>
      <c r="E1960">
        <v>118.75</v>
      </c>
      <c r="N1960"/>
      <c r="S1960"/>
    </row>
    <row r="1961" spans="2:19" ht="18.75">
      <c r="B1961">
        <v>16</v>
      </c>
      <c r="C1961" s="5">
        <v>46125</v>
      </c>
      <c r="D1961" t="s">
        <v>128</v>
      </c>
      <c r="E1961">
        <v>133.62</v>
      </c>
      <c r="N1961"/>
      <c r="S1961"/>
    </row>
    <row r="1962" spans="2:19" ht="18.75">
      <c r="B1962">
        <v>16</v>
      </c>
      <c r="C1962" s="5">
        <v>46125</v>
      </c>
      <c r="D1962" t="s">
        <v>130</v>
      </c>
      <c r="E1962">
        <v>297.02</v>
      </c>
      <c r="N1962"/>
      <c r="S1962"/>
    </row>
    <row r="1963" spans="2:19" ht="18.75">
      <c r="B1963">
        <v>16</v>
      </c>
      <c r="C1963" s="5">
        <v>46125</v>
      </c>
      <c r="D1963" t="s">
        <v>132</v>
      </c>
      <c r="E1963">
        <v>176.26</v>
      </c>
      <c r="N1963"/>
      <c r="S1963"/>
    </row>
    <row r="1964" spans="2:19" ht="18.75">
      <c r="B1964">
        <v>16</v>
      </c>
      <c r="C1964" s="5">
        <v>46125</v>
      </c>
      <c r="D1964" t="s">
        <v>133</v>
      </c>
      <c r="E1964">
        <v>320.89999999999998</v>
      </c>
      <c r="N1964"/>
      <c r="S1964"/>
    </row>
    <row r="1965" spans="2:19" ht="18.75">
      <c r="B1965">
        <v>16</v>
      </c>
      <c r="C1965" s="5">
        <v>46125</v>
      </c>
      <c r="D1965" t="s">
        <v>134</v>
      </c>
      <c r="E1965">
        <v>317.58999999999997</v>
      </c>
      <c r="N1965"/>
      <c r="S1965"/>
    </row>
    <row r="1966" spans="2:19" ht="18.75">
      <c r="B1966">
        <v>16</v>
      </c>
      <c r="C1966" s="5">
        <v>46125</v>
      </c>
      <c r="D1966" t="s">
        <v>135</v>
      </c>
      <c r="E1966">
        <v>83.64</v>
      </c>
      <c r="N1966"/>
      <c r="S1966"/>
    </row>
    <row r="1967" spans="2:19" ht="18.75">
      <c r="B1967">
        <v>16</v>
      </c>
      <c r="C1967" s="5">
        <v>46125</v>
      </c>
      <c r="D1967" t="s">
        <v>136</v>
      </c>
      <c r="E1967">
        <v>104.76</v>
      </c>
      <c r="N1967"/>
      <c r="S1967"/>
    </row>
    <row r="1968" spans="2:19" ht="18.75">
      <c r="B1968">
        <v>16</v>
      </c>
      <c r="C1968" s="5">
        <v>46125</v>
      </c>
      <c r="D1968" t="s">
        <v>137</v>
      </c>
      <c r="E1968">
        <v>64.98</v>
      </c>
      <c r="N1968"/>
      <c r="S1968"/>
    </row>
    <row r="1969" spans="2:19" ht="18.75">
      <c r="B1969">
        <v>16</v>
      </c>
      <c r="C1969" s="5">
        <v>46125</v>
      </c>
      <c r="D1969" t="s">
        <v>138</v>
      </c>
      <c r="E1969">
        <v>370.96</v>
      </c>
      <c r="N1969"/>
      <c r="S1969"/>
    </row>
    <row r="1970" spans="2:19" ht="18.75">
      <c r="B1970">
        <v>16</v>
      </c>
      <c r="C1970" s="5">
        <v>46125</v>
      </c>
      <c r="D1970" t="s">
        <v>141</v>
      </c>
      <c r="E1970">
        <v>495.5</v>
      </c>
      <c r="N1970"/>
      <c r="S1970"/>
    </row>
    <row r="1971" spans="2:19" ht="18.75">
      <c r="B1971">
        <v>16</v>
      </c>
      <c r="C1971" s="5">
        <v>46125</v>
      </c>
      <c r="D1971" t="s">
        <v>142</v>
      </c>
      <c r="E1971">
        <v>100.5</v>
      </c>
      <c r="N1971"/>
      <c r="S1971"/>
    </row>
    <row r="1972" spans="2:19" ht="18.75">
      <c r="B1972">
        <v>16</v>
      </c>
      <c r="C1972" s="5">
        <v>46125</v>
      </c>
      <c r="D1972" t="s">
        <v>143</v>
      </c>
      <c r="E1972">
        <v>1743.4</v>
      </c>
      <c r="N1972"/>
      <c r="S1972"/>
    </row>
    <row r="1973" spans="2:19" ht="18.75">
      <c r="B1973">
        <v>16</v>
      </c>
      <c r="C1973" s="5">
        <v>46125</v>
      </c>
      <c r="D1973" t="s">
        <v>145</v>
      </c>
      <c r="E1973">
        <v>189.05</v>
      </c>
      <c r="N1973"/>
      <c r="S1973"/>
    </row>
    <row r="1974" spans="2:19" ht="18.75">
      <c r="B1974">
        <v>16</v>
      </c>
      <c r="C1974" s="5">
        <v>46125</v>
      </c>
      <c r="D1974" t="s">
        <v>146</v>
      </c>
      <c r="E1974">
        <v>569.42999999999995</v>
      </c>
      <c r="N1974"/>
      <c r="S1974"/>
    </row>
    <row r="1975" spans="2:19" ht="18.75">
      <c r="B1975">
        <v>16</v>
      </c>
      <c r="C1975" s="5">
        <v>46125</v>
      </c>
      <c r="D1975" t="s">
        <v>148</v>
      </c>
      <c r="E1975">
        <v>105.16</v>
      </c>
      <c r="N1975"/>
      <c r="S1975"/>
    </row>
    <row r="1976" spans="2:19" ht="18.75">
      <c r="B1976">
        <v>16</v>
      </c>
      <c r="C1976" s="5">
        <v>46125</v>
      </c>
      <c r="D1976" t="s">
        <v>150</v>
      </c>
      <c r="E1976">
        <v>89.51</v>
      </c>
      <c r="N1976"/>
      <c r="S1976"/>
    </row>
    <row r="1977" spans="2:19" ht="18.75">
      <c r="B1977">
        <v>16</v>
      </c>
      <c r="C1977" s="5">
        <v>46125</v>
      </c>
      <c r="D1977" t="s">
        <v>151</v>
      </c>
      <c r="E1977">
        <v>688.99</v>
      </c>
      <c r="N1977"/>
      <c r="S1977"/>
    </row>
    <row r="1978" spans="2:19" ht="18.75">
      <c r="B1978">
        <v>16</v>
      </c>
      <c r="C1978" s="5">
        <v>46125</v>
      </c>
      <c r="D1978" t="s">
        <v>113</v>
      </c>
      <c r="E1978">
        <v>212.17</v>
      </c>
      <c r="N1978"/>
      <c r="S1978"/>
    </row>
    <row r="1979" spans="2:19" ht="18.75">
      <c r="B1979">
        <v>16</v>
      </c>
      <c r="C1979" s="5">
        <v>46125</v>
      </c>
      <c r="D1979" t="s">
        <v>121</v>
      </c>
      <c r="E1979">
        <v>213.9</v>
      </c>
      <c r="N1979"/>
      <c r="S1979"/>
    </row>
    <row r="1980" spans="2:19" ht="18.75">
      <c r="B1980">
        <v>16</v>
      </c>
      <c r="C1980" s="5">
        <v>46125</v>
      </c>
      <c r="D1980" t="s">
        <v>124</v>
      </c>
      <c r="E1980">
        <v>325.35000000000002</v>
      </c>
      <c r="N1980"/>
      <c r="S1980"/>
    </row>
    <row r="1981" spans="2:19" ht="18.75">
      <c r="B1981">
        <v>16</v>
      </c>
      <c r="C1981" s="5">
        <v>46125</v>
      </c>
      <c r="D1981" t="s">
        <v>129</v>
      </c>
      <c r="E1981">
        <v>331.55</v>
      </c>
      <c r="N1981"/>
      <c r="S1981"/>
    </row>
    <row r="1982" spans="2:19" ht="18.75">
      <c r="B1982">
        <v>16</v>
      </c>
      <c r="C1982" s="5">
        <v>46125</v>
      </c>
      <c r="D1982" t="s">
        <v>139</v>
      </c>
      <c r="E1982">
        <v>266.16000000000003</v>
      </c>
      <c r="N1982"/>
      <c r="S1982"/>
    </row>
    <row r="1983" spans="2:19" ht="18.75">
      <c r="B1983">
        <v>16</v>
      </c>
      <c r="C1983" s="5">
        <v>46125</v>
      </c>
      <c r="D1983" t="s">
        <v>147</v>
      </c>
      <c r="E1983">
        <v>334.63</v>
      </c>
      <c r="N1983"/>
      <c r="S1983"/>
    </row>
    <row r="1984" spans="2:19" ht="18.75">
      <c r="B1984">
        <v>16</v>
      </c>
      <c r="C1984" s="5">
        <v>46125</v>
      </c>
      <c r="D1984" t="s">
        <v>118</v>
      </c>
      <c r="E1984">
        <v>150.51</v>
      </c>
      <c r="N1984"/>
      <c r="S1984"/>
    </row>
    <row r="1985" spans="2:19" ht="18.75">
      <c r="B1985">
        <v>16</v>
      </c>
      <c r="C1985" s="5">
        <v>46125</v>
      </c>
      <c r="D1985" t="s">
        <v>127</v>
      </c>
      <c r="E1985">
        <v>258.01</v>
      </c>
      <c r="N1985"/>
      <c r="S1985"/>
    </row>
    <row r="1986" spans="2:19" ht="18.75">
      <c r="B1986">
        <v>16</v>
      </c>
      <c r="C1986" s="5">
        <v>46125</v>
      </c>
      <c r="D1986" t="s">
        <v>125</v>
      </c>
      <c r="E1986">
        <v>35.85</v>
      </c>
      <c r="N1986"/>
      <c r="S1986"/>
    </row>
    <row r="1987" spans="2:19" ht="18.75">
      <c r="B1987">
        <v>16</v>
      </c>
      <c r="C1987" s="5">
        <v>46125</v>
      </c>
      <c r="D1987" t="s">
        <v>140</v>
      </c>
      <c r="E1987">
        <v>15.52</v>
      </c>
      <c r="N1987"/>
      <c r="S1987"/>
    </row>
    <row r="1988" spans="2:19" ht="18.75">
      <c r="B1988">
        <v>16</v>
      </c>
      <c r="C1988" s="5">
        <v>46125</v>
      </c>
      <c r="D1988" t="s">
        <v>149</v>
      </c>
      <c r="E1988">
        <v>64.709999999999994</v>
      </c>
      <c r="N1988"/>
      <c r="S1988"/>
    </row>
    <row r="1989" spans="2:19" ht="18.75">
      <c r="B1989">
        <v>16</v>
      </c>
      <c r="C1989" s="5">
        <v>46125</v>
      </c>
      <c r="D1989" t="s">
        <v>144</v>
      </c>
      <c r="E1989">
        <v>436.81</v>
      </c>
      <c r="N1989"/>
      <c r="S1989"/>
    </row>
    <row r="1990" spans="2:19" ht="18.75">
      <c r="B1990">
        <v>17</v>
      </c>
      <c r="C1990" s="5">
        <v>46132</v>
      </c>
      <c r="D1990" t="s">
        <v>111</v>
      </c>
      <c r="E1990">
        <v>181.98</v>
      </c>
      <c r="N1990"/>
      <c r="S1990"/>
    </row>
    <row r="1991" spans="2:19" ht="18.75">
      <c r="B1991">
        <v>17</v>
      </c>
      <c r="C1991" s="5">
        <v>46132</v>
      </c>
      <c r="D1991" t="s">
        <v>112</v>
      </c>
      <c r="E1991">
        <v>75.48</v>
      </c>
      <c r="N1991"/>
      <c r="S1991"/>
    </row>
    <row r="1992" spans="2:19" ht="18.75">
      <c r="B1992">
        <v>17</v>
      </c>
      <c r="C1992" s="5">
        <v>46132</v>
      </c>
      <c r="D1992" t="s">
        <v>113</v>
      </c>
      <c r="E1992">
        <v>210.98</v>
      </c>
      <c r="N1992"/>
      <c r="S1992"/>
    </row>
    <row r="1993" spans="2:19" ht="18.75">
      <c r="B1993">
        <v>17</v>
      </c>
      <c r="C1993" s="5">
        <v>46132</v>
      </c>
      <c r="D1993" t="s">
        <v>114</v>
      </c>
      <c r="E1993">
        <v>327.87</v>
      </c>
      <c r="N1993"/>
      <c r="S1993"/>
    </row>
    <row r="1994" spans="2:19" ht="18.75">
      <c r="B1994">
        <v>17</v>
      </c>
      <c r="C1994" s="5">
        <v>46132</v>
      </c>
      <c r="D1994" t="s">
        <v>116</v>
      </c>
      <c r="E1994">
        <v>112.28</v>
      </c>
      <c r="N1994"/>
      <c r="S1994"/>
    </row>
    <row r="1995" spans="2:19" ht="18.75">
      <c r="B1995">
        <v>17</v>
      </c>
      <c r="C1995" s="5">
        <v>46132</v>
      </c>
      <c r="D1995" t="s">
        <v>117</v>
      </c>
      <c r="E1995">
        <v>242.21</v>
      </c>
      <c r="N1995"/>
      <c r="S1995"/>
    </row>
    <row r="1996" spans="2:19" ht="18.75">
      <c r="B1996">
        <v>17</v>
      </c>
      <c r="C1996" s="5">
        <v>46132</v>
      </c>
      <c r="D1996" t="s">
        <v>118</v>
      </c>
      <c r="E1996">
        <v>160.09</v>
      </c>
      <c r="N1996"/>
      <c r="S1996"/>
    </row>
    <row r="1997" spans="2:19" ht="18.75">
      <c r="B1997">
        <v>17</v>
      </c>
      <c r="C1997" s="5">
        <v>46132</v>
      </c>
      <c r="D1997" t="s">
        <v>119</v>
      </c>
      <c r="E1997">
        <v>368.4</v>
      </c>
      <c r="N1997"/>
      <c r="S1997"/>
    </row>
    <row r="1998" spans="2:19" ht="18.75">
      <c r="B1998">
        <v>17</v>
      </c>
      <c r="C1998" s="5">
        <v>46132</v>
      </c>
      <c r="D1998" t="s">
        <v>120</v>
      </c>
      <c r="E1998">
        <v>76.58</v>
      </c>
      <c r="N1998"/>
      <c r="S1998"/>
    </row>
    <row r="1999" spans="2:19" ht="18.75">
      <c r="B1999">
        <v>17</v>
      </c>
      <c r="C1999" s="5">
        <v>46132</v>
      </c>
      <c r="D1999" t="s">
        <v>121</v>
      </c>
      <c r="E1999">
        <v>176.39</v>
      </c>
      <c r="N1999"/>
      <c r="S1999"/>
    </row>
    <row r="2000" spans="2:19" ht="18.75">
      <c r="B2000">
        <v>17</v>
      </c>
      <c r="C2000" s="5">
        <v>46132</v>
      </c>
      <c r="D2000" t="s">
        <v>122</v>
      </c>
      <c r="E2000">
        <v>313.57</v>
      </c>
      <c r="N2000"/>
      <c r="S2000"/>
    </row>
    <row r="2001" spans="2:19" ht="18.75">
      <c r="B2001">
        <v>17</v>
      </c>
      <c r="C2001" s="5">
        <v>46132</v>
      </c>
      <c r="D2001" t="s">
        <v>123</v>
      </c>
      <c r="E2001">
        <v>480.35</v>
      </c>
      <c r="N2001"/>
      <c r="S2001"/>
    </row>
    <row r="2002" spans="2:19" ht="18.75">
      <c r="B2002">
        <v>17</v>
      </c>
      <c r="C2002" s="5">
        <v>46132</v>
      </c>
      <c r="D2002" t="s">
        <v>124</v>
      </c>
      <c r="E2002">
        <v>277.58</v>
      </c>
      <c r="N2002"/>
      <c r="S2002"/>
    </row>
    <row r="2003" spans="2:19" ht="18.75">
      <c r="B2003">
        <v>17</v>
      </c>
      <c r="C2003" s="5">
        <v>46132</v>
      </c>
      <c r="D2003" t="s">
        <v>125</v>
      </c>
      <c r="E2003">
        <v>68.56</v>
      </c>
      <c r="N2003"/>
      <c r="S2003"/>
    </row>
    <row r="2004" spans="2:19" ht="18.75">
      <c r="B2004">
        <v>17</v>
      </c>
      <c r="C2004" s="5">
        <v>46132</v>
      </c>
      <c r="D2004" t="s">
        <v>126</v>
      </c>
      <c r="E2004">
        <v>161.41999999999999</v>
      </c>
      <c r="N2004"/>
      <c r="S2004"/>
    </row>
    <row r="2005" spans="2:19" ht="18.75">
      <c r="B2005">
        <v>17</v>
      </c>
      <c r="C2005" s="5">
        <v>46132</v>
      </c>
      <c r="D2005" t="s">
        <v>128</v>
      </c>
      <c r="E2005">
        <v>185.02</v>
      </c>
      <c r="N2005"/>
      <c r="S2005"/>
    </row>
    <row r="2006" spans="2:19" ht="18.75">
      <c r="B2006">
        <v>17</v>
      </c>
      <c r="C2006" s="5">
        <v>46132</v>
      </c>
      <c r="D2006" t="s">
        <v>129</v>
      </c>
      <c r="E2006">
        <v>437.81</v>
      </c>
      <c r="N2006"/>
      <c r="S2006"/>
    </row>
    <row r="2007" spans="2:19" ht="18.75">
      <c r="B2007">
        <v>17</v>
      </c>
      <c r="C2007" s="5">
        <v>46132</v>
      </c>
      <c r="D2007" t="s">
        <v>130</v>
      </c>
      <c r="E2007">
        <v>414.98</v>
      </c>
      <c r="N2007"/>
      <c r="S2007"/>
    </row>
    <row r="2008" spans="2:19" ht="18.75">
      <c r="B2008">
        <v>17</v>
      </c>
      <c r="C2008" s="5">
        <v>46132</v>
      </c>
      <c r="D2008" t="s">
        <v>132</v>
      </c>
      <c r="E2008">
        <v>204.5</v>
      </c>
      <c r="N2008"/>
      <c r="S2008"/>
    </row>
    <row r="2009" spans="2:19" ht="18.75">
      <c r="B2009">
        <v>17</v>
      </c>
      <c r="C2009" s="5">
        <v>46132</v>
      </c>
      <c r="D2009" t="s">
        <v>133</v>
      </c>
      <c r="E2009">
        <v>417.28</v>
      </c>
      <c r="N2009"/>
      <c r="S2009"/>
    </row>
    <row r="2010" spans="2:19" ht="18.75">
      <c r="B2010">
        <v>17</v>
      </c>
      <c r="C2010" s="5">
        <v>46132</v>
      </c>
      <c r="D2010" t="s">
        <v>134</v>
      </c>
      <c r="E2010">
        <v>384.48</v>
      </c>
      <c r="N2010"/>
      <c r="S2010"/>
    </row>
    <row r="2011" spans="2:19" ht="18.75">
      <c r="B2011">
        <v>17</v>
      </c>
      <c r="C2011" s="5">
        <v>46132</v>
      </c>
      <c r="D2011" t="s">
        <v>135</v>
      </c>
      <c r="E2011">
        <v>68.75</v>
      </c>
      <c r="N2011"/>
      <c r="S2011"/>
    </row>
    <row r="2012" spans="2:19" ht="18.75">
      <c r="B2012">
        <v>17</v>
      </c>
      <c r="C2012" s="5">
        <v>46132</v>
      </c>
      <c r="D2012" t="s">
        <v>136</v>
      </c>
      <c r="E2012">
        <v>165</v>
      </c>
      <c r="N2012"/>
      <c r="S2012"/>
    </row>
    <row r="2013" spans="2:19" ht="18.75">
      <c r="B2013">
        <v>17</v>
      </c>
      <c r="C2013" s="5">
        <v>46132</v>
      </c>
      <c r="D2013" t="s">
        <v>137</v>
      </c>
      <c r="E2013">
        <v>86.82</v>
      </c>
      <c r="N2013"/>
      <c r="S2013"/>
    </row>
    <row r="2014" spans="2:19" ht="18.75">
      <c r="B2014">
        <v>17</v>
      </c>
      <c r="C2014" s="5">
        <v>46132</v>
      </c>
      <c r="D2014" t="s">
        <v>138</v>
      </c>
      <c r="E2014">
        <v>478.09</v>
      </c>
      <c r="N2014"/>
      <c r="S2014"/>
    </row>
    <row r="2015" spans="2:19" ht="18.75">
      <c r="B2015">
        <v>17</v>
      </c>
      <c r="C2015" s="5">
        <v>46132</v>
      </c>
      <c r="D2015" t="s">
        <v>141</v>
      </c>
      <c r="E2015">
        <v>649.15</v>
      </c>
      <c r="N2015"/>
      <c r="S2015"/>
    </row>
    <row r="2016" spans="2:19" ht="18.75">
      <c r="B2016">
        <v>17</v>
      </c>
      <c r="C2016" s="5">
        <v>46132</v>
      </c>
      <c r="D2016" t="s">
        <v>142</v>
      </c>
      <c r="E2016">
        <v>176.01</v>
      </c>
      <c r="N2016"/>
      <c r="S2016"/>
    </row>
    <row r="2017" spans="2:19" ht="18.75">
      <c r="B2017">
        <v>17</v>
      </c>
      <c r="C2017" s="5">
        <v>46132</v>
      </c>
      <c r="D2017" t="s">
        <v>139</v>
      </c>
      <c r="E2017">
        <v>265</v>
      </c>
      <c r="N2017"/>
      <c r="S2017"/>
    </row>
    <row r="2018" spans="2:19" ht="18.75">
      <c r="B2018">
        <v>17</v>
      </c>
      <c r="C2018" s="5">
        <v>46132</v>
      </c>
      <c r="D2018" t="s">
        <v>143</v>
      </c>
      <c r="E2018">
        <v>2020.19</v>
      </c>
      <c r="N2018"/>
      <c r="S2018"/>
    </row>
    <row r="2019" spans="2:19" ht="18.75">
      <c r="B2019">
        <v>17</v>
      </c>
      <c r="C2019" s="5">
        <v>46132</v>
      </c>
      <c r="D2019" t="s">
        <v>144</v>
      </c>
      <c r="E2019">
        <v>505.96</v>
      </c>
      <c r="N2019"/>
      <c r="S2019"/>
    </row>
    <row r="2020" spans="2:19" ht="18.75">
      <c r="B2020">
        <v>17</v>
      </c>
      <c r="C2020" s="5">
        <v>46132</v>
      </c>
      <c r="D2020" t="s">
        <v>145</v>
      </c>
      <c r="E2020">
        <v>240.35</v>
      </c>
      <c r="N2020"/>
      <c r="S2020"/>
    </row>
    <row r="2021" spans="2:19" ht="18.75">
      <c r="B2021">
        <v>17</v>
      </c>
      <c r="C2021" s="5">
        <v>46132</v>
      </c>
      <c r="D2021" t="s">
        <v>146</v>
      </c>
      <c r="E2021">
        <v>610.71</v>
      </c>
      <c r="N2021"/>
      <c r="S2021"/>
    </row>
    <row r="2022" spans="2:19" ht="18.75">
      <c r="B2022">
        <v>17</v>
      </c>
      <c r="C2022" s="5">
        <v>46132</v>
      </c>
      <c r="D2022" t="s">
        <v>148</v>
      </c>
      <c r="E2022">
        <v>131.05000000000001</v>
      </c>
      <c r="N2022"/>
      <c r="S2022"/>
    </row>
    <row r="2023" spans="2:19" ht="18.75">
      <c r="B2023">
        <v>17</v>
      </c>
      <c r="C2023" s="5">
        <v>46132</v>
      </c>
      <c r="D2023" t="s">
        <v>147</v>
      </c>
      <c r="E2023">
        <v>340.44</v>
      </c>
      <c r="N2023"/>
      <c r="S2023"/>
    </row>
    <row r="2024" spans="2:19" ht="18.75">
      <c r="B2024">
        <v>17</v>
      </c>
      <c r="C2024" s="5">
        <v>46132</v>
      </c>
      <c r="D2024" t="s">
        <v>150</v>
      </c>
      <c r="E2024">
        <v>94.04</v>
      </c>
      <c r="N2024"/>
      <c r="S2024"/>
    </row>
    <row r="2025" spans="2:19" ht="18.75">
      <c r="B2025">
        <v>17</v>
      </c>
      <c r="C2025" s="5">
        <v>46132</v>
      </c>
      <c r="D2025" t="s">
        <v>151</v>
      </c>
      <c r="E2025">
        <v>721.24</v>
      </c>
      <c r="N2025"/>
      <c r="S2025"/>
    </row>
    <row r="2026" spans="2:19" ht="18.75">
      <c r="B2026">
        <v>17</v>
      </c>
      <c r="C2026" s="5">
        <v>46132</v>
      </c>
      <c r="D2026" t="s">
        <v>127</v>
      </c>
      <c r="E2026">
        <v>301.81</v>
      </c>
      <c r="N2026"/>
      <c r="S2026"/>
    </row>
    <row r="2027" spans="2:19" ht="18.75">
      <c r="B2027">
        <v>17</v>
      </c>
      <c r="C2027" s="5">
        <v>46132</v>
      </c>
      <c r="D2027" t="s">
        <v>115</v>
      </c>
      <c r="E2027">
        <v>184.05</v>
      </c>
      <c r="N2027"/>
      <c r="S2027"/>
    </row>
    <row r="2028" spans="2:19" ht="18.75">
      <c r="B2028">
        <v>18</v>
      </c>
      <c r="C2028" s="5">
        <v>46139</v>
      </c>
      <c r="D2028" t="s">
        <v>112</v>
      </c>
      <c r="E2028">
        <v>83.31</v>
      </c>
      <c r="N2028"/>
      <c r="S2028"/>
    </row>
    <row r="2029" spans="2:19" ht="18.75">
      <c r="B2029">
        <v>18</v>
      </c>
      <c r="C2029" s="5">
        <v>46139</v>
      </c>
      <c r="D2029" t="s">
        <v>114</v>
      </c>
      <c r="E2029">
        <v>314.3</v>
      </c>
      <c r="N2029"/>
      <c r="S2029"/>
    </row>
    <row r="2030" spans="2:19" ht="18.75">
      <c r="B2030">
        <v>18</v>
      </c>
      <c r="C2030" s="5">
        <v>46139</v>
      </c>
      <c r="D2030" t="s">
        <v>117</v>
      </c>
      <c r="E2030">
        <v>165.89</v>
      </c>
      <c r="N2030"/>
      <c r="S2030"/>
    </row>
    <row r="2031" spans="2:19" ht="18.75">
      <c r="B2031">
        <v>18</v>
      </c>
      <c r="C2031" s="5">
        <v>46139</v>
      </c>
      <c r="D2031" t="s">
        <v>119</v>
      </c>
      <c r="E2031">
        <v>419.15</v>
      </c>
      <c r="N2031"/>
      <c r="S2031"/>
    </row>
    <row r="2032" spans="2:19" ht="18.75">
      <c r="B2032">
        <v>18</v>
      </c>
      <c r="C2032" s="5">
        <v>46139</v>
      </c>
      <c r="D2032" t="s">
        <v>120</v>
      </c>
      <c r="E2032">
        <v>85.05</v>
      </c>
      <c r="N2032"/>
      <c r="S2032"/>
    </row>
    <row r="2033" spans="2:19" ht="18.75">
      <c r="B2033">
        <v>18</v>
      </c>
      <c r="C2033" s="5">
        <v>46139</v>
      </c>
      <c r="D2033" t="s">
        <v>122</v>
      </c>
      <c r="E2033">
        <v>133.97999999999999</v>
      </c>
      <c r="N2033"/>
      <c r="S2033"/>
    </row>
    <row r="2034" spans="2:19" ht="18.75">
      <c r="B2034">
        <v>18</v>
      </c>
      <c r="C2034" s="5">
        <v>46139</v>
      </c>
      <c r="D2034" t="s">
        <v>123</v>
      </c>
      <c r="E2034">
        <v>557.74</v>
      </c>
      <c r="N2034"/>
      <c r="S2034"/>
    </row>
    <row r="2035" spans="2:19" ht="18.75">
      <c r="B2035">
        <v>18</v>
      </c>
      <c r="C2035" s="5">
        <v>46139</v>
      </c>
      <c r="D2035" t="s">
        <v>125</v>
      </c>
      <c r="E2035">
        <v>75.209999999999994</v>
      </c>
      <c r="N2035"/>
      <c r="S2035"/>
    </row>
    <row r="2036" spans="2:19" ht="18.75">
      <c r="B2036">
        <v>18</v>
      </c>
      <c r="C2036" s="5">
        <v>46139</v>
      </c>
      <c r="D2036" t="s">
        <v>126</v>
      </c>
      <c r="E2036">
        <v>132.16</v>
      </c>
      <c r="N2036"/>
      <c r="S2036"/>
    </row>
    <row r="2037" spans="2:19" ht="18.75">
      <c r="B2037">
        <v>18</v>
      </c>
      <c r="C2037" s="5">
        <v>46139</v>
      </c>
      <c r="D2037" t="s">
        <v>128</v>
      </c>
      <c r="E2037">
        <v>104.32</v>
      </c>
      <c r="N2037"/>
      <c r="S2037"/>
    </row>
    <row r="2038" spans="2:19" ht="18.75">
      <c r="B2038">
        <v>18</v>
      </c>
      <c r="C2038" s="5">
        <v>46139</v>
      </c>
      <c r="D2038" t="s">
        <v>129</v>
      </c>
      <c r="E2038">
        <v>415.79</v>
      </c>
      <c r="N2038"/>
      <c r="S2038"/>
    </row>
    <row r="2039" spans="2:19" ht="18.75">
      <c r="B2039">
        <v>18</v>
      </c>
      <c r="C2039" s="5">
        <v>46139</v>
      </c>
      <c r="D2039" t="s">
        <v>130</v>
      </c>
      <c r="E2039">
        <v>254.44</v>
      </c>
      <c r="N2039"/>
      <c r="S2039"/>
    </row>
    <row r="2040" spans="2:19" ht="18.75">
      <c r="B2040">
        <v>18</v>
      </c>
      <c r="C2040" s="5">
        <v>46139</v>
      </c>
      <c r="D2040" t="s">
        <v>212</v>
      </c>
      <c r="E2040">
        <v>200.19</v>
      </c>
      <c r="N2040"/>
      <c r="S2040"/>
    </row>
    <row r="2041" spans="2:19" ht="18.75">
      <c r="B2041">
        <v>18</v>
      </c>
      <c r="C2041" s="5">
        <v>46139</v>
      </c>
      <c r="D2041" t="s">
        <v>133</v>
      </c>
      <c r="E2041">
        <v>250.5</v>
      </c>
      <c r="N2041"/>
      <c r="S2041"/>
    </row>
    <row r="2042" spans="2:19" ht="18.75">
      <c r="B2042">
        <v>18</v>
      </c>
      <c r="C2042" s="5">
        <v>46139</v>
      </c>
      <c r="D2042" t="s">
        <v>134</v>
      </c>
      <c r="E2042">
        <v>246.25</v>
      </c>
      <c r="N2042"/>
      <c r="S2042"/>
    </row>
    <row r="2043" spans="2:19" ht="18.75">
      <c r="B2043">
        <v>18</v>
      </c>
      <c r="C2043" s="5">
        <v>46139</v>
      </c>
      <c r="D2043" t="s">
        <v>136</v>
      </c>
      <c r="E2043">
        <v>85.55</v>
      </c>
      <c r="N2043"/>
      <c r="S2043"/>
    </row>
    <row r="2044" spans="2:19" ht="18.75">
      <c r="B2044">
        <v>18</v>
      </c>
      <c r="C2044" s="5">
        <v>46139</v>
      </c>
      <c r="D2044" t="s">
        <v>138</v>
      </c>
      <c r="E2044">
        <v>395.41</v>
      </c>
      <c r="N2044"/>
      <c r="S2044"/>
    </row>
    <row r="2045" spans="2:19" ht="18.75">
      <c r="B2045">
        <v>18</v>
      </c>
      <c r="C2045" s="5">
        <v>46139</v>
      </c>
      <c r="D2045" t="s">
        <v>141</v>
      </c>
      <c r="E2045">
        <v>519.37</v>
      </c>
      <c r="N2045"/>
      <c r="S2045"/>
    </row>
    <row r="2046" spans="2:19" ht="18.75">
      <c r="B2046">
        <v>18</v>
      </c>
      <c r="C2046" s="5">
        <v>46139</v>
      </c>
      <c r="D2046" t="s">
        <v>142</v>
      </c>
      <c r="E2046">
        <v>136.04</v>
      </c>
      <c r="N2046"/>
      <c r="S2046"/>
    </row>
    <row r="2047" spans="2:19" ht="18.75">
      <c r="B2047">
        <v>18</v>
      </c>
      <c r="C2047" s="5">
        <v>46139</v>
      </c>
      <c r="D2047" t="s">
        <v>139</v>
      </c>
      <c r="E2047">
        <v>269.98</v>
      </c>
      <c r="N2047"/>
      <c r="S2047"/>
    </row>
    <row r="2048" spans="2:19" ht="18.75">
      <c r="B2048">
        <v>18</v>
      </c>
      <c r="C2048" s="5">
        <v>46139</v>
      </c>
      <c r="D2048" t="s">
        <v>143</v>
      </c>
      <c r="E2048">
        <v>1706.6</v>
      </c>
      <c r="N2048"/>
      <c r="S2048"/>
    </row>
    <row r="2049" spans="2:19" ht="18.75">
      <c r="B2049">
        <v>18</v>
      </c>
      <c r="C2049" s="5">
        <v>46139</v>
      </c>
      <c r="D2049" t="s">
        <v>144</v>
      </c>
      <c r="E2049">
        <v>216.2</v>
      </c>
      <c r="N2049"/>
      <c r="S2049"/>
    </row>
    <row r="2050" spans="2:19" ht="18.75">
      <c r="B2050">
        <v>18</v>
      </c>
      <c r="C2050" s="5">
        <v>46139</v>
      </c>
      <c r="D2050" t="s">
        <v>145</v>
      </c>
      <c r="E2050">
        <v>153.72</v>
      </c>
      <c r="N2050"/>
      <c r="S2050"/>
    </row>
    <row r="2051" spans="2:19" ht="18.75">
      <c r="B2051">
        <v>18</v>
      </c>
      <c r="C2051" s="5">
        <v>46139</v>
      </c>
      <c r="D2051" t="s">
        <v>146</v>
      </c>
      <c r="E2051">
        <v>610.55999999999995</v>
      </c>
      <c r="N2051"/>
      <c r="S2051"/>
    </row>
    <row r="2052" spans="2:19" ht="18.75">
      <c r="B2052">
        <v>18</v>
      </c>
      <c r="C2052" s="5">
        <v>46139</v>
      </c>
      <c r="D2052" t="s">
        <v>148</v>
      </c>
      <c r="E2052">
        <v>92.94</v>
      </c>
      <c r="N2052"/>
      <c r="S2052"/>
    </row>
    <row r="2053" spans="2:19" ht="18.75">
      <c r="B2053">
        <v>18</v>
      </c>
      <c r="C2053" s="5">
        <v>46139</v>
      </c>
      <c r="D2053" t="s">
        <v>147</v>
      </c>
      <c r="E2053">
        <v>367.41</v>
      </c>
      <c r="N2053"/>
      <c r="S2053"/>
    </row>
    <row r="2054" spans="2:19" ht="18.75">
      <c r="B2054">
        <v>18</v>
      </c>
      <c r="C2054" s="5">
        <v>46139</v>
      </c>
      <c r="D2054" t="s">
        <v>150</v>
      </c>
      <c r="E2054">
        <v>67.2</v>
      </c>
      <c r="N2054"/>
      <c r="S2054"/>
    </row>
    <row r="2055" spans="2:19" ht="18.75">
      <c r="B2055">
        <v>18</v>
      </c>
      <c r="C2055" s="5">
        <v>46139</v>
      </c>
      <c r="D2055" t="s">
        <v>151</v>
      </c>
      <c r="E2055">
        <v>577.30999999999995</v>
      </c>
      <c r="N2055"/>
      <c r="S2055"/>
    </row>
    <row r="2056" spans="2:19" ht="18.75">
      <c r="B2056">
        <v>18</v>
      </c>
      <c r="C2056" s="5">
        <v>46139</v>
      </c>
      <c r="D2056" t="s">
        <v>111</v>
      </c>
      <c r="E2056">
        <v>233.97</v>
      </c>
      <c r="N2056"/>
      <c r="S2056"/>
    </row>
    <row r="2057" spans="2:19" ht="18.75">
      <c r="B2057">
        <v>18</v>
      </c>
      <c r="C2057" s="5">
        <v>46139</v>
      </c>
      <c r="D2057" t="s">
        <v>113</v>
      </c>
      <c r="E2057">
        <v>223.19</v>
      </c>
      <c r="N2057"/>
      <c r="S2057"/>
    </row>
    <row r="2058" spans="2:19" ht="18.75">
      <c r="B2058">
        <v>18</v>
      </c>
      <c r="C2058" s="5">
        <v>46139</v>
      </c>
      <c r="D2058" t="s">
        <v>116</v>
      </c>
      <c r="E2058">
        <v>106.22</v>
      </c>
      <c r="N2058"/>
      <c r="S2058"/>
    </row>
    <row r="2059" spans="2:19" ht="18.75">
      <c r="B2059">
        <v>18</v>
      </c>
      <c r="C2059" s="5">
        <v>46139</v>
      </c>
      <c r="D2059" t="s">
        <v>118</v>
      </c>
      <c r="E2059">
        <v>231.87</v>
      </c>
      <c r="N2059"/>
      <c r="S2059"/>
    </row>
    <row r="2060" spans="2:19" ht="18.75">
      <c r="B2060">
        <v>18</v>
      </c>
      <c r="C2060" s="5">
        <v>46139</v>
      </c>
      <c r="D2060" t="s">
        <v>121</v>
      </c>
      <c r="E2060">
        <v>234.18</v>
      </c>
      <c r="N2060"/>
      <c r="S2060"/>
    </row>
    <row r="2061" spans="2:19" ht="18.75">
      <c r="B2061">
        <v>18</v>
      </c>
      <c r="C2061" s="5">
        <v>46139</v>
      </c>
      <c r="D2061" t="s">
        <v>124</v>
      </c>
      <c r="E2061">
        <v>477.7</v>
      </c>
      <c r="N2061"/>
      <c r="S2061"/>
    </row>
    <row r="2062" spans="2:19" ht="18.75">
      <c r="B2062">
        <v>18</v>
      </c>
      <c r="C2062" s="5">
        <v>46139</v>
      </c>
      <c r="D2062" t="s">
        <v>132</v>
      </c>
      <c r="E2062">
        <v>147.47999999999999</v>
      </c>
      <c r="N2062"/>
      <c r="S2062"/>
    </row>
    <row r="2063" spans="2:19" ht="18.75">
      <c r="B2063">
        <v>18</v>
      </c>
      <c r="C2063" s="5">
        <v>46139</v>
      </c>
      <c r="D2063" t="s">
        <v>135</v>
      </c>
      <c r="E2063">
        <v>72.930000000000007</v>
      </c>
      <c r="N2063"/>
      <c r="S2063"/>
    </row>
    <row r="2064" spans="2:19" ht="18.75">
      <c r="B2064">
        <v>18</v>
      </c>
      <c r="C2064" s="5">
        <v>46139</v>
      </c>
      <c r="D2064" t="s">
        <v>137</v>
      </c>
      <c r="E2064">
        <v>72.33</v>
      </c>
      <c r="N2064"/>
      <c r="S2064"/>
    </row>
    <row r="2065" spans="2:19" ht="18.75">
      <c r="B2065">
        <v>18</v>
      </c>
      <c r="C2065" s="5">
        <v>46139</v>
      </c>
      <c r="D2065" t="s">
        <v>127</v>
      </c>
      <c r="E2065">
        <v>307.36</v>
      </c>
      <c r="N2065"/>
      <c r="S2065"/>
    </row>
    <row r="2066" spans="2:19" ht="18.75">
      <c r="B2066">
        <v>18</v>
      </c>
      <c r="C2066" s="5">
        <v>46139</v>
      </c>
      <c r="D2066" t="s">
        <v>115</v>
      </c>
      <c r="E2066">
        <v>4.32</v>
      </c>
      <c r="N2066"/>
      <c r="S2066"/>
    </row>
    <row r="2067" spans="2:19" ht="18.75">
      <c r="B2067">
        <v>19</v>
      </c>
      <c r="C2067" s="5">
        <v>46146</v>
      </c>
      <c r="D2067" t="s">
        <v>111</v>
      </c>
      <c r="E2067">
        <v>110.23</v>
      </c>
      <c r="N2067"/>
      <c r="S2067"/>
    </row>
    <row r="2068" spans="2:19" ht="18.75">
      <c r="B2068">
        <v>19</v>
      </c>
      <c r="C2068" s="5">
        <v>46146</v>
      </c>
      <c r="D2068" t="s">
        <v>112</v>
      </c>
      <c r="E2068">
        <v>78.709999999999994</v>
      </c>
      <c r="N2068"/>
      <c r="S2068"/>
    </row>
    <row r="2069" spans="2:19" ht="18.75">
      <c r="B2069">
        <v>19</v>
      </c>
      <c r="C2069" s="5">
        <v>46146</v>
      </c>
      <c r="D2069" t="s">
        <v>113</v>
      </c>
      <c r="E2069">
        <v>151.83000000000001</v>
      </c>
      <c r="N2069"/>
      <c r="S2069"/>
    </row>
    <row r="2070" spans="2:19" ht="18.75">
      <c r="B2070">
        <v>19</v>
      </c>
      <c r="C2070" s="5">
        <v>46146</v>
      </c>
      <c r="D2070" t="s">
        <v>114</v>
      </c>
      <c r="E2070">
        <v>207.57</v>
      </c>
      <c r="N2070"/>
      <c r="S2070"/>
    </row>
    <row r="2071" spans="2:19" ht="18.75">
      <c r="B2071">
        <v>19</v>
      </c>
      <c r="C2071" s="5">
        <v>46146</v>
      </c>
      <c r="D2071" t="s">
        <v>116</v>
      </c>
      <c r="E2071">
        <v>129.81</v>
      </c>
      <c r="N2071"/>
      <c r="S2071"/>
    </row>
    <row r="2072" spans="2:19" ht="18.75">
      <c r="B2072">
        <v>19</v>
      </c>
      <c r="C2072" s="5">
        <v>46146</v>
      </c>
      <c r="D2072" t="s">
        <v>117</v>
      </c>
      <c r="E2072">
        <v>162.44</v>
      </c>
      <c r="N2072"/>
      <c r="S2072"/>
    </row>
    <row r="2073" spans="2:19" ht="18.75">
      <c r="B2073">
        <v>19</v>
      </c>
      <c r="C2073" s="5">
        <v>46146</v>
      </c>
      <c r="D2073" t="s">
        <v>118</v>
      </c>
      <c r="E2073">
        <v>106.52</v>
      </c>
      <c r="N2073"/>
      <c r="S2073"/>
    </row>
    <row r="2074" spans="2:19" ht="18.75">
      <c r="B2074">
        <v>19</v>
      </c>
      <c r="C2074" s="5">
        <v>46146</v>
      </c>
      <c r="D2074" t="s">
        <v>119</v>
      </c>
      <c r="E2074">
        <v>268.17</v>
      </c>
      <c r="N2074"/>
      <c r="S2074"/>
    </row>
    <row r="2075" spans="2:19" ht="18.75">
      <c r="B2075">
        <v>19</v>
      </c>
      <c r="C2075" s="5">
        <v>46146</v>
      </c>
      <c r="D2075" t="s">
        <v>120</v>
      </c>
      <c r="E2075">
        <v>98.25</v>
      </c>
      <c r="N2075"/>
      <c r="S2075"/>
    </row>
    <row r="2076" spans="2:19" ht="18.75">
      <c r="B2076">
        <v>19</v>
      </c>
      <c r="C2076" s="5">
        <v>46146</v>
      </c>
      <c r="D2076" t="s">
        <v>121</v>
      </c>
      <c r="E2076">
        <v>114.71</v>
      </c>
      <c r="N2076"/>
      <c r="S2076"/>
    </row>
    <row r="2077" spans="2:19" ht="18.75">
      <c r="B2077">
        <v>19</v>
      </c>
      <c r="C2077" s="5">
        <v>46146</v>
      </c>
      <c r="D2077" t="s">
        <v>122</v>
      </c>
      <c r="E2077">
        <v>224.8</v>
      </c>
      <c r="N2077"/>
      <c r="S2077"/>
    </row>
    <row r="2078" spans="2:19" ht="18.75">
      <c r="B2078">
        <v>19</v>
      </c>
      <c r="C2078" s="5">
        <v>46146</v>
      </c>
      <c r="D2078" t="s">
        <v>123</v>
      </c>
      <c r="E2078">
        <v>300.94</v>
      </c>
      <c r="N2078"/>
      <c r="S2078"/>
    </row>
    <row r="2079" spans="2:19" ht="18.75">
      <c r="B2079">
        <v>19</v>
      </c>
      <c r="C2079" s="5">
        <v>46146</v>
      </c>
      <c r="D2079" t="s">
        <v>124</v>
      </c>
      <c r="E2079">
        <v>237.44</v>
      </c>
      <c r="N2079"/>
      <c r="S2079"/>
    </row>
    <row r="2080" spans="2:19" ht="18.75">
      <c r="B2080">
        <v>19</v>
      </c>
      <c r="C2080" s="5">
        <v>46146</v>
      </c>
      <c r="D2080" t="s">
        <v>125</v>
      </c>
      <c r="E2080">
        <v>152.47</v>
      </c>
      <c r="N2080"/>
      <c r="S2080"/>
    </row>
    <row r="2081" spans="2:19" ht="18.75">
      <c r="B2081">
        <v>19</v>
      </c>
      <c r="C2081" s="5">
        <v>46146</v>
      </c>
      <c r="D2081" t="s">
        <v>126</v>
      </c>
      <c r="E2081">
        <v>102.06</v>
      </c>
      <c r="N2081"/>
      <c r="S2081"/>
    </row>
    <row r="2082" spans="2:19" ht="18.75">
      <c r="B2082">
        <v>19</v>
      </c>
      <c r="C2082" s="5">
        <v>46146</v>
      </c>
      <c r="D2082" t="s">
        <v>128</v>
      </c>
      <c r="E2082">
        <v>201.61</v>
      </c>
      <c r="N2082"/>
      <c r="S2082"/>
    </row>
    <row r="2083" spans="2:19" ht="18.75">
      <c r="B2083">
        <v>19</v>
      </c>
      <c r="C2083" s="5">
        <v>46146</v>
      </c>
      <c r="D2083" t="s">
        <v>129</v>
      </c>
      <c r="E2083">
        <v>265.75</v>
      </c>
      <c r="N2083"/>
      <c r="S2083"/>
    </row>
    <row r="2084" spans="2:19" ht="18.75">
      <c r="B2084">
        <v>19</v>
      </c>
      <c r="C2084" s="5">
        <v>46146</v>
      </c>
      <c r="D2084" t="s">
        <v>130</v>
      </c>
      <c r="E2084">
        <v>235.84</v>
      </c>
      <c r="N2084"/>
      <c r="S2084"/>
    </row>
    <row r="2085" spans="2:19" ht="18.75">
      <c r="B2085">
        <v>19</v>
      </c>
      <c r="C2085" s="5">
        <v>46146</v>
      </c>
      <c r="D2085" t="s">
        <v>131</v>
      </c>
      <c r="E2085">
        <v>250.65</v>
      </c>
      <c r="N2085"/>
      <c r="S2085"/>
    </row>
    <row r="2086" spans="2:19" ht="18.75">
      <c r="B2086">
        <v>19</v>
      </c>
      <c r="C2086" s="5">
        <v>46146</v>
      </c>
      <c r="D2086" t="s">
        <v>132</v>
      </c>
      <c r="E2086">
        <v>159.5</v>
      </c>
      <c r="N2086"/>
      <c r="S2086"/>
    </row>
    <row r="2087" spans="2:19" ht="18.75">
      <c r="B2087">
        <v>19</v>
      </c>
      <c r="C2087" s="5">
        <v>46146</v>
      </c>
      <c r="D2087" t="s">
        <v>133</v>
      </c>
      <c r="E2087">
        <v>243.56</v>
      </c>
      <c r="N2087"/>
      <c r="S2087"/>
    </row>
    <row r="2088" spans="2:19" ht="18.75">
      <c r="B2088">
        <v>19</v>
      </c>
      <c r="C2088" s="5">
        <v>46146</v>
      </c>
      <c r="D2088" t="s">
        <v>134</v>
      </c>
      <c r="E2088">
        <v>249.3</v>
      </c>
      <c r="N2088"/>
      <c r="S2088"/>
    </row>
    <row r="2089" spans="2:19" ht="18.75">
      <c r="B2089">
        <v>19</v>
      </c>
      <c r="C2089" s="5">
        <v>46146</v>
      </c>
      <c r="D2089" t="s">
        <v>135</v>
      </c>
      <c r="E2089">
        <v>105.88</v>
      </c>
      <c r="N2089"/>
      <c r="S2089"/>
    </row>
    <row r="2090" spans="2:19" ht="18.75">
      <c r="B2090">
        <v>19</v>
      </c>
      <c r="C2090" s="5">
        <v>46146</v>
      </c>
      <c r="D2090" t="s">
        <v>136</v>
      </c>
      <c r="E2090">
        <v>146.26</v>
      </c>
      <c r="N2090"/>
      <c r="S2090"/>
    </row>
    <row r="2091" spans="2:19" ht="18.75">
      <c r="B2091">
        <v>19</v>
      </c>
      <c r="C2091" s="5">
        <v>46146</v>
      </c>
      <c r="D2091" t="s">
        <v>137</v>
      </c>
      <c r="E2091">
        <v>85.26</v>
      </c>
      <c r="N2091"/>
      <c r="S2091"/>
    </row>
    <row r="2092" spans="2:19" ht="18.75">
      <c r="B2092">
        <v>19</v>
      </c>
      <c r="C2092" s="5">
        <v>46146</v>
      </c>
      <c r="D2092" t="s">
        <v>138</v>
      </c>
      <c r="E2092">
        <v>252.44</v>
      </c>
      <c r="N2092"/>
      <c r="S2092"/>
    </row>
    <row r="2093" spans="2:19" ht="18.75">
      <c r="B2093">
        <v>19</v>
      </c>
      <c r="C2093" s="5">
        <v>46146</v>
      </c>
      <c r="D2093" t="s">
        <v>141</v>
      </c>
      <c r="E2093">
        <v>357.78</v>
      </c>
      <c r="N2093"/>
      <c r="S2093"/>
    </row>
    <row r="2094" spans="2:19" ht="18.75">
      <c r="B2094">
        <v>19</v>
      </c>
      <c r="C2094" s="5">
        <v>46146</v>
      </c>
      <c r="D2094" t="s">
        <v>142</v>
      </c>
      <c r="E2094">
        <v>157.76</v>
      </c>
      <c r="N2094"/>
      <c r="S2094"/>
    </row>
    <row r="2095" spans="2:19" ht="18.75">
      <c r="B2095">
        <v>19</v>
      </c>
      <c r="C2095" s="5">
        <v>46146</v>
      </c>
      <c r="D2095" t="s">
        <v>139</v>
      </c>
      <c r="E2095">
        <v>165.88</v>
      </c>
      <c r="N2095"/>
      <c r="S2095"/>
    </row>
    <row r="2096" spans="2:19" ht="18.75">
      <c r="B2096">
        <v>19</v>
      </c>
      <c r="C2096" s="5">
        <v>46146</v>
      </c>
      <c r="D2096" t="s">
        <v>143</v>
      </c>
      <c r="E2096">
        <v>412.95</v>
      </c>
      <c r="N2096"/>
      <c r="S2096"/>
    </row>
    <row r="2097" spans="2:19" ht="18.75">
      <c r="B2097">
        <v>19</v>
      </c>
      <c r="C2097" s="5">
        <v>46146</v>
      </c>
      <c r="D2097" t="s">
        <v>144</v>
      </c>
      <c r="E2097">
        <v>169.63</v>
      </c>
      <c r="N2097"/>
      <c r="S2097"/>
    </row>
    <row r="2098" spans="2:19" ht="18.75">
      <c r="B2098">
        <v>19</v>
      </c>
      <c r="C2098" s="5">
        <v>46146</v>
      </c>
      <c r="D2098" t="s">
        <v>145</v>
      </c>
      <c r="E2098">
        <v>148.88999999999999</v>
      </c>
      <c r="N2098"/>
      <c r="S2098"/>
    </row>
    <row r="2099" spans="2:19" ht="18.75">
      <c r="B2099">
        <v>19</v>
      </c>
      <c r="C2099" s="5">
        <v>46146</v>
      </c>
      <c r="D2099" t="s">
        <v>146</v>
      </c>
      <c r="E2099">
        <v>333.76</v>
      </c>
      <c r="N2099"/>
      <c r="S2099"/>
    </row>
    <row r="2100" spans="2:19" ht="18.75">
      <c r="B2100">
        <v>19</v>
      </c>
      <c r="C2100" s="5">
        <v>46146</v>
      </c>
      <c r="D2100" t="s">
        <v>148</v>
      </c>
      <c r="E2100">
        <v>156.13</v>
      </c>
      <c r="N2100"/>
      <c r="S2100"/>
    </row>
    <row r="2101" spans="2:19" ht="18.75">
      <c r="B2101">
        <v>19</v>
      </c>
      <c r="C2101" s="5">
        <v>46146</v>
      </c>
      <c r="D2101" t="s">
        <v>147</v>
      </c>
      <c r="E2101">
        <v>206.86</v>
      </c>
      <c r="N2101"/>
      <c r="S2101"/>
    </row>
    <row r="2102" spans="2:19" ht="18.75">
      <c r="B2102">
        <v>19</v>
      </c>
      <c r="C2102" s="5">
        <v>46146</v>
      </c>
      <c r="D2102" t="s">
        <v>150</v>
      </c>
      <c r="E2102">
        <v>92.92</v>
      </c>
      <c r="N2102"/>
      <c r="S2102"/>
    </row>
    <row r="2103" spans="2:19" ht="18.75">
      <c r="B2103">
        <v>19</v>
      </c>
      <c r="C2103" s="5">
        <v>46146</v>
      </c>
      <c r="D2103" t="s">
        <v>151</v>
      </c>
      <c r="E2103">
        <v>369.39</v>
      </c>
      <c r="N2103"/>
      <c r="S2103"/>
    </row>
    <row r="2104" spans="2:19" ht="18.75">
      <c r="B2104">
        <v>19</v>
      </c>
      <c r="C2104" s="5">
        <v>46146</v>
      </c>
      <c r="D2104" t="s">
        <v>127</v>
      </c>
      <c r="E2104">
        <v>111.13</v>
      </c>
      <c r="N2104"/>
      <c r="S2104"/>
    </row>
    <row r="2105" spans="2:19" ht="18.75">
      <c r="B2105">
        <v>19</v>
      </c>
      <c r="C2105" s="5">
        <v>46146</v>
      </c>
      <c r="D2105" t="s">
        <v>115</v>
      </c>
      <c r="E2105">
        <v>174.42</v>
      </c>
      <c r="N2105"/>
      <c r="S2105"/>
    </row>
    <row r="2106" spans="2:19" ht="18.75">
      <c r="B2106">
        <v>11</v>
      </c>
      <c r="C2106" s="5">
        <v>46090</v>
      </c>
      <c r="D2106" t="s">
        <v>116</v>
      </c>
      <c r="E2106">
        <v>80.489999999999995</v>
      </c>
      <c r="N2106"/>
      <c r="S2106"/>
    </row>
    <row r="2107" spans="2:19" ht="18.75">
      <c r="B2107">
        <v>11</v>
      </c>
      <c r="C2107" s="5">
        <v>46090</v>
      </c>
      <c r="D2107" t="s">
        <v>117</v>
      </c>
      <c r="E2107">
        <v>213.53</v>
      </c>
      <c r="N2107"/>
      <c r="S2107"/>
    </row>
    <row r="2108" spans="2:19" ht="18.75">
      <c r="B2108">
        <v>11</v>
      </c>
      <c r="C2108" s="5">
        <v>46090</v>
      </c>
      <c r="D2108" t="s">
        <v>118</v>
      </c>
      <c r="E2108">
        <v>195.08</v>
      </c>
      <c r="N2108"/>
      <c r="S2108"/>
    </row>
    <row r="2109" spans="2:19" ht="18.75">
      <c r="B2109">
        <v>11</v>
      </c>
      <c r="C2109" s="5">
        <v>46090</v>
      </c>
      <c r="D2109" t="s">
        <v>119</v>
      </c>
      <c r="E2109">
        <v>394.59</v>
      </c>
      <c r="N2109"/>
      <c r="S2109"/>
    </row>
    <row r="2110" spans="2:19" ht="18.75">
      <c r="B2110">
        <v>11</v>
      </c>
      <c r="C2110" s="5">
        <v>46090</v>
      </c>
      <c r="D2110" t="s">
        <v>120</v>
      </c>
      <c r="E2110">
        <v>102.31</v>
      </c>
      <c r="N2110"/>
      <c r="S2110"/>
    </row>
    <row r="2111" spans="2:19" ht="18.75">
      <c r="B2111">
        <v>11</v>
      </c>
      <c r="C2111" s="5">
        <v>46090</v>
      </c>
      <c r="D2111" t="s">
        <v>121</v>
      </c>
      <c r="E2111">
        <v>173.47</v>
      </c>
      <c r="N2111"/>
      <c r="S2111"/>
    </row>
    <row r="2112" spans="2:19" ht="18.75">
      <c r="B2112">
        <v>11</v>
      </c>
      <c r="C2112" s="5">
        <v>46090</v>
      </c>
      <c r="D2112" t="s">
        <v>122</v>
      </c>
      <c r="E2112">
        <v>279.95999999999998</v>
      </c>
      <c r="N2112"/>
      <c r="S2112"/>
    </row>
    <row r="2113" spans="2:19" ht="18.75">
      <c r="B2113">
        <v>11</v>
      </c>
      <c r="C2113" s="5">
        <v>46090</v>
      </c>
      <c r="D2113" t="s">
        <v>123</v>
      </c>
      <c r="E2113">
        <v>472.2</v>
      </c>
      <c r="N2113"/>
      <c r="S2113"/>
    </row>
    <row r="2114" spans="2:19" ht="18.75">
      <c r="B2114">
        <v>11</v>
      </c>
      <c r="C2114" s="5">
        <v>46090</v>
      </c>
      <c r="D2114" t="s">
        <v>124</v>
      </c>
      <c r="E2114">
        <v>483.07</v>
      </c>
      <c r="N2114"/>
      <c r="S2114"/>
    </row>
    <row r="2115" spans="2:19" ht="18.75">
      <c r="B2115">
        <v>11</v>
      </c>
      <c r="C2115" s="5">
        <v>46090</v>
      </c>
      <c r="D2115" t="s">
        <v>125</v>
      </c>
      <c r="E2115">
        <v>60.12</v>
      </c>
      <c r="N2115"/>
      <c r="S2115"/>
    </row>
    <row r="2116" spans="2:19" ht="18.75">
      <c r="B2116">
        <v>11</v>
      </c>
      <c r="C2116" s="5">
        <v>46090</v>
      </c>
      <c r="D2116" t="s">
        <v>126</v>
      </c>
      <c r="E2116">
        <v>140.36000000000001</v>
      </c>
      <c r="N2116"/>
      <c r="S2116"/>
    </row>
    <row r="2117" spans="2:19" ht="18.75">
      <c r="B2117">
        <v>11</v>
      </c>
      <c r="C2117" s="5">
        <v>46090</v>
      </c>
      <c r="D2117" t="s">
        <v>128</v>
      </c>
      <c r="E2117">
        <v>185.05</v>
      </c>
      <c r="N2117"/>
      <c r="S2117"/>
    </row>
    <row r="2118" spans="2:19" ht="18.75">
      <c r="B2118">
        <v>11</v>
      </c>
      <c r="C2118" s="5">
        <v>46090</v>
      </c>
      <c r="D2118" t="s">
        <v>129</v>
      </c>
      <c r="E2118">
        <v>387.4</v>
      </c>
      <c r="N2118"/>
      <c r="S2118"/>
    </row>
    <row r="2119" spans="2:19" ht="18.75">
      <c r="B2119">
        <v>11</v>
      </c>
      <c r="C2119" s="5">
        <v>46090</v>
      </c>
      <c r="D2119" t="s">
        <v>130</v>
      </c>
      <c r="E2119">
        <v>500.63</v>
      </c>
      <c r="N2119"/>
      <c r="S2119"/>
    </row>
    <row r="2120" spans="2:19" ht="18.75">
      <c r="B2120">
        <v>11</v>
      </c>
      <c r="C2120" s="5">
        <v>46090</v>
      </c>
      <c r="D2120" t="s">
        <v>132</v>
      </c>
      <c r="E2120">
        <v>181.52</v>
      </c>
      <c r="N2120"/>
      <c r="S2120"/>
    </row>
    <row r="2121" spans="2:19" ht="18.75">
      <c r="B2121">
        <v>11</v>
      </c>
      <c r="C2121" s="5">
        <v>46090</v>
      </c>
      <c r="D2121" t="s">
        <v>133</v>
      </c>
      <c r="E2121">
        <v>281.57</v>
      </c>
      <c r="N2121"/>
      <c r="S2121"/>
    </row>
    <row r="2122" spans="2:19" ht="18.75">
      <c r="B2122">
        <v>11</v>
      </c>
      <c r="C2122" s="5">
        <v>46090</v>
      </c>
      <c r="D2122" t="s">
        <v>134</v>
      </c>
      <c r="E2122">
        <v>281.73</v>
      </c>
      <c r="N2122"/>
      <c r="S2122"/>
    </row>
    <row r="2123" spans="2:19" ht="18.75">
      <c r="B2123">
        <v>11</v>
      </c>
      <c r="C2123" s="5">
        <v>46090</v>
      </c>
      <c r="D2123" t="s">
        <v>135</v>
      </c>
      <c r="E2123">
        <v>75.33</v>
      </c>
      <c r="N2123"/>
      <c r="S2123"/>
    </row>
    <row r="2124" spans="2:19" ht="18.75">
      <c r="B2124">
        <v>11</v>
      </c>
      <c r="C2124" s="5">
        <v>46090</v>
      </c>
      <c r="D2124" t="s">
        <v>136</v>
      </c>
      <c r="E2124">
        <v>193.94</v>
      </c>
      <c r="N2124"/>
      <c r="S2124"/>
    </row>
    <row r="2125" spans="2:19" ht="18.75">
      <c r="B2125">
        <v>11</v>
      </c>
      <c r="C2125" s="5">
        <v>46090</v>
      </c>
      <c r="D2125" t="s">
        <v>137</v>
      </c>
      <c r="E2125">
        <v>71.63</v>
      </c>
      <c r="N2125"/>
      <c r="S2125"/>
    </row>
    <row r="2126" spans="2:19" ht="18.75">
      <c r="B2126">
        <v>11</v>
      </c>
      <c r="C2126" s="5">
        <v>46090</v>
      </c>
      <c r="D2126" t="s">
        <v>138</v>
      </c>
      <c r="E2126">
        <v>405.25</v>
      </c>
      <c r="N2126"/>
      <c r="S2126"/>
    </row>
    <row r="2127" spans="2:19" ht="18.75">
      <c r="B2127">
        <v>11</v>
      </c>
      <c r="C2127" s="5">
        <v>46090</v>
      </c>
      <c r="D2127" t="s">
        <v>140</v>
      </c>
      <c r="E2127">
        <v>64.78</v>
      </c>
      <c r="N2127"/>
      <c r="S2127"/>
    </row>
    <row r="2128" spans="2:19" ht="18.75">
      <c r="B2128">
        <v>11</v>
      </c>
      <c r="C2128" s="5">
        <v>46090</v>
      </c>
      <c r="D2128" t="s">
        <v>141</v>
      </c>
      <c r="E2128">
        <v>519.04999999999995</v>
      </c>
      <c r="N2128"/>
      <c r="S2128"/>
    </row>
    <row r="2129" spans="2:19" ht="18.75">
      <c r="B2129">
        <v>11</v>
      </c>
      <c r="C2129" s="5">
        <v>46090</v>
      </c>
      <c r="D2129" t="s">
        <v>142</v>
      </c>
      <c r="E2129">
        <v>221.64</v>
      </c>
      <c r="N2129"/>
      <c r="S2129"/>
    </row>
    <row r="2130" spans="2:19" ht="18.75">
      <c r="B2130">
        <v>11</v>
      </c>
      <c r="C2130" s="5">
        <v>46090</v>
      </c>
      <c r="D2130" t="s">
        <v>139</v>
      </c>
      <c r="E2130">
        <v>286.24</v>
      </c>
      <c r="N2130"/>
      <c r="S2130"/>
    </row>
    <row r="2131" spans="2:19" ht="18.75">
      <c r="B2131">
        <v>11</v>
      </c>
      <c r="C2131" s="5">
        <v>46090</v>
      </c>
      <c r="D2131" t="s">
        <v>143</v>
      </c>
      <c r="E2131">
        <v>2160.44</v>
      </c>
      <c r="N2131"/>
      <c r="S2131"/>
    </row>
    <row r="2132" spans="2:19" ht="18.75">
      <c r="B2132">
        <v>11</v>
      </c>
      <c r="C2132" s="5">
        <v>46090</v>
      </c>
      <c r="D2132" t="s">
        <v>145</v>
      </c>
      <c r="E2132">
        <v>255.58</v>
      </c>
      <c r="N2132"/>
      <c r="S2132"/>
    </row>
    <row r="2133" spans="2:19" ht="18.75">
      <c r="B2133">
        <v>11</v>
      </c>
      <c r="C2133" s="5">
        <v>46090</v>
      </c>
      <c r="D2133" t="s">
        <v>146</v>
      </c>
      <c r="E2133">
        <v>562.91</v>
      </c>
      <c r="N2133"/>
      <c r="S2133"/>
    </row>
    <row r="2134" spans="2:19" ht="18.75">
      <c r="B2134">
        <v>11</v>
      </c>
      <c r="C2134" s="5">
        <v>46090</v>
      </c>
      <c r="D2134" t="s">
        <v>148</v>
      </c>
      <c r="E2134">
        <v>89.49</v>
      </c>
      <c r="N2134"/>
      <c r="S2134"/>
    </row>
    <row r="2135" spans="2:19" ht="18.75">
      <c r="B2135">
        <v>11</v>
      </c>
      <c r="C2135" s="5">
        <v>46090</v>
      </c>
      <c r="D2135" t="s">
        <v>147</v>
      </c>
      <c r="E2135">
        <v>243.43</v>
      </c>
      <c r="N2135"/>
      <c r="S2135"/>
    </row>
    <row r="2136" spans="2:19" ht="18.75">
      <c r="B2136">
        <v>11</v>
      </c>
      <c r="C2136" s="5">
        <v>46090</v>
      </c>
      <c r="D2136" t="s">
        <v>150</v>
      </c>
      <c r="E2136">
        <v>86.27</v>
      </c>
      <c r="N2136"/>
      <c r="S2136"/>
    </row>
    <row r="2137" spans="2:19" ht="18.75">
      <c r="B2137">
        <v>11</v>
      </c>
      <c r="C2137" s="5">
        <v>46090</v>
      </c>
      <c r="D2137" t="s">
        <v>151</v>
      </c>
      <c r="E2137">
        <v>668.58</v>
      </c>
      <c r="N2137"/>
      <c r="S2137"/>
    </row>
    <row r="2138" spans="2:19" ht="18.75">
      <c r="B2138">
        <v>11</v>
      </c>
      <c r="C2138" s="5">
        <v>46090</v>
      </c>
      <c r="D2138" t="s">
        <v>127</v>
      </c>
      <c r="E2138">
        <v>226.85</v>
      </c>
      <c r="N2138"/>
      <c r="S2138"/>
    </row>
    <row r="2139" spans="2:19" ht="18.75">
      <c r="B2139">
        <v>11</v>
      </c>
      <c r="C2139" s="5">
        <v>46090</v>
      </c>
      <c r="D2139" t="s">
        <v>149</v>
      </c>
      <c r="E2139">
        <v>168.83</v>
      </c>
      <c r="N2139"/>
      <c r="S2139"/>
    </row>
    <row r="2140" spans="2:19" ht="18.75">
      <c r="B2140">
        <v>12</v>
      </c>
      <c r="C2140" s="5">
        <v>46097</v>
      </c>
      <c r="D2140" t="s">
        <v>143</v>
      </c>
      <c r="E2140">
        <v>2203.6</v>
      </c>
      <c r="N2140"/>
      <c r="S2140"/>
    </row>
    <row r="2141" spans="2:19" ht="18.75">
      <c r="B2141">
        <v>12</v>
      </c>
      <c r="C2141" s="5">
        <v>46097</v>
      </c>
      <c r="D2141" t="s">
        <v>126</v>
      </c>
      <c r="E2141">
        <v>184.78</v>
      </c>
      <c r="N2141"/>
      <c r="S2141"/>
    </row>
    <row r="2142" spans="2:19" ht="18.75">
      <c r="B2142">
        <v>12</v>
      </c>
      <c r="C2142" s="5">
        <v>46097</v>
      </c>
      <c r="D2142" t="s">
        <v>127</v>
      </c>
      <c r="E2142">
        <v>282.85000000000002</v>
      </c>
      <c r="N2142"/>
      <c r="S2142"/>
    </row>
    <row r="2143" spans="2:19" ht="18.75">
      <c r="B2143">
        <v>12</v>
      </c>
      <c r="C2143" s="5">
        <v>46097</v>
      </c>
      <c r="D2143" t="s">
        <v>123</v>
      </c>
      <c r="E2143">
        <v>455.13</v>
      </c>
      <c r="N2143"/>
      <c r="S2143"/>
    </row>
    <row r="2144" spans="2:19" ht="18.75">
      <c r="B2144">
        <v>12</v>
      </c>
      <c r="C2144" s="5">
        <v>46097</v>
      </c>
      <c r="D2144" t="s">
        <v>124</v>
      </c>
      <c r="E2144">
        <v>419.69</v>
      </c>
      <c r="N2144"/>
      <c r="S2144"/>
    </row>
    <row r="2145" spans="2:19" ht="18.75">
      <c r="B2145">
        <v>12</v>
      </c>
      <c r="C2145" s="5">
        <v>46097</v>
      </c>
      <c r="D2145" t="s">
        <v>139</v>
      </c>
      <c r="E2145">
        <v>302.52999999999997</v>
      </c>
      <c r="N2145"/>
      <c r="S2145"/>
    </row>
    <row r="2146" spans="2:19" ht="18.75">
      <c r="B2146">
        <v>12</v>
      </c>
      <c r="C2146" s="5">
        <v>46097</v>
      </c>
      <c r="D2146" t="s">
        <v>147</v>
      </c>
      <c r="E2146">
        <v>325.33</v>
      </c>
      <c r="N2146"/>
      <c r="S2146"/>
    </row>
    <row r="2147" spans="2:19" ht="18.75">
      <c r="B2147">
        <v>12</v>
      </c>
      <c r="C2147" s="5">
        <v>46097</v>
      </c>
      <c r="D2147" t="s">
        <v>113</v>
      </c>
      <c r="E2147">
        <v>194.74</v>
      </c>
      <c r="N2147"/>
      <c r="S2147"/>
    </row>
    <row r="2148" spans="2:19" ht="18.75">
      <c r="B2148">
        <v>12</v>
      </c>
      <c r="C2148" s="5">
        <v>46097</v>
      </c>
      <c r="D2148" t="s">
        <v>121</v>
      </c>
      <c r="E2148">
        <v>163.22</v>
      </c>
      <c r="N2148"/>
      <c r="S2148"/>
    </row>
    <row r="2149" spans="2:19" ht="18.75">
      <c r="B2149">
        <v>12</v>
      </c>
      <c r="C2149" s="5">
        <v>46097</v>
      </c>
      <c r="D2149" t="s">
        <v>118</v>
      </c>
      <c r="E2149">
        <v>148.84</v>
      </c>
      <c r="N2149"/>
      <c r="S2149"/>
    </row>
    <row r="2150" spans="2:19" ht="18.75">
      <c r="B2150">
        <v>12</v>
      </c>
      <c r="C2150" s="5">
        <v>46097</v>
      </c>
      <c r="D2150" t="s">
        <v>111</v>
      </c>
      <c r="E2150">
        <v>210.39</v>
      </c>
      <c r="N2150"/>
      <c r="S2150"/>
    </row>
    <row r="2151" spans="2:19" ht="18.75">
      <c r="B2151">
        <v>12</v>
      </c>
      <c r="C2151" s="5">
        <v>46097</v>
      </c>
      <c r="D2151" t="s">
        <v>112</v>
      </c>
      <c r="E2151">
        <v>80.650000000000006</v>
      </c>
      <c r="N2151"/>
      <c r="S2151"/>
    </row>
    <row r="2152" spans="2:19" ht="18.75">
      <c r="B2152">
        <v>12</v>
      </c>
      <c r="C2152" s="5">
        <v>46097</v>
      </c>
      <c r="D2152" t="s">
        <v>114</v>
      </c>
      <c r="E2152">
        <v>303.92</v>
      </c>
      <c r="N2152"/>
      <c r="S2152"/>
    </row>
    <row r="2153" spans="2:19" ht="18.75">
      <c r="B2153">
        <v>12</v>
      </c>
      <c r="C2153" s="5">
        <v>46097</v>
      </c>
      <c r="D2153" t="s">
        <v>116</v>
      </c>
      <c r="E2153">
        <v>101.89</v>
      </c>
      <c r="N2153"/>
      <c r="S2153"/>
    </row>
    <row r="2154" spans="2:19" ht="18.75">
      <c r="B2154">
        <v>12</v>
      </c>
      <c r="C2154" s="5">
        <v>46097</v>
      </c>
      <c r="D2154" t="s">
        <v>117</v>
      </c>
      <c r="E2154">
        <v>225.53</v>
      </c>
      <c r="N2154"/>
      <c r="S2154"/>
    </row>
    <row r="2155" spans="2:19" ht="18.75">
      <c r="B2155">
        <v>12</v>
      </c>
      <c r="C2155" s="5">
        <v>46097</v>
      </c>
      <c r="D2155" t="s">
        <v>119</v>
      </c>
      <c r="E2155">
        <v>424.57</v>
      </c>
      <c r="N2155"/>
      <c r="S2155"/>
    </row>
    <row r="2156" spans="2:19" ht="18.75">
      <c r="B2156">
        <v>12</v>
      </c>
      <c r="C2156" s="5">
        <v>46097</v>
      </c>
      <c r="D2156" t="s">
        <v>120</v>
      </c>
      <c r="E2156">
        <v>113.28</v>
      </c>
      <c r="N2156"/>
      <c r="S2156"/>
    </row>
    <row r="2157" spans="2:19" ht="18.75">
      <c r="B2157">
        <v>12</v>
      </c>
      <c r="C2157" s="5">
        <v>46097</v>
      </c>
      <c r="D2157" t="s">
        <v>122</v>
      </c>
      <c r="E2157">
        <v>269.33</v>
      </c>
      <c r="N2157"/>
      <c r="S2157"/>
    </row>
    <row r="2158" spans="2:19" ht="18.75">
      <c r="B2158">
        <v>12</v>
      </c>
      <c r="C2158" s="5">
        <v>46097</v>
      </c>
      <c r="D2158" t="s">
        <v>125</v>
      </c>
      <c r="E2158">
        <v>77.760000000000005</v>
      </c>
      <c r="N2158"/>
      <c r="S2158"/>
    </row>
    <row r="2159" spans="2:19" ht="18.75">
      <c r="B2159">
        <v>12</v>
      </c>
      <c r="C2159" s="5">
        <v>46097</v>
      </c>
      <c r="D2159" t="s">
        <v>128</v>
      </c>
      <c r="E2159">
        <v>191.92</v>
      </c>
      <c r="N2159"/>
      <c r="S2159"/>
    </row>
    <row r="2160" spans="2:19" ht="18.75">
      <c r="B2160">
        <v>12</v>
      </c>
      <c r="C2160" s="5">
        <v>46097</v>
      </c>
      <c r="D2160" t="s">
        <v>129</v>
      </c>
      <c r="E2160">
        <v>420.02</v>
      </c>
      <c r="N2160"/>
      <c r="S2160"/>
    </row>
    <row r="2161" spans="2:19" ht="18.75">
      <c r="B2161">
        <v>12</v>
      </c>
      <c r="C2161" s="5">
        <v>46097</v>
      </c>
      <c r="D2161" t="s">
        <v>130</v>
      </c>
      <c r="E2161">
        <v>434.91</v>
      </c>
      <c r="N2161"/>
      <c r="S2161"/>
    </row>
    <row r="2162" spans="2:19" ht="18.75">
      <c r="B2162">
        <v>12</v>
      </c>
      <c r="C2162" s="5">
        <v>46097</v>
      </c>
      <c r="D2162" t="s">
        <v>132</v>
      </c>
      <c r="E2162">
        <v>177.86</v>
      </c>
      <c r="N2162"/>
      <c r="S2162"/>
    </row>
    <row r="2163" spans="2:19" ht="18.75">
      <c r="B2163">
        <v>12</v>
      </c>
      <c r="C2163" s="5">
        <v>46097</v>
      </c>
      <c r="D2163" t="s">
        <v>133</v>
      </c>
      <c r="E2163">
        <v>329.02</v>
      </c>
      <c r="N2163"/>
      <c r="S2163"/>
    </row>
    <row r="2164" spans="2:19" ht="18.75">
      <c r="B2164">
        <v>12</v>
      </c>
      <c r="C2164" s="5">
        <v>46097</v>
      </c>
      <c r="D2164" t="s">
        <v>134</v>
      </c>
      <c r="E2164">
        <v>362.6</v>
      </c>
      <c r="N2164"/>
      <c r="S2164"/>
    </row>
    <row r="2165" spans="2:19" ht="18.75">
      <c r="B2165">
        <v>12</v>
      </c>
      <c r="C2165" s="5">
        <v>46097</v>
      </c>
      <c r="D2165" t="s">
        <v>135</v>
      </c>
      <c r="E2165">
        <v>58.52</v>
      </c>
      <c r="N2165"/>
      <c r="S2165"/>
    </row>
    <row r="2166" spans="2:19" ht="18.75">
      <c r="B2166">
        <v>12</v>
      </c>
      <c r="C2166" s="5">
        <v>46097</v>
      </c>
      <c r="D2166" t="s">
        <v>136</v>
      </c>
      <c r="E2166">
        <v>186.98</v>
      </c>
      <c r="N2166"/>
      <c r="S2166"/>
    </row>
    <row r="2167" spans="2:19" ht="18.75">
      <c r="B2167">
        <v>12</v>
      </c>
      <c r="C2167" s="5">
        <v>46097</v>
      </c>
      <c r="D2167" t="s">
        <v>137</v>
      </c>
      <c r="E2167">
        <v>76.88</v>
      </c>
      <c r="N2167"/>
      <c r="S2167"/>
    </row>
    <row r="2168" spans="2:19" ht="18.75">
      <c r="B2168">
        <v>12</v>
      </c>
      <c r="C2168" s="5">
        <v>46097</v>
      </c>
      <c r="D2168" t="s">
        <v>138</v>
      </c>
      <c r="E2168">
        <v>418.32</v>
      </c>
      <c r="N2168"/>
      <c r="S2168"/>
    </row>
    <row r="2169" spans="2:19" ht="18.75">
      <c r="B2169">
        <v>12</v>
      </c>
      <c r="C2169" s="5">
        <v>46097</v>
      </c>
      <c r="D2169" t="s">
        <v>140</v>
      </c>
      <c r="E2169">
        <v>64.89</v>
      </c>
      <c r="N2169"/>
      <c r="S2169"/>
    </row>
    <row r="2170" spans="2:19" ht="18.75">
      <c r="B2170">
        <v>12</v>
      </c>
      <c r="C2170" s="5">
        <v>46097</v>
      </c>
      <c r="D2170" t="s">
        <v>141</v>
      </c>
      <c r="E2170">
        <v>548.74</v>
      </c>
      <c r="N2170"/>
      <c r="S2170"/>
    </row>
    <row r="2171" spans="2:19" ht="18.75">
      <c r="B2171">
        <v>12</v>
      </c>
      <c r="C2171" s="5">
        <v>46097</v>
      </c>
      <c r="D2171" t="s">
        <v>142</v>
      </c>
      <c r="E2171">
        <v>194.9</v>
      </c>
      <c r="N2171"/>
      <c r="S2171"/>
    </row>
    <row r="2172" spans="2:19" ht="18.75">
      <c r="B2172">
        <v>12</v>
      </c>
      <c r="C2172" s="5">
        <v>46097</v>
      </c>
      <c r="D2172" t="s">
        <v>145</v>
      </c>
      <c r="E2172">
        <v>266.42</v>
      </c>
      <c r="N2172"/>
      <c r="S2172"/>
    </row>
    <row r="2173" spans="2:19" ht="18.75">
      <c r="B2173">
        <v>12</v>
      </c>
      <c r="C2173" s="5">
        <v>46097</v>
      </c>
      <c r="D2173" t="s">
        <v>146</v>
      </c>
      <c r="E2173">
        <v>582.57000000000005</v>
      </c>
      <c r="N2173"/>
      <c r="S2173"/>
    </row>
    <row r="2174" spans="2:19" ht="18.75">
      <c r="B2174">
        <v>12</v>
      </c>
      <c r="C2174" s="5">
        <v>46097</v>
      </c>
      <c r="D2174" t="s">
        <v>148</v>
      </c>
      <c r="E2174">
        <v>90.6</v>
      </c>
      <c r="N2174"/>
      <c r="S2174"/>
    </row>
    <row r="2175" spans="2:19" ht="18.75">
      <c r="B2175">
        <v>12</v>
      </c>
      <c r="C2175" s="5">
        <v>46097</v>
      </c>
      <c r="D2175" t="s">
        <v>150</v>
      </c>
      <c r="E2175">
        <v>73.88</v>
      </c>
      <c r="N2175"/>
      <c r="S2175"/>
    </row>
    <row r="2176" spans="2:19" ht="18.75">
      <c r="B2176">
        <v>12</v>
      </c>
      <c r="C2176" s="5">
        <v>46097</v>
      </c>
      <c r="D2176" t="s">
        <v>151</v>
      </c>
      <c r="E2176">
        <v>699.15</v>
      </c>
      <c r="N2176"/>
      <c r="S2176"/>
    </row>
    <row r="2177" spans="2:19" ht="18.75">
      <c r="B2177">
        <v>12</v>
      </c>
      <c r="C2177" s="5">
        <v>46097</v>
      </c>
      <c r="D2177" t="s">
        <v>149</v>
      </c>
      <c r="E2177">
        <v>148.38</v>
      </c>
      <c r="N2177"/>
      <c r="S2177"/>
    </row>
    <row r="2178" spans="2:19" ht="18.75">
      <c r="B2178">
        <v>13</v>
      </c>
      <c r="C2178" s="5">
        <v>46104</v>
      </c>
      <c r="D2178" t="s">
        <v>111</v>
      </c>
      <c r="E2178">
        <v>200.15</v>
      </c>
      <c r="N2178"/>
      <c r="S2178"/>
    </row>
    <row r="2179" spans="2:19" ht="18.75">
      <c r="B2179">
        <v>13</v>
      </c>
      <c r="C2179" s="5">
        <v>46104</v>
      </c>
      <c r="D2179" t="s">
        <v>112</v>
      </c>
      <c r="E2179">
        <v>69.44</v>
      </c>
      <c r="N2179"/>
      <c r="S2179"/>
    </row>
    <row r="2180" spans="2:19" ht="18.75">
      <c r="B2180">
        <v>13</v>
      </c>
      <c r="C2180" s="5">
        <v>46104</v>
      </c>
      <c r="D2180" t="s">
        <v>113</v>
      </c>
      <c r="E2180">
        <v>182.24</v>
      </c>
      <c r="N2180"/>
      <c r="S2180"/>
    </row>
    <row r="2181" spans="2:19" ht="18.75">
      <c r="B2181">
        <v>13</v>
      </c>
      <c r="C2181" s="5">
        <v>46104</v>
      </c>
      <c r="D2181" t="s">
        <v>114</v>
      </c>
      <c r="E2181">
        <v>274.58999999999997</v>
      </c>
      <c r="N2181"/>
      <c r="S2181"/>
    </row>
    <row r="2182" spans="2:19" ht="18.75">
      <c r="B2182">
        <v>13</v>
      </c>
      <c r="C2182" s="5">
        <v>46104</v>
      </c>
      <c r="D2182" t="s">
        <v>117</v>
      </c>
      <c r="E2182">
        <v>240.93</v>
      </c>
      <c r="N2182"/>
      <c r="S2182"/>
    </row>
    <row r="2183" spans="2:19" ht="18.75">
      <c r="B2183">
        <v>13</v>
      </c>
      <c r="C2183" s="5">
        <v>46104</v>
      </c>
      <c r="D2183" t="s">
        <v>118</v>
      </c>
      <c r="E2183">
        <v>141.29</v>
      </c>
      <c r="N2183"/>
      <c r="S2183"/>
    </row>
    <row r="2184" spans="2:19" ht="18.75">
      <c r="B2184">
        <v>13</v>
      </c>
      <c r="C2184" s="5">
        <v>46104</v>
      </c>
      <c r="D2184" t="s">
        <v>119</v>
      </c>
      <c r="E2184">
        <v>380.33</v>
      </c>
      <c r="N2184"/>
      <c r="S2184"/>
    </row>
    <row r="2185" spans="2:19" ht="18.75">
      <c r="B2185">
        <v>13</v>
      </c>
      <c r="C2185" s="5">
        <v>46104</v>
      </c>
      <c r="D2185" t="s">
        <v>120</v>
      </c>
      <c r="E2185">
        <v>100.6</v>
      </c>
      <c r="N2185"/>
      <c r="S2185"/>
    </row>
    <row r="2186" spans="2:19" ht="18.75">
      <c r="B2186">
        <v>13</v>
      </c>
      <c r="C2186" s="5">
        <v>46104</v>
      </c>
      <c r="D2186" t="s">
        <v>121</v>
      </c>
      <c r="E2186">
        <v>155.93</v>
      </c>
      <c r="N2186"/>
      <c r="S2186"/>
    </row>
    <row r="2187" spans="2:19" ht="18.75">
      <c r="B2187">
        <v>13</v>
      </c>
      <c r="C2187" s="5">
        <v>46104</v>
      </c>
      <c r="D2187" t="s">
        <v>122</v>
      </c>
      <c r="E2187">
        <v>274.31</v>
      </c>
      <c r="N2187"/>
      <c r="S2187"/>
    </row>
    <row r="2188" spans="2:19" ht="18.75">
      <c r="B2188">
        <v>13</v>
      </c>
      <c r="C2188" s="5">
        <v>46104</v>
      </c>
      <c r="D2188" t="s">
        <v>123</v>
      </c>
      <c r="E2188">
        <v>507.83</v>
      </c>
      <c r="N2188"/>
      <c r="S2188"/>
    </row>
    <row r="2189" spans="2:19" ht="18.75">
      <c r="B2189">
        <v>13</v>
      </c>
      <c r="C2189" s="5">
        <v>46104</v>
      </c>
      <c r="D2189" t="s">
        <v>124</v>
      </c>
      <c r="E2189">
        <v>385.43</v>
      </c>
      <c r="N2189"/>
      <c r="S2189"/>
    </row>
    <row r="2190" spans="2:19" ht="18.75">
      <c r="B2190">
        <v>13</v>
      </c>
      <c r="C2190" s="5">
        <v>46104</v>
      </c>
      <c r="D2190" t="s">
        <v>125</v>
      </c>
      <c r="E2190">
        <v>54.84</v>
      </c>
      <c r="N2190"/>
      <c r="S2190"/>
    </row>
    <row r="2191" spans="2:19" ht="18.75">
      <c r="B2191">
        <v>13</v>
      </c>
      <c r="C2191" s="5">
        <v>46104</v>
      </c>
      <c r="D2191" t="s">
        <v>126</v>
      </c>
      <c r="E2191">
        <v>283.32</v>
      </c>
      <c r="N2191"/>
      <c r="S2191"/>
    </row>
    <row r="2192" spans="2:19" ht="18.75">
      <c r="B2192">
        <v>13</v>
      </c>
      <c r="C2192" s="5">
        <v>46104</v>
      </c>
      <c r="D2192" t="s">
        <v>128</v>
      </c>
      <c r="E2192">
        <v>181.42</v>
      </c>
      <c r="N2192"/>
      <c r="S2192"/>
    </row>
    <row r="2193" spans="2:19" ht="18.75">
      <c r="B2193">
        <v>13</v>
      </c>
      <c r="C2193" s="5">
        <v>46104</v>
      </c>
      <c r="D2193" t="s">
        <v>129</v>
      </c>
      <c r="E2193">
        <v>337.36</v>
      </c>
      <c r="N2193"/>
      <c r="S2193"/>
    </row>
    <row r="2194" spans="2:19" ht="18.75">
      <c r="B2194">
        <v>13</v>
      </c>
      <c r="C2194" s="5">
        <v>46104</v>
      </c>
      <c r="D2194" t="s">
        <v>130</v>
      </c>
      <c r="E2194">
        <v>410.84</v>
      </c>
      <c r="N2194"/>
      <c r="S2194"/>
    </row>
    <row r="2195" spans="2:19" ht="18.75">
      <c r="B2195">
        <v>13</v>
      </c>
      <c r="C2195" s="5">
        <v>46104</v>
      </c>
      <c r="D2195" t="s">
        <v>132</v>
      </c>
      <c r="E2195">
        <v>212.52</v>
      </c>
      <c r="N2195"/>
      <c r="S2195"/>
    </row>
    <row r="2196" spans="2:19" ht="18.75">
      <c r="B2196">
        <v>13</v>
      </c>
      <c r="C2196" s="5">
        <v>46104</v>
      </c>
      <c r="D2196" t="s">
        <v>133</v>
      </c>
      <c r="E2196">
        <v>341.07</v>
      </c>
      <c r="N2196"/>
      <c r="S2196"/>
    </row>
    <row r="2197" spans="2:19" ht="18.75">
      <c r="B2197">
        <v>13</v>
      </c>
      <c r="C2197" s="5">
        <v>46104</v>
      </c>
      <c r="D2197" t="s">
        <v>134</v>
      </c>
      <c r="E2197">
        <v>377.26</v>
      </c>
      <c r="N2197"/>
      <c r="S2197"/>
    </row>
    <row r="2198" spans="2:19" ht="18.75">
      <c r="B2198">
        <v>13</v>
      </c>
      <c r="C2198" s="5">
        <v>46104</v>
      </c>
      <c r="D2198" t="s">
        <v>135</v>
      </c>
      <c r="E2198">
        <v>84.67</v>
      </c>
      <c r="N2198"/>
      <c r="S2198"/>
    </row>
    <row r="2199" spans="2:19" ht="18.75">
      <c r="B2199">
        <v>13</v>
      </c>
      <c r="C2199" s="5">
        <v>46104</v>
      </c>
      <c r="D2199" t="s">
        <v>136</v>
      </c>
      <c r="E2199">
        <v>193.97</v>
      </c>
      <c r="N2199"/>
      <c r="S2199"/>
    </row>
    <row r="2200" spans="2:19" ht="18.75">
      <c r="B2200">
        <v>13</v>
      </c>
      <c r="C2200" s="5">
        <v>46104</v>
      </c>
      <c r="D2200" t="s">
        <v>137</v>
      </c>
      <c r="E2200">
        <v>63.41</v>
      </c>
      <c r="N2200"/>
      <c r="S2200"/>
    </row>
    <row r="2201" spans="2:19" ht="18.75">
      <c r="B2201">
        <v>13</v>
      </c>
      <c r="C2201" s="5">
        <v>46104</v>
      </c>
      <c r="D2201" t="s">
        <v>138</v>
      </c>
      <c r="E2201">
        <v>391.64</v>
      </c>
      <c r="N2201"/>
      <c r="S2201"/>
    </row>
    <row r="2202" spans="2:19" ht="18.75">
      <c r="B2202">
        <v>13</v>
      </c>
      <c r="C2202" s="5">
        <v>46104</v>
      </c>
      <c r="D2202" t="s">
        <v>140</v>
      </c>
      <c r="E2202">
        <v>96.2</v>
      </c>
      <c r="N2202"/>
      <c r="S2202"/>
    </row>
    <row r="2203" spans="2:19" ht="18.75">
      <c r="B2203">
        <v>13</v>
      </c>
      <c r="C2203" s="5">
        <v>46104</v>
      </c>
      <c r="D2203" t="s">
        <v>141</v>
      </c>
      <c r="E2203">
        <v>553.92999999999995</v>
      </c>
      <c r="N2203"/>
      <c r="S2203"/>
    </row>
    <row r="2204" spans="2:19" ht="18.75">
      <c r="B2204">
        <v>13</v>
      </c>
      <c r="C2204" s="5">
        <v>46104</v>
      </c>
      <c r="D2204" t="s">
        <v>142</v>
      </c>
      <c r="E2204">
        <v>185.4</v>
      </c>
      <c r="N2204"/>
      <c r="S2204"/>
    </row>
    <row r="2205" spans="2:19" ht="18.75">
      <c r="B2205">
        <v>13</v>
      </c>
      <c r="C2205" s="5">
        <v>46104</v>
      </c>
      <c r="D2205" t="s">
        <v>139</v>
      </c>
      <c r="E2205">
        <v>292.57</v>
      </c>
      <c r="N2205"/>
      <c r="S2205"/>
    </row>
    <row r="2206" spans="2:19" ht="18.75">
      <c r="B2206">
        <v>13</v>
      </c>
      <c r="C2206" s="5">
        <v>46104</v>
      </c>
      <c r="D2206" t="s">
        <v>143</v>
      </c>
      <c r="E2206">
        <v>2076.73</v>
      </c>
      <c r="N2206"/>
      <c r="S2206"/>
    </row>
    <row r="2207" spans="2:19" ht="18.75">
      <c r="B2207">
        <v>13</v>
      </c>
      <c r="C2207" s="5">
        <v>46104</v>
      </c>
      <c r="D2207" t="s">
        <v>145</v>
      </c>
      <c r="E2207">
        <v>254.94</v>
      </c>
      <c r="N2207"/>
      <c r="S2207"/>
    </row>
    <row r="2208" spans="2:19" ht="18.75">
      <c r="B2208">
        <v>13</v>
      </c>
      <c r="C2208" s="5">
        <v>46104</v>
      </c>
      <c r="D2208" t="s">
        <v>146</v>
      </c>
      <c r="E2208">
        <v>621.14</v>
      </c>
      <c r="N2208"/>
      <c r="S2208"/>
    </row>
    <row r="2209" spans="2:19" ht="18.75">
      <c r="B2209">
        <v>13</v>
      </c>
      <c r="C2209" s="5">
        <v>46104</v>
      </c>
      <c r="D2209" t="s">
        <v>148</v>
      </c>
      <c r="E2209">
        <v>127.75</v>
      </c>
      <c r="N2209"/>
      <c r="S2209"/>
    </row>
    <row r="2210" spans="2:19" ht="18.75">
      <c r="B2210">
        <v>13</v>
      </c>
      <c r="C2210" s="5">
        <v>46104</v>
      </c>
      <c r="D2210" t="s">
        <v>147</v>
      </c>
      <c r="E2210">
        <v>324.07</v>
      </c>
      <c r="N2210"/>
      <c r="S2210"/>
    </row>
    <row r="2211" spans="2:19" ht="18.75">
      <c r="B2211">
        <v>13</v>
      </c>
      <c r="C2211" s="5">
        <v>46104</v>
      </c>
      <c r="D2211" t="s">
        <v>150</v>
      </c>
      <c r="E2211">
        <v>96.02</v>
      </c>
      <c r="N2211"/>
      <c r="S2211"/>
    </row>
    <row r="2212" spans="2:19" ht="18.75">
      <c r="B2212">
        <v>13</v>
      </c>
      <c r="C2212" s="5">
        <v>46104</v>
      </c>
      <c r="D2212" t="s">
        <v>151</v>
      </c>
      <c r="E2212">
        <v>690.47</v>
      </c>
      <c r="N2212"/>
      <c r="S2212"/>
    </row>
    <row r="2213" spans="2:19" ht="18.75">
      <c r="B2213">
        <v>13</v>
      </c>
      <c r="C2213" s="5">
        <v>46104</v>
      </c>
      <c r="D2213" t="s">
        <v>127</v>
      </c>
      <c r="E2213">
        <v>217.43</v>
      </c>
      <c r="N2213"/>
      <c r="S2213"/>
    </row>
    <row r="2214" spans="2:19" ht="18.75">
      <c r="B2214">
        <v>13</v>
      </c>
      <c r="C2214" s="5">
        <v>46104</v>
      </c>
      <c r="D2214" t="s">
        <v>149</v>
      </c>
      <c r="E2214">
        <v>148.09</v>
      </c>
      <c r="N2214"/>
      <c r="S2214"/>
    </row>
    <row r="2215" spans="2:19" ht="18.75">
      <c r="B2215">
        <v>13</v>
      </c>
      <c r="C2215" s="5">
        <v>46104</v>
      </c>
      <c r="D2215" t="s">
        <v>116</v>
      </c>
      <c r="E2215">
        <v>100.19</v>
      </c>
      <c r="N2215"/>
      <c r="S2215"/>
    </row>
    <row r="2216" spans="2:19" ht="18.75">
      <c r="B2216">
        <v>14</v>
      </c>
      <c r="C2216" s="5">
        <v>46111</v>
      </c>
      <c r="D2216" t="s">
        <v>111</v>
      </c>
      <c r="E2216">
        <v>200.02</v>
      </c>
      <c r="N2216"/>
      <c r="S2216"/>
    </row>
    <row r="2217" spans="2:19" ht="18.75">
      <c r="B2217">
        <v>14</v>
      </c>
      <c r="C2217" s="5">
        <v>46111</v>
      </c>
      <c r="D2217" t="s">
        <v>114</v>
      </c>
      <c r="E2217">
        <v>273.62</v>
      </c>
      <c r="N2217"/>
      <c r="S2217"/>
    </row>
    <row r="2218" spans="2:19" ht="18.75">
      <c r="B2218">
        <v>14</v>
      </c>
      <c r="C2218" s="5">
        <v>46111</v>
      </c>
      <c r="D2218" t="s">
        <v>117</v>
      </c>
      <c r="E2218">
        <v>309.73</v>
      </c>
      <c r="N2218"/>
      <c r="S2218"/>
    </row>
    <row r="2219" spans="2:19" ht="18.75">
      <c r="B2219">
        <v>14</v>
      </c>
      <c r="C2219" s="5">
        <v>46111</v>
      </c>
      <c r="D2219" t="s">
        <v>119</v>
      </c>
      <c r="E2219">
        <v>435.01</v>
      </c>
      <c r="N2219"/>
      <c r="S2219"/>
    </row>
    <row r="2220" spans="2:19" ht="18.75">
      <c r="B2220">
        <v>14</v>
      </c>
      <c r="C2220" s="5">
        <v>46111</v>
      </c>
      <c r="D2220" t="s">
        <v>130</v>
      </c>
      <c r="E2220">
        <v>436.99</v>
      </c>
      <c r="N2220"/>
      <c r="S2220"/>
    </row>
    <row r="2221" spans="2:19" ht="18.75">
      <c r="B2221">
        <v>14</v>
      </c>
      <c r="C2221" s="5">
        <v>46111</v>
      </c>
      <c r="D2221" t="s">
        <v>133</v>
      </c>
      <c r="E2221">
        <v>363.91</v>
      </c>
      <c r="N2221"/>
      <c r="S2221"/>
    </row>
    <row r="2222" spans="2:19" ht="18.75">
      <c r="B2222">
        <v>14</v>
      </c>
      <c r="C2222" s="5">
        <v>46111</v>
      </c>
      <c r="D2222" t="s">
        <v>134</v>
      </c>
      <c r="E2222">
        <v>369.54</v>
      </c>
      <c r="N2222"/>
      <c r="S2222"/>
    </row>
    <row r="2223" spans="2:19" ht="18.75">
      <c r="B2223">
        <v>14</v>
      </c>
      <c r="C2223" s="5">
        <v>46111</v>
      </c>
      <c r="D2223" t="s">
        <v>138</v>
      </c>
      <c r="E2223">
        <v>448.77</v>
      </c>
      <c r="N2223"/>
      <c r="S2223"/>
    </row>
    <row r="2224" spans="2:19" ht="18.75">
      <c r="B2224">
        <v>14</v>
      </c>
      <c r="C2224" s="5">
        <v>46111</v>
      </c>
      <c r="D2224" t="s">
        <v>141</v>
      </c>
      <c r="E2224">
        <v>546.54999999999995</v>
      </c>
      <c r="N2224"/>
      <c r="S2224"/>
    </row>
    <row r="2225" spans="2:19" ht="18.75">
      <c r="B2225">
        <v>14</v>
      </c>
      <c r="C2225" s="5">
        <v>46111</v>
      </c>
      <c r="D2225" t="s">
        <v>143</v>
      </c>
      <c r="E2225">
        <v>1716.93</v>
      </c>
      <c r="N2225"/>
      <c r="S2225"/>
    </row>
    <row r="2226" spans="2:19" ht="18.75">
      <c r="B2226">
        <v>14</v>
      </c>
      <c r="C2226" s="5">
        <v>46111</v>
      </c>
      <c r="D2226" t="s">
        <v>145</v>
      </c>
      <c r="E2226">
        <v>248.22</v>
      </c>
      <c r="N2226"/>
      <c r="S2226"/>
    </row>
    <row r="2227" spans="2:19" ht="18.75">
      <c r="B2227">
        <v>14</v>
      </c>
      <c r="C2227" s="5">
        <v>46111</v>
      </c>
      <c r="D2227" t="s">
        <v>146</v>
      </c>
      <c r="E2227">
        <v>608.29</v>
      </c>
      <c r="N2227"/>
      <c r="S2227"/>
    </row>
    <row r="2228" spans="2:19" ht="18.75">
      <c r="B2228">
        <v>14</v>
      </c>
      <c r="C2228" s="5">
        <v>46111</v>
      </c>
      <c r="D2228" t="s">
        <v>151</v>
      </c>
      <c r="E2228">
        <v>555.85</v>
      </c>
      <c r="N2228"/>
      <c r="S2228"/>
    </row>
    <row r="2229" spans="2:19" ht="18.75">
      <c r="B2229">
        <v>14</v>
      </c>
      <c r="C2229" s="5">
        <v>46111</v>
      </c>
      <c r="D2229" t="s">
        <v>129</v>
      </c>
      <c r="E2229">
        <v>385.04</v>
      </c>
      <c r="N2229"/>
      <c r="S2229"/>
    </row>
    <row r="2230" spans="2:19" ht="18.75">
      <c r="B2230">
        <v>14</v>
      </c>
      <c r="C2230" s="5">
        <v>46111</v>
      </c>
      <c r="D2230" t="s">
        <v>126</v>
      </c>
      <c r="E2230">
        <v>327.78</v>
      </c>
      <c r="N2230"/>
      <c r="S2230"/>
    </row>
    <row r="2231" spans="2:19" ht="18.75">
      <c r="B2231">
        <v>14</v>
      </c>
      <c r="C2231" s="5">
        <v>46111</v>
      </c>
      <c r="D2231" t="s">
        <v>113</v>
      </c>
      <c r="E2231">
        <v>207.99</v>
      </c>
      <c r="N2231"/>
      <c r="S2231"/>
    </row>
    <row r="2232" spans="2:19" ht="18.75">
      <c r="B2232">
        <v>14</v>
      </c>
      <c r="C2232" s="5">
        <v>46111</v>
      </c>
      <c r="D2232" t="s">
        <v>118</v>
      </c>
      <c r="E2232">
        <v>181.13</v>
      </c>
      <c r="N2232"/>
      <c r="S2232"/>
    </row>
    <row r="2233" spans="2:19" ht="18.75">
      <c r="B2233">
        <v>14</v>
      </c>
      <c r="C2233" s="5">
        <v>46111</v>
      </c>
      <c r="D2233" t="s">
        <v>123</v>
      </c>
      <c r="E2233">
        <v>486.06</v>
      </c>
      <c r="N2233"/>
      <c r="S2233"/>
    </row>
    <row r="2234" spans="2:19" ht="18.75">
      <c r="B2234">
        <v>14</v>
      </c>
      <c r="C2234" s="5">
        <v>46111</v>
      </c>
      <c r="D2234" t="s">
        <v>124</v>
      </c>
      <c r="E2234">
        <v>350.6</v>
      </c>
      <c r="N2234"/>
      <c r="S2234"/>
    </row>
    <row r="2235" spans="2:19" ht="18.75">
      <c r="B2235">
        <v>14</v>
      </c>
      <c r="C2235" s="5">
        <v>46111</v>
      </c>
      <c r="D2235" t="s">
        <v>147</v>
      </c>
      <c r="E2235">
        <v>376.73</v>
      </c>
      <c r="N2235"/>
      <c r="S2235"/>
    </row>
    <row r="2236" spans="2:19" ht="18.75">
      <c r="B2236">
        <v>14</v>
      </c>
      <c r="C2236" s="5">
        <v>46111</v>
      </c>
      <c r="D2236" t="s">
        <v>121</v>
      </c>
      <c r="E2236">
        <v>180.43</v>
      </c>
      <c r="N2236"/>
      <c r="S2236"/>
    </row>
    <row r="2237" spans="2:19" ht="18.75">
      <c r="B2237">
        <v>14</v>
      </c>
      <c r="C2237" s="5">
        <v>46111</v>
      </c>
      <c r="D2237" t="s">
        <v>139</v>
      </c>
      <c r="E2237">
        <v>291.89999999999998</v>
      </c>
      <c r="N2237"/>
      <c r="S2237"/>
    </row>
    <row r="2238" spans="2:19" ht="18.75">
      <c r="B2238">
        <v>14</v>
      </c>
      <c r="C2238" s="5">
        <v>46111</v>
      </c>
      <c r="D2238" t="s">
        <v>127</v>
      </c>
      <c r="E2238">
        <v>195.57</v>
      </c>
      <c r="N2238"/>
      <c r="S2238"/>
    </row>
    <row r="2239" spans="2:19" ht="18.75">
      <c r="B2239">
        <v>15</v>
      </c>
      <c r="C2239" s="5">
        <v>46118</v>
      </c>
      <c r="D2239" t="s">
        <v>143</v>
      </c>
      <c r="E2239">
        <v>1662.09</v>
      </c>
      <c r="N2239"/>
      <c r="S2239"/>
    </row>
    <row r="2240" spans="2:19" ht="18.75">
      <c r="B2240">
        <v>15</v>
      </c>
      <c r="C2240" s="5">
        <v>46118</v>
      </c>
      <c r="D2240" t="s">
        <v>111</v>
      </c>
      <c r="E2240">
        <v>104.85</v>
      </c>
      <c r="N2240"/>
      <c r="S2240"/>
    </row>
    <row r="2241" spans="2:19" ht="18.75">
      <c r="B2241">
        <v>15</v>
      </c>
      <c r="C2241" s="5">
        <v>46118</v>
      </c>
      <c r="D2241" t="s">
        <v>112</v>
      </c>
      <c r="E2241">
        <v>67.48</v>
      </c>
      <c r="N2241"/>
      <c r="S2241"/>
    </row>
    <row r="2242" spans="2:19" ht="18.75">
      <c r="B2242">
        <v>15</v>
      </c>
      <c r="C2242" s="5">
        <v>46118</v>
      </c>
      <c r="D2242" t="s">
        <v>113</v>
      </c>
      <c r="E2242">
        <v>131.47</v>
      </c>
      <c r="N2242"/>
      <c r="S2242"/>
    </row>
    <row r="2243" spans="2:19" ht="18.75">
      <c r="B2243">
        <v>15</v>
      </c>
      <c r="C2243" s="5">
        <v>46118</v>
      </c>
      <c r="D2243" t="s">
        <v>114</v>
      </c>
      <c r="E2243">
        <v>300.5</v>
      </c>
      <c r="N2243"/>
      <c r="S2243"/>
    </row>
    <row r="2244" spans="2:19" ht="18.75">
      <c r="B2244">
        <v>15</v>
      </c>
      <c r="C2244" s="5">
        <v>46118</v>
      </c>
      <c r="D2244" t="s">
        <v>117</v>
      </c>
      <c r="E2244">
        <v>224.53</v>
      </c>
      <c r="N2244"/>
      <c r="S2244"/>
    </row>
    <row r="2245" spans="2:19" ht="18.75">
      <c r="B2245">
        <v>15</v>
      </c>
      <c r="C2245" s="5">
        <v>46118</v>
      </c>
      <c r="D2245" t="s">
        <v>121</v>
      </c>
      <c r="E2245">
        <v>97.07</v>
      </c>
      <c r="N2245"/>
      <c r="S2245"/>
    </row>
    <row r="2246" spans="2:19" ht="18.75">
      <c r="B2246">
        <v>15</v>
      </c>
      <c r="C2246" s="5">
        <v>46118</v>
      </c>
      <c r="D2246" t="s">
        <v>122</v>
      </c>
      <c r="E2246">
        <v>191.57</v>
      </c>
      <c r="N2246"/>
      <c r="S2246"/>
    </row>
    <row r="2247" spans="2:19" ht="18.75">
      <c r="B2247">
        <v>15</v>
      </c>
      <c r="C2247" s="5">
        <v>46118</v>
      </c>
      <c r="D2247" t="s">
        <v>125</v>
      </c>
      <c r="E2247">
        <v>68.73</v>
      </c>
      <c r="N2247"/>
      <c r="S2247"/>
    </row>
    <row r="2248" spans="2:19" ht="18.75">
      <c r="B2248">
        <v>15</v>
      </c>
      <c r="C2248" s="5">
        <v>46118</v>
      </c>
      <c r="D2248" t="s">
        <v>126</v>
      </c>
      <c r="E2248">
        <v>63.83</v>
      </c>
      <c r="N2248"/>
      <c r="S2248"/>
    </row>
    <row r="2249" spans="2:19" ht="18.75">
      <c r="B2249">
        <v>15</v>
      </c>
      <c r="C2249" s="5">
        <v>46118</v>
      </c>
      <c r="D2249" t="s">
        <v>129</v>
      </c>
      <c r="E2249">
        <v>319.93</v>
      </c>
      <c r="N2249"/>
      <c r="S2249"/>
    </row>
    <row r="2250" spans="2:19" ht="18.75">
      <c r="B2250">
        <v>15</v>
      </c>
      <c r="C2250" s="5">
        <v>46118</v>
      </c>
      <c r="D2250" t="s">
        <v>130</v>
      </c>
      <c r="E2250">
        <v>342.58</v>
      </c>
      <c r="N2250"/>
      <c r="S2250"/>
    </row>
    <row r="2251" spans="2:19" ht="18.75">
      <c r="B2251">
        <v>15</v>
      </c>
      <c r="C2251" s="5">
        <v>46118</v>
      </c>
      <c r="D2251" t="s">
        <v>132</v>
      </c>
      <c r="E2251">
        <v>147.46</v>
      </c>
      <c r="N2251"/>
      <c r="S2251"/>
    </row>
    <row r="2252" spans="2:19" ht="18.75">
      <c r="B2252">
        <v>15</v>
      </c>
      <c r="C2252" s="5">
        <v>46118</v>
      </c>
      <c r="D2252" t="s">
        <v>133</v>
      </c>
      <c r="E2252">
        <v>336.8</v>
      </c>
      <c r="N2252"/>
      <c r="S2252"/>
    </row>
    <row r="2253" spans="2:19" ht="18.75">
      <c r="B2253">
        <v>15</v>
      </c>
      <c r="C2253" s="5">
        <v>46118</v>
      </c>
      <c r="D2253" t="s">
        <v>134</v>
      </c>
      <c r="E2253">
        <v>342.42</v>
      </c>
      <c r="N2253"/>
      <c r="S2253"/>
    </row>
    <row r="2254" spans="2:19" ht="18.75">
      <c r="B2254">
        <v>15</v>
      </c>
      <c r="C2254" s="5">
        <v>46118</v>
      </c>
      <c r="D2254" t="s">
        <v>138</v>
      </c>
      <c r="E2254">
        <v>392.17</v>
      </c>
      <c r="N2254"/>
      <c r="S2254"/>
    </row>
    <row r="2255" spans="2:19" ht="18.75">
      <c r="B2255">
        <v>15</v>
      </c>
      <c r="C2255" s="5">
        <v>46118</v>
      </c>
      <c r="D2255" t="s">
        <v>141</v>
      </c>
      <c r="E2255">
        <v>513.05999999999995</v>
      </c>
      <c r="N2255"/>
      <c r="S2255"/>
    </row>
    <row r="2256" spans="2:19" ht="18.75">
      <c r="B2256">
        <v>15</v>
      </c>
      <c r="C2256" s="5">
        <v>46118</v>
      </c>
      <c r="D2256" t="s">
        <v>142</v>
      </c>
      <c r="E2256">
        <v>94.6</v>
      </c>
      <c r="N2256"/>
      <c r="S2256"/>
    </row>
    <row r="2257" spans="2:19" ht="18.75">
      <c r="B2257">
        <v>15</v>
      </c>
      <c r="C2257" s="5">
        <v>46118</v>
      </c>
      <c r="D2257" t="s">
        <v>139</v>
      </c>
      <c r="E2257">
        <v>78.39</v>
      </c>
      <c r="N2257"/>
      <c r="S2257"/>
    </row>
    <row r="2258" spans="2:19" ht="18.75">
      <c r="B2258">
        <v>15</v>
      </c>
      <c r="C2258" s="5">
        <v>46118</v>
      </c>
      <c r="D2258" t="s">
        <v>145</v>
      </c>
      <c r="E2258">
        <v>216.23</v>
      </c>
      <c r="N2258"/>
      <c r="S2258"/>
    </row>
    <row r="2259" spans="2:19" ht="18.75">
      <c r="B2259">
        <v>15</v>
      </c>
      <c r="C2259" s="5">
        <v>46118</v>
      </c>
      <c r="D2259" t="s">
        <v>146</v>
      </c>
      <c r="E2259">
        <v>555.52</v>
      </c>
      <c r="N2259"/>
      <c r="S2259"/>
    </row>
    <row r="2260" spans="2:19" ht="18.75">
      <c r="B2260">
        <v>15</v>
      </c>
      <c r="C2260" s="5">
        <v>46118</v>
      </c>
      <c r="D2260" t="s">
        <v>147</v>
      </c>
      <c r="E2260">
        <v>139.63999999999999</v>
      </c>
      <c r="N2260"/>
      <c r="S2260"/>
    </row>
    <row r="2261" spans="2:19" ht="18.75">
      <c r="B2261">
        <v>15</v>
      </c>
      <c r="C2261" s="5">
        <v>46118</v>
      </c>
      <c r="D2261" t="s">
        <v>151</v>
      </c>
      <c r="E2261">
        <v>690.79</v>
      </c>
      <c r="N2261"/>
      <c r="S2261"/>
    </row>
    <row r="2262" spans="2:19" ht="18.75">
      <c r="B2262">
        <v>15</v>
      </c>
      <c r="C2262" s="5">
        <v>46118</v>
      </c>
      <c r="D2262" t="s">
        <v>119</v>
      </c>
      <c r="E2262">
        <v>297.7</v>
      </c>
      <c r="N2262"/>
      <c r="S2262"/>
    </row>
    <row r="2263" spans="2:19" ht="18.75">
      <c r="B2263">
        <v>15</v>
      </c>
      <c r="C2263" s="5">
        <v>46118</v>
      </c>
      <c r="D2263" t="s">
        <v>120</v>
      </c>
      <c r="E2263">
        <v>95.37</v>
      </c>
      <c r="N2263"/>
      <c r="S2263"/>
    </row>
    <row r="2264" spans="2:19" ht="18.75">
      <c r="B2264">
        <v>15</v>
      </c>
      <c r="C2264" s="5">
        <v>46118</v>
      </c>
      <c r="D2264" t="s">
        <v>123</v>
      </c>
      <c r="E2264">
        <v>194.83</v>
      </c>
      <c r="N2264"/>
      <c r="S2264"/>
    </row>
    <row r="2265" spans="2:19" ht="18.75">
      <c r="B2265">
        <v>15</v>
      </c>
      <c r="C2265" s="5">
        <v>46118</v>
      </c>
      <c r="D2265" t="s">
        <v>128</v>
      </c>
      <c r="E2265">
        <v>96.03</v>
      </c>
      <c r="N2265"/>
      <c r="S2265"/>
    </row>
    <row r="2266" spans="2:19" ht="18.75">
      <c r="B2266">
        <v>15</v>
      </c>
      <c r="C2266" s="5">
        <v>46118</v>
      </c>
      <c r="D2266" t="s">
        <v>135</v>
      </c>
      <c r="E2266">
        <v>68.06</v>
      </c>
      <c r="N2266"/>
      <c r="S2266"/>
    </row>
    <row r="2267" spans="2:19" ht="18.75">
      <c r="B2267">
        <v>15</v>
      </c>
      <c r="C2267" s="5">
        <v>46118</v>
      </c>
      <c r="D2267" t="s">
        <v>136</v>
      </c>
      <c r="E2267">
        <v>122.45</v>
      </c>
      <c r="N2267"/>
      <c r="S2267"/>
    </row>
    <row r="2268" spans="2:19" ht="18.75">
      <c r="B2268">
        <v>15</v>
      </c>
      <c r="C2268" s="5">
        <v>46118</v>
      </c>
      <c r="D2268" t="s">
        <v>137</v>
      </c>
      <c r="E2268">
        <v>54.05</v>
      </c>
      <c r="N2268"/>
      <c r="S2268"/>
    </row>
    <row r="2269" spans="2:19" ht="18.75">
      <c r="B2269">
        <v>15</v>
      </c>
      <c r="C2269" s="5">
        <v>46118</v>
      </c>
      <c r="D2269" t="s">
        <v>148</v>
      </c>
      <c r="E2269">
        <v>92.3</v>
      </c>
      <c r="N2269"/>
      <c r="S2269"/>
    </row>
    <row r="2270" spans="2:19" ht="18.75">
      <c r="B2270">
        <v>15</v>
      </c>
      <c r="C2270" s="5">
        <v>46118</v>
      </c>
      <c r="D2270" t="s">
        <v>150</v>
      </c>
      <c r="E2270">
        <v>94.53</v>
      </c>
      <c r="N2270"/>
      <c r="S2270"/>
    </row>
    <row r="2271" spans="2:19" ht="18.75">
      <c r="B2271">
        <v>15</v>
      </c>
      <c r="C2271" s="5">
        <v>46118</v>
      </c>
      <c r="D2271" t="s">
        <v>116</v>
      </c>
      <c r="E2271">
        <v>102.6</v>
      </c>
      <c r="N2271"/>
      <c r="S2271"/>
    </row>
    <row r="2272" spans="2:19" ht="18.75">
      <c r="B2272">
        <v>15</v>
      </c>
      <c r="C2272" s="5">
        <v>46118</v>
      </c>
      <c r="D2272" t="s">
        <v>118</v>
      </c>
      <c r="E2272">
        <v>87.94</v>
      </c>
      <c r="N2272"/>
      <c r="S2272"/>
    </row>
    <row r="2273" spans="2:19" ht="18.75">
      <c r="B2273">
        <v>15</v>
      </c>
      <c r="C2273" s="5">
        <v>46118</v>
      </c>
      <c r="D2273" t="s">
        <v>127</v>
      </c>
      <c r="E2273">
        <v>167.09</v>
      </c>
      <c r="N2273"/>
      <c r="S2273"/>
    </row>
    <row r="2274" spans="2:19" ht="18.75">
      <c r="B2274">
        <v>15</v>
      </c>
      <c r="C2274" s="5">
        <v>46118</v>
      </c>
      <c r="D2274" t="s">
        <v>124</v>
      </c>
      <c r="E2274">
        <v>177.55</v>
      </c>
      <c r="N2274"/>
      <c r="S2274"/>
    </row>
    <row r="2275" spans="2:19" ht="18.75">
      <c r="B2275">
        <v>15</v>
      </c>
      <c r="C2275" s="5">
        <v>46118</v>
      </c>
      <c r="D2275" t="s">
        <v>140</v>
      </c>
      <c r="E2275">
        <v>47.61</v>
      </c>
      <c r="N2275"/>
      <c r="S2275"/>
    </row>
    <row r="2276" spans="2:19" ht="18.75">
      <c r="B2276">
        <v>15</v>
      </c>
      <c r="C2276" s="5">
        <v>46118</v>
      </c>
      <c r="D2276" t="s">
        <v>149</v>
      </c>
      <c r="E2276">
        <v>75.95</v>
      </c>
      <c r="N2276"/>
      <c r="S2276"/>
    </row>
    <row r="2277" spans="2:19" ht="18.75">
      <c r="B2277">
        <v>14</v>
      </c>
      <c r="C2277" s="5">
        <v>46111</v>
      </c>
      <c r="D2277" t="s">
        <v>112</v>
      </c>
      <c r="E2277">
        <v>69.44</v>
      </c>
      <c r="N2277"/>
      <c r="S2277"/>
    </row>
    <row r="2278" spans="2:19" ht="18.75">
      <c r="B2278">
        <v>14</v>
      </c>
      <c r="C2278" s="5">
        <v>46111</v>
      </c>
      <c r="D2278" t="s">
        <v>120</v>
      </c>
      <c r="E2278">
        <v>100.6</v>
      </c>
      <c r="N2278"/>
      <c r="S2278"/>
    </row>
    <row r="2279" spans="2:19" ht="18.75">
      <c r="B2279">
        <v>14</v>
      </c>
      <c r="C2279" s="5">
        <v>46111</v>
      </c>
      <c r="D2279" t="s">
        <v>122</v>
      </c>
      <c r="E2279">
        <v>274.31</v>
      </c>
      <c r="N2279"/>
      <c r="S2279"/>
    </row>
    <row r="2280" spans="2:19" ht="18.75">
      <c r="B2280">
        <v>14</v>
      </c>
      <c r="C2280" s="5">
        <v>46111</v>
      </c>
      <c r="D2280" t="s">
        <v>125</v>
      </c>
      <c r="E2280">
        <v>54.84</v>
      </c>
      <c r="N2280"/>
      <c r="S2280"/>
    </row>
    <row r="2281" spans="2:19" ht="18.75">
      <c r="B2281">
        <v>14</v>
      </c>
      <c r="C2281" s="5">
        <v>46111</v>
      </c>
      <c r="D2281" t="s">
        <v>128</v>
      </c>
      <c r="E2281">
        <v>181.42</v>
      </c>
      <c r="N2281"/>
      <c r="S2281"/>
    </row>
    <row r="2282" spans="2:19" ht="18.75">
      <c r="B2282">
        <v>14</v>
      </c>
      <c r="C2282" s="5">
        <v>46111</v>
      </c>
      <c r="D2282" t="s">
        <v>132</v>
      </c>
      <c r="E2282">
        <v>212.52</v>
      </c>
      <c r="N2282"/>
      <c r="S2282"/>
    </row>
    <row r="2283" spans="2:19" ht="18.75">
      <c r="B2283">
        <v>14</v>
      </c>
      <c r="C2283" s="5">
        <v>46111</v>
      </c>
      <c r="D2283" t="s">
        <v>135</v>
      </c>
      <c r="E2283">
        <v>84.67</v>
      </c>
      <c r="N2283"/>
      <c r="S2283"/>
    </row>
    <row r="2284" spans="2:19" ht="18.75">
      <c r="B2284">
        <v>14</v>
      </c>
      <c r="C2284" s="5">
        <v>46111</v>
      </c>
      <c r="D2284" t="s">
        <v>136</v>
      </c>
      <c r="E2284">
        <v>193.97</v>
      </c>
      <c r="N2284"/>
      <c r="S2284"/>
    </row>
    <row r="2285" spans="2:19" ht="18.75">
      <c r="B2285">
        <v>14</v>
      </c>
      <c r="C2285" s="5">
        <v>46111</v>
      </c>
      <c r="D2285" t="s">
        <v>137</v>
      </c>
      <c r="E2285">
        <v>63.41</v>
      </c>
      <c r="N2285"/>
      <c r="S2285"/>
    </row>
    <row r="2286" spans="2:19" ht="18.75">
      <c r="B2286">
        <v>14</v>
      </c>
      <c r="C2286" s="5">
        <v>46111</v>
      </c>
      <c r="D2286" t="s">
        <v>140</v>
      </c>
      <c r="E2286">
        <v>96.2</v>
      </c>
      <c r="N2286"/>
      <c r="S2286"/>
    </row>
    <row r="2287" spans="2:19" ht="18.75">
      <c r="B2287">
        <v>14</v>
      </c>
      <c r="C2287" s="5">
        <v>46111</v>
      </c>
      <c r="D2287" t="s">
        <v>142</v>
      </c>
      <c r="E2287">
        <v>185.4</v>
      </c>
      <c r="N2287"/>
      <c r="S2287"/>
    </row>
    <row r="2288" spans="2:19" ht="18.75">
      <c r="B2288">
        <v>14</v>
      </c>
      <c r="C2288" s="5">
        <v>46111</v>
      </c>
      <c r="D2288" t="s">
        <v>148</v>
      </c>
      <c r="E2288">
        <v>127.75</v>
      </c>
      <c r="N2288"/>
      <c r="S2288"/>
    </row>
    <row r="2289" spans="2:19" ht="18.75">
      <c r="B2289">
        <v>14</v>
      </c>
      <c r="C2289" s="5">
        <v>46111</v>
      </c>
      <c r="D2289" t="s">
        <v>150</v>
      </c>
      <c r="E2289">
        <v>96.02</v>
      </c>
      <c r="N2289"/>
      <c r="S2289"/>
    </row>
    <row r="2290" spans="2:19" ht="18.75">
      <c r="B2290">
        <v>14</v>
      </c>
      <c r="C2290" s="5">
        <v>46111</v>
      </c>
      <c r="D2290" t="s">
        <v>149</v>
      </c>
      <c r="E2290">
        <v>148.09</v>
      </c>
      <c r="N2290"/>
      <c r="S2290"/>
    </row>
    <row r="2291" spans="2:19" ht="18.75">
      <c r="B2291">
        <v>14</v>
      </c>
      <c r="C2291" s="5">
        <v>46111</v>
      </c>
      <c r="D2291" t="s">
        <v>116</v>
      </c>
      <c r="E2291">
        <v>100.19</v>
      </c>
      <c r="N2291"/>
      <c r="S2291"/>
    </row>
    <row r="2292" spans="2:19" ht="18.75">
      <c r="B2292">
        <v>16</v>
      </c>
      <c r="C2292" s="5">
        <v>46125</v>
      </c>
      <c r="D2292" t="s">
        <v>111</v>
      </c>
      <c r="E2292">
        <v>117.14</v>
      </c>
      <c r="N2292"/>
      <c r="S2292"/>
    </row>
    <row r="2293" spans="2:19" ht="18.75">
      <c r="B2293">
        <v>16</v>
      </c>
      <c r="C2293" s="5">
        <v>46125</v>
      </c>
      <c r="D2293" t="s">
        <v>112</v>
      </c>
      <c r="E2293">
        <v>45.54</v>
      </c>
      <c r="N2293"/>
      <c r="S2293"/>
    </row>
    <row r="2294" spans="2:19" ht="18.75">
      <c r="B2294">
        <v>16</v>
      </c>
      <c r="C2294" s="5">
        <v>46125</v>
      </c>
      <c r="D2294" t="s">
        <v>114</v>
      </c>
      <c r="E2294">
        <v>292.02999999999997</v>
      </c>
      <c r="N2294"/>
      <c r="S2294"/>
    </row>
    <row r="2295" spans="2:19" ht="18.75">
      <c r="B2295">
        <v>16</v>
      </c>
      <c r="C2295" s="5">
        <v>46125</v>
      </c>
      <c r="D2295" t="s">
        <v>116</v>
      </c>
      <c r="E2295">
        <v>67.97</v>
      </c>
      <c r="N2295"/>
      <c r="S2295"/>
    </row>
    <row r="2296" spans="2:19" ht="18.75">
      <c r="B2296">
        <v>16</v>
      </c>
      <c r="C2296" s="5">
        <v>46125</v>
      </c>
      <c r="D2296" t="s">
        <v>117</v>
      </c>
      <c r="E2296">
        <v>202.25</v>
      </c>
      <c r="N2296"/>
      <c r="S2296"/>
    </row>
    <row r="2297" spans="2:19" ht="18.75">
      <c r="B2297">
        <v>16</v>
      </c>
      <c r="C2297" s="5">
        <v>46125</v>
      </c>
      <c r="D2297" t="s">
        <v>119</v>
      </c>
      <c r="E2297">
        <v>269.29000000000002</v>
      </c>
      <c r="N2297"/>
      <c r="S2297"/>
    </row>
    <row r="2298" spans="2:19" ht="18.75">
      <c r="B2298">
        <v>16</v>
      </c>
      <c r="C2298" s="5">
        <v>46125</v>
      </c>
      <c r="D2298" t="s">
        <v>120</v>
      </c>
      <c r="E2298">
        <v>78.540000000000006</v>
      </c>
      <c r="N2298"/>
      <c r="S2298"/>
    </row>
    <row r="2299" spans="2:19" ht="18.75">
      <c r="B2299">
        <v>16</v>
      </c>
      <c r="C2299" s="5">
        <v>46125</v>
      </c>
      <c r="D2299" t="s">
        <v>122</v>
      </c>
      <c r="E2299">
        <v>205.65</v>
      </c>
      <c r="N2299"/>
      <c r="S2299"/>
    </row>
    <row r="2300" spans="2:19" ht="18.75">
      <c r="B2300">
        <v>16</v>
      </c>
      <c r="C2300" s="5">
        <v>46125</v>
      </c>
      <c r="D2300" t="s">
        <v>123</v>
      </c>
      <c r="E2300">
        <v>423.98</v>
      </c>
      <c r="N2300"/>
      <c r="S2300"/>
    </row>
    <row r="2301" spans="2:19" ht="18.75">
      <c r="B2301">
        <v>16</v>
      </c>
      <c r="C2301" s="5">
        <v>46125</v>
      </c>
      <c r="D2301" t="s">
        <v>126</v>
      </c>
      <c r="E2301">
        <v>118.75</v>
      </c>
      <c r="N2301"/>
      <c r="S2301"/>
    </row>
    <row r="2302" spans="2:19" ht="18.75">
      <c r="B2302">
        <v>16</v>
      </c>
      <c r="C2302" s="5">
        <v>46125</v>
      </c>
      <c r="D2302" t="s">
        <v>128</v>
      </c>
      <c r="E2302">
        <v>133.62</v>
      </c>
      <c r="N2302"/>
      <c r="S2302"/>
    </row>
    <row r="2303" spans="2:19" ht="18.75">
      <c r="B2303">
        <v>16</v>
      </c>
      <c r="C2303" s="5">
        <v>46125</v>
      </c>
      <c r="D2303" t="s">
        <v>130</v>
      </c>
      <c r="E2303">
        <v>297.02</v>
      </c>
      <c r="N2303"/>
      <c r="S2303"/>
    </row>
    <row r="2304" spans="2:19" ht="18.75">
      <c r="B2304">
        <v>16</v>
      </c>
      <c r="C2304" s="5">
        <v>46125</v>
      </c>
      <c r="D2304" t="s">
        <v>132</v>
      </c>
      <c r="E2304">
        <v>176.26</v>
      </c>
      <c r="N2304"/>
      <c r="S2304"/>
    </row>
    <row r="2305" spans="2:19" ht="18.75">
      <c r="B2305">
        <v>16</v>
      </c>
      <c r="C2305" s="5">
        <v>46125</v>
      </c>
      <c r="D2305" t="s">
        <v>133</v>
      </c>
      <c r="E2305">
        <v>320.89999999999998</v>
      </c>
      <c r="N2305"/>
      <c r="S2305"/>
    </row>
    <row r="2306" spans="2:19" ht="18.75">
      <c r="B2306">
        <v>16</v>
      </c>
      <c r="C2306" s="5">
        <v>46125</v>
      </c>
      <c r="D2306" t="s">
        <v>134</v>
      </c>
      <c r="E2306">
        <v>317.58999999999997</v>
      </c>
      <c r="N2306"/>
      <c r="S2306"/>
    </row>
    <row r="2307" spans="2:19" ht="18.75">
      <c r="B2307">
        <v>16</v>
      </c>
      <c r="C2307" s="5">
        <v>46125</v>
      </c>
      <c r="D2307" t="s">
        <v>135</v>
      </c>
      <c r="E2307">
        <v>83.64</v>
      </c>
      <c r="N2307"/>
      <c r="S2307"/>
    </row>
    <row r="2308" spans="2:19" ht="18.75">
      <c r="B2308">
        <v>16</v>
      </c>
      <c r="C2308" s="5">
        <v>46125</v>
      </c>
      <c r="D2308" t="s">
        <v>136</v>
      </c>
      <c r="E2308">
        <v>104.76</v>
      </c>
      <c r="N2308"/>
      <c r="S2308"/>
    </row>
    <row r="2309" spans="2:19" ht="18.75">
      <c r="B2309">
        <v>16</v>
      </c>
      <c r="C2309" s="5">
        <v>46125</v>
      </c>
      <c r="D2309" t="s">
        <v>137</v>
      </c>
      <c r="E2309">
        <v>64.98</v>
      </c>
      <c r="N2309"/>
      <c r="S2309"/>
    </row>
    <row r="2310" spans="2:19" ht="18.75">
      <c r="B2310">
        <v>16</v>
      </c>
      <c r="C2310" s="5">
        <v>46125</v>
      </c>
      <c r="D2310" t="s">
        <v>138</v>
      </c>
      <c r="E2310">
        <v>370.96</v>
      </c>
      <c r="N2310"/>
      <c r="S2310"/>
    </row>
    <row r="2311" spans="2:19" ht="18.75">
      <c r="B2311">
        <v>16</v>
      </c>
      <c r="C2311" s="5">
        <v>46125</v>
      </c>
      <c r="D2311" t="s">
        <v>141</v>
      </c>
      <c r="E2311">
        <v>495.5</v>
      </c>
      <c r="N2311"/>
      <c r="S2311"/>
    </row>
    <row r="2312" spans="2:19" ht="18.75">
      <c r="B2312">
        <v>16</v>
      </c>
      <c r="C2312" s="5">
        <v>46125</v>
      </c>
      <c r="D2312" t="s">
        <v>142</v>
      </c>
      <c r="E2312">
        <v>100.5</v>
      </c>
      <c r="N2312"/>
      <c r="S2312"/>
    </row>
    <row r="2313" spans="2:19" ht="18.75">
      <c r="B2313">
        <v>16</v>
      </c>
      <c r="C2313" s="5">
        <v>46125</v>
      </c>
      <c r="D2313" t="s">
        <v>143</v>
      </c>
      <c r="E2313">
        <v>1743.4</v>
      </c>
      <c r="N2313"/>
      <c r="S2313"/>
    </row>
    <row r="2314" spans="2:19" ht="18.75">
      <c r="B2314">
        <v>16</v>
      </c>
      <c r="C2314" s="5">
        <v>46125</v>
      </c>
      <c r="D2314" t="s">
        <v>145</v>
      </c>
      <c r="E2314">
        <v>189.05</v>
      </c>
      <c r="N2314"/>
      <c r="S2314"/>
    </row>
    <row r="2315" spans="2:19" ht="18.75">
      <c r="B2315">
        <v>16</v>
      </c>
      <c r="C2315" s="5">
        <v>46125</v>
      </c>
      <c r="D2315" t="s">
        <v>146</v>
      </c>
      <c r="E2315">
        <v>569.42999999999995</v>
      </c>
      <c r="N2315"/>
      <c r="S2315"/>
    </row>
    <row r="2316" spans="2:19" ht="18.75">
      <c r="B2316">
        <v>16</v>
      </c>
      <c r="C2316" s="5">
        <v>46125</v>
      </c>
      <c r="D2316" t="s">
        <v>148</v>
      </c>
      <c r="E2316">
        <v>105.16</v>
      </c>
      <c r="N2316"/>
      <c r="S2316"/>
    </row>
    <row r="2317" spans="2:19" ht="18.75">
      <c r="B2317">
        <v>16</v>
      </c>
      <c r="C2317" s="5">
        <v>46125</v>
      </c>
      <c r="D2317" t="s">
        <v>150</v>
      </c>
      <c r="E2317">
        <v>89.51</v>
      </c>
      <c r="N2317"/>
      <c r="S2317"/>
    </row>
    <row r="2318" spans="2:19" ht="18.75">
      <c r="B2318">
        <v>16</v>
      </c>
      <c r="C2318" s="5">
        <v>46125</v>
      </c>
      <c r="D2318" t="s">
        <v>151</v>
      </c>
      <c r="E2318">
        <v>688.99</v>
      </c>
      <c r="N2318"/>
      <c r="S2318"/>
    </row>
    <row r="2319" spans="2:19" ht="18.75">
      <c r="B2319">
        <v>16</v>
      </c>
      <c r="C2319" s="5">
        <v>46125</v>
      </c>
      <c r="D2319" t="s">
        <v>113</v>
      </c>
      <c r="E2319">
        <v>212.17</v>
      </c>
      <c r="N2319"/>
      <c r="S2319"/>
    </row>
    <row r="2320" spans="2:19" ht="18.75">
      <c r="B2320">
        <v>16</v>
      </c>
      <c r="C2320" s="5">
        <v>46125</v>
      </c>
      <c r="D2320" t="s">
        <v>121</v>
      </c>
      <c r="E2320">
        <v>213.9</v>
      </c>
      <c r="N2320"/>
      <c r="S2320"/>
    </row>
    <row r="2321" spans="2:19" ht="18.75">
      <c r="B2321">
        <v>16</v>
      </c>
      <c r="C2321" s="5">
        <v>46125</v>
      </c>
      <c r="D2321" t="s">
        <v>124</v>
      </c>
      <c r="E2321">
        <v>325.35000000000002</v>
      </c>
      <c r="N2321"/>
      <c r="S2321"/>
    </row>
    <row r="2322" spans="2:19" ht="18.75">
      <c r="B2322">
        <v>16</v>
      </c>
      <c r="C2322" s="5">
        <v>46125</v>
      </c>
      <c r="D2322" t="s">
        <v>129</v>
      </c>
      <c r="E2322">
        <v>331.55</v>
      </c>
      <c r="N2322"/>
      <c r="S2322"/>
    </row>
    <row r="2323" spans="2:19" ht="18.75">
      <c r="B2323">
        <v>16</v>
      </c>
      <c r="C2323" s="5">
        <v>46125</v>
      </c>
      <c r="D2323" t="s">
        <v>139</v>
      </c>
      <c r="E2323">
        <v>266.16000000000003</v>
      </c>
      <c r="N2323"/>
      <c r="S2323"/>
    </row>
    <row r="2324" spans="2:19" ht="18.75">
      <c r="B2324">
        <v>16</v>
      </c>
      <c r="C2324" s="5">
        <v>46125</v>
      </c>
      <c r="D2324" t="s">
        <v>147</v>
      </c>
      <c r="E2324">
        <v>334.63</v>
      </c>
      <c r="N2324"/>
      <c r="S2324"/>
    </row>
    <row r="2325" spans="2:19" ht="18.75">
      <c r="B2325">
        <v>16</v>
      </c>
      <c r="C2325" s="5">
        <v>46125</v>
      </c>
      <c r="D2325" t="s">
        <v>118</v>
      </c>
      <c r="E2325">
        <v>150.51</v>
      </c>
      <c r="N2325"/>
      <c r="S2325"/>
    </row>
    <row r="2326" spans="2:19" ht="18.75">
      <c r="B2326">
        <v>16</v>
      </c>
      <c r="C2326" s="5">
        <v>46125</v>
      </c>
      <c r="D2326" t="s">
        <v>127</v>
      </c>
      <c r="E2326">
        <v>258.01</v>
      </c>
      <c r="N2326"/>
      <c r="S2326"/>
    </row>
    <row r="2327" spans="2:19" ht="18.75">
      <c r="B2327">
        <v>16</v>
      </c>
      <c r="C2327" s="5">
        <v>46125</v>
      </c>
      <c r="D2327" t="s">
        <v>125</v>
      </c>
      <c r="E2327">
        <v>35.85</v>
      </c>
      <c r="N2327"/>
      <c r="S2327"/>
    </row>
    <row r="2328" spans="2:19" ht="18.75">
      <c r="B2328">
        <v>16</v>
      </c>
      <c r="C2328" s="5">
        <v>46125</v>
      </c>
      <c r="D2328" t="s">
        <v>140</v>
      </c>
      <c r="E2328">
        <v>15.52</v>
      </c>
      <c r="N2328"/>
      <c r="S2328"/>
    </row>
    <row r="2329" spans="2:19" ht="18.75">
      <c r="B2329">
        <v>16</v>
      </c>
      <c r="C2329" s="5">
        <v>46125</v>
      </c>
      <c r="D2329" t="s">
        <v>149</v>
      </c>
      <c r="E2329">
        <v>64.709999999999994</v>
      </c>
      <c r="N2329"/>
      <c r="S2329"/>
    </row>
    <row r="2330" spans="2:19" ht="18.75">
      <c r="B2330">
        <v>16</v>
      </c>
      <c r="C2330" s="5">
        <v>46125</v>
      </c>
      <c r="D2330" t="s">
        <v>144</v>
      </c>
      <c r="E2330">
        <v>436.81</v>
      </c>
      <c r="N2330"/>
      <c r="S2330"/>
    </row>
    <row r="2331" spans="2:19" ht="18.75">
      <c r="B2331">
        <v>17</v>
      </c>
      <c r="C2331" s="5">
        <v>46132</v>
      </c>
      <c r="D2331" t="s">
        <v>111</v>
      </c>
      <c r="E2331">
        <v>181.98</v>
      </c>
      <c r="N2331"/>
      <c r="S2331"/>
    </row>
    <row r="2332" spans="2:19" ht="18.75">
      <c r="B2332">
        <v>17</v>
      </c>
      <c r="C2332" s="5">
        <v>46132</v>
      </c>
      <c r="D2332" t="s">
        <v>112</v>
      </c>
      <c r="E2332">
        <v>75.48</v>
      </c>
      <c r="N2332"/>
      <c r="S2332"/>
    </row>
    <row r="2333" spans="2:19" ht="18.75">
      <c r="B2333">
        <v>17</v>
      </c>
      <c r="C2333" s="5">
        <v>46132</v>
      </c>
      <c r="D2333" t="s">
        <v>113</v>
      </c>
      <c r="E2333">
        <v>210.98</v>
      </c>
      <c r="N2333"/>
      <c r="S2333"/>
    </row>
    <row r="2334" spans="2:19" ht="18.75">
      <c r="B2334">
        <v>17</v>
      </c>
      <c r="C2334" s="5">
        <v>46132</v>
      </c>
      <c r="D2334" t="s">
        <v>114</v>
      </c>
      <c r="E2334">
        <v>327.87</v>
      </c>
      <c r="N2334"/>
      <c r="S2334"/>
    </row>
    <row r="2335" spans="2:19" ht="18.75">
      <c r="B2335">
        <v>17</v>
      </c>
      <c r="C2335" s="5">
        <v>46132</v>
      </c>
      <c r="D2335" t="s">
        <v>116</v>
      </c>
      <c r="E2335">
        <v>112.28</v>
      </c>
      <c r="N2335"/>
      <c r="S2335"/>
    </row>
    <row r="2336" spans="2:19" ht="18.75">
      <c r="B2336">
        <v>17</v>
      </c>
      <c r="C2336" s="5">
        <v>46132</v>
      </c>
      <c r="D2336" t="s">
        <v>117</v>
      </c>
      <c r="E2336">
        <v>242.21</v>
      </c>
      <c r="N2336"/>
      <c r="S2336"/>
    </row>
    <row r="2337" spans="2:19" ht="18.75">
      <c r="B2337">
        <v>17</v>
      </c>
      <c r="C2337" s="5">
        <v>46132</v>
      </c>
      <c r="D2337" t="s">
        <v>118</v>
      </c>
      <c r="E2337">
        <v>160.09</v>
      </c>
      <c r="N2337"/>
      <c r="S2337"/>
    </row>
    <row r="2338" spans="2:19" ht="18.75">
      <c r="B2338">
        <v>17</v>
      </c>
      <c r="C2338" s="5">
        <v>46132</v>
      </c>
      <c r="D2338" t="s">
        <v>119</v>
      </c>
      <c r="E2338">
        <v>368.4</v>
      </c>
      <c r="N2338"/>
      <c r="S2338"/>
    </row>
    <row r="2339" spans="2:19" ht="18.75">
      <c r="B2339">
        <v>17</v>
      </c>
      <c r="C2339" s="5">
        <v>46132</v>
      </c>
      <c r="D2339" t="s">
        <v>120</v>
      </c>
      <c r="E2339">
        <v>76.58</v>
      </c>
      <c r="N2339"/>
      <c r="S2339"/>
    </row>
    <row r="2340" spans="2:19" ht="18.75">
      <c r="B2340">
        <v>17</v>
      </c>
      <c r="C2340" s="5">
        <v>46132</v>
      </c>
      <c r="D2340" t="s">
        <v>121</v>
      </c>
      <c r="E2340">
        <v>176.39</v>
      </c>
      <c r="N2340"/>
      <c r="S2340"/>
    </row>
    <row r="2341" spans="2:19" ht="18.75">
      <c r="B2341">
        <v>17</v>
      </c>
      <c r="C2341" s="5">
        <v>46132</v>
      </c>
      <c r="D2341" t="s">
        <v>122</v>
      </c>
      <c r="E2341">
        <v>313.57</v>
      </c>
      <c r="N2341"/>
      <c r="S2341"/>
    </row>
    <row r="2342" spans="2:19" ht="18.75">
      <c r="B2342">
        <v>17</v>
      </c>
      <c r="C2342" s="5">
        <v>46132</v>
      </c>
      <c r="D2342" t="s">
        <v>123</v>
      </c>
      <c r="E2342">
        <v>480.35</v>
      </c>
      <c r="N2342"/>
      <c r="S2342"/>
    </row>
    <row r="2343" spans="2:19" ht="18.75">
      <c r="B2343">
        <v>17</v>
      </c>
      <c r="C2343" s="5">
        <v>46132</v>
      </c>
      <c r="D2343" t="s">
        <v>124</v>
      </c>
      <c r="E2343">
        <v>277.58</v>
      </c>
      <c r="N2343"/>
      <c r="S2343"/>
    </row>
    <row r="2344" spans="2:19" ht="18.75">
      <c r="B2344">
        <v>17</v>
      </c>
      <c r="C2344" s="5">
        <v>46132</v>
      </c>
      <c r="D2344" t="s">
        <v>125</v>
      </c>
      <c r="E2344">
        <v>68.56</v>
      </c>
      <c r="N2344"/>
      <c r="S2344"/>
    </row>
    <row r="2345" spans="2:19" ht="18.75">
      <c r="B2345">
        <v>17</v>
      </c>
      <c r="C2345" s="5">
        <v>46132</v>
      </c>
      <c r="D2345" t="s">
        <v>126</v>
      </c>
      <c r="E2345">
        <v>161.41999999999999</v>
      </c>
      <c r="N2345"/>
      <c r="S2345"/>
    </row>
    <row r="2346" spans="2:19" ht="18.75">
      <c r="B2346">
        <v>17</v>
      </c>
      <c r="C2346" s="5">
        <v>46132</v>
      </c>
      <c r="D2346" t="s">
        <v>128</v>
      </c>
      <c r="E2346">
        <v>185.02</v>
      </c>
      <c r="N2346"/>
      <c r="S2346"/>
    </row>
    <row r="2347" spans="2:19" ht="18.75">
      <c r="B2347">
        <v>17</v>
      </c>
      <c r="C2347" s="5">
        <v>46132</v>
      </c>
      <c r="D2347" t="s">
        <v>129</v>
      </c>
      <c r="E2347">
        <v>437.81</v>
      </c>
      <c r="N2347"/>
      <c r="S2347"/>
    </row>
    <row r="2348" spans="2:19" ht="18.75">
      <c r="B2348">
        <v>17</v>
      </c>
      <c r="C2348" s="5">
        <v>46132</v>
      </c>
      <c r="D2348" t="s">
        <v>130</v>
      </c>
      <c r="E2348">
        <v>414.98</v>
      </c>
      <c r="N2348"/>
      <c r="S2348"/>
    </row>
    <row r="2349" spans="2:19" ht="18.75">
      <c r="B2349">
        <v>17</v>
      </c>
      <c r="C2349" s="5">
        <v>46132</v>
      </c>
      <c r="D2349" t="s">
        <v>132</v>
      </c>
      <c r="E2349">
        <v>204.5</v>
      </c>
      <c r="N2349"/>
      <c r="S2349"/>
    </row>
    <row r="2350" spans="2:19" ht="18.75">
      <c r="B2350">
        <v>17</v>
      </c>
      <c r="C2350" s="5">
        <v>46132</v>
      </c>
      <c r="D2350" t="s">
        <v>133</v>
      </c>
      <c r="E2350">
        <v>417.28</v>
      </c>
      <c r="N2350"/>
      <c r="S2350"/>
    </row>
    <row r="2351" spans="2:19" ht="18.75">
      <c r="B2351">
        <v>17</v>
      </c>
      <c r="C2351" s="5">
        <v>46132</v>
      </c>
      <c r="D2351" t="s">
        <v>134</v>
      </c>
      <c r="E2351">
        <v>384.48</v>
      </c>
      <c r="N2351"/>
      <c r="S2351"/>
    </row>
    <row r="2352" spans="2:19" ht="18.75">
      <c r="B2352">
        <v>17</v>
      </c>
      <c r="C2352" s="5">
        <v>46132</v>
      </c>
      <c r="D2352" t="s">
        <v>135</v>
      </c>
      <c r="E2352">
        <v>68.75</v>
      </c>
      <c r="N2352"/>
      <c r="S2352"/>
    </row>
    <row r="2353" spans="2:19" ht="18.75">
      <c r="B2353">
        <v>17</v>
      </c>
      <c r="C2353" s="5">
        <v>46132</v>
      </c>
      <c r="D2353" t="s">
        <v>136</v>
      </c>
      <c r="E2353">
        <v>165</v>
      </c>
      <c r="N2353"/>
      <c r="S2353"/>
    </row>
    <row r="2354" spans="2:19" ht="18.75">
      <c r="B2354">
        <v>17</v>
      </c>
      <c r="C2354" s="5">
        <v>46132</v>
      </c>
      <c r="D2354" t="s">
        <v>137</v>
      </c>
      <c r="E2354">
        <v>86.82</v>
      </c>
      <c r="N2354"/>
      <c r="S2354"/>
    </row>
    <row r="2355" spans="2:19" ht="18.75">
      <c r="B2355">
        <v>17</v>
      </c>
      <c r="C2355" s="5">
        <v>46132</v>
      </c>
      <c r="D2355" t="s">
        <v>138</v>
      </c>
      <c r="E2355">
        <v>478.09</v>
      </c>
      <c r="N2355"/>
      <c r="S2355"/>
    </row>
    <row r="2356" spans="2:19" ht="18.75">
      <c r="B2356">
        <v>17</v>
      </c>
      <c r="C2356" s="5">
        <v>46132</v>
      </c>
      <c r="D2356" t="s">
        <v>141</v>
      </c>
      <c r="E2356">
        <v>649.15</v>
      </c>
      <c r="N2356"/>
      <c r="S2356"/>
    </row>
    <row r="2357" spans="2:19" ht="18.75">
      <c r="B2357">
        <v>17</v>
      </c>
      <c r="C2357" s="5">
        <v>46132</v>
      </c>
      <c r="D2357" t="s">
        <v>142</v>
      </c>
      <c r="E2357">
        <v>176.01</v>
      </c>
      <c r="N2357"/>
      <c r="S2357"/>
    </row>
    <row r="2358" spans="2:19" ht="18.75">
      <c r="B2358">
        <v>17</v>
      </c>
      <c r="C2358" s="5">
        <v>46132</v>
      </c>
      <c r="D2358" t="s">
        <v>139</v>
      </c>
      <c r="E2358">
        <v>265</v>
      </c>
      <c r="N2358"/>
      <c r="S2358"/>
    </row>
    <row r="2359" spans="2:19" ht="18.75">
      <c r="B2359">
        <v>17</v>
      </c>
      <c r="C2359" s="5">
        <v>46132</v>
      </c>
      <c r="D2359" t="s">
        <v>143</v>
      </c>
      <c r="E2359">
        <v>2020.19</v>
      </c>
      <c r="N2359"/>
      <c r="S2359"/>
    </row>
    <row r="2360" spans="2:19" ht="18.75">
      <c r="B2360">
        <v>17</v>
      </c>
      <c r="C2360" s="5">
        <v>46132</v>
      </c>
      <c r="D2360" t="s">
        <v>144</v>
      </c>
      <c r="E2360">
        <v>505.96</v>
      </c>
      <c r="N2360"/>
      <c r="S2360"/>
    </row>
    <row r="2361" spans="2:19" ht="18.75">
      <c r="B2361">
        <v>17</v>
      </c>
      <c r="C2361" s="5">
        <v>46132</v>
      </c>
      <c r="D2361" t="s">
        <v>145</v>
      </c>
      <c r="E2361">
        <v>240.35</v>
      </c>
      <c r="N2361"/>
      <c r="S2361"/>
    </row>
    <row r="2362" spans="2:19" ht="18.75">
      <c r="B2362">
        <v>17</v>
      </c>
      <c r="C2362" s="5">
        <v>46132</v>
      </c>
      <c r="D2362" t="s">
        <v>146</v>
      </c>
      <c r="E2362">
        <v>610.71</v>
      </c>
      <c r="N2362"/>
      <c r="S2362"/>
    </row>
    <row r="2363" spans="2:19" ht="18.75">
      <c r="B2363">
        <v>17</v>
      </c>
      <c r="C2363" s="5">
        <v>46132</v>
      </c>
      <c r="D2363" t="s">
        <v>148</v>
      </c>
      <c r="E2363">
        <v>131.05000000000001</v>
      </c>
      <c r="N2363"/>
      <c r="S2363"/>
    </row>
    <row r="2364" spans="2:19" ht="18.75">
      <c r="B2364">
        <v>17</v>
      </c>
      <c r="C2364" s="5">
        <v>46132</v>
      </c>
      <c r="D2364" t="s">
        <v>147</v>
      </c>
      <c r="E2364">
        <v>340.44</v>
      </c>
      <c r="N2364"/>
      <c r="S2364"/>
    </row>
    <row r="2365" spans="2:19" ht="18.75">
      <c r="B2365">
        <v>17</v>
      </c>
      <c r="C2365" s="5">
        <v>46132</v>
      </c>
      <c r="D2365" t="s">
        <v>150</v>
      </c>
      <c r="E2365">
        <v>94.04</v>
      </c>
      <c r="N2365"/>
      <c r="S2365"/>
    </row>
    <row r="2366" spans="2:19" ht="18.75">
      <c r="B2366">
        <v>17</v>
      </c>
      <c r="C2366" s="5">
        <v>46132</v>
      </c>
      <c r="D2366" t="s">
        <v>151</v>
      </c>
      <c r="E2366">
        <v>721.24</v>
      </c>
      <c r="N2366"/>
      <c r="S2366"/>
    </row>
    <row r="2367" spans="2:19" ht="18.75">
      <c r="B2367">
        <v>17</v>
      </c>
      <c r="C2367" s="5">
        <v>46132</v>
      </c>
      <c r="D2367" t="s">
        <v>127</v>
      </c>
      <c r="E2367">
        <v>301.81</v>
      </c>
      <c r="N2367"/>
      <c r="S2367"/>
    </row>
    <row r="2368" spans="2:19" ht="18.75">
      <c r="B2368">
        <v>17</v>
      </c>
      <c r="C2368" s="5">
        <v>46132</v>
      </c>
      <c r="D2368" t="s">
        <v>115</v>
      </c>
      <c r="E2368">
        <v>184.05</v>
      </c>
      <c r="N2368"/>
      <c r="S2368"/>
    </row>
    <row r="2369" spans="2:19" ht="18.75">
      <c r="B2369">
        <v>18</v>
      </c>
      <c r="C2369" s="5">
        <v>46139</v>
      </c>
      <c r="D2369" t="s">
        <v>112</v>
      </c>
      <c r="E2369">
        <v>83.31</v>
      </c>
      <c r="N2369"/>
      <c r="S2369"/>
    </row>
    <row r="2370" spans="2:19" ht="18.75">
      <c r="B2370">
        <v>18</v>
      </c>
      <c r="C2370" s="5">
        <v>46139</v>
      </c>
      <c r="D2370" t="s">
        <v>114</v>
      </c>
      <c r="E2370">
        <v>314.3</v>
      </c>
      <c r="N2370"/>
      <c r="S2370"/>
    </row>
    <row r="2371" spans="2:19" ht="18.75">
      <c r="B2371">
        <v>18</v>
      </c>
      <c r="C2371" s="5">
        <v>46139</v>
      </c>
      <c r="D2371" t="s">
        <v>117</v>
      </c>
      <c r="E2371">
        <v>165.89</v>
      </c>
      <c r="N2371"/>
      <c r="S2371"/>
    </row>
    <row r="2372" spans="2:19" ht="18.75">
      <c r="B2372">
        <v>18</v>
      </c>
      <c r="C2372" s="5">
        <v>46139</v>
      </c>
      <c r="D2372" t="s">
        <v>119</v>
      </c>
      <c r="E2372">
        <v>419.15</v>
      </c>
      <c r="N2372"/>
      <c r="S2372"/>
    </row>
    <row r="2373" spans="2:19" ht="18.75">
      <c r="B2373">
        <v>18</v>
      </c>
      <c r="C2373" s="5">
        <v>46139</v>
      </c>
      <c r="D2373" t="s">
        <v>120</v>
      </c>
      <c r="E2373">
        <v>85.05</v>
      </c>
      <c r="N2373"/>
      <c r="S2373"/>
    </row>
    <row r="2374" spans="2:19" ht="18.75">
      <c r="B2374">
        <v>18</v>
      </c>
      <c r="C2374" s="5">
        <v>46139</v>
      </c>
      <c r="D2374" t="s">
        <v>122</v>
      </c>
      <c r="E2374">
        <v>133.97999999999999</v>
      </c>
      <c r="N2374"/>
      <c r="S2374"/>
    </row>
    <row r="2375" spans="2:19" ht="18.75">
      <c r="B2375">
        <v>18</v>
      </c>
      <c r="C2375" s="5">
        <v>46139</v>
      </c>
      <c r="D2375" t="s">
        <v>123</v>
      </c>
      <c r="E2375">
        <v>557.74</v>
      </c>
      <c r="N2375"/>
      <c r="S2375"/>
    </row>
    <row r="2376" spans="2:19" ht="18.75">
      <c r="B2376">
        <v>18</v>
      </c>
      <c r="C2376" s="5">
        <v>46139</v>
      </c>
      <c r="D2376" t="s">
        <v>125</v>
      </c>
      <c r="E2376">
        <v>75.209999999999994</v>
      </c>
      <c r="N2376"/>
      <c r="S2376"/>
    </row>
    <row r="2377" spans="2:19" ht="18.75">
      <c r="B2377">
        <v>18</v>
      </c>
      <c r="C2377" s="5">
        <v>46139</v>
      </c>
      <c r="D2377" t="s">
        <v>126</v>
      </c>
      <c r="E2377">
        <v>132.16</v>
      </c>
      <c r="N2377"/>
      <c r="S2377"/>
    </row>
    <row r="2378" spans="2:19" ht="18.75">
      <c r="B2378">
        <v>18</v>
      </c>
      <c r="C2378" s="5">
        <v>46139</v>
      </c>
      <c r="D2378" t="s">
        <v>128</v>
      </c>
      <c r="E2378">
        <v>104.32</v>
      </c>
      <c r="N2378"/>
      <c r="S2378"/>
    </row>
    <row r="2379" spans="2:19" ht="18.75">
      <c r="B2379">
        <v>18</v>
      </c>
      <c r="C2379" s="5">
        <v>46139</v>
      </c>
      <c r="D2379" t="s">
        <v>129</v>
      </c>
      <c r="E2379">
        <v>415.79</v>
      </c>
      <c r="N2379"/>
      <c r="S2379"/>
    </row>
    <row r="2380" spans="2:19" ht="18.75">
      <c r="B2380">
        <v>18</v>
      </c>
      <c r="C2380" s="5">
        <v>46139</v>
      </c>
      <c r="D2380" t="s">
        <v>130</v>
      </c>
      <c r="E2380">
        <v>254.44</v>
      </c>
      <c r="N2380"/>
      <c r="S2380"/>
    </row>
    <row r="2381" spans="2:19" ht="18.75">
      <c r="B2381">
        <v>18</v>
      </c>
      <c r="C2381" s="5">
        <v>46139</v>
      </c>
      <c r="D2381" t="s">
        <v>212</v>
      </c>
      <c r="E2381">
        <v>200.19</v>
      </c>
      <c r="N2381"/>
      <c r="S2381"/>
    </row>
    <row r="2382" spans="2:19" ht="18.75">
      <c r="B2382">
        <v>18</v>
      </c>
      <c r="C2382" s="5">
        <v>46139</v>
      </c>
      <c r="D2382" t="s">
        <v>133</v>
      </c>
      <c r="E2382">
        <v>250.5</v>
      </c>
      <c r="N2382"/>
      <c r="S2382"/>
    </row>
    <row r="2383" spans="2:19" ht="18.75">
      <c r="B2383">
        <v>18</v>
      </c>
      <c r="C2383" s="5">
        <v>46139</v>
      </c>
      <c r="D2383" t="s">
        <v>134</v>
      </c>
      <c r="E2383">
        <v>246.25</v>
      </c>
      <c r="N2383"/>
      <c r="S2383"/>
    </row>
    <row r="2384" spans="2:19" ht="18.75">
      <c r="B2384">
        <v>18</v>
      </c>
      <c r="C2384" s="5">
        <v>46139</v>
      </c>
      <c r="D2384" t="s">
        <v>136</v>
      </c>
      <c r="E2384">
        <v>85.55</v>
      </c>
      <c r="N2384"/>
      <c r="S2384"/>
    </row>
    <row r="2385" spans="2:19" ht="18.75">
      <c r="B2385">
        <v>18</v>
      </c>
      <c r="C2385" s="5">
        <v>46139</v>
      </c>
      <c r="D2385" t="s">
        <v>138</v>
      </c>
      <c r="E2385">
        <v>395.41</v>
      </c>
      <c r="N2385"/>
      <c r="S2385"/>
    </row>
    <row r="2386" spans="2:19" ht="18.75">
      <c r="B2386">
        <v>18</v>
      </c>
      <c r="C2386" s="5">
        <v>46139</v>
      </c>
      <c r="D2386" t="s">
        <v>141</v>
      </c>
      <c r="E2386">
        <v>519.37</v>
      </c>
      <c r="N2386"/>
      <c r="S2386"/>
    </row>
    <row r="2387" spans="2:19" ht="18.75">
      <c r="B2387">
        <v>18</v>
      </c>
      <c r="C2387" s="5">
        <v>46139</v>
      </c>
      <c r="D2387" t="s">
        <v>142</v>
      </c>
      <c r="E2387">
        <v>136.04</v>
      </c>
      <c r="N2387"/>
      <c r="S2387"/>
    </row>
    <row r="2388" spans="2:19" ht="18.75">
      <c r="B2388">
        <v>18</v>
      </c>
      <c r="C2388" s="5">
        <v>46139</v>
      </c>
      <c r="D2388" t="s">
        <v>139</v>
      </c>
      <c r="E2388">
        <v>269.98</v>
      </c>
      <c r="N2388"/>
      <c r="S2388"/>
    </row>
    <row r="2389" spans="2:19" ht="18.75">
      <c r="B2389">
        <v>18</v>
      </c>
      <c r="C2389" s="5">
        <v>46139</v>
      </c>
      <c r="D2389" t="s">
        <v>143</v>
      </c>
      <c r="E2389">
        <v>1706.6</v>
      </c>
      <c r="N2389"/>
      <c r="S2389"/>
    </row>
    <row r="2390" spans="2:19" ht="18.75">
      <c r="B2390">
        <v>18</v>
      </c>
      <c r="C2390" s="5">
        <v>46139</v>
      </c>
      <c r="D2390" t="s">
        <v>144</v>
      </c>
      <c r="E2390">
        <v>216.2</v>
      </c>
      <c r="N2390"/>
      <c r="S2390"/>
    </row>
    <row r="2391" spans="2:19" ht="18.75">
      <c r="B2391">
        <v>18</v>
      </c>
      <c r="C2391" s="5">
        <v>46139</v>
      </c>
      <c r="D2391" t="s">
        <v>145</v>
      </c>
      <c r="E2391">
        <v>153.72</v>
      </c>
      <c r="N2391"/>
      <c r="S2391"/>
    </row>
    <row r="2392" spans="2:19" ht="18.75">
      <c r="B2392">
        <v>18</v>
      </c>
      <c r="C2392" s="5">
        <v>46139</v>
      </c>
      <c r="D2392" t="s">
        <v>146</v>
      </c>
      <c r="E2392">
        <v>610.55999999999995</v>
      </c>
      <c r="N2392"/>
      <c r="S2392"/>
    </row>
    <row r="2393" spans="2:19" ht="18.75">
      <c r="B2393">
        <v>18</v>
      </c>
      <c r="C2393" s="5">
        <v>46139</v>
      </c>
      <c r="D2393" t="s">
        <v>148</v>
      </c>
      <c r="E2393">
        <v>92.94</v>
      </c>
      <c r="N2393"/>
      <c r="S2393"/>
    </row>
    <row r="2394" spans="2:19" ht="18.75">
      <c r="B2394">
        <v>18</v>
      </c>
      <c r="C2394" s="5">
        <v>46139</v>
      </c>
      <c r="D2394" t="s">
        <v>147</v>
      </c>
      <c r="E2394">
        <v>367.41</v>
      </c>
      <c r="N2394"/>
      <c r="S2394"/>
    </row>
    <row r="2395" spans="2:19" ht="18.75">
      <c r="B2395">
        <v>18</v>
      </c>
      <c r="C2395" s="5">
        <v>46139</v>
      </c>
      <c r="D2395" t="s">
        <v>150</v>
      </c>
      <c r="E2395">
        <v>67.2</v>
      </c>
      <c r="N2395"/>
      <c r="S2395"/>
    </row>
    <row r="2396" spans="2:19" ht="18.75">
      <c r="B2396">
        <v>18</v>
      </c>
      <c r="C2396" s="5">
        <v>46139</v>
      </c>
      <c r="D2396" t="s">
        <v>151</v>
      </c>
      <c r="E2396">
        <v>577.30999999999995</v>
      </c>
      <c r="N2396"/>
      <c r="S2396"/>
    </row>
    <row r="2397" spans="2:19" ht="18.75">
      <c r="B2397">
        <v>18</v>
      </c>
      <c r="C2397" s="5">
        <v>46139</v>
      </c>
      <c r="D2397" t="s">
        <v>111</v>
      </c>
      <c r="E2397">
        <v>233.97</v>
      </c>
      <c r="N2397"/>
      <c r="S2397"/>
    </row>
    <row r="2398" spans="2:19" ht="18.75">
      <c r="B2398">
        <v>18</v>
      </c>
      <c r="C2398" s="5">
        <v>46139</v>
      </c>
      <c r="D2398" t="s">
        <v>113</v>
      </c>
      <c r="E2398">
        <v>223.19</v>
      </c>
      <c r="N2398"/>
      <c r="S2398"/>
    </row>
    <row r="2399" spans="2:19" ht="18.75">
      <c r="B2399">
        <v>18</v>
      </c>
      <c r="C2399" s="5">
        <v>46139</v>
      </c>
      <c r="D2399" t="s">
        <v>116</v>
      </c>
      <c r="E2399">
        <v>106.22</v>
      </c>
      <c r="N2399"/>
      <c r="S2399"/>
    </row>
    <row r="2400" spans="2:19" ht="18.75">
      <c r="B2400">
        <v>18</v>
      </c>
      <c r="C2400" s="5">
        <v>46139</v>
      </c>
      <c r="D2400" t="s">
        <v>118</v>
      </c>
      <c r="E2400">
        <v>231.87</v>
      </c>
      <c r="N2400"/>
      <c r="S2400"/>
    </row>
    <row r="2401" spans="2:19" ht="18.75">
      <c r="B2401">
        <v>18</v>
      </c>
      <c r="C2401" s="5">
        <v>46139</v>
      </c>
      <c r="D2401" t="s">
        <v>121</v>
      </c>
      <c r="E2401">
        <v>234.18</v>
      </c>
      <c r="N2401"/>
      <c r="S2401"/>
    </row>
    <row r="2402" spans="2:19" ht="18.75">
      <c r="B2402">
        <v>18</v>
      </c>
      <c r="C2402" s="5">
        <v>46139</v>
      </c>
      <c r="D2402" t="s">
        <v>124</v>
      </c>
      <c r="E2402">
        <v>477.7</v>
      </c>
      <c r="N2402"/>
      <c r="S2402"/>
    </row>
    <row r="2403" spans="2:19" ht="18.75">
      <c r="B2403">
        <v>18</v>
      </c>
      <c r="C2403" s="5">
        <v>46139</v>
      </c>
      <c r="D2403" t="s">
        <v>132</v>
      </c>
      <c r="E2403">
        <v>147.47999999999999</v>
      </c>
      <c r="N2403"/>
      <c r="S2403"/>
    </row>
    <row r="2404" spans="2:19" ht="18.75">
      <c r="B2404">
        <v>18</v>
      </c>
      <c r="C2404" s="5">
        <v>46139</v>
      </c>
      <c r="D2404" t="s">
        <v>135</v>
      </c>
      <c r="E2404">
        <v>72.930000000000007</v>
      </c>
      <c r="N2404"/>
      <c r="S2404"/>
    </row>
    <row r="2405" spans="2:19" ht="18.75">
      <c r="B2405">
        <v>18</v>
      </c>
      <c r="C2405" s="5">
        <v>46139</v>
      </c>
      <c r="D2405" t="s">
        <v>137</v>
      </c>
      <c r="E2405">
        <v>72.33</v>
      </c>
      <c r="N2405"/>
      <c r="S2405"/>
    </row>
    <row r="2406" spans="2:19" ht="18.75">
      <c r="B2406">
        <v>18</v>
      </c>
      <c r="C2406" s="5">
        <v>46139</v>
      </c>
      <c r="D2406" t="s">
        <v>127</v>
      </c>
      <c r="E2406">
        <v>307.36</v>
      </c>
      <c r="N2406"/>
      <c r="S2406"/>
    </row>
    <row r="2407" spans="2:19" ht="18.75">
      <c r="B2407">
        <v>18</v>
      </c>
      <c r="C2407" s="5">
        <v>46139</v>
      </c>
      <c r="D2407" t="s">
        <v>115</v>
      </c>
      <c r="E2407">
        <v>4.32</v>
      </c>
      <c r="N2407"/>
      <c r="S2407"/>
    </row>
    <row r="2408" spans="2:19" ht="18.75">
      <c r="B2408">
        <v>19</v>
      </c>
      <c r="C2408" s="5">
        <v>46146</v>
      </c>
      <c r="D2408" t="s">
        <v>111</v>
      </c>
      <c r="E2408">
        <v>110.23</v>
      </c>
      <c r="N2408"/>
      <c r="S2408"/>
    </row>
    <row r="2409" spans="2:19" ht="18.75">
      <c r="B2409">
        <v>19</v>
      </c>
      <c r="C2409" s="5">
        <v>46146</v>
      </c>
      <c r="D2409" t="s">
        <v>112</v>
      </c>
      <c r="E2409">
        <v>78.709999999999994</v>
      </c>
      <c r="N2409"/>
      <c r="S2409"/>
    </row>
    <row r="2410" spans="2:19" ht="18.75">
      <c r="B2410">
        <v>19</v>
      </c>
      <c r="C2410" s="5">
        <v>46146</v>
      </c>
      <c r="D2410" t="s">
        <v>113</v>
      </c>
      <c r="E2410">
        <v>151.83000000000001</v>
      </c>
      <c r="N2410"/>
      <c r="S2410"/>
    </row>
    <row r="2411" spans="2:19" ht="18.75">
      <c r="B2411">
        <v>19</v>
      </c>
      <c r="C2411" s="5">
        <v>46146</v>
      </c>
      <c r="D2411" t="s">
        <v>114</v>
      </c>
      <c r="E2411">
        <v>207.57</v>
      </c>
      <c r="N2411"/>
      <c r="S2411"/>
    </row>
    <row r="2412" spans="2:19" ht="18.75">
      <c r="B2412">
        <v>19</v>
      </c>
      <c r="C2412" s="5">
        <v>46146</v>
      </c>
      <c r="D2412" t="s">
        <v>116</v>
      </c>
      <c r="E2412">
        <v>129.81</v>
      </c>
      <c r="N2412"/>
      <c r="S2412"/>
    </row>
    <row r="2413" spans="2:19" ht="18.75">
      <c r="B2413">
        <v>19</v>
      </c>
      <c r="C2413" s="5">
        <v>46146</v>
      </c>
      <c r="D2413" t="s">
        <v>117</v>
      </c>
      <c r="E2413">
        <v>162.44</v>
      </c>
      <c r="N2413"/>
      <c r="S2413"/>
    </row>
    <row r="2414" spans="2:19" ht="18.75">
      <c r="B2414">
        <v>19</v>
      </c>
      <c r="C2414" s="5">
        <v>46146</v>
      </c>
      <c r="D2414" t="s">
        <v>118</v>
      </c>
      <c r="E2414">
        <v>106.52</v>
      </c>
      <c r="N2414"/>
      <c r="S2414"/>
    </row>
    <row r="2415" spans="2:19" ht="18.75">
      <c r="B2415">
        <v>19</v>
      </c>
      <c r="C2415" s="5">
        <v>46146</v>
      </c>
      <c r="D2415" t="s">
        <v>119</v>
      </c>
      <c r="E2415">
        <v>268.17</v>
      </c>
      <c r="N2415"/>
      <c r="S2415"/>
    </row>
    <row r="2416" spans="2:19" ht="18.75">
      <c r="B2416">
        <v>19</v>
      </c>
      <c r="C2416" s="5">
        <v>46146</v>
      </c>
      <c r="D2416" t="s">
        <v>120</v>
      </c>
      <c r="E2416">
        <v>98.25</v>
      </c>
      <c r="N2416"/>
      <c r="S2416"/>
    </row>
    <row r="2417" spans="2:19" ht="18.75">
      <c r="B2417">
        <v>19</v>
      </c>
      <c r="C2417" s="5">
        <v>46146</v>
      </c>
      <c r="D2417" t="s">
        <v>121</v>
      </c>
      <c r="E2417">
        <v>114.71</v>
      </c>
      <c r="N2417"/>
      <c r="S2417"/>
    </row>
    <row r="2418" spans="2:19" ht="18.75">
      <c r="B2418">
        <v>19</v>
      </c>
      <c r="C2418" s="5">
        <v>46146</v>
      </c>
      <c r="D2418" t="s">
        <v>122</v>
      </c>
      <c r="E2418">
        <v>224.8</v>
      </c>
      <c r="N2418"/>
      <c r="S2418"/>
    </row>
    <row r="2419" spans="2:19" ht="18.75">
      <c r="B2419">
        <v>19</v>
      </c>
      <c r="C2419" s="5">
        <v>46146</v>
      </c>
      <c r="D2419" t="s">
        <v>123</v>
      </c>
      <c r="E2419">
        <v>300.94</v>
      </c>
      <c r="N2419"/>
      <c r="S2419"/>
    </row>
    <row r="2420" spans="2:19" ht="18.75">
      <c r="B2420">
        <v>19</v>
      </c>
      <c r="C2420" s="5">
        <v>46146</v>
      </c>
      <c r="D2420" t="s">
        <v>124</v>
      </c>
      <c r="E2420">
        <v>237.44</v>
      </c>
      <c r="N2420"/>
      <c r="S2420"/>
    </row>
    <row r="2421" spans="2:19" ht="18.75">
      <c r="B2421">
        <v>19</v>
      </c>
      <c r="C2421" s="5">
        <v>46146</v>
      </c>
      <c r="D2421" t="s">
        <v>125</v>
      </c>
      <c r="E2421">
        <v>152.47</v>
      </c>
      <c r="N2421"/>
      <c r="S2421"/>
    </row>
    <row r="2422" spans="2:19" ht="18.75">
      <c r="B2422">
        <v>19</v>
      </c>
      <c r="C2422" s="5">
        <v>46146</v>
      </c>
      <c r="D2422" t="s">
        <v>126</v>
      </c>
      <c r="E2422">
        <v>102.06</v>
      </c>
      <c r="N2422"/>
      <c r="S2422"/>
    </row>
    <row r="2423" spans="2:19" ht="18.75">
      <c r="B2423">
        <v>19</v>
      </c>
      <c r="C2423" s="5">
        <v>46146</v>
      </c>
      <c r="D2423" t="s">
        <v>128</v>
      </c>
      <c r="E2423">
        <v>201.61</v>
      </c>
      <c r="N2423"/>
      <c r="S2423"/>
    </row>
    <row r="2424" spans="2:19" ht="18.75">
      <c r="B2424">
        <v>19</v>
      </c>
      <c r="C2424" s="5">
        <v>46146</v>
      </c>
      <c r="D2424" t="s">
        <v>129</v>
      </c>
      <c r="E2424">
        <v>265.75</v>
      </c>
      <c r="N2424"/>
      <c r="S2424"/>
    </row>
    <row r="2425" spans="2:19" ht="18.75">
      <c r="B2425">
        <v>19</v>
      </c>
      <c r="C2425" s="5">
        <v>46146</v>
      </c>
      <c r="D2425" t="s">
        <v>130</v>
      </c>
      <c r="E2425">
        <v>235.84</v>
      </c>
      <c r="N2425"/>
      <c r="S2425"/>
    </row>
    <row r="2426" spans="2:19" ht="18.75">
      <c r="B2426">
        <v>19</v>
      </c>
      <c r="C2426" s="5">
        <v>46146</v>
      </c>
      <c r="D2426" t="s">
        <v>131</v>
      </c>
      <c r="E2426">
        <v>250.65</v>
      </c>
      <c r="N2426"/>
      <c r="S2426"/>
    </row>
    <row r="2427" spans="2:19" ht="18.75">
      <c r="B2427">
        <v>19</v>
      </c>
      <c r="C2427" s="5">
        <v>46146</v>
      </c>
      <c r="D2427" t="s">
        <v>132</v>
      </c>
      <c r="E2427">
        <v>159.5</v>
      </c>
      <c r="N2427"/>
      <c r="S2427"/>
    </row>
    <row r="2428" spans="2:19" ht="18.75">
      <c r="B2428">
        <v>19</v>
      </c>
      <c r="C2428" s="5">
        <v>46146</v>
      </c>
      <c r="D2428" t="s">
        <v>133</v>
      </c>
      <c r="E2428">
        <v>243.56</v>
      </c>
      <c r="N2428"/>
      <c r="S2428"/>
    </row>
    <row r="2429" spans="2:19" ht="18.75">
      <c r="B2429">
        <v>19</v>
      </c>
      <c r="C2429" s="5">
        <v>46146</v>
      </c>
      <c r="D2429" t="s">
        <v>134</v>
      </c>
      <c r="E2429">
        <v>249.3</v>
      </c>
      <c r="N2429"/>
      <c r="S2429"/>
    </row>
    <row r="2430" spans="2:19" ht="18.75">
      <c r="B2430">
        <v>19</v>
      </c>
      <c r="C2430" s="5">
        <v>46146</v>
      </c>
      <c r="D2430" t="s">
        <v>135</v>
      </c>
      <c r="E2430">
        <v>105.88</v>
      </c>
      <c r="N2430"/>
      <c r="S2430"/>
    </row>
    <row r="2431" spans="2:19" ht="18.75">
      <c r="B2431">
        <v>19</v>
      </c>
      <c r="C2431" s="5">
        <v>46146</v>
      </c>
      <c r="D2431" t="s">
        <v>136</v>
      </c>
      <c r="E2431">
        <v>146.26</v>
      </c>
      <c r="N2431"/>
      <c r="S2431"/>
    </row>
    <row r="2432" spans="2:19" ht="18.75">
      <c r="B2432">
        <v>19</v>
      </c>
      <c r="C2432" s="5">
        <v>46146</v>
      </c>
      <c r="D2432" t="s">
        <v>137</v>
      </c>
      <c r="E2432">
        <v>85.26</v>
      </c>
      <c r="N2432"/>
      <c r="S2432"/>
    </row>
    <row r="2433" spans="2:19" ht="18.75">
      <c r="B2433">
        <v>19</v>
      </c>
      <c r="C2433" s="5">
        <v>46146</v>
      </c>
      <c r="D2433" t="s">
        <v>138</v>
      </c>
      <c r="E2433">
        <v>252.44</v>
      </c>
      <c r="N2433"/>
      <c r="S2433"/>
    </row>
    <row r="2434" spans="2:19" ht="18.75">
      <c r="B2434">
        <v>19</v>
      </c>
      <c r="C2434" s="5">
        <v>46146</v>
      </c>
      <c r="D2434" t="s">
        <v>141</v>
      </c>
      <c r="E2434">
        <v>357.78</v>
      </c>
      <c r="N2434"/>
      <c r="S2434"/>
    </row>
    <row r="2435" spans="2:19" ht="18.75">
      <c r="B2435">
        <v>19</v>
      </c>
      <c r="C2435" s="5">
        <v>46146</v>
      </c>
      <c r="D2435" t="s">
        <v>142</v>
      </c>
      <c r="E2435">
        <v>157.76</v>
      </c>
      <c r="N2435"/>
      <c r="S2435"/>
    </row>
    <row r="2436" spans="2:19" ht="18.75">
      <c r="B2436">
        <v>19</v>
      </c>
      <c r="C2436" s="5">
        <v>46146</v>
      </c>
      <c r="D2436" t="s">
        <v>139</v>
      </c>
      <c r="E2436">
        <v>165.88</v>
      </c>
      <c r="N2436"/>
      <c r="S2436"/>
    </row>
    <row r="2437" spans="2:19" ht="18.75">
      <c r="B2437">
        <v>19</v>
      </c>
      <c r="C2437" s="5">
        <v>46146</v>
      </c>
      <c r="D2437" t="s">
        <v>143</v>
      </c>
      <c r="E2437">
        <v>412.95</v>
      </c>
      <c r="N2437"/>
      <c r="S2437"/>
    </row>
    <row r="2438" spans="2:19" ht="18.75">
      <c r="B2438">
        <v>19</v>
      </c>
      <c r="C2438" s="5">
        <v>46146</v>
      </c>
      <c r="D2438" t="s">
        <v>144</v>
      </c>
      <c r="E2438">
        <v>169.63</v>
      </c>
      <c r="N2438"/>
      <c r="S2438"/>
    </row>
    <row r="2439" spans="2:19" ht="18.75">
      <c r="B2439">
        <v>19</v>
      </c>
      <c r="C2439" s="5">
        <v>46146</v>
      </c>
      <c r="D2439" t="s">
        <v>145</v>
      </c>
      <c r="E2439">
        <v>148.88999999999999</v>
      </c>
      <c r="N2439"/>
      <c r="S2439"/>
    </row>
    <row r="2440" spans="2:19" ht="18.75">
      <c r="B2440">
        <v>19</v>
      </c>
      <c r="C2440" s="5">
        <v>46146</v>
      </c>
      <c r="D2440" t="s">
        <v>146</v>
      </c>
      <c r="E2440">
        <v>333.76</v>
      </c>
      <c r="N2440"/>
      <c r="S2440"/>
    </row>
    <row r="2441" spans="2:19" ht="18.75">
      <c r="B2441">
        <v>19</v>
      </c>
      <c r="C2441" s="5">
        <v>46146</v>
      </c>
      <c r="D2441" t="s">
        <v>148</v>
      </c>
      <c r="E2441">
        <v>156.13</v>
      </c>
      <c r="N2441"/>
      <c r="S2441"/>
    </row>
    <row r="2442" spans="2:19" ht="18.75">
      <c r="B2442">
        <v>19</v>
      </c>
      <c r="C2442" s="5">
        <v>46146</v>
      </c>
      <c r="D2442" t="s">
        <v>147</v>
      </c>
      <c r="E2442">
        <v>206.86</v>
      </c>
      <c r="N2442"/>
      <c r="S2442"/>
    </row>
    <row r="2443" spans="2:19" ht="18.75">
      <c r="B2443">
        <v>19</v>
      </c>
      <c r="C2443" s="5">
        <v>46146</v>
      </c>
      <c r="D2443" t="s">
        <v>150</v>
      </c>
      <c r="E2443">
        <v>92.92</v>
      </c>
      <c r="N2443"/>
    </row>
    <row r="2444" spans="2:19" ht="18.75">
      <c r="B2444">
        <v>19</v>
      </c>
      <c r="C2444" s="5">
        <v>46146</v>
      </c>
      <c r="D2444" t="s">
        <v>151</v>
      </c>
      <c r="E2444">
        <v>369.39</v>
      </c>
      <c r="N2444"/>
    </row>
    <row r="2445" spans="2:19" ht="18.75">
      <c r="B2445">
        <v>19</v>
      </c>
      <c r="C2445" s="5">
        <v>46146</v>
      </c>
      <c r="D2445" t="s">
        <v>127</v>
      </c>
      <c r="E2445">
        <v>111.13</v>
      </c>
      <c r="N2445"/>
    </row>
    <row r="2446" spans="2:19" ht="18.75">
      <c r="B2446">
        <v>19</v>
      </c>
      <c r="C2446" s="5">
        <v>46146</v>
      </c>
      <c r="D2446" t="s">
        <v>115</v>
      </c>
      <c r="E2446">
        <v>174.42</v>
      </c>
      <c r="N2446"/>
    </row>
    <row r="2447" spans="2:19" ht="18.75">
      <c r="B2447">
        <v>43</v>
      </c>
      <c r="C2447" s="5">
        <v>45950</v>
      </c>
      <c r="D2447" t="s">
        <v>138</v>
      </c>
      <c r="E2447">
        <v>391.9</v>
      </c>
      <c r="N2447"/>
    </row>
    <row r="2448" spans="2:19" ht="18.75">
      <c r="B2448">
        <v>43</v>
      </c>
      <c r="C2448" s="5">
        <v>45950</v>
      </c>
      <c r="D2448" t="s">
        <v>141</v>
      </c>
      <c r="E2448">
        <v>585.19000000000005</v>
      </c>
      <c r="N2448"/>
    </row>
    <row r="2449" spans="2:5" ht="18.75">
      <c r="B2449">
        <v>43</v>
      </c>
      <c r="C2449" s="5">
        <v>45950</v>
      </c>
      <c r="D2449" t="s">
        <v>143</v>
      </c>
      <c r="E2449">
        <v>1339.33</v>
      </c>
    </row>
    <row r="2450" spans="2:5" ht="18.75">
      <c r="B2450">
        <v>43</v>
      </c>
      <c r="C2450" s="5">
        <v>45950</v>
      </c>
      <c r="D2450" t="s">
        <v>145</v>
      </c>
      <c r="E2450">
        <v>328.41</v>
      </c>
    </row>
    <row r="2451" spans="2:5" ht="18.75">
      <c r="B2451">
        <v>43</v>
      </c>
      <c r="C2451" s="5">
        <v>45950</v>
      </c>
      <c r="D2451" t="s">
        <v>146</v>
      </c>
      <c r="E2451">
        <v>532.25</v>
      </c>
    </row>
    <row r="2452" spans="2:5" ht="18.75">
      <c r="B2452">
        <v>43</v>
      </c>
      <c r="C2452" s="5">
        <v>45950</v>
      </c>
      <c r="D2452" t="s">
        <v>111</v>
      </c>
      <c r="E2452">
        <v>295.25</v>
      </c>
    </row>
    <row r="2453" spans="2:5" ht="18.75">
      <c r="B2453">
        <v>43</v>
      </c>
      <c r="C2453" s="5">
        <v>45950</v>
      </c>
      <c r="D2453" t="s">
        <v>117</v>
      </c>
      <c r="E2453">
        <v>251.05</v>
      </c>
    </row>
    <row r="2454" spans="2:5" ht="18.75">
      <c r="B2454">
        <v>43</v>
      </c>
      <c r="C2454" s="5">
        <v>45950</v>
      </c>
      <c r="D2454" t="s">
        <v>120</v>
      </c>
      <c r="E2454">
        <v>197.87</v>
      </c>
    </row>
    <row r="2455" spans="2:5" ht="18.75">
      <c r="B2455">
        <v>43</v>
      </c>
      <c r="C2455" s="5">
        <v>45950</v>
      </c>
      <c r="D2455" t="s">
        <v>127</v>
      </c>
      <c r="E2455">
        <v>216.32</v>
      </c>
    </row>
    <row r="2456" spans="2:5" ht="18.75">
      <c r="B2456">
        <v>43</v>
      </c>
      <c r="C2456" s="5">
        <v>45950</v>
      </c>
      <c r="D2456" t="s">
        <v>129</v>
      </c>
      <c r="E2456">
        <v>390.39</v>
      </c>
    </row>
    <row r="2457" spans="2:5" ht="18.75">
      <c r="B2457">
        <v>43</v>
      </c>
      <c r="C2457" s="5">
        <v>45950</v>
      </c>
      <c r="D2457" t="s">
        <v>133</v>
      </c>
      <c r="E2457">
        <v>299.18</v>
      </c>
    </row>
    <row r="2458" spans="2:5" ht="18.75">
      <c r="B2458">
        <v>43</v>
      </c>
      <c r="C2458" s="5">
        <v>45950</v>
      </c>
      <c r="D2458" t="s">
        <v>134</v>
      </c>
      <c r="E2458">
        <v>308.51</v>
      </c>
    </row>
    <row r="2459" spans="2:5" ht="18.75">
      <c r="B2459">
        <v>43</v>
      </c>
      <c r="C2459" s="5">
        <v>45950</v>
      </c>
      <c r="D2459" t="s">
        <v>114</v>
      </c>
      <c r="E2459">
        <v>243.99</v>
      </c>
    </row>
    <row r="2460" spans="2:5" ht="18.75">
      <c r="B2460">
        <v>43</v>
      </c>
      <c r="C2460" s="5">
        <v>45950</v>
      </c>
      <c r="D2460" t="s">
        <v>119</v>
      </c>
      <c r="E2460">
        <v>396.97</v>
      </c>
    </row>
    <row r="2461" spans="2:5" ht="18.75">
      <c r="B2461">
        <v>43</v>
      </c>
      <c r="C2461" s="5">
        <v>45950</v>
      </c>
      <c r="D2461" t="s">
        <v>118</v>
      </c>
      <c r="E2461">
        <v>159.97999999999999</v>
      </c>
    </row>
    <row r="2462" spans="2:5" ht="18.75">
      <c r="B2462">
        <v>43</v>
      </c>
      <c r="C2462" s="5">
        <v>45950</v>
      </c>
      <c r="D2462" t="s">
        <v>123</v>
      </c>
      <c r="E2462">
        <v>405.34</v>
      </c>
    </row>
    <row r="2463" spans="2:5" ht="18.75">
      <c r="B2463">
        <v>43</v>
      </c>
      <c r="C2463" s="5">
        <v>45950</v>
      </c>
      <c r="D2463" t="s">
        <v>124</v>
      </c>
      <c r="E2463">
        <v>407.15</v>
      </c>
    </row>
    <row r="2464" spans="2:5" ht="18.75">
      <c r="B2464">
        <v>43</v>
      </c>
      <c r="C2464" s="5">
        <v>45950</v>
      </c>
      <c r="D2464" t="s">
        <v>126</v>
      </c>
      <c r="E2464">
        <v>102.95</v>
      </c>
    </row>
    <row r="2465" spans="2:5" ht="18.75">
      <c r="B2465">
        <v>43</v>
      </c>
      <c r="C2465" s="5">
        <v>45950</v>
      </c>
      <c r="D2465" t="s">
        <v>139</v>
      </c>
      <c r="E2465">
        <v>219.06</v>
      </c>
    </row>
    <row r="2466" spans="2:5" ht="18.75">
      <c r="B2466">
        <v>43</v>
      </c>
      <c r="C2466" s="5">
        <v>45950</v>
      </c>
      <c r="D2466" t="s">
        <v>219</v>
      </c>
      <c r="E2466">
        <v>261.79000000000002</v>
      </c>
    </row>
    <row r="2467" spans="2:5" ht="18.75">
      <c r="B2467">
        <v>43</v>
      </c>
      <c r="C2467" s="5">
        <v>45950</v>
      </c>
      <c r="D2467" t="s">
        <v>113</v>
      </c>
      <c r="E2467">
        <v>174.57</v>
      </c>
    </row>
    <row r="2468" spans="2:5" ht="18.75">
      <c r="B2468">
        <v>43</v>
      </c>
      <c r="C2468" s="5">
        <v>45950</v>
      </c>
      <c r="D2468" t="s">
        <v>112</v>
      </c>
      <c r="E2468">
        <v>71.28</v>
      </c>
    </row>
    <row r="2469" spans="2:5" ht="18.75">
      <c r="B2469">
        <v>43</v>
      </c>
      <c r="C2469" s="5">
        <v>45950</v>
      </c>
      <c r="D2469" t="s">
        <v>116</v>
      </c>
      <c r="E2469">
        <v>81.64</v>
      </c>
    </row>
    <row r="2470" spans="2:5" ht="18.75">
      <c r="B2470">
        <v>43</v>
      </c>
      <c r="C2470" s="5">
        <v>45950</v>
      </c>
      <c r="D2470" t="s">
        <v>121</v>
      </c>
      <c r="E2470">
        <v>135.29</v>
      </c>
    </row>
    <row r="2471" spans="2:5" ht="18.75">
      <c r="B2471">
        <v>43</v>
      </c>
      <c r="C2471" s="5">
        <v>45950</v>
      </c>
      <c r="D2471" t="s">
        <v>122</v>
      </c>
      <c r="E2471">
        <v>250.67</v>
      </c>
    </row>
    <row r="2472" spans="2:5" ht="18.75">
      <c r="B2472">
        <v>43</v>
      </c>
      <c r="C2472" s="5">
        <v>45950</v>
      </c>
      <c r="D2472" t="s">
        <v>125</v>
      </c>
      <c r="E2472">
        <v>46.7</v>
      </c>
    </row>
    <row r="2473" spans="2:5" ht="18.75">
      <c r="B2473">
        <v>43</v>
      </c>
      <c r="C2473" s="5">
        <v>45950</v>
      </c>
      <c r="D2473" t="s">
        <v>128</v>
      </c>
      <c r="E2473">
        <v>144.75</v>
      </c>
    </row>
    <row r="2474" spans="2:5" ht="18.75">
      <c r="B2474">
        <v>43</v>
      </c>
      <c r="C2474" s="5">
        <v>45950</v>
      </c>
      <c r="D2474" t="s">
        <v>132</v>
      </c>
      <c r="E2474">
        <v>143.69999999999999</v>
      </c>
    </row>
    <row r="2475" spans="2:5" ht="18.75">
      <c r="B2475">
        <v>43</v>
      </c>
      <c r="C2475" s="5">
        <v>45950</v>
      </c>
      <c r="D2475" t="s">
        <v>135</v>
      </c>
      <c r="E2475">
        <v>57.31</v>
      </c>
    </row>
    <row r="2476" spans="2:5" ht="18.75">
      <c r="B2476">
        <v>43</v>
      </c>
      <c r="C2476" s="5">
        <v>45950</v>
      </c>
      <c r="D2476" t="s">
        <v>136</v>
      </c>
      <c r="E2476">
        <v>87.03</v>
      </c>
    </row>
    <row r="2477" spans="2:5" ht="18.75">
      <c r="B2477">
        <v>43</v>
      </c>
      <c r="C2477" s="5">
        <v>45950</v>
      </c>
      <c r="D2477" t="s">
        <v>137</v>
      </c>
      <c r="E2477">
        <v>96.93</v>
      </c>
    </row>
    <row r="2478" spans="2:5" ht="18.75">
      <c r="B2478">
        <v>43</v>
      </c>
      <c r="C2478" s="5">
        <v>45950</v>
      </c>
      <c r="D2478" t="s">
        <v>140</v>
      </c>
      <c r="E2478">
        <v>64.319999999999993</v>
      </c>
    </row>
    <row r="2479" spans="2:5" ht="18.75">
      <c r="B2479">
        <v>43</v>
      </c>
      <c r="C2479" s="5">
        <v>45950</v>
      </c>
      <c r="D2479" t="s">
        <v>142</v>
      </c>
      <c r="E2479">
        <v>129.11000000000001</v>
      </c>
    </row>
    <row r="2480" spans="2:5" ht="18.75">
      <c r="B2480">
        <v>43</v>
      </c>
      <c r="C2480" s="5">
        <v>45950</v>
      </c>
      <c r="D2480" t="s">
        <v>149</v>
      </c>
      <c r="E2480">
        <v>105.23</v>
      </c>
    </row>
    <row r="2481" spans="2:5" ht="18.75">
      <c r="B2481">
        <v>43</v>
      </c>
      <c r="C2481" s="5">
        <v>45950</v>
      </c>
      <c r="D2481" t="s">
        <v>150</v>
      </c>
      <c r="E2481">
        <v>62.82</v>
      </c>
    </row>
    <row r="2482" spans="2:5" ht="18.75">
      <c r="B2482">
        <v>44</v>
      </c>
      <c r="C2482" s="5">
        <v>45957</v>
      </c>
      <c r="D2482" t="s">
        <v>111</v>
      </c>
      <c r="E2482">
        <v>274.2</v>
      </c>
    </row>
    <row r="2483" spans="2:5" ht="18.75">
      <c r="B2483">
        <v>44</v>
      </c>
      <c r="C2483" s="5">
        <v>45957</v>
      </c>
      <c r="D2483" t="s">
        <v>143</v>
      </c>
      <c r="E2483">
        <v>1319.3</v>
      </c>
    </row>
    <row r="2484" spans="2:5" ht="18.75">
      <c r="B2484">
        <v>44</v>
      </c>
      <c r="C2484" s="5">
        <v>45957</v>
      </c>
      <c r="D2484" t="s">
        <v>127</v>
      </c>
      <c r="E2484">
        <v>233.8</v>
      </c>
    </row>
    <row r="2485" spans="2:5" ht="18.75">
      <c r="B2485">
        <v>44</v>
      </c>
      <c r="C2485" s="5">
        <v>45957</v>
      </c>
      <c r="D2485" t="s">
        <v>117</v>
      </c>
      <c r="E2485">
        <v>261.33</v>
      </c>
    </row>
    <row r="2486" spans="2:5" ht="18.75">
      <c r="B2486">
        <v>44</v>
      </c>
      <c r="C2486" s="5">
        <v>45957</v>
      </c>
      <c r="D2486" t="s">
        <v>119</v>
      </c>
      <c r="E2486">
        <v>397.19</v>
      </c>
    </row>
    <row r="2487" spans="2:5" ht="18.75">
      <c r="B2487">
        <v>44</v>
      </c>
      <c r="C2487" s="5">
        <v>45957</v>
      </c>
      <c r="D2487" t="s">
        <v>120</v>
      </c>
      <c r="E2487">
        <v>239.92</v>
      </c>
    </row>
    <row r="2488" spans="2:5" ht="18.75">
      <c r="B2488">
        <v>44</v>
      </c>
      <c r="C2488" s="5">
        <v>45957</v>
      </c>
      <c r="D2488" t="s">
        <v>121</v>
      </c>
      <c r="E2488">
        <v>323.07</v>
      </c>
    </row>
    <row r="2489" spans="2:5" ht="18.75">
      <c r="B2489">
        <v>44</v>
      </c>
      <c r="C2489" s="5">
        <v>45957</v>
      </c>
      <c r="D2489" t="s">
        <v>133</v>
      </c>
      <c r="E2489">
        <v>337.37</v>
      </c>
    </row>
    <row r="2490" spans="2:5" ht="18.75">
      <c r="B2490">
        <v>44</v>
      </c>
      <c r="C2490" s="5">
        <v>45957</v>
      </c>
      <c r="D2490" t="s">
        <v>134</v>
      </c>
      <c r="E2490">
        <v>345.33</v>
      </c>
    </row>
    <row r="2491" spans="2:5" ht="18.75">
      <c r="B2491">
        <v>44</v>
      </c>
      <c r="C2491" s="5">
        <v>45957</v>
      </c>
      <c r="D2491" t="s">
        <v>141</v>
      </c>
      <c r="E2491">
        <v>607.1</v>
      </c>
    </row>
    <row r="2492" spans="2:5" ht="18.75">
      <c r="B2492">
        <v>44</v>
      </c>
      <c r="C2492" s="5">
        <v>45957</v>
      </c>
      <c r="D2492" t="s">
        <v>145</v>
      </c>
      <c r="E2492">
        <v>449.08</v>
      </c>
    </row>
    <row r="2493" spans="2:5" ht="18.75">
      <c r="B2493">
        <v>44</v>
      </c>
      <c r="C2493" s="5">
        <v>45957</v>
      </c>
      <c r="D2493" t="s">
        <v>146</v>
      </c>
      <c r="E2493">
        <v>628.41</v>
      </c>
    </row>
    <row r="2494" spans="2:5" ht="18.75">
      <c r="B2494">
        <v>44</v>
      </c>
      <c r="C2494" s="5">
        <v>45957</v>
      </c>
      <c r="D2494" t="s">
        <v>114</v>
      </c>
      <c r="E2494">
        <v>262.79000000000002</v>
      </c>
    </row>
    <row r="2495" spans="2:5" ht="18.75">
      <c r="B2495">
        <v>44</v>
      </c>
      <c r="C2495" s="5">
        <v>45957</v>
      </c>
      <c r="D2495" t="s">
        <v>138</v>
      </c>
      <c r="E2495">
        <v>450.36</v>
      </c>
    </row>
    <row r="2496" spans="2:5" ht="18.75">
      <c r="B2496">
        <v>44</v>
      </c>
      <c r="C2496" s="5">
        <v>45957</v>
      </c>
      <c r="D2496" t="s">
        <v>129</v>
      </c>
      <c r="E2496">
        <v>453.62</v>
      </c>
    </row>
    <row r="2497" spans="2:5" ht="18.75">
      <c r="B2497">
        <v>44</v>
      </c>
      <c r="C2497" s="5">
        <v>45957</v>
      </c>
      <c r="D2497" t="s">
        <v>122</v>
      </c>
      <c r="E2497">
        <v>231.96</v>
      </c>
    </row>
    <row r="2498" spans="2:5" ht="18.75">
      <c r="B2498">
        <v>44</v>
      </c>
      <c r="C2498" s="5">
        <v>45957</v>
      </c>
      <c r="D2498" t="s">
        <v>123</v>
      </c>
      <c r="E2498">
        <v>516.76</v>
      </c>
    </row>
    <row r="2499" spans="2:5" ht="18.75">
      <c r="B2499">
        <v>44</v>
      </c>
      <c r="C2499" s="5">
        <v>45957</v>
      </c>
      <c r="D2499" t="s">
        <v>124</v>
      </c>
      <c r="E2499">
        <v>485.83</v>
      </c>
    </row>
    <row r="2500" spans="2:5" ht="18.75">
      <c r="B2500">
        <v>44</v>
      </c>
      <c r="C2500" s="5">
        <v>45957</v>
      </c>
      <c r="D2500" t="s">
        <v>128</v>
      </c>
      <c r="E2500">
        <v>158.88</v>
      </c>
    </row>
    <row r="2501" spans="2:5" ht="18.75">
      <c r="B2501">
        <v>44</v>
      </c>
      <c r="C2501" s="5">
        <v>45957</v>
      </c>
      <c r="D2501" t="s">
        <v>132</v>
      </c>
      <c r="E2501">
        <v>300.44</v>
      </c>
    </row>
    <row r="2502" spans="2:5" ht="18.75">
      <c r="B2502">
        <v>44</v>
      </c>
      <c r="C2502" s="5">
        <v>45957</v>
      </c>
      <c r="D2502" t="s">
        <v>142</v>
      </c>
      <c r="E2502">
        <v>284.43</v>
      </c>
    </row>
    <row r="2503" spans="2:5" ht="18.75">
      <c r="B2503">
        <v>44</v>
      </c>
      <c r="C2503" s="5">
        <v>45957</v>
      </c>
      <c r="D2503" t="s">
        <v>219</v>
      </c>
      <c r="E2503">
        <v>334.47</v>
      </c>
    </row>
    <row r="2504" spans="2:5" ht="18.75">
      <c r="B2504">
        <v>44</v>
      </c>
      <c r="C2504" s="5">
        <v>45957</v>
      </c>
      <c r="D2504" t="s">
        <v>112</v>
      </c>
      <c r="E2504">
        <v>81.36</v>
      </c>
    </row>
    <row r="2505" spans="2:5" ht="18.75">
      <c r="B2505">
        <v>44</v>
      </c>
      <c r="C2505" s="5">
        <v>45957</v>
      </c>
      <c r="D2505" t="s">
        <v>113</v>
      </c>
      <c r="E2505">
        <v>233.28</v>
      </c>
    </row>
    <row r="2506" spans="2:5" ht="18.75">
      <c r="B2506">
        <v>44</v>
      </c>
      <c r="C2506" s="5">
        <v>45957</v>
      </c>
      <c r="D2506" t="s">
        <v>116</v>
      </c>
      <c r="E2506">
        <v>92.8</v>
      </c>
    </row>
    <row r="2507" spans="2:5" ht="18.75">
      <c r="B2507">
        <v>44</v>
      </c>
      <c r="C2507" s="5">
        <v>45957</v>
      </c>
      <c r="D2507" t="s">
        <v>118</v>
      </c>
      <c r="E2507">
        <v>178.58</v>
      </c>
    </row>
    <row r="2508" spans="2:5" ht="18.75">
      <c r="B2508">
        <v>44</v>
      </c>
      <c r="C2508" s="5">
        <v>45957</v>
      </c>
      <c r="D2508" t="s">
        <v>125</v>
      </c>
      <c r="E2508">
        <v>65.88</v>
      </c>
    </row>
    <row r="2509" spans="2:5" ht="18.75">
      <c r="B2509">
        <v>44</v>
      </c>
      <c r="C2509" s="5">
        <v>45957</v>
      </c>
      <c r="D2509" t="s">
        <v>126</v>
      </c>
      <c r="E2509">
        <v>119.11</v>
      </c>
    </row>
    <row r="2510" spans="2:5" ht="18.75">
      <c r="B2510">
        <v>44</v>
      </c>
      <c r="C2510" s="5">
        <v>45957</v>
      </c>
      <c r="D2510" t="s">
        <v>136</v>
      </c>
      <c r="E2510">
        <v>77.069999999999993</v>
      </c>
    </row>
    <row r="2511" spans="2:5" ht="18.75">
      <c r="B2511">
        <v>44</v>
      </c>
      <c r="C2511" s="5">
        <v>45957</v>
      </c>
      <c r="D2511" t="s">
        <v>137</v>
      </c>
      <c r="E2511">
        <v>78.56</v>
      </c>
    </row>
    <row r="2512" spans="2:5" ht="18.75">
      <c r="B2512">
        <v>44</v>
      </c>
      <c r="C2512" s="5">
        <v>45957</v>
      </c>
      <c r="D2512" t="s">
        <v>140</v>
      </c>
      <c r="E2512">
        <v>77.23</v>
      </c>
    </row>
    <row r="2513" spans="2:5" ht="18.75">
      <c r="B2513">
        <v>44</v>
      </c>
      <c r="C2513" s="5">
        <v>45957</v>
      </c>
      <c r="D2513" t="s">
        <v>139</v>
      </c>
      <c r="E2513">
        <v>295.23</v>
      </c>
    </row>
    <row r="2514" spans="2:5" ht="18.75">
      <c r="B2514">
        <v>44</v>
      </c>
      <c r="C2514" s="5">
        <v>45957</v>
      </c>
      <c r="D2514" t="s">
        <v>149</v>
      </c>
      <c r="E2514">
        <v>132.25</v>
      </c>
    </row>
    <row r="2515" spans="2:5" ht="18.75">
      <c r="B2515">
        <v>44</v>
      </c>
      <c r="C2515" s="5">
        <v>45957</v>
      </c>
      <c r="D2515" t="s">
        <v>150</v>
      </c>
      <c r="E2515">
        <v>51.61</v>
      </c>
    </row>
    <row r="2516" spans="2:5" ht="18.75">
      <c r="B2516">
        <v>44</v>
      </c>
      <c r="C2516" s="5">
        <v>45957</v>
      </c>
      <c r="D2516" t="s">
        <v>135</v>
      </c>
      <c r="E2516">
        <v>45.68</v>
      </c>
    </row>
    <row r="2517" spans="2:5" ht="18.75">
      <c r="B2517">
        <v>45</v>
      </c>
      <c r="C2517" s="5">
        <v>45964</v>
      </c>
      <c r="D2517" t="s">
        <v>143</v>
      </c>
      <c r="E2517">
        <v>1382.07</v>
      </c>
    </row>
    <row r="2518" spans="2:5" ht="18.75">
      <c r="B2518">
        <v>45</v>
      </c>
      <c r="C2518" s="5">
        <v>45964</v>
      </c>
      <c r="D2518" t="s">
        <v>126</v>
      </c>
      <c r="E2518">
        <v>78.180000000000007</v>
      </c>
    </row>
    <row r="2519" spans="2:5" ht="18.75">
      <c r="B2519">
        <v>45</v>
      </c>
      <c r="C2519" s="5">
        <v>45964</v>
      </c>
      <c r="D2519" t="s">
        <v>127</v>
      </c>
      <c r="E2519">
        <v>271.14</v>
      </c>
    </row>
    <row r="2520" spans="2:5" ht="18.75">
      <c r="B2520">
        <v>45</v>
      </c>
      <c r="C2520" s="5">
        <v>45964</v>
      </c>
      <c r="D2520" t="s">
        <v>146</v>
      </c>
      <c r="E2520">
        <v>585.88</v>
      </c>
    </row>
    <row r="2521" spans="2:5" ht="18.75">
      <c r="B2521">
        <v>45</v>
      </c>
      <c r="C2521" s="5">
        <v>45964</v>
      </c>
      <c r="D2521" t="s">
        <v>141</v>
      </c>
      <c r="E2521">
        <v>352.85</v>
      </c>
    </row>
    <row r="2522" spans="2:5" ht="18.75">
      <c r="B2522">
        <v>45</v>
      </c>
      <c r="C2522" s="5">
        <v>45964</v>
      </c>
      <c r="D2522" t="s">
        <v>111</v>
      </c>
      <c r="E2522">
        <v>251.47</v>
      </c>
    </row>
    <row r="2523" spans="2:5" ht="18.75">
      <c r="B2523">
        <v>45</v>
      </c>
      <c r="C2523" s="5">
        <v>45964</v>
      </c>
      <c r="D2523" t="s">
        <v>112</v>
      </c>
      <c r="E2523">
        <v>75.67</v>
      </c>
    </row>
    <row r="2524" spans="2:5" ht="18.75">
      <c r="B2524">
        <v>45</v>
      </c>
      <c r="C2524" s="5">
        <v>45964</v>
      </c>
      <c r="D2524" t="s">
        <v>113</v>
      </c>
      <c r="E2524">
        <v>224.78</v>
      </c>
    </row>
    <row r="2525" spans="2:5" ht="18.75">
      <c r="B2525">
        <v>45</v>
      </c>
      <c r="C2525" s="5">
        <v>45964</v>
      </c>
      <c r="D2525" t="s">
        <v>114</v>
      </c>
      <c r="E2525">
        <v>272.99</v>
      </c>
    </row>
    <row r="2526" spans="2:5" ht="18.75">
      <c r="B2526">
        <v>45</v>
      </c>
      <c r="C2526" s="5">
        <v>45964</v>
      </c>
      <c r="D2526" t="s">
        <v>116</v>
      </c>
      <c r="E2526">
        <v>99.57</v>
      </c>
    </row>
    <row r="2527" spans="2:5" ht="18.75">
      <c r="B2527">
        <v>45</v>
      </c>
      <c r="C2527" s="5">
        <v>45964</v>
      </c>
      <c r="D2527" t="s">
        <v>117</v>
      </c>
      <c r="E2527">
        <v>286.26</v>
      </c>
    </row>
    <row r="2528" spans="2:5" ht="18.75">
      <c r="B2528">
        <v>45</v>
      </c>
      <c r="C2528" s="5">
        <v>45964</v>
      </c>
      <c r="D2528" t="s">
        <v>118</v>
      </c>
      <c r="E2528">
        <v>172.48</v>
      </c>
    </row>
    <row r="2529" spans="2:5" ht="18.75">
      <c r="B2529">
        <v>45</v>
      </c>
      <c r="C2529" s="5">
        <v>45964</v>
      </c>
      <c r="D2529" t="s">
        <v>119</v>
      </c>
      <c r="E2529">
        <v>429.72</v>
      </c>
    </row>
    <row r="2530" spans="2:5" ht="18.75">
      <c r="B2530">
        <v>45</v>
      </c>
      <c r="C2530" s="5">
        <v>45964</v>
      </c>
      <c r="D2530" t="s">
        <v>120</v>
      </c>
      <c r="E2530">
        <v>163.27000000000001</v>
      </c>
    </row>
    <row r="2531" spans="2:5" ht="18.75">
      <c r="B2531">
        <v>45</v>
      </c>
      <c r="C2531" s="5">
        <v>45964</v>
      </c>
      <c r="D2531" t="s">
        <v>121</v>
      </c>
      <c r="E2531">
        <v>140.24</v>
      </c>
    </row>
    <row r="2532" spans="2:5" ht="18.75">
      <c r="B2532">
        <v>45</v>
      </c>
      <c r="C2532" s="5">
        <v>45964</v>
      </c>
      <c r="D2532" t="s">
        <v>122</v>
      </c>
      <c r="E2532">
        <v>391.54</v>
      </c>
    </row>
    <row r="2533" spans="2:5" ht="18.75">
      <c r="B2533">
        <v>45</v>
      </c>
      <c r="C2533" s="5">
        <v>45964</v>
      </c>
      <c r="D2533" t="s">
        <v>123</v>
      </c>
      <c r="E2533">
        <v>462.04</v>
      </c>
    </row>
    <row r="2534" spans="2:5" ht="18.75">
      <c r="B2534">
        <v>45</v>
      </c>
      <c r="C2534" s="5">
        <v>45964</v>
      </c>
      <c r="D2534" t="s">
        <v>124</v>
      </c>
      <c r="E2534">
        <v>439.45</v>
      </c>
    </row>
    <row r="2535" spans="2:5" ht="18.75">
      <c r="B2535">
        <v>45</v>
      </c>
      <c r="C2535" s="5">
        <v>45964</v>
      </c>
      <c r="D2535" t="s">
        <v>125</v>
      </c>
      <c r="E2535">
        <v>69.64</v>
      </c>
    </row>
    <row r="2536" spans="2:5" ht="18.75">
      <c r="B2536">
        <v>45</v>
      </c>
      <c r="C2536" s="5">
        <v>45964</v>
      </c>
      <c r="D2536" t="s">
        <v>128</v>
      </c>
      <c r="E2536">
        <v>233.58</v>
      </c>
    </row>
    <row r="2537" spans="2:5" ht="18.75">
      <c r="B2537">
        <v>45</v>
      </c>
      <c r="C2537" s="5">
        <v>45964</v>
      </c>
      <c r="D2537" t="s">
        <v>129</v>
      </c>
      <c r="E2537">
        <v>449.26</v>
      </c>
    </row>
    <row r="2538" spans="2:5" ht="18.75">
      <c r="B2538">
        <v>45</v>
      </c>
      <c r="C2538" s="5">
        <v>45964</v>
      </c>
      <c r="D2538" t="s">
        <v>132</v>
      </c>
      <c r="E2538">
        <v>156.02000000000001</v>
      </c>
    </row>
    <row r="2539" spans="2:5" ht="18.75">
      <c r="B2539">
        <v>45</v>
      </c>
      <c r="C2539" s="5">
        <v>45964</v>
      </c>
      <c r="D2539" t="s">
        <v>133</v>
      </c>
      <c r="E2539">
        <v>360.8</v>
      </c>
    </row>
    <row r="2540" spans="2:5" ht="18.75">
      <c r="B2540">
        <v>45</v>
      </c>
      <c r="C2540" s="5">
        <v>45964</v>
      </c>
      <c r="D2540" t="s">
        <v>134</v>
      </c>
      <c r="E2540">
        <v>348.83</v>
      </c>
    </row>
    <row r="2541" spans="2:5" ht="18.75">
      <c r="B2541">
        <v>45</v>
      </c>
      <c r="C2541" s="5">
        <v>45964</v>
      </c>
      <c r="D2541" t="s">
        <v>135</v>
      </c>
      <c r="E2541">
        <v>65.900000000000006</v>
      </c>
    </row>
    <row r="2542" spans="2:5" ht="18.75">
      <c r="B2542">
        <v>45</v>
      </c>
      <c r="C2542" s="5">
        <v>45964</v>
      </c>
      <c r="D2542" t="s">
        <v>136</v>
      </c>
      <c r="E2542">
        <v>82.55</v>
      </c>
    </row>
    <row r="2543" spans="2:5" ht="18.75">
      <c r="B2543">
        <v>45</v>
      </c>
      <c r="C2543" s="5">
        <v>45964</v>
      </c>
      <c r="D2543" t="s">
        <v>137</v>
      </c>
      <c r="E2543">
        <v>84.72</v>
      </c>
    </row>
    <row r="2544" spans="2:5" ht="18.75">
      <c r="B2544">
        <v>45</v>
      </c>
      <c r="C2544" s="5">
        <v>45964</v>
      </c>
      <c r="D2544" t="s">
        <v>138</v>
      </c>
      <c r="E2544">
        <v>459</v>
      </c>
    </row>
    <row r="2545" spans="2:5" ht="18.75">
      <c r="B2545">
        <v>45</v>
      </c>
      <c r="C2545" s="5">
        <v>45964</v>
      </c>
      <c r="D2545" t="s">
        <v>140</v>
      </c>
      <c r="E2545">
        <v>311.81</v>
      </c>
    </row>
    <row r="2546" spans="2:5" ht="18.75">
      <c r="B2546">
        <v>45</v>
      </c>
      <c r="C2546" s="5">
        <v>45964</v>
      </c>
      <c r="D2546" t="s">
        <v>142</v>
      </c>
      <c r="E2546">
        <v>257.83</v>
      </c>
    </row>
    <row r="2547" spans="2:5" ht="18.75">
      <c r="B2547">
        <v>45</v>
      </c>
      <c r="C2547" s="5">
        <v>45964</v>
      </c>
      <c r="D2547" t="s">
        <v>145</v>
      </c>
      <c r="E2547">
        <v>336.22</v>
      </c>
    </row>
    <row r="2548" spans="2:5" ht="18.75">
      <c r="B2548">
        <v>45</v>
      </c>
      <c r="C2548" s="5">
        <v>45964</v>
      </c>
      <c r="D2548" t="s">
        <v>219</v>
      </c>
      <c r="E2548">
        <v>300.42</v>
      </c>
    </row>
    <row r="2549" spans="2:5" ht="18.75">
      <c r="B2549">
        <v>45</v>
      </c>
      <c r="C2549" s="5">
        <v>45964</v>
      </c>
      <c r="D2549" t="s">
        <v>149</v>
      </c>
      <c r="E2549">
        <v>135.11000000000001</v>
      </c>
    </row>
    <row r="2550" spans="2:5" ht="18.75">
      <c r="B2550">
        <v>45</v>
      </c>
      <c r="C2550" s="5">
        <v>45964</v>
      </c>
      <c r="D2550" t="s">
        <v>150</v>
      </c>
      <c r="E2550">
        <v>70.97</v>
      </c>
    </row>
    <row r="2551" spans="2:5" ht="18.75">
      <c r="B2551">
        <v>45</v>
      </c>
      <c r="C2551" s="5">
        <v>45964</v>
      </c>
      <c r="D2551" t="s">
        <v>139</v>
      </c>
      <c r="E2551">
        <v>189.02</v>
      </c>
    </row>
    <row r="2552" spans="2:5" ht="18.75">
      <c r="B2552">
        <v>46</v>
      </c>
      <c r="C2552" s="5">
        <v>45971</v>
      </c>
      <c r="D2552" t="s">
        <v>111</v>
      </c>
      <c r="E2552">
        <v>201.05</v>
      </c>
    </row>
    <row r="2553" spans="2:5" ht="18.75">
      <c r="B2553">
        <v>46</v>
      </c>
      <c r="C2553" s="5">
        <v>45971</v>
      </c>
      <c r="D2553" t="s">
        <v>112</v>
      </c>
      <c r="E2553">
        <v>77.319999999999993</v>
      </c>
    </row>
    <row r="2554" spans="2:5" ht="18.75">
      <c r="B2554">
        <v>46</v>
      </c>
      <c r="C2554" s="5">
        <v>45971</v>
      </c>
      <c r="D2554" t="s">
        <v>114</v>
      </c>
      <c r="E2554">
        <v>136.30000000000001</v>
      </c>
    </row>
    <row r="2555" spans="2:5" ht="18.75">
      <c r="B2555">
        <v>46</v>
      </c>
      <c r="C2555" s="5">
        <v>45971</v>
      </c>
      <c r="D2555" t="s">
        <v>117</v>
      </c>
      <c r="E2555">
        <v>177.6</v>
      </c>
    </row>
    <row r="2556" spans="2:5" ht="18.75">
      <c r="B2556">
        <v>46</v>
      </c>
      <c r="C2556" s="5">
        <v>45971</v>
      </c>
      <c r="D2556" t="s">
        <v>118</v>
      </c>
      <c r="E2556">
        <v>221.95</v>
      </c>
    </row>
    <row r="2557" spans="2:5" ht="18.75">
      <c r="B2557">
        <v>46</v>
      </c>
      <c r="C2557" s="5">
        <v>45971</v>
      </c>
      <c r="D2557" t="s">
        <v>119</v>
      </c>
      <c r="E2557">
        <v>303.10000000000002</v>
      </c>
    </row>
    <row r="2558" spans="2:5" ht="18.75">
      <c r="B2558">
        <v>46</v>
      </c>
      <c r="C2558" s="5">
        <v>45971</v>
      </c>
      <c r="D2558" t="s">
        <v>120</v>
      </c>
      <c r="E2558">
        <v>126.14</v>
      </c>
    </row>
    <row r="2559" spans="2:5" ht="18.75">
      <c r="B2559">
        <v>46</v>
      </c>
      <c r="C2559" s="5">
        <v>45971</v>
      </c>
      <c r="D2559" t="s">
        <v>121</v>
      </c>
      <c r="E2559">
        <v>159.9</v>
      </c>
    </row>
    <row r="2560" spans="2:5" ht="18.75">
      <c r="B2560">
        <v>46</v>
      </c>
      <c r="C2560" s="5">
        <v>45971</v>
      </c>
      <c r="D2560" t="s">
        <v>122</v>
      </c>
      <c r="E2560">
        <v>158.05000000000001</v>
      </c>
    </row>
    <row r="2561" spans="2:5" ht="18.75">
      <c r="B2561">
        <v>46</v>
      </c>
      <c r="C2561" s="5">
        <v>45971</v>
      </c>
      <c r="D2561" t="s">
        <v>123</v>
      </c>
      <c r="E2561">
        <v>445.79</v>
      </c>
    </row>
    <row r="2562" spans="2:5" ht="18.75">
      <c r="B2562">
        <v>46</v>
      </c>
      <c r="C2562" s="5">
        <v>45971</v>
      </c>
      <c r="D2562" t="s">
        <v>126</v>
      </c>
      <c r="E2562">
        <v>142.91999999999999</v>
      </c>
    </row>
    <row r="2563" spans="2:5" ht="18.75">
      <c r="B2563">
        <v>46</v>
      </c>
      <c r="C2563" s="5">
        <v>45971</v>
      </c>
      <c r="D2563" t="s">
        <v>128</v>
      </c>
      <c r="E2563">
        <v>140.21</v>
      </c>
    </row>
    <row r="2564" spans="2:5" ht="18.75">
      <c r="B2564">
        <v>46</v>
      </c>
      <c r="C2564" s="5">
        <v>45971</v>
      </c>
      <c r="D2564" t="s">
        <v>132</v>
      </c>
      <c r="E2564">
        <v>169.28</v>
      </c>
    </row>
    <row r="2565" spans="2:5" ht="18.75">
      <c r="B2565">
        <v>46</v>
      </c>
      <c r="C2565" s="5">
        <v>45971</v>
      </c>
      <c r="D2565" t="s">
        <v>133</v>
      </c>
      <c r="E2565">
        <v>321.51</v>
      </c>
    </row>
    <row r="2566" spans="2:5" ht="18.75">
      <c r="B2566">
        <v>46</v>
      </c>
      <c r="C2566" s="5">
        <v>45971</v>
      </c>
      <c r="D2566" t="s">
        <v>134</v>
      </c>
      <c r="E2566">
        <v>293.68</v>
      </c>
    </row>
    <row r="2567" spans="2:5" ht="18.75">
      <c r="B2567">
        <v>46</v>
      </c>
      <c r="C2567" s="5">
        <v>45971</v>
      </c>
      <c r="D2567" t="s">
        <v>137</v>
      </c>
      <c r="E2567">
        <v>74.489999999999995</v>
      </c>
    </row>
    <row r="2568" spans="2:5" ht="18.75">
      <c r="B2568">
        <v>46</v>
      </c>
      <c r="C2568" s="5">
        <v>45971</v>
      </c>
      <c r="D2568" t="s">
        <v>138</v>
      </c>
      <c r="E2568">
        <v>360.56</v>
      </c>
    </row>
    <row r="2569" spans="2:5" ht="18.75">
      <c r="B2569">
        <v>46</v>
      </c>
      <c r="C2569" s="5">
        <v>45971</v>
      </c>
      <c r="D2569" t="s">
        <v>141</v>
      </c>
      <c r="E2569">
        <v>600.99</v>
      </c>
    </row>
    <row r="2570" spans="2:5" ht="18.75">
      <c r="B2570">
        <v>46</v>
      </c>
      <c r="C2570" s="5">
        <v>45971</v>
      </c>
      <c r="D2570" t="s">
        <v>142</v>
      </c>
      <c r="E2570">
        <v>196.21</v>
      </c>
    </row>
    <row r="2571" spans="2:5" ht="18.75">
      <c r="B2571">
        <v>46</v>
      </c>
      <c r="C2571" s="5">
        <v>45971</v>
      </c>
      <c r="D2571" t="s">
        <v>143</v>
      </c>
      <c r="E2571">
        <v>1347.36</v>
      </c>
    </row>
    <row r="2572" spans="2:5" ht="18.75">
      <c r="B2572">
        <v>46</v>
      </c>
      <c r="C2572" s="5">
        <v>45971</v>
      </c>
      <c r="D2572" t="s">
        <v>145</v>
      </c>
      <c r="E2572">
        <v>267.5</v>
      </c>
    </row>
    <row r="2573" spans="2:5" ht="18.75">
      <c r="B2573">
        <v>46</v>
      </c>
      <c r="C2573" s="5">
        <v>45971</v>
      </c>
      <c r="D2573" t="s">
        <v>146</v>
      </c>
      <c r="E2573">
        <v>561.95000000000005</v>
      </c>
    </row>
    <row r="2574" spans="2:5" ht="18.75">
      <c r="B2574">
        <v>46</v>
      </c>
      <c r="C2574" s="5">
        <v>45971</v>
      </c>
      <c r="D2574" t="s">
        <v>219</v>
      </c>
      <c r="E2574">
        <v>280.51</v>
      </c>
    </row>
    <row r="2575" spans="2:5" ht="18.75">
      <c r="B2575">
        <v>46</v>
      </c>
      <c r="C2575" s="5">
        <v>45971</v>
      </c>
      <c r="D2575" t="s">
        <v>116</v>
      </c>
      <c r="E2575">
        <v>83.03</v>
      </c>
    </row>
    <row r="2576" spans="2:5" ht="18.75">
      <c r="B2576">
        <v>46</v>
      </c>
      <c r="C2576" s="5">
        <v>45971</v>
      </c>
      <c r="D2576" t="s">
        <v>124</v>
      </c>
      <c r="E2576">
        <v>380.07</v>
      </c>
    </row>
    <row r="2577" spans="2:5" ht="18.75">
      <c r="B2577">
        <v>46</v>
      </c>
      <c r="C2577" s="5">
        <v>45971</v>
      </c>
      <c r="D2577" t="s">
        <v>125</v>
      </c>
      <c r="E2577">
        <v>63.18</v>
      </c>
    </row>
    <row r="2578" spans="2:5" ht="18.75">
      <c r="B2578">
        <v>46</v>
      </c>
      <c r="C2578" s="5">
        <v>45971</v>
      </c>
      <c r="D2578" t="s">
        <v>129</v>
      </c>
      <c r="E2578">
        <v>424.75</v>
      </c>
    </row>
    <row r="2579" spans="2:5" ht="18.75">
      <c r="B2579">
        <v>46</v>
      </c>
      <c r="C2579" s="5">
        <v>45971</v>
      </c>
      <c r="D2579" t="s">
        <v>135</v>
      </c>
      <c r="E2579">
        <v>54.16</v>
      </c>
    </row>
    <row r="2580" spans="2:5" ht="18.75">
      <c r="B2580">
        <v>46</v>
      </c>
      <c r="C2580" s="5">
        <v>45971</v>
      </c>
      <c r="D2580" t="s">
        <v>136</v>
      </c>
      <c r="E2580">
        <v>87.02</v>
      </c>
    </row>
    <row r="2581" spans="2:5" ht="18.75">
      <c r="B2581">
        <v>46</v>
      </c>
      <c r="C2581" s="5">
        <v>45971</v>
      </c>
      <c r="D2581" t="s">
        <v>140</v>
      </c>
      <c r="E2581">
        <v>63.09</v>
      </c>
    </row>
    <row r="2582" spans="2:5" ht="18.75">
      <c r="B2582">
        <v>46</v>
      </c>
      <c r="C2582" s="5">
        <v>45971</v>
      </c>
      <c r="D2582" t="s">
        <v>139</v>
      </c>
      <c r="E2582">
        <v>256.58999999999997</v>
      </c>
    </row>
    <row r="2583" spans="2:5" ht="18.75">
      <c r="B2583">
        <v>46</v>
      </c>
      <c r="C2583" s="5">
        <v>45971</v>
      </c>
      <c r="D2583" t="s">
        <v>149</v>
      </c>
      <c r="E2583">
        <v>135.01</v>
      </c>
    </row>
    <row r="2584" spans="2:5" ht="18.75">
      <c r="B2584">
        <v>46</v>
      </c>
      <c r="C2584" s="5">
        <v>45971</v>
      </c>
      <c r="D2584" t="s">
        <v>150</v>
      </c>
      <c r="E2584">
        <v>61.86</v>
      </c>
    </row>
    <row r="2585" spans="2:5" ht="18.75">
      <c r="B2585">
        <v>46</v>
      </c>
      <c r="C2585" s="5">
        <v>45971</v>
      </c>
      <c r="D2585" t="s">
        <v>127</v>
      </c>
      <c r="E2585">
        <v>228.41</v>
      </c>
    </row>
    <row r="2586" spans="2:5" ht="18.75">
      <c r="B2586">
        <v>46</v>
      </c>
      <c r="C2586" s="5">
        <v>45971</v>
      </c>
      <c r="D2586" t="s">
        <v>113</v>
      </c>
      <c r="E2586">
        <v>163.47</v>
      </c>
    </row>
    <row r="2587" spans="2:5" ht="18.75">
      <c r="B2587">
        <v>47</v>
      </c>
      <c r="C2587" s="5">
        <v>45978</v>
      </c>
      <c r="D2587" t="s">
        <v>111</v>
      </c>
      <c r="E2587">
        <v>234.37</v>
      </c>
    </row>
    <row r="2588" spans="2:5" ht="18.75">
      <c r="B2588">
        <v>47</v>
      </c>
      <c r="C2588" s="5">
        <v>45978</v>
      </c>
      <c r="D2588" t="s">
        <v>112</v>
      </c>
      <c r="E2588">
        <v>125.13</v>
      </c>
    </row>
    <row r="2589" spans="2:5" ht="18.75">
      <c r="B2589">
        <v>47</v>
      </c>
      <c r="C2589" s="5">
        <v>45978</v>
      </c>
      <c r="D2589" t="s">
        <v>113</v>
      </c>
      <c r="E2589">
        <v>291.66000000000003</v>
      </c>
    </row>
    <row r="2590" spans="2:5" ht="18.75">
      <c r="B2590">
        <v>47</v>
      </c>
      <c r="C2590" s="5">
        <v>45978</v>
      </c>
      <c r="D2590" t="s">
        <v>114</v>
      </c>
      <c r="E2590">
        <v>267.33999999999997</v>
      </c>
    </row>
    <row r="2591" spans="2:5" ht="18.75">
      <c r="B2591">
        <v>47</v>
      </c>
      <c r="C2591" s="5">
        <v>45978</v>
      </c>
      <c r="D2591" t="s">
        <v>116</v>
      </c>
      <c r="E2591">
        <v>88.93</v>
      </c>
    </row>
    <row r="2592" spans="2:5" ht="18.75">
      <c r="B2592">
        <v>47</v>
      </c>
      <c r="C2592" s="5">
        <v>45978</v>
      </c>
      <c r="D2592" t="s">
        <v>117</v>
      </c>
      <c r="E2592">
        <v>288.08999999999997</v>
      </c>
    </row>
    <row r="2593" spans="2:5" ht="18.75">
      <c r="B2593">
        <v>47</v>
      </c>
      <c r="C2593" s="5">
        <v>45978</v>
      </c>
      <c r="D2593" t="s">
        <v>118</v>
      </c>
      <c r="E2593">
        <v>186.9</v>
      </c>
    </row>
    <row r="2594" spans="2:5" ht="18.75">
      <c r="B2594">
        <v>47</v>
      </c>
      <c r="C2594" s="5">
        <v>45978</v>
      </c>
      <c r="D2594" t="s">
        <v>119</v>
      </c>
      <c r="E2594">
        <v>469.62</v>
      </c>
    </row>
    <row r="2595" spans="2:5" ht="18.75">
      <c r="B2595">
        <v>47</v>
      </c>
      <c r="C2595" s="5">
        <v>45978</v>
      </c>
      <c r="D2595" t="s">
        <v>120</v>
      </c>
      <c r="E2595">
        <v>150.81</v>
      </c>
    </row>
    <row r="2596" spans="2:5" ht="18.75">
      <c r="B2596">
        <v>47</v>
      </c>
      <c r="C2596" s="5">
        <v>45978</v>
      </c>
      <c r="D2596" t="s">
        <v>121</v>
      </c>
      <c r="E2596">
        <v>158.30000000000001</v>
      </c>
    </row>
    <row r="2597" spans="2:5" ht="18.75">
      <c r="B2597">
        <v>47</v>
      </c>
      <c r="C2597" s="5">
        <v>45978</v>
      </c>
      <c r="D2597" t="s">
        <v>122</v>
      </c>
      <c r="E2597">
        <v>300.06</v>
      </c>
    </row>
    <row r="2598" spans="2:5" ht="18.75">
      <c r="B2598">
        <v>47</v>
      </c>
      <c r="C2598" s="5">
        <v>45978</v>
      </c>
      <c r="D2598" t="s">
        <v>123</v>
      </c>
      <c r="E2598">
        <v>520.33000000000004</v>
      </c>
    </row>
    <row r="2599" spans="2:5" ht="18.75">
      <c r="B2599">
        <v>47</v>
      </c>
      <c r="C2599" s="5">
        <v>45978</v>
      </c>
      <c r="D2599" t="s">
        <v>124</v>
      </c>
      <c r="E2599">
        <v>672.83</v>
      </c>
    </row>
    <row r="2600" spans="2:5" ht="18.75">
      <c r="B2600">
        <v>47</v>
      </c>
      <c r="C2600" s="5">
        <v>45978</v>
      </c>
      <c r="D2600" t="s">
        <v>125</v>
      </c>
      <c r="E2600">
        <v>58.65</v>
      </c>
    </row>
    <row r="2601" spans="2:5" ht="18.75">
      <c r="B2601">
        <v>47</v>
      </c>
      <c r="C2601" s="5">
        <v>45978</v>
      </c>
      <c r="D2601" t="s">
        <v>126</v>
      </c>
      <c r="E2601">
        <v>108.35</v>
      </c>
    </row>
    <row r="2602" spans="2:5" ht="18.75">
      <c r="B2602">
        <v>47</v>
      </c>
      <c r="C2602" s="5">
        <v>45978</v>
      </c>
      <c r="D2602" t="s">
        <v>128</v>
      </c>
      <c r="E2602">
        <v>179.22</v>
      </c>
    </row>
    <row r="2603" spans="2:5" ht="18.75">
      <c r="B2603">
        <v>47</v>
      </c>
      <c r="C2603" s="5">
        <v>45978</v>
      </c>
      <c r="D2603" t="s">
        <v>129</v>
      </c>
      <c r="E2603">
        <v>517.04</v>
      </c>
    </row>
    <row r="2604" spans="2:5" ht="18.75">
      <c r="B2604">
        <v>47</v>
      </c>
      <c r="C2604" s="5">
        <v>45978</v>
      </c>
      <c r="D2604" t="s">
        <v>132</v>
      </c>
      <c r="E2604">
        <v>170.4</v>
      </c>
    </row>
    <row r="2605" spans="2:5" ht="18.75">
      <c r="B2605">
        <v>47</v>
      </c>
      <c r="C2605" s="5">
        <v>45978</v>
      </c>
      <c r="D2605" t="s">
        <v>133</v>
      </c>
      <c r="E2605">
        <v>263.83</v>
      </c>
    </row>
    <row r="2606" spans="2:5" ht="18.75">
      <c r="B2606">
        <v>47</v>
      </c>
      <c r="C2606" s="5">
        <v>45978</v>
      </c>
      <c r="D2606" t="s">
        <v>134</v>
      </c>
      <c r="E2606">
        <v>294.99</v>
      </c>
    </row>
    <row r="2607" spans="2:5" ht="18.75">
      <c r="B2607">
        <v>47</v>
      </c>
      <c r="C2607" s="5">
        <v>45978</v>
      </c>
      <c r="D2607" t="s">
        <v>135</v>
      </c>
      <c r="E2607">
        <v>80.760000000000005</v>
      </c>
    </row>
    <row r="2608" spans="2:5" ht="18.75">
      <c r="B2608">
        <v>47</v>
      </c>
      <c r="C2608" s="5">
        <v>45978</v>
      </c>
      <c r="D2608" t="s">
        <v>136</v>
      </c>
      <c r="E2608">
        <v>120.14</v>
      </c>
    </row>
    <row r="2609" spans="2:5" ht="18.75">
      <c r="B2609">
        <v>47</v>
      </c>
      <c r="C2609" s="5">
        <v>45978</v>
      </c>
      <c r="D2609" t="s">
        <v>137</v>
      </c>
      <c r="E2609">
        <v>97.16</v>
      </c>
    </row>
    <row r="2610" spans="2:5" ht="18.75">
      <c r="B2610">
        <v>47</v>
      </c>
      <c r="C2610" s="5">
        <v>45978</v>
      </c>
      <c r="D2610" t="s">
        <v>138</v>
      </c>
      <c r="E2610">
        <v>431.91</v>
      </c>
    </row>
    <row r="2611" spans="2:5" ht="18.75">
      <c r="B2611">
        <v>47</v>
      </c>
      <c r="C2611" s="5">
        <v>45978</v>
      </c>
      <c r="D2611" t="s">
        <v>140</v>
      </c>
      <c r="E2611">
        <v>65.430000000000007</v>
      </c>
    </row>
    <row r="2612" spans="2:5" ht="18.75">
      <c r="B2612">
        <v>47</v>
      </c>
      <c r="C2612" s="5">
        <v>45978</v>
      </c>
      <c r="D2612" t="s">
        <v>141</v>
      </c>
      <c r="E2612">
        <v>602.11</v>
      </c>
    </row>
    <row r="2613" spans="2:5" ht="18.75">
      <c r="B2613">
        <v>47</v>
      </c>
      <c r="C2613" s="5">
        <v>45978</v>
      </c>
      <c r="D2613" t="s">
        <v>142</v>
      </c>
      <c r="E2613">
        <v>200.29</v>
      </c>
    </row>
    <row r="2614" spans="2:5" ht="18.75">
      <c r="B2614">
        <v>47</v>
      </c>
      <c r="C2614" s="5">
        <v>45978</v>
      </c>
      <c r="D2614" t="s">
        <v>139</v>
      </c>
      <c r="E2614">
        <v>293.94</v>
      </c>
    </row>
    <row r="2615" spans="2:5" ht="18.75">
      <c r="B2615">
        <v>47</v>
      </c>
      <c r="C2615" s="5">
        <v>45978</v>
      </c>
      <c r="D2615" t="s">
        <v>143</v>
      </c>
      <c r="E2615">
        <v>1727.71</v>
      </c>
    </row>
    <row r="2616" spans="2:5" ht="18.75">
      <c r="B2616">
        <v>47</v>
      </c>
      <c r="C2616" s="5">
        <v>45978</v>
      </c>
      <c r="D2616" t="s">
        <v>145</v>
      </c>
      <c r="E2616">
        <v>275.02999999999997</v>
      </c>
    </row>
    <row r="2617" spans="2:5" ht="18.75">
      <c r="B2617">
        <v>47</v>
      </c>
      <c r="C2617" s="5">
        <v>45978</v>
      </c>
      <c r="D2617" t="s">
        <v>146</v>
      </c>
      <c r="E2617">
        <v>602.39</v>
      </c>
    </row>
    <row r="2618" spans="2:5" ht="18.75">
      <c r="B2618">
        <v>47</v>
      </c>
      <c r="C2618" s="5">
        <v>45978</v>
      </c>
      <c r="D2618" t="s">
        <v>219</v>
      </c>
      <c r="E2618">
        <v>351.2</v>
      </c>
    </row>
    <row r="2619" spans="2:5" ht="18.75">
      <c r="B2619">
        <v>47</v>
      </c>
      <c r="C2619" s="5">
        <v>45978</v>
      </c>
      <c r="D2619" t="s">
        <v>149</v>
      </c>
      <c r="E2619">
        <v>144.5</v>
      </c>
    </row>
    <row r="2620" spans="2:5" ht="18.75">
      <c r="B2620">
        <v>47</v>
      </c>
      <c r="C2620" s="5">
        <v>45978</v>
      </c>
      <c r="D2620" t="s">
        <v>150</v>
      </c>
      <c r="E2620">
        <v>55.36</v>
      </c>
    </row>
    <row r="2621" spans="2:5" ht="18.75">
      <c r="B2621">
        <v>47</v>
      </c>
      <c r="C2621" s="5">
        <v>45978</v>
      </c>
      <c r="D2621" t="s">
        <v>127</v>
      </c>
      <c r="E2621">
        <v>298.23</v>
      </c>
    </row>
    <row r="2622" spans="2:5" ht="18.75">
      <c r="B2622">
        <v>48</v>
      </c>
      <c r="C2622" s="5">
        <v>45985</v>
      </c>
      <c r="D2622" t="s">
        <v>111</v>
      </c>
      <c r="E2622">
        <v>210.86</v>
      </c>
    </row>
    <row r="2623" spans="2:5" ht="18.75">
      <c r="B2623">
        <v>48</v>
      </c>
      <c r="C2623" s="5">
        <v>45985</v>
      </c>
      <c r="D2623" t="s">
        <v>114</v>
      </c>
      <c r="E2623">
        <v>268.06</v>
      </c>
    </row>
    <row r="2624" spans="2:5" ht="18.75">
      <c r="B2624">
        <v>48</v>
      </c>
      <c r="C2624" s="5">
        <v>45985</v>
      </c>
      <c r="D2624" t="s">
        <v>117</v>
      </c>
      <c r="E2624">
        <v>291.02999999999997</v>
      </c>
    </row>
    <row r="2625" spans="2:5" ht="18.75">
      <c r="B2625">
        <v>48</v>
      </c>
      <c r="C2625" s="5">
        <v>45985</v>
      </c>
      <c r="D2625" t="s">
        <v>119</v>
      </c>
      <c r="E2625">
        <v>355.04</v>
      </c>
    </row>
    <row r="2626" spans="2:5" ht="18.75">
      <c r="B2626">
        <v>48</v>
      </c>
      <c r="C2626" s="5">
        <v>45985</v>
      </c>
      <c r="D2626" t="s">
        <v>121</v>
      </c>
      <c r="E2626">
        <v>149.93</v>
      </c>
    </row>
    <row r="2627" spans="2:5" ht="18.75">
      <c r="B2627">
        <v>48</v>
      </c>
      <c r="C2627" s="5">
        <v>45985</v>
      </c>
      <c r="D2627" t="s">
        <v>122</v>
      </c>
      <c r="E2627">
        <v>192.53</v>
      </c>
    </row>
    <row r="2628" spans="2:5" ht="18.75">
      <c r="B2628">
        <v>48</v>
      </c>
      <c r="C2628" s="5">
        <v>45985</v>
      </c>
      <c r="D2628" t="s">
        <v>123</v>
      </c>
      <c r="E2628">
        <v>558.13</v>
      </c>
    </row>
    <row r="2629" spans="2:5" ht="18.75">
      <c r="B2629">
        <v>48</v>
      </c>
      <c r="C2629" s="5">
        <v>45985</v>
      </c>
      <c r="D2629" t="s">
        <v>124</v>
      </c>
      <c r="E2629">
        <v>471.45</v>
      </c>
    </row>
    <row r="2630" spans="2:5" ht="18.75">
      <c r="B2630">
        <v>48</v>
      </c>
      <c r="C2630" s="5">
        <v>45985</v>
      </c>
      <c r="D2630" t="s">
        <v>126</v>
      </c>
      <c r="E2630">
        <v>99.57</v>
      </c>
    </row>
    <row r="2631" spans="2:5" ht="18.75">
      <c r="B2631">
        <v>48</v>
      </c>
      <c r="C2631" s="5">
        <v>45985</v>
      </c>
      <c r="D2631" t="s">
        <v>128</v>
      </c>
      <c r="E2631">
        <v>124.01</v>
      </c>
    </row>
    <row r="2632" spans="2:5" ht="18.75">
      <c r="B2632">
        <v>48</v>
      </c>
      <c r="C2632" s="5">
        <v>45985</v>
      </c>
      <c r="D2632" t="s">
        <v>129</v>
      </c>
      <c r="E2632">
        <v>511.01</v>
      </c>
    </row>
    <row r="2633" spans="2:5" ht="18.75">
      <c r="B2633">
        <v>48</v>
      </c>
      <c r="C2633" s="5">
        <v>45985</v>
      </c>
      <c r="D2633" t="s">
        <v>133</v>
      </c>
      <c r="E2633">
        <v>291.68</v>
      </c>
    </row>
    <row r="2634" spans="2:5" ht="18.75">
      <c r="B2634">
        <v>48</v>
      </c>
      <c r="C2634" s="5">
        <v>45985</v>
      </c>
      <c r="D2634" t="s">
        <v>134</v>
      </c>
      <c r="E2634">
        <v>298.89999999999998</v>
      </c>
    </row>
    <row r="2635" spans="2:5" ht="18.75">
      <c r="B2635">
        <v>48</v>
      </c>
      <c r="C2635" s="5">
        <v>45985</v>
      </c>
      <c r="D2635" t="s">
        <v>138</v>
      </c>
      <c r="E2635">
        <v>462.4</v>
      </c>
    </row>
    <row r="2636" spans="2:5" ht="18.75">
      <c r="B2636">
        <v>48</v>
      </c>
      <c r="C2636" s="5">
        <v>45985</v>
      </c>
      <c r="D2636" t="s">
        <v>141</v>
      </c>
      <c r="E2636">
        <v>588.9</v>
      </c>
    </row>
    <row r="2637" spans="2:5" ht="18.75">
      <c r="B2637">
        <v>48</v>
      </c>
      <c r="C2637" s="5">
        <v>45985</v>
      </c>
      <c r="D2637" t="s">
        <v>142</v>
      </c>
      <c r="E2637">
        <v>158.19</v>
      </c>
    </row>
    <row r="2638" spans="2:5" ht="18.75">
      <c r="B2638">
        <v>48</v>
      </c>
      <c r="C2638" s="5">
        <v>45985</v>
      </c>
      <c r="D2638" t="s">
        <v>143</v>
      </c>
      <c r="E2638">
        <v>1799.12</v>
      </c>
    </row>
    <row r="2639" spans="2:5" ht="18.75">
      <c r="B2639">
        <v>48</v>
      </c>
      <c r="C2639" s="5">
        <v>45985</v>
      </c>
      <c r="D2639" t="s">
        <v>145</v>
      </c>
      <c r="E2639">
        <v>463.36</v>
      </c>
    </row>
    <row r="2640" spans="2:5" ht="18.75">
      <c r="B2640">
        <v>48</v>
      </c>
      <c r="C2640" s="5">
        <v>45985</v>
      </c>
      <c r="D2640" t="s">
        <v>146</v>
      </c>
      <c r="E2640">
        <v>588.47</v>
      </c>
    </row>
    <row r="2641" spans="2:5" ht="18.75">
      <c r="B2641">
        <v>48</v>
      </c>
      <c r="C2641" s="5">
        <v>45985</v>
      </c>
      <c r="D2641" t="s">
        <v>219</v>
      </c>
      <c r="E2641">
        <v>194.99</v>
      </c>
    </row>
    <row r="2642" spans="2:5" ht="18.75">
      <c r="B2642">
        <v>48</v>
      </c>
      <c r="C2642" s="5">
        <v>45985</v>
      </c>
      <c r="D2642" t="s">
        <v>112</v>
      </c>
      <c r="E2642">
        <v>45.53</v>
      </c>
    </row>
    <row r="2643" spans="2:5" ht="18.75">
      <c r="B2643">
        <v>48</v>
      </c>
      <c r="C2643" s="5">
        <v>45985</v>
      </c>
      <c r="D2643" t="s">
        <v>113</v>
      </c>
      <c r="E2643">
        <v>190.11</v>
      </c>
    </row>
    <row r="2644" spans="2:5" ht="18.75">
      <c r="B2644">
        <v>48</v>
      </c>
      <c r="C2644" s="5">
        <v>45985</v>
      </c>
      <c r="D2644" t="s">
        <v>116</v>
      </c>
      <c r="E2644">
        <v>80.42</v>
      </c>
    </row>
    <row r="2645" spans="2:5" ht="18.75">
      <c r="B2645">
        <v>48</v>
      </c>
      <c r="C2645" s="5">
        <v>45985</v>
      </c>
      <c r="D2645" t="s">
        <v>118</v>
      </c>
      <c r="E2645">
        <v>148.47</v>
      </c>
    </row>
    <row r="2646" spans="2:5" ht="18.75">
      <c r="B2646">
        <v>48</v>
      </c>
      <c r="C2646" s="5">
        <v>45985</v>
      </c>
      <c r="D2646" t="s">
        <v>132</v>
      </c>
      <c r="E2646">
        <v>188.73</v>
      </c>
    </row>
    <row r="2647" spans="2:5" ht="18.75">
      <c r="B2647">
        <v>48</v>
      </c>
      <c r="C2647" s="5">
        <v>45985</v>
      </c>
      <c r="D2647" t="s">
        <v>136</v>
      </c>
      <c r="E2647">
        <v>79.23</v>
      </c>
    </row>
    <row r="2648" spans="2:5" ht="18.75">
      <c r="B2648">
        <v>48</v>
      </c>
      <c r="C2648" s="5">
        <v>45985</v>
      </c>
      <c r="D2648" t="s">
        <v>139</v>
      </c>
      <c r="E2648">
        <v>247.59</v>
      </c>
    </row>
    <row r="2649" spans="2:5" ht="18.75">
      <c r="B2649">
        <v>48</v>
      </c>
      <c r="C2649" s="5">
        <v>45985</v>
      </c>
      <c r="D2649" t="s">
        <v>149</v>
      </c>
      <c r="E2649">
        <v>152.74</v>
      </c>
    </row>
    <row r="2650" spans="2:5" ht="18.75">
      <c r="B2650">
        <v>48</v>
      </c>
      <c r="C2650" s="5">
        <v>45985</v>
      </c>
      <c r="D2650" t="s">
        <v>120</v>
      </c>
      <c r="E2650">
        <v>88.17</v>
      </c>
    </row>
    <row r="2651" spans="2:5" ht="18.75">
      <c r="B2651">
        <v>48</v>
      </c>
      <c r="C2651" s="5">
        <v>45985</v>
      </c>
      <c r="D2651" t="s">
        <v>125</v>
      </c>
      <c r="E2651">
        <v>50.17</v>
      </c>
    </row>
    <row r="2652" spans="2:5" ht="18.75">
      <c r="B2652">
        <v>48</v>
      </c>
      <c r="C2652" s="5">
        <v>45985</v>
      </c>
      <c r="D2652" t="s">
        <v>135</v>
      </c>
      <c r="E2652">
        <v>56.64</v>
      </c>
    </row>
    <row r="2653" spans="2:5" ht="18.75">
      <c r="B2653">
        <v>48</v>
      </c>
      <c r="C2653" s="5">
        <v>45985</v>
      </c>
      <c r="D2653" t="s">
        <v>137</v>
      </c>
      <c r="E2653">
        <v>91.01</v>
      </c>
    </row>
    <row r="2654" spans="2:5" ht="18.75">
      <c r="B2654">
        <v>48</v>
      </c>
      <c r="C2654" s="5">
        <v>45985</v>
      </c>
      <c r="D2654" t="s">
        <v>140</v>
      </c>
      <c r="E2654">
        <v>82.21</v>
      </c>
    </row>
    <row r="2655" spans="2:5" ht="18.75">
      <c r="B2655">
        <v>48</v>
      </c>
      <c r="C2655" s="5">
        <v>45985</v>
      </c>
      <c r="D2655" t="s">
        <v>150</v>
      </c>
      <c r="E2655">
        <v>71.95</v>
      </c>
    </row>
    <row r="2656" spans="2:5" ht="18.75">
      <c r="B2656">
        <v>48</v>
      </c>
      <c r="C2656" s="5">
        <v>45985</v>
      </c>
      <c r="D2656" t="s">
        <v>127</v>
      </c>
      <c r="E2656">
        <v>195.52</v>
      </c>
    </row>
    <row r="2657" spans="2:5" ht="18.75">
      <c r="B2657">
        <v>48</v>
      </c>
      <c r="C2657" s="5">
        <v>45985</v>
      </c>
      <c r="D2657" t="s">
        <v>147</v>
      </c>
      <c r="E2657">
        <v>129.09</v>
      </c>
    </row>
    <row r="2658" spans="2:5" ht="18.75">
      <c r="B2658">
        <v>49</v>
      </c>
      <c r="C2658" s="5">
        <v>45992</v>
      </c>
      <c r="D2658" t="s">
        <v>113</v>
      </c>
      <c r="E2658">
        <v>246.21</v>
      </c>
    </row>
    <row r="2659" spans="2:5" ht="18.75">
      <c r="B2659">
        <v>49</v>
      </c>
      <c r="C2659" s="5">
        <v>45992</v>
      </c>
      <c r="D2659" t="s">
        <v>118</v>
      </c>
      <c r="E2659">
        <v>166.43</v>
      </c>
    </row>
    <row r="2660" spans="2:5" ht="18.75">
      <c r="B2660">
        <v>49</v>
      </c>
      <c r="C2660" s="5">
        <v>45992</v>
      </c>
      <c r="D2660" t="s">
        <v>123</v>
      </c>
      <c r="E2660">
        <v>534.82000000000005</v>
      </c>
    </row>
    <row r="2661" spans="2:5" ht="18.75">
      <c r="B2661">
        <v>49</v>
      </c>
      <c r="C2661" s="5">
        <v>45992</v>
      </c>
      <c r="D2661" t="s">
        <v>124</v>
      </c>
      <c r="E2661">
        <v>524.14</v>
      </c>
    </row>
    <row r="2662" spans="2:5" ht="18.75">
      <c r="B2662">
        <v>49</v>
      </c>
      <c r="C2662" s="5">
        <v>45992</v>
      </c>
      <c r="D2662" t="s">
        <v>139</v>
      </c>
      <c r="E2662">
        <v>319.35000000000002</v>
      </c>
    </row>
    <row r="2663" spans="2:5" ht="18.75">
      <c r="B2663">
        <v>49</v>
      </c>
      <c r="C2663" s="5">
        <v>45992</v>
      </c>
      <c r="D2663" t="s">
        <v>143</v>
      </c>
      <c r="E2663">
        <v>1222.96</v>
      </c>
    </row>
    <row r="2664" spans="2:5" ht="18.75">
      <c r="B2664">
        <v>49</v>
      </c>
      <c r="C2664" s="5">
        <v>45992</v>
      </c>
      <c r="D2664" t="s">
        <v>147</v>
      </c>
      <c r="E2664">
        <v>381.14</v>
      </c>
    </row>
    <row r="2665" spans="2:5" ht="18.75">
      <c r="B2665">
        <v>49</v>
      </c>
      <c r="C2665" s="5">
        <v>45992</v>
      </c>
      <c r="D2665" t="s">
        <v>127</v>
      </c>
      <c r="E2665">
        <v>200.85</v>
      </c>
    </row>
    <row r="2666" spans="2:5" ht="18.75">
      <c r="B2666">
        <v>49</v>
      </c>
      <c r="C2666" s="5">
        <v>45992</v>
      </c>
      <c r="D2666" t="s">
        <v>126</v>
      </c>
      <c r="E2666">
        <v>199.65</v>
      </c>
    </row>
    <row r="2667" spans="2:5" ht="18.75">
      <c r="B2667">
        <v>49</v>
      </c>
      <c r="C2667" s="5">
        <v>45992</v>
      </c>
      <c r="D2667" t="s">
        <v>141</v>
      </c>
      <c r="E2667">
        <v>709</v>
      </c>
    </row>
    <row r="2668" spans="2:5" ht="18.75">
      <c r="B2668">
        <v>49</v>
      </c>
      <c r="C2668" s="5">
        <v>45992</v>
      </c>
      <c r="D2668" t="s">
        <v>111</v>
      </c>
      <c r="E2668">
        <v>206.86</v>
      </c>
    </row>
    <row r="2669" spans="2:5" ht="18.75">
      <c r="B2669">
        <v>49</v>
      </c>
      <c r="C2669" s="5">
        <v>45992</v>
      </c>
      <c r="D2669" t="s">
        <v>114</v>
      </c>
      <c r="E2669">
        <v>288.68</v>
      </c>
    </row>
    <row r="2670" spans="2:5" ht="18.75">
      <c r="B2670">
        <v>49</v>
      </c>
      <c r="C2670" s="5">
        <v>45992</v>
      </c>
      <c r="D2670" t="s">
        <v>117</v>
      </c>
      <c r="E2670">
        <v>281.73</v>
      </c>
    </row>
    <row r="2671" spans="2:5" ht="18.75">
      <c r="B2671">
        <v>49</v>
      </c>
      <c r="C2671" s="5">
        <v>45992</v>
      </c>
      <c r="D2671" t="s">
        <v>119</v>
      </c>
      <c r="E2671">
        <v>455.92</v>
      </c>
    </row>
    <row r="2672" spans="2:5" ht="18.75">
      <c r="B2672">
        <v>49</v>
      </c>
      <c r="C2672" s="5">
        <v>45992</v>
      </c>
      <c r="D2672" t="s">
        <v>120</v>
      </c>
      <c r="E2672">
        <v>216.06</v>
      </c>
    </row>
    <row r="2673" spans="2:5" ht="18.75">
      <c r="B2673">
        <v>49</v>
      </c>
      <c r="C2673" s="5">
        <v>45992</v>
      </c>
      <c r="D2673" t="s">
        <v>129</v>
      </c>
      <c r="E2673">
        <v>527.17999999999995</v>
      </c>
    </row>
    <row r="2674" spans="2:5" ht="18.75">
      <c r="B2674">
        <v>49</v>
      </c>
      <c r="C2674" s="5">
        <v>45992</v>
      </c>
      <c r="D2674" t="s">
        <v>133</v>
      </c>
      <c r="E2674">
        <v>286.25</v>
      </c>
    </row>
    <row r="2675" spans="2:5" ht="18.75">
      <c r="B2675">
        <v>49</v>
      </c>
      <c r="C2675" s="5">
        <v>45992</v>
      </c>
      <c r="D2675" t="s">
        <v>134</v>
      </c>
      <c r="E2675">
        <v>312.12</v>
      </c>
    </row>
    <row r="2676" spans="2:5" ht="18.75">
      <c r="B2676">
        <v>49</v>
      </c>
      <c r="C2676" s="5">
        <v>45992</v>
      </c>
      <c r="D2676" t="s">
        <v>138</v>
      </c>
      <c r="E2676">
        <v>497.73</v>
      </c>
    </row>
    <row r="2677" spans="2:5" ht="18.75">
      <c r="B2677">
        <v>49</v>
      </c>
      <c r="C2677" s="5">
        <v>45992</v>
      </c>
      <c r="D2677" t="s">
        <v>145</v>
      </c>
      <c r="E2677">
        <v>342.12</v>
      </c>
    </row>
    <row r="2678" spans="2:5" ht="18.75">
      <c r="B2678">
        <v>49</v>
      </c>
      <c r="C2678" s="5">
        <v>45992</v>
      </c>
      <c r="D2678" t="s">
        <v>146</v>
      </c>
      <c r="E2678">
        <v>655.36</v>
      </c>
    </row>
    <row r="2679" spans="2:5" ht="18.75">
      <c r="B2679">
        <v>49</v>
      </c>
      <c r="C2679" s="5">
        <v>45992</v>
      </c>
      <c r="D2679" t="s">
        <v>148</v>
      </c>
      <c r="E2679">
        <v>268.27</v>
      </c>
    </row>
    <row r="2680" spans="2:5" ht="18.75">
      <c r="B2680">
        <v>49</v>
      </c>
      <c r="C2680" s="5">
        <v>45992</v>
      </c>
      <c r="D2680" t="s">
        <v>151</v>
      </c>
      <c r="E2680">
        <v>604.96</v>
      </c>
    </row>
    <row r="2681" spans="2:5" ht="18.75">
      <c r="B2681">
        <v>49</v>
      </c>
      <c r="C2681" s="5">
        <v>45992</v>
      </c>
      <c r="D2681" t="s">
        <v>112</v>
      </c>
      <c r="E2681">
        <v>56.44</v>
      </c>
    </row>
    <row r="2682" spans="2:5" ht="18.75">
      <c r="B2682">
        <v>49</v>
      </c>
      <c r="C2682" s="5">
        <v>45992</v>
      </c>
      <c r="D2682" t="s">
        <v>116</v>
      </c>
      <c r="E2682">
        <v>112.46</v>
      </c>
    </row>
    <row r="2683" spans="2:5" ht="18.75">
      <c r="B2683">
        <v>49</v>
      </c>
      <c r="C2683" s="5">
        <v>45992</v>
      </c>
      <c r="D2683" t="s">
        <v>121</v>
      </c>
      <c r="E2683">
        <v>184.96</v>
      </c>
    </row>
    <row r="2684" spans="2:5" ht="18.75">
      <c r="B2684">
        <v>49</v>
      </c>
      <c r="C2684" s="5">
        <v>45992</v>
      </c>
      <c r="D2684" t="s">
        <v>122</v>
      </c>
      <c r="E2684">
        <v>315.12</v>
      </c>
    </row>
    <row r="2685" spans="2:5" ht="18.75">
      <c r="B2685">
        <v>49</v>
      </c>
      <c r="C2685" s="5">
        <v>45992</v>
      </c>
      <c r="D2685" t="s">
        <v>125</v>
      </c>
      <c r="E2685">
        <v>84.02</v>
      </c>
    </row>
    <row r="2686" spans="2:5" ht="18.75">
      <c r="B2686">
        <v>49</v>
      </c>
      <c r="C2686" s="5">
        <v>45992</v>
      </c>
      <c r="D2686" t="s">
        <v>128</v>
      </c>
      <c r="E2686">
        <v>212.34</v>
      </c>
    </row>
    <row r="2687" spans="2:5" ht="18.75">
      <c r="B2687">
        <v>49</v>
      </c>
      <c r="C2687" s="5">
        <v>45992</v>
      </c>
      <c r="D2687" t="s">
        <v>132</v>
      </c>
      <c r="E2687">
        <v>233.82</v>
      </c>
    </row>
    <row r="2688" spans="2:5" ht="18.75">
      <c r="B2688">
        <v>49</v>
      </c>
      <c r="C2688" s="5">
        <v>45992</v>
      </c>
      <c r="D2688" t="s">
        <v>135</v>
      </c>
      <c r="E2688">
        <v>85.38</v>
      </c>
    </row>
    <row r="2689" spans="2:5" ht="18.75">
      <c r="B2689">
        <v>49</v>
      </c>
      <c r="C2689" s="5">
        <v>45992</v>
      </c>
      <c r="D2689" t="s">
        <v>136</v>
      </c>
      <c r="E2689">
        <v>116.11</v>
      </c>
    </row>
    <row r="2690" spans="2:5" ht="18.75">
      <c r="B2690">
        <v>49</v>
      </c>
      <c r="C2690" s="5">
        <v>45992</v>
      </c>
      <c r="D2690" t="s">
        <v>137</v>
      </c>
      <c r="E2690">
        <v>101.12</v>
      </c>
    </row>
    <row r="2691" spans="2:5" ht="18.75">
      <c r="B2691">
        <v>49</v>
      </c>
      <c r="C2691" s="5">
        <v>45992</v>
      </c>
      <c r="D2691" t="s">
        <v>140</v>
      </c>
      <c r="E2691">
        <v>101.66</v>
      </c>
    </row>
    <row r="2692" spans="2:5" ht="18.75">
      <c r="B2692">
        <v>49</v>
      </c>
      <c r="C2692" s="5">
        <v>45992</v>
      </c>
      <c r="D2692" t="s">
        <v>142</v>
      </c>
      <c r="E2692">
        <v>181.5</v>
      </c>
    </row>
    <row r="2693" spans="2:5" ht="18.75">
      <c r="B2693">
        <v>49</v>
      </c>
      <c r="C2693" s="5">
        <v>45992</v>
      </c>
      <c r="D2693" t="s">
        <v>149</v>
      </c>
      <c r="E2693">
        <v>196.25</v>
      </c>
    </row>
    <row r="2694" spans="2:5" ht="18.75">
      <c r="B2694">
        <v>49</v>
      </c>
      <c r="C2694" s="5">
        <v>45992</v>
      </c>
      <c r="D2694" t="s">
        <v>150</v>
      </c>
      <c r="E2694">
        <v>103.37</v>
      </c>
    </row>
    <row r="2695" spans="2:5" ht="18.75">
      <c r="B2695">
        <v>50</v>
      </c>
      <c r="C2695" s="5">
        <v>45999</v>
      </c>
      <c r="D2695" t="s">
        <v>111</v>
      </c>
      <c r="E2695">
        <v>203.99</v>
      </c>
    </row>
    <row r="2696" spans="2:5" ht="18.75">
      <c r="B2696">
        <v>50</v>
      </c>
      <c r="C2696" s="5">
        <v>45999</v>
      </c>
      <c r="D2696" t="s">
        <v>112</v>
      </c>
      <c r="E2696">
        <v>120.17</v>
      </c>
    </row>
    <row r="2697" spans="2:5" ht="18.75">
      <c r="B2697">
        <v>50</v>
      </c>
      <c r="C2697" s="5">
        <v>45999</v>
      </c>
      <c r="D2697" t="s">
        <v>113</v>
      </c>
      <c r="E2697">
        <v>281.27999999999997</v>
      </c>
    </row>
    <row r="2698" spans="2:5" ht="18.75">
      <c r="B2698">
        <v>50</v>
      </c>
      <c r="C2698" s="5">
        <v>45999</v>
      </c>
      <c r="D2698" t="s">
        <v>114</v>
      </c>
      <c r="E2698">
        <v>344.32</v>
      </c>
    </row>
    <row r="2699" spans="2:5" ht="18.75">
      <c r="B2699">
        <v>50</v>
      </c>
      <c r="C2699" s="5">
        <v>45999</v>
      </c>
      <c r="D2699" t="s">
        <v>116</v>
      </c>
      <c r="E2699">
        <v>124.7</v>
      </c>
    </row>
    <row r="2700" spans="2:5" ht="18.75">
      <c r="B2700">
        <v>50</v>
      </c>
      <c r="C2700" s="5">
        <v>45999</v>
      </c>
      <c r="D2700" t="s">
        <v>117</v>
      </c>
      <c r="E2700">
        <v>225.88</v>
      </c>
    </row>
    <row r="2701" spans="2:5" ht="18.75">
      <c r="B2701">
        <v>50</v>
      </c>
      <c r="C2701" s="5">
        <v>45999</v>
      </c>
      <c r="D2701" t="s">
        <v>118</v>
      </c>
      <c r="E2701">
        <v>144.29</v>
      </c>
    </row>
    <row r="2702" spans="2:5" ht="18.75">
      <c r="B2702">
        <v>50</v>
      </c>
      <c r="C2702" s="5">
        <v>45999</v>
      </c>
      <c r="D2702" t="s">
        <v>119</v>
      </c>
      <c r="E2702">
        <v>440.78</v>
      </c>
    </row>
    <row r="2703" spans="2:5" ht="18.75">
      <c r="B2703">
        <v>50</v>
      </c>
      <c r="C2703" s="5">
        <v>45999</v>
      </c>
      <c r="D2703" t="s">
        <v>120</v>
      </c>
      <c r="E2703">
        <v>155.35</v>
      </c>
    </row>
    <row r="2704" spans="2:5" ht="18.75">
      <c r="B2704">
        <v>50</v>
      </c>
      <c r="C2704" s="5">
        <v>45999</v>
      </c>
      <c r="D2704" t="s">
        <v>121</v>
      </c>
      <c r="E2704">
        <v>86.4</v>
      </c>
    </row>
    <row r="2705" spans="2:5" ht="18.75">
      <c r="B2705">
        <v>50</v>
      </c>
      <c r="C2705" s="5">
        <v>45999</v>
      </c>
      <c r="D2705" t="s">
        <v>122</v>
      </c>
      <c r="E2705">
        <v>292.07</v>
      </c>
    </row>
    <row r="2706" spans="2:5" ht="18.75">
      <c r="B2706">
        <v>50</v>
      </c>
      <c r="C2706" s="5">
        <v>45999</v>
      </c>
      <c r="D2706" t="s">
        <v>123</v>
      </c>
      <c r="E2706">
        <v>517.85</v>
      </c>
    </row>
    <row r="2707" spans="2:5" ht="18.75">
      <c r="B2707">
        <v>50</v>
      </c>
      <c r="C2707" s="5">
        <v>45999</v>
      </c>
      <c r="D2707" t="s">
        <v>124</v>
      </c>
      <c r="E2707">
        <v>490.49</v>
      </c>
    </row>
    <row r="2708" spans="2:5" ht="18.75">
      <c r="B2708">
        <v>50</v>
      </c>
      <c r="C2708" s="5">
        <v>45999</v>
      </c>
      <c r="D2708" t="s">
        <v>125</v>
      </c>
      <c r="E2708">
        <v>81.62</v>
      </c>
    </row>
    <row r="2709" spans="2:5" ht="18.75">
      <c r="B2709">
        <v>50</v>
      </c>
      <c r="C2709" s="5">
        <v>45999</v>
      </c>
      <c r="D2709" t="s">
        <v>126</v>
      </c>
      <c r="E2709">
        <v>123.52</v>
      </c>
    </row>
    <row r="2710" spans="2:5" ht="18.75">
      <c r="B2710">
        <v>50</v>
      </c>
      <c r="C2710" s="5">
        <v>45999</v>
      </c>
      <c r="D2710" t="s">
        <v>129</v>
      </c>
      <c r="E2710">
        <v>522.63</v>
      </c>
    </row>
    <row r="2711" spans="2:5" ht="18.75">
      <c r="B2711">
        <v>50</v>
      </c>
      <c r="C2711" s="5">
        <v>45999</v>
      </c>
      <c r="D2711" t="s">
        <v>132</v>
      </c>
      <c r="E2711">
        <v>255.82</v>
      </c>
    </row>
    <row r="2712" spans="2:5" ht="18.75">
      <c r="B2712">
        <v>50</v>
      </c>
      <c r="C2712" s="5">
        <v>45999</v>
      </c>
      <c r="D2712" t="s">
        <v>133</v>
      </c>
      <c r="E2712">
        <v>322.42</v>
      </c>
    </row>
    <row r="2713" spans="2:5" ht="18.75">
      <c r="B2713">
        <v>50</v>
      </c>
      <c r="C2713" s="5">
        <v>45999</v>
      </c>
      <c r="D2713" t="s">
        <v>134</v>
      </c>
      <c r="E2713">
        <v>332.54</v>
      </c>
    </row>
    <row r="2714" spans="2:5" ht="18.75">
      <c r="B2714">
        <v>50</v>
      </c>
      <c r="C2714" s="5">
        <v>45999</v>
      </c>
      <c r="D2714" t="s">
        <v>135</v>
      </c>
      <c r="E2714">
        <v>91.69</v>
      </c>
    </row>
    <row r="2715" spans="2:5" ht="18.75">
      <c r="B2715">
        <v>50</v>
      </c>
      <c r="C2715" s="5">
        <v>45999</v>
      </c>
      <c r="D2715" t="s">
        <v>136</v>
      </c>
      <c r="E2715">
        <v>136.58000000000001</v>
      </c>
    </row>
    <row r="2716" spans="2:5" ht="18.75">
      <c r="B2716">
        <v>50</v>
      </c>
      <c r="C2716" s="5">
        <v>45999</v>
      </c>
      <c r="D2716" t="s">
        <v>137</v>
      </c>
      <c r="E2716">
        <v>104.65</v>
      </c>
    </row>
    <row r="2717" spans="2:5" ht="18.75">
      <c r="B2717">
        <v>50</v>
      </c>
      <c r="C2717" s="5">
        <v>45999</v>
      </c>
      <c r="D2717" t="s">
        <v>138</v>
      </c>
      <c r="E2717">
        <v>559.69000000000005</v>
      </c>
    </row>
    <row r="2718" spans="2:5" ht="18.75">
      <c r="B2718">
        <v>50</v>
      </c>
      <c r="C2718" s="5">
        <v>45999</v>
      </c>
      <c r="D2718" t="s">
        <v>140</v>
      </c>
      <c r="E2718">
        <v>94.83</v>
      </c>
    </row>
    <row r="2719" spans="2:5" ht="18.75">
      <c r="B2719">
        <v>50</v>
      </c>
      <c r="C2719" s="5">
        <v>45999</v>
      </c>
      <c r="D2719" t="s">
        <v>141</v>
      </c>
      <c r="E2719">
        <v>759.15</v>
      </c>
    </row>
    <row r="2720" spans="2:5" ht="18.75">
      <c r="B2720">
        <v>50</v>
      </c>
      <c r="C2720" s="5">
        <v>45999</v>
      </c>
      <c r="D2720" t="s">
        <v>142</v>
      </c>
      <c r="E2720">
        <v>192.32</v>
      </c>
    </row>
    <row r="2721" spans="2:5" ht="18.75">
      <c r="B2721">
        <v>50</v>
      </c>
      <c r="C2721" s="5">
        <v>45999</v>
      </c>
      <c r="D2721" t="s">
        <v>139</v>
      </c>
      <c r="E2721">
        <v>345.8</v>
      </c>
    </row>
    <row r="2722" spans="2:5" ht="18.75">
      <c r="B2722">
        <v>50</v>
      </c>
      <c r="C2722" s="5">
        <v>45999</v>
      </c>
      <c r="D2722" t="s">
        <v>143</v>
      </c>
      <c r="E2722">
        <v>1651.15</v>
      </c>
    </row>
    <row r="2723" spans="2:5" ht="18.75">
      <c r="B2723">
        <v>50</v>
      </c>
      <c r="C2723" s="5">
        <v>45999</v>
      </c>
      <c r="D2723" t="s">
        <v>145</v>
      </c>
      <c r="E2723">
        <v>259.64999999999998</v>
      </c>
    </row>
    <row r="2724" spans="2:5" ht="18.75">
      <c r="B2724">
        <v>50</v>
      </c>
      <c r="C2724" s="5">
        <v>45999</v>
      </c>
      <c r="D2724" t="s">
        <v>146</v>
      </c>
      <c r="E2724">
        <v>651.41999999999996</v>
      </c>
    </row>
    <row r="2725" spans="2:5" ht="18.75">
      <c r="B2725">
        <v>50</v>
      </c>
      <c r="C2725" s="5">
        <v>45999</v>
      </c>
      <c r="D2725" t="s">
        <v>148</v>
      </c>
      <c r="E2725">
        <v>155.36000000000001</v>
      </c>
    </row>
    <row r="2726" spans="2:5" ht="18.75">
      <c r="B2726">
        <v>50</v>
      </c>
      <c r="C2726" s="5">
        <v>45999</v>
      </c>
      <c r="D2726" t="s">
        <v>147</v>
      </c>
      <c r="E2726">
        <v>403.34</v>
      </c>
    </row>
    <row r="2727" spans="2:5" ht="18.75">
      <c r="B2727">
        <v>50</v>
      </c>
      <c r="C2727" s="5">
        <v>45999</v>
      </c>
      <c r="D2727" t="s">
        <v>149</v>
      </c>
      <c r="E2727">
        <v>153.30000000000001</v>
      </c>
    </row>
    <row r="2728" spans="2:5" ht="18.75">
      <c r="B2728">
        <v>50</v>
      </c>
      <c r="C2728" s="5">
        <v>45999</v>
      </c>
      <c r="D2728" t="s">
        <v>150</v>
      </c>
      <c r="E2728">
        <v>105</v>
      </c>
    </row>
    <row r="2729" spans="2:5" ht="18.75">
      <c r="B2729">
        <v>50</v>
      </c>
      <c r="C2729" s="5">
        <v>45999</v>
      </c>
      <c r="D2729" t="s">
        <v>220</v>
      </c>
      <c r="E2729">
        <v>425.36</v>
      </c>
    </row>
    <row r="2730" spans="2:5" ht="18.75">
      <c r="B2730">
        <v>50</v>
      </c>
      <c r="C2730" s="5">
        <v>45999</v>
      </c>
      <c r="D2730" t="s">
        <v>127</v>
      </c>
      <c r="E2730">
        <v>326.38</v>
      </c>
    </row>
    <row r="2731" spans="2:5" ht="18.75">
      <c r="B2731">
        <v>50</v>
      </c>
      <c r="C2731" s="5">
        <v>45999</v>
      </c>
      <c r="D2731" t="s">
        <v>128</v>
      </c>
      <c r="E2731">
        <v>31.6</v>
      </c>
    </row>
    <row r="2732" spans="2:5" ht="18.75">
      <c r="B2732">
        <v>50</v>
      </c>
      <c r="C2732" s="5">
        <v>45999</v>
      </c>
      <c r="D2732" t="s">
        <v>151</v>
      </c>
      <c r="E2732">
        <v>276.39999999999998</v>
      </c>
    </row>
    <row r="2733" spans="2:5" ht="18.75">
      <c r="B2733">
        <v>51</v>
      </c>
      <c r="C2733" s="5">
        <v>46006</v>
      </c>
      <c r="D2733" t="s">
        <v>126</v>
      </c>
      <c r="E2733">
        <v>58.68</v>
      </c>
    </row>
    <row r="2734" spans="2:5" ht="18.75">
      <c r="B2734">
        <v>51</v>
      </c>
      <c r="C2734" s="5">
        <v>46006</v>
      </c>
      <c r="D2734" t="s">
        <v>143</v>
      </c>
      <c r="E2734">
        <v>1567.22</v>
      </c>
    </row>
    <row r="2735" spans="2:5" ht="18.75">
      <c r="B2735">
        <v>51</v>
      </c>
      <c r="C2735" s="5">
        <v>46006</v>
      </c>
      <c r="D2735" t="s">
        <v>127</v>
      </c>
      <c r="E2735">
        <v>213.45</v>
      </c>
    </row>
    <row r="2736" spans="2:5" ht="18.75">
      <c r="B2736">
        <v>51</v>
      </c>
      <c r="C2736" s="5">
        <v>46006</v>
      </c>
      <c r="D2736" t="s">
        <v>117</v>
      </c>
      <c r="E2736">
        <v>257.52999999999997</v>
      </c>
    </row>
    <row r="2737" spans="2:5" ht="18.75">
      <c r="B2737">
        <v>51</v>
      </c>
      <c r="C2737" s="5">
        <v>46006</v>
      </c>
      <c r="D2737" t="s">
        <v>134</v>
      </c>
      <c r="E2737">
        <v>330.69</v>
      </c>
    </row>
    <row r="2738" spans="2:5" ht="18.75">
      <c r="B2738">
        <v>51</v>
      </c>
      <c r="C2738" s="5">
        <v>46006</v>
      </c>
      <c r="D2738" t="s">
        <v>141</v>
      </c>
      <c r="E2738">
        <v>643.57000000000005</v>
      </c>
    </row>
    <row r="2739" spans="2:5" ht="18.75">
      <c r="B2739">
        <v>51</v>
      </c>
      <c r="C2739" s="5">
        <v>46006</v>
      </c>
      <c r="D2739" t="s">
        <v>146</v>
      </c>
      <c r="E2739">
        <v>671.12</v>
      </c>
    </row>
    <row r="2740" spans="2:5" ht="18.75">
      <c r="B2740">
        <v>51</v>
      </c>
      <c r="C2740" s="5">
        <v>46006</v>
      </c>
      <c r="D2740" t="s">
        <v>151</v>
      </c>
      <c r="E2740">
        <v>593.36</v>
      </c>
    </row>
    <row r="2741" spans="2:5" ht="18.75">
      <c r="B2741">
        <v>51</v>
      </c>
      <c r="C2741" s="5">
        <v>46006</v>
      </c>
      <c r="D2741" t="s">
        <v>114</v>
      </c>
      <c r="E2741">
        <v>311.73</v>
      </c>
    </row>
    <row r="2742" spans="2:5" ht="18.75">
      <c r="B2742">
        <v>51</v>
      </c>
      <c r="C2742" s="5">
        <v>46006</v>
      </c>
      <c r="D2742" t="s">
        <v>119</v>
      </c>
      <c r="E2742">
        <v>407.42</v>
      </c>
    </row>
    <row r="2743" spans="2:5" ht="18.75">
      <c r="B2743">
        <v>51</v>
      </c>
      <c r="C2743" s="5">
        <v>46006</v>
      </c>
      <c r="D2743" t="s">
        <v>133</v>
      </c>
      <c r="E2743">
        <v>307.45999999999998</v>
      </c>
    </row>
    <row r="2744" spans="2:5" ht="18.75">
      <c r="B2744">
        <v>51</v>
      </c>
      <c r="C2744" s="5">
        <v>46006</v>
      </c>
      <c r="D2744" t="s">
        <v>138</v>
      </c>
      <c r="E2744">
        <v>497.17</v>
      </c>
    </row>
    <row r="2745" spans="2:5" ht="18.75">
      <c r="B2745">
        <v>51</v>
      </c>
      <c r="C2745" s="5">
        <v>46006</v>
      </c>
      <c r="D2745" t="s">
        <v>145</v>
      </c>
      <c r="E2745">
        <v>342.92</v>
      </c>
    </row>
    <row r="2746" spans="2:5" ht="18.75">
      <c r="B2746">
        <v>51</v>
      </c>
      <c r="C2746" s="5">
        <v>46006</v>
      </c>
      <c r="D2746" t="s">
        <v>129</v>
      </c>
      <c r="E2746">
        <v>354.37</v>
      </c>
    </row>
    <row r="2747" spans="2:5" ht="18.75">
      <c r="B2747">
        <v>51</v>
      </c>
      <c r="C2747" s="5">
        <v>46006</v>
      </c>
      <c r="D2747" t="s">
        <v>111</v>
      </c>
      <c r="E2747">
        <v>182.24</v>
      </c>
    </row>
    <row r="2748" spans="2:5" ht="18.75">
      <c r="B2748">
        <v>51</v>
      </c>
      <c r="C2748" s="5">
        <v>46006</v>
      </c>
      <c r="D2748" t="s">
        <v>123</v>
      </c>
      <c r="E2748">
        <v>443.03</v>
      </c>
    </row>
    <row r="2749" spans="2:5" ht="18.75">
      <c r="B2749">
        <v>51</v>
      </c>
      <c r="C2749" s="5">
        <v>46006</v>
      </c>
      <c r="D2749" t="s">
        <v>124</v>
      </c>
      <c r="E2749">
        <v>367.7</v>
      </c>
    </row>
    <row r="2750" spans="2:5" ht="18.75">
      <c r="B2750">
        <v>51</v>
      </c>
      <c r="C2750" s="5">
        <v>46006</v>
      </c>
      <c r="D2750" t="s">
        <v>147</v>
      </c>
      <c r="E2750">
        <v>305.73</v>
      </c>
    </row>
    <row r="2751" spans="2:5" ht="18.75">
      <c r="B2751">
        <v>51</v>
      </c>
      <c r="C2751" s="5">
        <v>46006</v>
      </c>
      <c r="D2751" t="s">
        <v>113</v>
      </c>
      <c r="E2751">
        <v>237.11</v>
      </c>
    </row>
    <row r="2752" spans="2:5" ht="18.75">
      <c r="B2752">
        <v>51</v>
      </c>
      <c r="C2752" s="5">
        <v>46006</v>
      </c>
      <c r="D2752" t="s">
        <v>139</v>
      </c>
      <c r="E2752">
        <v>266.64</v>
      </c>
    </row>
    <row r="2753" spans="2:5" ht="18.75">
      <c r="B2753">
        <v>51</v>
      </c>
      <c r="C2753" s="5">
        <v>46006</v>
      </c>
      <c r="D2753" t="s">
        <v>112</v>
      </c>
      <c r="E2753">
        <v>85.51</v>
      </c>
    </row>
    <row r="2754" spans="2:5" ht="18.75">
      <c r="B2754">
        <v>51</v>
      </c>
      <c r="C2754" s="5">
        <v>46006</v>
      </c>
      <c r="D2754" t="s">
        <v>120</v>
      </c>
      <c r="E2754">
        <v>124.52</v>
      </c>
    </row>
    <row r="2755" spans="2:5" ht="18.75">
      <c r="B2755">
        <v>51</v>
      </c>
      <c r="C2755" s="5">
        <v>46006</v>
      </c>
      <c r="D2755" t="s">
        <v>122</v>
      </c>
      <c r="E2755">
        <v>267.27</v>
      </c>
    </row>
    <row r="2756" spans="2:5" ht="18.75">
      <c r="B2756">
        <v>51</v>
      </c>
      <c r="C2756" s="5">
        <v>46006</v>
      </c>
      <c r="D2756" t="s">
        <v>132</v>
      </c>
      <c r="E2756">
        <v>267.24</v>
      </c>
    </row>
    <row r="2757" spans="2:5" ht="18.75">
      <c r="B2757">
        <v>51</v>
      </c>
      <c r="C2757" s="5">
        <v>46006</v>
      </c>
      <c r="D2757" t="s">
        <v>148</v>
      </c>
      <c r="E2757">
        <v>111.92</v>
      </c>
    </row>
    <row r="2758" spans="2:5" ht="18.75">
      <c r="B2758">
        <v>51</v>
      </c>
      <c r="C2758" s="5">
        <v>46006</v>
      </c>
      <c r="D2758" t="s">
        <v>150</v>
      </c>
      <c r="E2758">
        <v>100.2</v>
      </c>
    </row>
    <row r="2759" spans="2:5" ht="18.75">
      <c r="B2759">
        <v>51</v>
      </c>
      <c r="C2759" s="5">
        <v>46006</v>
      </c>
      <c r="D2759" t="s">
        <v>116</v>
      </c>
      <c r="E2759">
        <v>97.55</v>
      </c>
    </row>
    <row r="2760" spans="2:5" ht="18.75">
      <c r="B2760">
        <v>51</v>
      </c>
      <c r="C2760" s="5">
        <v>46006</v>
      </c>
      <c r="D2760" t="s">
        <v>118</v>
      </c>
      <c r="E2760">
        <v>99.3</v>
      </c>
    </row>
    <row r="2761" spans="2:5" ht="18.75">
      <c r="B2761">
        <v>51</v>
      </c>
      <c r="C2761" s="5">
        <v>46006</v>
      </c>
      <c r="D2761" t="s">
        <v>121</v>
      </c>
      <c r="E2761">
        <v>108.88</v>
      </c>
    </row>
    <row r="2762" spans="2:5" ht="18.75">
      <c r="B2762">
        <v>51</v>
      </c>
      <c r="C2762" s="5">
        <v>46006</v>
      </c>
      <c r="D2762" t="s">
        <v>136</v>
      </c>
      <c r="E2762">
        <v>115.32</v>
      </c>
    </row>
    <row r="2763" spans="2:5" ht="18.75">
      <c r="B2763">
        <v>51</v>
      </c>
      <c r="C2763" s="5">
        <v>46006</v>
      </c>
      <c r="D2763" t="s">
        <v>125</v>
      </c>
      <c r="E2763">
        <v>73.180000000000007</v>
      </c>
    </row>
    <row r="2764" spans="2:5" ht="18.75">
      <c r="B2764">
        <v>51</v>
      </c>
      <c r="C2764" s="5">
        <v>46006</v>
      </c>
      <c r="D2764" t="s">
        <v>135</v>
      </c>
      <c r="E2764">
        <v>72.400000000000006</v>
      </c>
    </row>
    <row r="2765" spans="2:5" ht="18.75">
      <c r="B2765">
        <v>51</v>
      </c>
      <c r="C2765" s="5">
        <v>46006</v>
      </c>
      <c r="D2765" t="s">
        <v>137</v>
      </c>
      <c r="E2765">
        <v>58.71</v>
      </c>
    </row>
    <row r="2766" spans="2:5" ht="18.75">
      <c r="B2766">
        <v>51</v>
      </c>
      <c r="C2766" s="5">
        <v>46006</v>
      </c>
      <c r="D2766" t="s">
        <v>140</v>
      </c>
      <c r="E2766">
        <v>100.83</v>
      </c>
    </row>
    <row r="2767" spans="2:5" ht="18.75">
      <c r="B2767">
        <v>51</v>
      </c>
      <c r="C2767" s="5">
        <v>46006</v>
      </c>
      <c r="D2767" t="s">
        <v>149</v>
      </c>
      <c r="E2767">
        <v>160.16</v>
      </c>
    </row>
    <row r="2768" spans="2:5" ht="18.75">
      <c r="B2768">
        <v>51</v>
      </c>
      <c r="C2768" s="5">
        <v>46006</v>
      </c>
      <c r="D2768" t="s">
        <v>142</v>
      </c>
      <c r="E2768">
        <v>117.93</v>
      </c>
    </row>
    <row r="2769" spans="2:5" ht="18.75">
      <c r="B2769">
        <v>51</v>
      </c>
      <c r="C2769" s="5">
        <v>46006</v>
      </c>
      <c r="D2769" t="s">
        <v>128</v>
      </c>
      <c r="E2769">
        <v>5.73</v>
      </c>
    </row>
    <row r="2770" spans="2:5" ht="18.75">
      <c r="B2770">
        <v>52</v>
      </c>
      <c r="C2770" s="5">
        <v>46013</v>
      </c>
      <c r="D2770" t="s">
        <v>111</v>
      </c>
      <c r="E2770">
        <v>87.18</v>
      </c>
    </row>
    <row r="2771" spans="2:5" ht="18.75">
      <c r="B2771">
        <v>52</v>
      </c>
      <c r="C2771" s="5">
        <v>46013</v>
      </c>
      <c r="D2771" t="s">
        <v>112</v>
      </c>
      <c r="E2771">
        <v>29.67</v>
      </c>
    </row>
    <row r="2772" spans="2:5" ht="18.75">
      <c r="B2772">
        <v>52</v>
      </c>
      <c r="C2772" s="5">
        <v>46013</v>
      </c>
      <c r="D2772" t="s">
        <v>113</v>
      </c>
      <c r="E2772">
        <v>50.08</v>
      </c>
    </row>
    <row r="2773" spans="2:5" ht="18.75">
      <c r="B2773">
        <v>52</v>
      </c>
      <c r="C2773" s="5">
        <v>46013</v>
      </c>
      <c r="D2773" t="s">
        <v>114</v>
      </c>
      <c r="E2773">
        <v>156.47999999999999</v>
      </c>
    </row>
    <row r="2774" spans="2:5" ht="18.75">
      <c r="B2774">
        <v>52</v>
      </c>
      <c r="C2774" s="5">
        <v>46013</v>
      </c>
      <c r="D2774" t="s">
        <v>116</v>
      </c>
      <c r="E2774">
        <v>43.67</v>
      </c>
    </row>
    <row r="2775" spans="2:5" ht="18.75">
      <c r="B2775">
        <v>52</v>
      </c>
      <c r="C2775" s="5">
        <v>46013</v>
      </c>
      <c r="D2775" t="s">
        <v>117</v>
      </c>
      <c r="E2775">
        <v>95.3</v>
      </c>
    </row>
    <row r="2776" spans="2:5" ht="18.75">
      <c r="B2776">
        <v>52</v>
      </c>
      <c r="C2776" s="5">
        <v>46013</v>
      </c>
      <c r="D2776" t="s">
        <v>118</v>
      </c>
      <c r="E2776">
        <v>53.73</v>
      </c>
    </row>
    <row r="2777" spans="2:5" ht="18.75">
      <c r="B2777">
        <v>52</v>
      </c>
      <c r="C2777" s="5">
        <v>46013</v>
      </c>
      <c r="D2777" t="s">
        <v>119</v>
      </c>
      <c r="E2777">
        <v>178.25</v>
      </c>
    </row>
    <row r="2778" spans="2:5" ht="18.75">
      <c r="B2778">
        <v>52</v>
      </c>
      <c r="C2778" s="5">
        <v>46013</v>
      </c>
      <c r="D2778" t="s">
        <v>120</v>
      </c>
      <c r="E2778">
        <v>67.13</v>
      </c>
    </row>
    <row r="2779" spans="2:5" ht="18.75">
      <c r="B2779">
        <v>52</v>
      </c>
      <c r="C2779" s="5">
        <v>46013</v>
      </c>
      <c r="D2779" t="s">
        <v>121</v>
      </c>
      <c r="E2779">
        <v>76.36</v>
      </c>
    </row>
    <row r="2780" spans="2:5" ht="18.75">
      <c r="B2780">
        <v>52</v>
      </c>
      <c r="C2780" s="5">
        <v>46013</v>
      </c>
      <c r="D2780" t="s">
        <v>122</v>
      </c>
      <c r="E2780">
        <v>78.28</v>
      </c>
    </row>
    <row r="2781" spans="2:5" ht="18.75">
      <c r="B2781">
        <v>52</v>
      </c>
      <c r="C2781" s="5">
        <v>46013</v>
      </c>
      <c r="D2781" t="s">
        <v>123</v>
      </c>
      <c r="E2781">
        <v>357.06</v>
      </c>
    </row>
    <row r="2782" spans="2:5" ht="18.75">
      <c r="B2782">
        <v>52</v>
      </c>
      <c r="C2782" s="5">
        <v>46013</v>
      </c>
      <c r="D2782" t="s">
        <v>124</v>
      </c>
      <c r="E2782">
        <v>259.72000000000003</v>
      </c>
    </row>
    <row r="2783" spans="2:5" ht="18.75">
      <c r="B2783">
        <v>52</v>
      </c>
      <c r="C2783" s="5">
        <v>46013</v>
      </c>
      <c r="D2783" t="s">
        <v>127</v>
      </c>
      <c r="E2783">
        <v>128.37</v>
      </c>
    </row>
    <row r="2784" spans="2:5" ht="18.75">
      <c r="B2784">
        <v>52</v>
      </c>
      <c r="C2784" s="5">
        <v>46013</v>
      </c>
      <c r="D2784" t="s">
        <v>132</v>
      </c>
      <c r="E2784">
        <v>99.65</v>
      </c>
    </row>
    <row r="2785" spans="2:5" ht="18.75">
      <c r="B2785">
        <v>52</v>
      </c>
      <c r="C2785" s="5">
        <v>46013</v>
      </c>
      <c r="D2785" t="s">
        <v>133</v>
      </c>
      <c r="E2785">
        <v>122.9</v>
      </c>
    </row>
    <row r="2786" spans="2:5" ht="18.75">
      <c r="B2786">
        <v>52</v>
      </c>
      <c r="C2786" s="5">
        <v>46013</v>
      </c>
      <c r="D2786" t="s">
        <v>134</v>
      </c>
      <c r="E2786">
        <v>111.5</v>
      </c>
    </row>
    <row r="2787" spans="2:5" ht="18.75">
      <c r="B2787">
        <v>52</v>
      </c>
      <c r="C2787" s="5">
        <v>46013</v>
      </c>
      <c r="D2787" t="s">
        <v>136</v>
      </c>
      <c r="E2787">
        <v>48.72</v>
      </c>
    </row>
    <row r="2788" spans="2:5" ht="18.75">
      <c r="B2788">
        <v>52</v>
      </c>
      <c r="C2788" s="5">
        <v>46013</v>
      </c>
      <c r="D2788" t="s">
        <v>138</v>
      </c>
      <c r="E2788">
        <v>224.06</v>
      </c>
    </row>
    <row r="2789" spans="2:5" ht="18.75">
      <c r="B2789">
        <v>52</v>
      </c>
      <c r="C2789" s="5">
        <v>46013</v>
      </c>
      <c r="D2789" t="s">
        <v>142</v>
      </c>
      <c r="E2789">
        <v>63.79</v>
      </c>
    </row>
    <row r="2790" spans="2:5" ht="18.75">
      <c r="B2790">
        <v>52</v>
      </c>
      <c r="C2790" s="5">
        <v>46013</v>
      </c>
      <c r="D2790" t="s">
        <v>139</v>
      </c>
      <c r="E2790">
        <v>225.91</v>
      </c>
    </row>
    <row r="2791" spans="2:5" ht="18.75">
      <c r="B2791">
        <v>52</v>
      </c>
      <c r="C2791" s="5">
        <v>46013</v>
      </c>
      <c r="D2791" t="s">
        <v>143</v>
      </c>
      <c r="E2791">
        <v>890.63</v>
      </c>
    </row>
    <row r="2792" spans="2:5" ht="18.75">
      <c r="B2792">
        <v>52</v>
      </c>
      <c r="C2792" s="5">
        <v>46013</v>
      </c>
      <c r="D2792" t="s">
        <v>145</v>
      </c>
      <c r="E2792">
        <v>81.09</v>
      </c>
    </row>
    <row r="2793" spans="2:5" ht="18.75">
      <c r="B2793">
        <v>52</v>
      </c>
      <c r="C2793" s="5">
        <v>46013</v>
      </c>
      <c r="D2793" t="s">
        <v>146</v>
      </c>
      <c r="E2793">
        <v>185.73</v>
      </c>
    </row>
    <row r="2794" spans="2:5" ht="18.75">
      <c r="B2794">
        <v>52</v>
      </c>
      <c r="C2794" s="5">
        <v>46013</v>
      </c>
      <c r="D2794" t="s">
        <v>148</v>
      </c>
      <c r="E2794">
        <v>28.62</v>
      </c>
    </row>
    <row r="2795" spans="2:5" ht="18.75">
      <c r="B2795">
        <v>52</v>
      </c>
      <c r="C2795" s="5">
        <v>46013</v>
      </c>
      <c r="D2795" t="s">
        <v>147</v>
      </c>
      <c r="E2795">
        <v>147.28</v>
      </c>
    </row>
    <row r="2796" spans="2:5" ht="18.75">
      <c r="B2796">
        <v>52</v>
      </c>
      <c r="C2796" s="5">
        <v>46013</v>
      </c>
      <c r="D2796" t="s">
        <v>151</v>
      </c>
      <c r="E2796">
        <v>246.53</v>
      </c>
    </row>
    <row r="2797" spans="2:5" ht="18.75">
      <c r="B2797">
        <v>52</v>
      </c>
      <c r="C2797" s="5">
        <v>46013</v>
      </c>
      <c r="D2797" t="s">
        <v>129</v>
      </c>
      <c r="E2797">
        <v>282.56</v>
      </c>
    </row>
    <row r="2798" spans="2:5" ht="18.75">
      <c r="B2798">
        <v>52</v>
      </c>
      <c r="C2798" s="5">
        <v>46013</v>
      </c>
      <c r="D2798" t="s">
        <v>141</v>
      </c>
      <c r="E2798">
        <v>174.99</v>
      </c>
    </row>
    <row r="2799" spans="2:5" ht="18.75">
      <c r="B2799">
        <v>52</v>
      </c>
      <c r="C2799" s="5">
        <v>46013</v>
      </c>
      <c r="D2799" t="s">
        <v>125</v>
      </c>
      <c r="E2799">
        <v>21.82</v>
      </c>
    </row>
    <row r="2800" spans="2:5" ht="18.75">
      <c r="B2800">
        <v>52</v>
      </c>
      <c r="C2800" s="5">
        <v>46013</v>
      </c>
      <c r="D2800" t="s">
        <v>135</v>
      </c>
      <c r="E2800">
        <v>24.82</v>
      </c>
    </row>
    <row r="2801" spans="2:5" ht="18.75">
      <c r="B2801">
        <v>52</v>
      </c>
      <c r="C2801" s="5">
        <v>46013</v>
      </c>
      <c r="D2801" t="s">
        <v>137</v>
      </c>
      <c r="E2801">
        <v>26.52</v>
      </c>
    </row>
    <row r="2802" spans="2:5" ht="18.75">
      <c r="B2802">
        <v>52</v>
      </c>
      <c r="C2802" s="5">
        <v>46013</v>
      </c>
      <c r="D2802" t="s">
        <v>140</v>
      </c>
      <c r="E2802">
        <v>27.37</v>
      </c>
    </row>
    <row r="2803" spans="2:5" ht="18.75">
      <c r="B2803">
        <v>52</v>
      </c>
      <c r="C2803" s="5">
        <v>46013</v>
      </c>
      <c r="D2803" t="s">
        <v>149</v>
      </c>
      <c r="E2803">
        <v>66.489999999999995</v>
      </c>
    </row>
    <row r="2804" spans="2:5" ht="18.75">
      <c r="B2804">
        <v>52</v>
      </c>
      <c r="C2804" s="5">
        <v>46013</v>
      </c>
      <c r="D2804" t="s">
        <v>150</v>
      </c>
      <c r="E2804">
        <v>37.159999999999997</v>
      </c>
    </row>
    <row r="2805" spans="2:5" ht="18.75">
      <c r="B2805">
        <v>52</v>
      </c>
      <c r="C2805" s="5">
        <v>46013</v>
      </c>
      <c r="D2805" t="s">
        <v>126</v>
      </c>
      <c r="E2805">
        <v>20.91</v>
      </c>
    </row>
    <row r="2806" spans="2:5" ht="18.75">
      <c r="B2806">
        <v>1</v>
      </c>
      <c r="C2806" s="5">
        <v>46020</v>
      </c>
      <c r="D2806" t="s">
        <v>111</v>
      </c>
      <c r="E2806">
        <v>53.09</v>
      </c>
    </row>
    <row r="2807" spans="2:5" ht="18.75">
      <c r="B2807">
        <v>1</v>
      </c>
      <c r="C2807" s="5">
        <v>46020</v>
      </c>
      <c r="D2807" t="s">
        <v>112</v>
      </c>
      <c r="E2807">
        <v>36.44</v>
      </c>
    </row>
    <row r="2808" spans="2:5" ht="18.75">
      <c r="B2808">
        <v>1</v>
      </c>
      <c r="C2808" s="5">
        <v>46020</v>
      </c>
      <c r="D2808" t="s">
        <v>113</v>
      </c>
      <c r="E2808">
        <v>62.61</v>
      </c>
    </row>
    <row r="2809" spans="2:5" ht="18.75">
      <c r="B2809">
        <v>1</v>
      </c>
      <c r="C2809" s="5">
        <v>46020</v>
      </c>
      <c r="D2809" t="s">
        <v>114</v>
      </c>
      <c r="E2809">
        <v>68.709999999999994</v>
      </c>
    </row>
    <row r="2810" spans="2:5" ht="18.75">
      <c r="B2810">
        <v>1</v>
      </c>
      <c r="C2810" s="5">
        <v>46020</v>
      </c>
      <c r="D2810" t="s">
        <v>117</v>
      </c>
      <c r="E2810">
        <v>71.2</v>
      </c>
    </row>
    <row r="2811" spans="2:5" ht="18.75">
      <c r="B2811">
        <v>1</v>
      </c>
      <c r="C2811" s="5">
        <v>46020</v>
      </c>
      <c r="D2811" t="s">
        <v>118</v>
      </c>
      <c r="E2811">
        <v>51.86</v>
      </c>
    </row>
    <row r="2812" spans="2:5" ht="18.75">
      <c r="B2812">
        <v>1</v>
      </c>
      <c r="C2812" s="5">
        <v>46020</v>
      </c>
      <c r="D2812" t="s">
        <v>119</v>
      </c>
      <c r="E2812">
        <v>168.81</v>
      </c>
    </row>
    <row r="2813" spans="2:5" ht="18.75">
      <c r="B2813">
        <v>1</v>
      </c>
      <c r="C2813" s="5">
        <v>46020</v>
      </c>
      <c r="D2813" t="s">
        <v>120</v>
      </c>
      <c r="E2813">
        <v>49.46</v>
      </c>
    </row>
    <row r="2814" spans="2:5" ht="18.75">
      <c r="B2814">
        <v>1</v>
      </c>
      <c r="C2814" s="5">
        <v>46020</v>
      </c>
      <c r="D2814" t="s">
        <v>121</v>
      </c>
      <c r="E2814">
        <v>34.479999999999997</v>
      </c>
    </row>
    <row r="2815" spans="2:5" ht="18.75">
      <c r="B2815">
        <v>1</v>
      </c>
      <c r="C2815" s="5">
        <v>46020</v>
      </c>
      <c r="D2815" t="s">
        <v>122</v>
      </c>
      <c r="E2815">
        <v>114.3</v>
      </c>
    </row>
    <row r="2816" spans="2:5" ht="18.75">
      <c r="B2816">
        <v>1</v>
      </c>
      <c r="C2816" s="5">
        <v>46020</v>
      </c>
      <c r="D2816" t="s">
        <v>123</v>
      </c>
      <c r="E2816">
        <v>203.92</v>
      </c>
    </row>
    <row r="2817" spans="2:5" ht="18.75">
      <c r="B2817">
        <v>1</v>
      </c>
      <c r="C2817" s="5">
        <v>46020</v>
      </c>
      <c r="D2817" t="s">
        <v>124</v>
      </c>
      <c r="E2817">
        <v>149.02000000000001</v>
      </c>
    </row>
    <row r="2818" spans="2:5" ht="18.75">
      <c r="B2818">
        <v>1</v>
      </c>
      <c r="C2818" s="5">
        <v>46020</v>
      </c>
      <c r="D2818" t="s">
        <v>126</v>
      </c>
      <c r="E2818">
        <v>21.24</v>
      </c>
    </row>
    <row r="2819" spans="2:5" ht="18.75">
      <c r="B2819">
        <v>1</v>
      </c>
      <c r="C2819" s="5">
        <v>46020</v>
      </c>
      <c r="D2819" t="s">
        <v>132</v>
      </c>
      <c r="E2819">
        <v>66.760000000000005</v>
      </c>
    </row>
    <row r="2820" spans="2:5" ht="18.75">
      <c r="B2820">
        <v>1</v>
      </c>
      <c r="C2820" s="5">
        <v>46020</v>
      </c>
      <c r="D2820" t="s">
        <v>133</v>
      </c>
      <c r="E2820">
        <v>134.91</v>
      </c>
    </row>
    <row r="2821" spans="2:5" ht="18.75">
      <c r="B2821">
        <v>1</v>
      </c>
      <c r="C2821" s="5">
        <v>46020</v>
      </c>
      <c r="D2821" t="s">
        <v>134</v>
      </c>
      <c r="E2821">
        <v>125.65</v>
      </c>
    </row>
    <row r="2822" spans="2:5" ht="18.75">
      <c r="B2822">
        <v>1</v>
      </c>
      <c r="C2822" s="5">
        <v>46020</v>
      </c>
      <c r="D2822" t="s">
        <v>138</v>
      </c>
      <c r="E2822">
        <v>215.28</v>
      </c>
    </row>
    <row r="2823" spans="2:5" ht="18.75">
      <c r="B2823">
        <v>1</v>
      </c>
      <c r="C2823" s="5">
        <v>46020</v>
      </c>
      <c r="D2823" t="s">
        <v>139</v>
      </c>
      <c r="E2823">
        <v>215.1</v>
      </c>
    </row>
    <row r="2824" spans="2:5" ht="18.75">
      <c r="B2824">
        <v>1</v>
      </c>
      <c r="C2824" s="5">
        <v>46020</v>
      </c>
      <c r="D2824" t="s">
        <v>143</v>
      </c>
      <c r="E2824">
        <v>688.35</v>
      </c>
    </row>
    <row r="2825" spans="2:5" ht="18.75">
      <c r="B2825">
        <v>1</v>
      </c>
      <c r="C2825" s="5">
        <v>46020</v>
      </c>
      <c r="D2825" t="s">
        <v>145</v>
      </c>
      <c r="E2825">
        <v>65.239999999999995</v>
      </c>
    </row>
    <row r="2826" spans="2:5" ht="18.75">
      <c r="B2826">
        <v>1</v>
      </c>
      <c r="C2826" s="5">
        <v>46020</v>
      </c>
      <c r="D2826" t="s">
        <v>146</v>
      </c>
      <c r="E2826">
        <v>149.36000000000001</v>
      </c>
    </row>
    <row r="2827" spans="2:5" ht="18.75">
      <c r="B2827">
        <v>1</v>
      </c>
      <c r="C2827" s="5">
        <v>46020</v>
      </c>
      <c r="D2827" t="s">
        <v>148</v>
      </c>
      <c r="E2827">
        <v>27.92</v>
      </c>
    </row>
    <row r="2828" spans="2:5" ht="18.75">
      <c r="B2828">
        <v>1</v>
      </c>
      <c r="C2828" s="5">
        <v>46020</v>
      </c>
      <c r="D2828" t="s">
        <v>147</v>
      </c>
      <c r="E2828">
        <v>127.05</v>
      </c>
    </row>
    <row r="2829" spans="2:5" ht="18.75">
      <c r="B2829">
        <v>1</v>
      </c>
      <c r="C2829" s="5">
        <v>46020</v>
      </c>
      <c r="D2829" t="s">
        <v>149</v>
      </c>
      <c r="E2829">
        <v>92.19</v>
      </c>
    </row>
    <row r="2830" spans="2:5" ht="18.75">
      <c r="B2830">
        <v>1</v>
      </c>
      <c r="C2830" s="5">
        <v>46020</v>
      </c>
      <c r="D2830" t="s">
        <v>151</v>
      </c>
      <c r="E2830">
        <v>222.12</v>
      </c>
    </row>
    <row r="2831" spans="2:5" ht="18.75">
      <c r="B2831">
        <v>1</v>
      </c>
      <c r="C2831" s="5">
        <v>46020</v>
      </c>
      <c r="D2831" t="s">
        <v>116</v>
      </c>
      <c r="E2831">
        <v>20.100000000000001</v>
      </c>
    </row>
    <row r="2832" spans="2:5" ht="18.75">
      <c r="B2832">
        <v>1</v>
      </c>
      <c r="C2832" s="5">
        <v>46020</v>
      </c>
      <c r="D2832" t="s">
        <v>125</v>
      </c>
      <c r="E2832">
        <v>16.02</v>
      </c>
    </row>
    <row r="2833" spans="2:5" ht="18.75">
      <c r="B2833">
        <v>1</v>
      </c>
      <c r="C2833" s="5">
        <v>46020</v>
      </c>
      <c r="D2833" t="s">
        <v>127</v>
      </c>
      <c r="E2833">
        <v>53.95</v>
      </c>
    </row>
    <row r="2834" spans="2:5" ht="18.75">
      <c r="B2834">
        <v>1</v>
      </c>
      <c r="C2834" s="5">
        <v>46020</v>
      </c>
      <c r="D2834" t="s">
        <v>129</v>
      </c>
      <c r="E2834">
        <v>216.34</v>
      </c>
    </row>
    <row r="2835" spans="2:5" ht="18.75">
      <c r="B2835">
        <v>1</v>
      </c>
      <c r="C2835" s="5">
        <v>46020</v>
      </c>
      <c r="D2835" t="s">
        <v>135</v>
      </c>
      <c r="E2835">
        <v>16.02</v>
      </c>
    </row>
    <row r="2836" spans="2:5" ht="18.75">
      <c r="B2836">
        <v>1</v>
      </c>
      <c r="C2836" s="5">
        <v>46020</v>
      </c>
      <c r="D2836" t="s">
        <v>136</v>
      </c>
      <c r="E2836">
        <v>16.02</v>
      </c>
    </row>
    <row r="2837" spans="2:5" ht="18.75">
      <c r="B2837">
        <v>1</v>
      </c>
      <c r="C2837" s="5">
        <v>46020</v>
      </c>
      <c r="D2837" t="s">
        <v>137</v>
      </c>
      <c r="E2837">
        <v>16.02</v>
      </c>
    </row>
    <row r="2838" spans="2:5" ht="18.75">
      <c r="B2838">
        <v>2</v>
      </c>
      <c r="C2838" s="5">
        <v>46027</v>
      </c>
      <c r="D2838" t="s">
        <v>111</v>
      </c>
      <c r="E2838">
        <v>171.13</v>
      </c>
    </row>
    <row r="2839" spans="2:5" ht="18.75">
      <c r="B2839">
        <v>2</v>
      </c>
      <c r="C2839" s="5">
        <v>46027</v>
      </c>
      <c r="D2839" t="s">
        <v>112</v>
      </c>
      <c r="E2839">
        <v>84.76</v>
      </c>
    </row>
    <row r="2840" spans="2:5" ht="18.75">
      <c r="B2840">
        <v>2</v>
      </c>
      <c r="C2840" s="5">
        <v>46027</v>
      </c>
      <c r="D2840" t="s">
        <v>113</v>
      </c>
      <c r="E2840">
        <v>159.91999999999999</v>
      </c>
    </row>
    <row r="2841" spans="2:5" ht="18.75">
      <c r="B2841">
        <v>2</v>
      </c>
      <c r="C2841" s="5">
        <v>46027</v>
      </c>
      <c r="D2841" t="s">
        <v>114</v>
      </c>
      <c r="E2841">
        <v>298.45999999999998</v>
      </c>
    </row>
    <row r="2842" spans="2:5" ht="18.75">
      <c r="B2842">
        <v>2</v>
      </c>
      <c r="C2842" s="5">
        <v>46027</v>
      </c>
      <c r="D2842" t="s">
        <v>116</v>
      </c>
      <c r="E2842">
        <v>77.040000000000006</v>
      </c>
    </row>
    <row r="2843" spans="2:5" ht="18.75">
      <c r="B2843">
        <v>2</v>
      </c>
      <c r="C2843" s="5">
        <v>46027</v>
      </c>
      <c r="D2843" t="s">
        <v>117</v>
      </c>
      <c r="E2843">
        <v>228.55</v>
      </c>
    </row>
    <row r="2844" spans="2:5" ht="18.75">
      <c r="B2844">
        <v>2</v>
      </c>
      <c r="C2844" s="5">
        <v>46027</v>
      </c>
      <c r="D2844" t="s">
        <v>118</v>
      </c>
      <c r="E2844">
        <v>119.59</v>
      </c>
    </row>
    <row r="2845" spans="2:5" ht="18.75">
      <c r="B2845">
        <v>2</v>
      </c>
      <c r="C2845" s="5">
        <v>46027</v>
      </c>
      <c r="D2845" t="s">
        <v>119</v>
      </c>
      <c r="E2845">
        <v>434.75</v>
      </c>
    </row>
    <row r="2846" spans="2:5" ht="18.75">
      <c r="B2846">
        <v>2</v>
      </c>
      <c r="C2846" s="5">
        <v>46027</v>
      </c>
      <c r="D2846" t="s">
        <v>120</v>
      </c>
      <c r="E2846">
        <v>143.26</v>
      </c>
    </row>
    <row r="2847" spans="2:5" ht="18.75">
      <c r="B2847">
        <v>2</v>
      </c>
      <c r="C2847" s="5">
        <v>46027</v>
      </c>
      <c r="D2847" t="s">
        <v>121</v>
      </c>
      <c r="E2847">
        <v>77.45</v>
      </c>
    </row>
    <row r="2848" spans="2:5" ht="18.75">
      <c r="B2848">
        <v>2</v>
      </c>
      <c r="C2848" s="5">
        <v>46027</v>
      </c>
      <c r="D2848" t="s">
        <v>122</v>
      </c>
      <c r="E2848">
        <v>251.76</v>
      </c>
    </row>
    <row r="2849" spans="2:5" ht="18.75">
      <c r="B2849">
        <v>2</v>
      </c>
      <c r="C2849" s="5">
        <v>46027</v>
      </c>
      <c r="D2849" t="s">
        <v>123</v>
      </c>
      <c r="E2849">
        <v>399.47</v>
      </c>
    </row>
    <row r="2850" spans="2:5" ht="18.75">
      <c r="B2850">
        <v>2</v>
      </c>
      <c r="C2850" s="5">
        <v>46027</v>
      </c>
      <c r="D2850" t="s">
        <v>124</v>
      </c>
      <c r="E2850">
        <v>286.36</v>
      </c>
    </row>
    <row r="2851" spans="2:5" ht="18.75">
      <c r="B2851">
        <v>2</v>
      </c>
      <c r="C2851" s="5">
        <v>46027</v>
      </c>
      <c r="D2851" t="s">
        <v>126</v>
      </c>
      <c r="E2851">
        <v>100.05</v>
      </c>
    </row>
    <row r="2852" spans="2:5" ht="18.75">
      <c r="B2852">
        <v>2</v>
      </c>
      <c r="C2852" s="5">
        <v>46027</v>
      </c>
      <c r="D2852" t="s">
        <v>129</v>
      </c>
      <c r="E2852">
        <v>421.35</v>
      </c>
    </row>
    <row r="2853" spans="2:5" ht="18.75">
      <c r="B2853">
        <v>2</v>
      </c>
      <c r="C2853" s="5">
        <v>46027</v>
      </c>
      <c r="D2853" t="s">
        <v>132</v>
      </c>
      <c r="E2853">
        <v>179.52</v>
      </c>
    </row>
    <row r="2854" spans="2:5" ht="18.75">
      <c r="B2854">
        <v>2</v>
      </c>
      <c r="C2854" s="5">
        <v>46027</v>
      </c>
      <c r="D2854" t="s">
        <v>133</v>
      </c>
      <c r="E2854">
        <v>287.04000000000002</v>
      </c>
    </row>
    <row r="2855" spans="2:5" ht="18.75">
      <c r="B2855">
        <v>2</v>
      </c>
      <c r="C2855" s="5">
        <v>46027</v>
      </c>
      <c r="D2855" t="s">
        <v>134</v>
      </c>
      <c r="E2855">
        <v>334.77</v>
      </c>
    </row>
    <row r="2856" spans="2:5" ht="18.75">
      <c r="B2856">
        <v>2</v>
      </c>
      <c r="C2856" s="5">
        <v>46027</v>
      </c>
      <c r="D2856" t="s">
        <v>138</v>
      </c>
      <c r="E2856">
        <v>482.27</v>
      </c>
    </row>
    <row r="2857" spans="2:5" ht="18.75">
      <c r="B2857">
        <v>2</v>
      </c>
      <c r="C2857" s="5">
        <v>46027</v>
      </c>
      <c r="D2857" t="s">
        <v>140</v>
      </c>
      <c r="E2857">
        <v>85.7</v>
      </c>
    </row>
    <row r="2858" spans="2:5" ht="18.75">
      <c r="B2858">
        <v>2</v>
      </c>
      <c r="C2858" s="5">
        <v>46027</v>
      </c>
      <c r="D2858" t="s">
        <v>141</v>
      </c>
      <c r="E2858">
        <v>425.62</v>
      </c>
    </row>
    <row r="2859" spans="2:5" ht="18.75">
      <c r="B2859">
        <v>2</v>
      </c>
      <c r="C2859" s="5">
        <v>46027</v>
      </c>
      <c r="D2859" t="s">
        <v>142</v>
      </c>
      <c r="E2859">
        <v>151.94</v>
      </c>
    </row>
    <row r="2860" spans="2:5" ht="18.75">
      <c r="B2860">
        <v>2</v>
      </c>
      <c r="C2860" s="5">
        <v>46027</v>
      </c>
      <c r="D2860" t="s">
        <v>139</v>
      </c>
      <c r="E2860">
        <v>225.83</v>
      </c>
    </row>
    <row r="2861" spans="2:5" ht="18.75">
      <c r="B2861">
        <v>2</v>
      </c>
      <c r="C2861" s="5">
        <v>46027</v>
      </c>
      <c r="D2861" t="s">
        <v>143</v>
      </c>
      <c r="E2861">
        <v>1409.33</v>
      </c>
    </row>
    <row r="2862" spans="2:5" ht="18.75">
      <c r="B2862">
        <v>2</v>
      </c>
      <c r="C2862" s="5">
        <v>46027</v>
      </c>
      <c r="D2862" t="s">
        <v>145</v>
      </c>
      <c r="E2862">
        <v>320.94</v>
      </c>
    </row>
    <row r="2863" spans="2:5" ht="18.75">
      <c r="B2863">
        <v>2</v>
      </c>
      <c r="C2863" s="5">
        <v>46027</v>
      </c>
      <c r="D2863" t="s">
        <v>146</v>
      </c>
      <c r="E2863">
        <v>676.23</v>
      </c>
    </row>
    <row r="2864" spans="2:5" ht="18.75">
      <c r="B2864">
        <v>2</v>
      </c>
      <c r="C2864" s="5">
        <v>46027</v>
      </c>
      <c r="D2864" t="s">
        <v>148</v>
      </c>
      <c r="E2864">
        <v>101.26</v>
      </c>
    </row>
    <row r="2865" spans="2:5" ht="18.75">
      <c r="B2865">
        <v>2</v>
      </c>
      <c r="C2865" s="5">
        <v>46027</v>
      </c>
      <c r="D2865" t="s">
        <v>147</v>
      </c>
      <c r="E2865">
        <v>265.98</v>
      </c>
    </row>
    <row r="2866" spans="2:5" ht="18.75">
      <c r="B2866">
        <v>2</v>
      </c>
      <c r="C2866" s="5">
        <v>46027</v>
      </c>
      <c r="D2866" t="s">
        <v>150</v>
      </c>
      <c r="E2866">
        <v>83.55</v>
      </c>
    </row>
    <row r="2867" spans="2:5" ht="18.75">
      <c r="B2867">
        <v>2</v>
      </c>
      <c r="C2867" s="5">
        <v>46027</v>
      </c>
      <c r="D2867" t="s">
        <v>151</v>
      </c>
      <c r="E2867">
        <v>585.16</v>
      </c>
    </row>
    <row r="2868" spans="2:5" ht="18.75">
      <c r="B2868">
        <v>2</v>
      </c>
      <c r="C2868" s="5">
        <v>46027</v>
      </c>
      <c r="D2868" t="s">
        <v>125</v>
      </c>
      <c r="E2868">
        <v>54.96</v>
      </c>
    </row>
    <row r="2869" spans="2:5" ht="18.75">
      <c r="B2869">
        <v>2</v>
      </c>
      <c r="C2869" s="5">
        <v>46027</v>
      </c>
      <c r="D2869" t="s">
        <v>135</v>
      </c>
      <c r="E2869">
        <v>62.68</v>
      </c>
    </row>
    <row r="2870" spans="2:5" ht="18.75">
      <c r="B2870">
        <v>2</v>
      </c>
      <c r="C2870" s="5">
        <v>46027</v>
      </c>
      <c r="D2870" t="s">
        <v>136</v>
      </c>
      <c r="E2870">
        <v>66.17</v>
      </c>
    </row>
    <row r="2871" spans="2:5" ht="18.75">
      <c r="B2871">
        <v>2</v>
      </c>
      <c r="C2871" s="5">
        <v>46027</v>
      </c>
      <c r="D2871" t="s">
        <v>137</v>
      </c>
      <c r="E2871">
        <v>55.6</v>
      </c>
    </row>
    <row r="2872" spans="2:5" ht="18.75">
      <c r="B2872">
        <v>2</v>
      </c>
      <c r="C2872" s="5">
        <v>46027</v>
      </c>
      <c r="D2872" t="s">
        <v>149</v>
      </c>
      <c r="E2872">
        <v>177.61</v>
      </c>
    </row>
    <row r="2873" spans="2:5" ht="18.75">
      <c r="B2873">
        <v>2</v>
      </c>
      <c r="C2873" s="5">
        <v>46027</v>
      </c>
      <c r="D2873" t="s">
        <v>127</v>
      </c>
      <c r="E2873">
        <v>158.38999999999999</v>
      </c>
    </row>
    <row r="2874" spans="2:5" ht="18.75">
      <c r="B2874">
        <v>3</v>
      </c>
      <c r="C2874" s="5">
        <v>46034</v>
      </c>
      <c r="D2874" t="s">
        <v>111</v>
      </c>
      <c r="E2874">
        <v>116.8</v>
      </c>
    </row>
    <row r="2875" spans="2:5" ht="18.75">
      <c r="B2875">
        <v>3</v>
      </c>
      <c r="C2875" s="5">
        <v>46034</v>
      </c>
      <c r="D2875" t="s">
        <v>112</v>
      </c>
      <c r="E2875">
        <v>71.42</v>
      </c>
    </row>
    <row r="2876" spans="2:5" ht="18.75">
      <c r="B2876">
        <v>3</v>
      </c>
      <c r="C2876" s="5">
        <v>46034</v>
      </c>
      <c r="D2876" t="s">
        <v>114</v>
      </c>
      <c r="E2876">
        <v>164.37</v>
      </c>
    </row>
    <row r="2877" spans="2:5" ht="18.75">
      <c r="B2877">
        <v>3</v>
      </c>
      <c r="C2877" s="5">
        <v>46034</v>
      </c>
      <c r="D2877" t="s">
        <v>116</v>
      </c>
      <c r="E2877">
        <v>82.86</v>
      </c>
    </row>
    <row r="2878" spans="2:5" ht="18.75">
      <c r="B2878">
        <v>3</v>
      </c>
      <c r="C2878" s="5">
        <v>46034</v>
      </c>
      <c r="D2878" t="s">
        <v>117</v>
      </c>
      <c r="E2878">
        <v>145.71</v>
      </c>
    </row>
    <row r="2879" spans="2:5" ht="18.75">
      <c r="B2879">
        <v>3</v>
      </c>
      <c r="C2879" s="5">
        <v>46034</v>
      </c>
      <c r="D2879" t="s">
        <v>119</v>
      </c>
      <c r="E2879">
        <v>233.73</v>
      </c>
    </row>
    <row r="2880" spans="2:5" ht="18.75">
      <c r="B2880">
        <v>3</v>
      </c>
      <c r="C2880" s="5">
        <v>46034</v>
      </c>
      <c r="D2880" t="s">
        <v>120</v>
      </c>
      <c r="E2880">
        <v>122.14</v>
      </c>
    </row>
    <row r="2881" spans="2:5" ht="18.75">
      <c r="B2881">
        <v>3</v>
      </c>
      <c r="C2881" s="5">
        <v>46034</v>
      </c>
      <c r="D2881" t="s">
        <v>122</v>
      </c>
      <c r="E2881">
        <v>224.08</v>
      </c>
    </row>
    <row r="2882" spans="2:5" ht="18.75">
      <c r="B2882">
        <v>3</v>
      </c>
      <c r="C2882" s="5">
        <v>46034</v>
      </c>
      <c r="D2882" t="s">
        <v>123</v>
      </c>
      <c r="E2882">
        <v>473.42</v>
      </c>
    </row>
    <row r="2883" spans="2:5" ht="18.75">
      <c r="B2883">
        <v>3</v>
      </c>
      <c r="C2883" s="5">
        <v>46034</v>
      </c>
      <c r="D2883" t="s">
        <v>124</v>
      </c>
      <c r="E2883">
        <v>392.45</v>
      </c>
    </row>
    <row r="2884" spans="2:5" ht="18.75">
      <c r="B2884">
        <v>3</v>
      </c>
      <c r="C2884" s="5">
        <v>46034</v>
      </c>
      <c r="D2884" t="s">
        <v>126</v>
      </c>
      <c r="E2884">
        <v>157.22999999999999</v>
      </c>
    </row>
    <row r="2885" spans="2:5" ht="18.75">
      <c r="B2885">
        <v>3</v>
      </c>
      <c r="C2885" s="5">
        <v>46034</v>
      </c>
      <c r="D2885" t="s">
        <v>129</v>
      </c>
      <c r="E2885">
        <v>279.38</v>
      </c>
    </row>
    <row r="2886" spans="2:5" ht="18.75">
      <c r="B2886">
        <v>3</v>
      </c>
      <c r="C2886" s="5">
        <v>46034</v>
      </c>
      <c r="D2886" t="s">
        <v>132</v>
      </c>
      <c r="E2886">
        <v>221.51</v>
      </c>
    </row>
    <row r="2887" spans="2:5" ht="18.75">
      <c r="B2887">
        <v>3</v>
      </c>
      <c r="C2887" s="5">
        <v>46034</v>
      </c>
      <c r="D2887" t="s">
        <v>133</v>
      </c>
      <c r="E2887">
        <v>196.9</v>
      </c>
    </row>
    <row r="2888" spans="2:5" ht="18.75">
      <c r="B2888">
        <v>3</v>
      </c>
      <c r="C2888" s="5">
        <v>46034</v>
      </c>
      <c r="D2888" t="s">
        <v>134</v>
      </c>
      <c r="E2888">
        <v>208.68</v>
      </c>
    </row>
    <row r="2889" spans="2:5" ht="18.75">
      <c r="B2889">
        <v>3</v>
      </c>
      <c r="C2889" s="5">
        <v>46034</v>
      </c>
      <c r="D2889" t="s">
        <v>138</v>
      </c>
      <c r="E2889">
        <v>282.61</v>
      </c>
    </row>
    <row r="2890" spans="2:5" ht="18.75">
      <c r="B2890">
        <v>3</v>
      </c>
      <c r="C2890" s="5">
        <v>46034</v>
      </c>
      <c r="D2890" t="s">
        <v>140</v>
      </c>
      <c r="E2890">
        <v>70.069999999999993</v>
      </c>
    </row>
    <row r="2891" spans="2:5" ht="18.75">
      <c r="B2891">
        <v>3</v>
      </c>
      <c r="C2891" s="5">
        <v>46034</v>
      </c>
      <c r="D2891" t="s">
        <v>141</v>
      </c>
      <c r="E2891">
        <v>355.46</v>
      </c>
    </row>
    <row r="2892" spans="2:5" ht="18.75">
      <c r="B2892">
        <v>3</v>
      </c>
      <c r="C2892" s="5">
        <v>46034</v>
      </c>
      <c r="D2892" t="s">
        <v>142</v>
      </c>
      <c r="E2892">
        <v>164.77</v>
      </c>
    </row>
    <row r="2893" spans="2:5" ht="18.75">
      <c r="B2893">
        <v>3</v>
      </c>
      <c r="C2893" s="5">
        <v>46034</v>
      </c>
      <c r="D2893" t="s">
        <v>139</v>
      </c>
      <c r="E2893">
        <v>210.79</v>
      </c>
    </row>
    <row r="2894" spans="2:5" ht="18.75">
      <c r="B2894">
        <v>3</v>
      </c>
      <c r="C2894" s="5">
        <v>46034</v>
      </c>
      <c r="D2894" t="s">
        <v>143</v>
      </c>
      <c r="E2894">
        <v>1217.28</v>
      </c>
    </row>
    <row r="2895" spans="2:5" ht="18.75">
      <c r="B2895">
        <v>3</v>
      </c>
      <c r="C2895" s="5">
        <v>46034</v>
      </c>
      <c r="D2895" t="s">
        <v>145</v>
      </c>
      <c r="E2895">
        <v>181.44</v>
      </c>
    </row>
    <row r="2896" spans="2:5" ht="18.75">
      <c r="B2896">
        <v>3</v>
      </c>
      <c r="C2896" s="5">
        <v>46034</v>
      </c>
      <c r="D2896" t="s">
        <v>221</v>
      </c>
      <c r="E2896">
        <v>283.08999999999997</v>
      </c>
    </row>
    <row r="2897" spans="2:5" ht="18.75">
      <c r="B2897">
        <v>3</v>
      </c>
      <c r="C2897" s="5">
        <v>46034</v>
      </c>
      <c r="D2897" t="s">
        <v>146</v>
      </c>
      <c r="E2897">
        <v>337.22</v>
      </c>
    </row>
    <row r="2898" spans="2:5" ht="18.75">
      <c r="B2898">
        <v>3</v>
      </c>
      <c r="C2898" s="5">
        <v>46034</v>
      </c>
      <c r="D2898" t="s">
        <v>147</v>
      </c>
      <c r="E2898">
        <v>288.81</v>
      </c>
    </row>
    <row r="2899" spans="2:5" ht="18.75">
      <c r="B2899">
        <v>3</v>
      </c>
      <c r="C2899" s="5">
        <v>46034</v>
      </c>
      <c r="D2899" t="s">
        <v>151</v>
      </c>
      <c r="E2899">
        <v>330.79</v>
      </c>
    </row>
    <row r="2900" spans="2:5" ht="18.75">
      <c r="B2900">
        <v>3</v>
      </c>
      <c r="C2900" s="5">
        <v>46034</v>
      </c>
      <c r="D2900" t="s">
        <v>113</v>
      </c>
      <c r="E2900">
        <v>259.39</v>
      </c>
    </row>
    <row r="2901" spans="2:5" ht="18.75">
      <c r="B2901">
        <v>3</v>
      </c>
      <c r="C2901" s="5">
        <v>46034</v>
      </c>
      <c r="D2901" t="s">
        <v>118</v>
      </c>
      <c r="E2901">
        <v>127.74</v>
      </c>
    </row>
    <row r="2902" spans="2:5" ht="18.75">
      <c r="B2902">
        <v>3</v>
      </c>
      <c r="C2902" s="5">
        <v>46034</v>
      </c>
      <c r="D2902" t="s">
        <v>125</v>
      </c>
      <c r="E2902">
        <v>57.29</v>
      </c>
    </row>
    <row r="2903" spans="2:5" ht="18.75">
      <c r="B2903">
        <v>3</v>
      </c>
      <c r="C2903" s="5">
        <v>46034</v>
      </c>
      <c r="D2903" t="s">
        <v>135</v>
      </c>
      <c r="E2903">
        <v>62.38</v>
      </c>
    </row>
    <row r="2904" spans="2:5" ht="18.75">
      <c r="B2904">
        <v>3</v>
      </c>
      <c r="C2904" s="5">
        <v>46034</v>
      </c>
      <c r="D2904" t="s">
        <v>136</v>
      </c>
      <c r="E2904">
        <v>87.49</v>
      </c>
    </row>
    <row r="2905" spans="2:5" ht="18.75">
      <c r="B2905">
        <v>3</v>
      </c>
      <c r="C2905" s="5">
        <v>46034</v>
      </c>
      <c r="D2905" t="s">
        <v>137</v>
      </c>
      <c r="E2905">
        <v>53.73</v>
      </c>
    </row>
    <row r="2906" spans="2:5" ht="18.75">
      <c r="B2906">
        <v>3</v>
      </c>
      <c r="C2906" s="5">
        <v>46034</v>
      </c>
      <c r="D2906" t="s">
        <v>148</v>
      </c>
      <c r="E2906">
        <v>63.11</v>
      </c>
    </row>
    <row r="2907" spans="2:5" ht="18.75">
      <c r="B2907">
        <v>3</v>
      </c>
      <c r="C2907" s="5">
        <v>46034</v>
      </c>
      <c r="D2907" t="s">
        <v>150</v>
      </c>
      <c r="E2907">
        <v>64.87</v>
      </c>
    </row>
    <row r="2908" spans="2:5" ht="18.75">
      <c r="B2908">
        <v>3</v>
      </c>
      <c r="C2908" s="5">
        <v>46034</v>
      </c>
      <c r="D2908" t="s">
        <v>127</v>
      </c>
      <c r="E2908">
        <v>179.37</v>
      </c>
    </row>
    <row r="2909" spans="2:5" ht="18.75">
      <c r="B2909">
        <v>3</v>
      </c>
      <c r="C2909" s="5">
        <v>46034</v>
      </c>
      <c r="D2909" t="s">
        <v>149</v>
      </c>
      <c r="E2909">
        <v>149.27000000000001</v>
      </c>
    </row>
    <row r="2910" spans="2:5" ht="18.75">
      <c r="B2910">
        <v>4</v>
      </c>
      <c r="C2910" s="5">
        <v>46041</v>
      </c>
      <c r="D2910" t="s">
        <v>111</v>
      </c>
      <c r="E2910">
        <v>154.96</v>
      </c>
    </row>
    <row r="2911" spans="2:5" ht="18.75">
      <c r="B2911">
        <v>4</v>
      </c>
      <c r="C2911" s="5">
        <v>46041</v>
      </c>
      <c r="D2911" t="s">
        <v>112</v>
      </c>
      <c r="E2911">
        <v>108.87</v>
      </c>
    </row>
    <row r="2912" spans="2:5" ht="18.75">
      <c r="B2912">
        <v>4</v>
      </c>
      <c r="C2912" s="5">
        <v>46041</v>
      </c>
      <c r="D2912" t="s">
        <v>113</v>
      </c>
      <c r="E2912">
        <v>191.42</v>
      </c>
    </row>
    <row r="2913" spans="2:5" ht="18.75">
      <c r="B2913">
        <v>4</v>
      </c>
      <c r="C2913" s="5">
        <v>46041</v>
      </c>
      <c r="D2913" t="s">
        <v>114</v>
      </c>
      <c r="E2913">
        <v>207.75</v>
      </c>
    </row>
    <row r="2914" spans="2:5" ht="18.75">
      <c r="B2914">
        <v>4</v>
      </c>
      <c r="C2914" s="5">
        <v>46041</v>
      </c>
      <c r="D2914" t="s">
        <v>116</v>
      </c>
      <c r="E2914">
        <v>99.84</v>
      </c>
    </row>
    <row r="2915" spans="2:5" ht="18.75">
      <c r="B2915">
        <v>4</v>
      </c>
      <c r="C2915" s="5">
        <v>46041</v>
      </c>
      <c r="D2915" t="s">
        <v>117</v>
      </c>
      <c r="E2915">
        <v>151.32</v>
      </c>
    </row>
    <row r="2916" spans="2:5" ht="18.75">
      <c r="B2916">
        <v>4</v>
      </c>
      <c r="C2916" s="5">
        <v>46041</v>
      </c>
      <c r="D2916" t="s">
        <v>118</v>
      </c>
      <c r="E2916">
        <v>160.84</v>
      </c>
    </row>
    <row r="2917" spans="2:5" ht="18.75">
      <c r="B2917">
        <v>4</v>
      </c>
      <c r="C2917" s="5">
        <v>46041</v>
      </c>
      <c r="D2917" t="s">
        <v>119</v>
      </c>
      <c r="E2917">
        <v>271.33</v>
      </c>
    </row>
    <row r="2918" spans="2:5" ht="18.75">
      <c r="B2918">
        <v>4</v>
      </c>
      <c r="C2918" s="5">
        <v>46041</v>
      </c>
      <c r="D2918" t="s">
        <v>120</v>
      </c>
      <c r="E2918">
        <v>138.51</v>
      </c>
    </row>
    <row r="2919" spans="2:5" ht="18.75">
      <c r="B2919">
        <v>4</v>
      </c>
      <c r="C2919" s="5">
        <v>46041</v>
      </c>
      <c r="D2919" t="s">
        <v>121</v>
      </c>
      <c r="E2919">
        <v>147.24</v>
      </c>
    </row>
    <row r="2920" spans="2:5" ht="18.75">
      <c r="B2920">
        <v>4</v>
      </c>
      <c r="C2920" s="5">
        <v>46041</v>
      </c>
      <c r="D2920" t="s">
        <v>122</v>
      </c>
      <c r="E2920">
        <v>245.6</v>
      </c>
    </row>
    <row r="2921" spans="2:5" ht="18.75">
      <c r="B2921">
        <v>4</v>
      </c>
      <c r="C2921" s="5">
        <v>46041</v>
      </c>
      <c r="D2921" t="s">
        <v>123</v>
      </c>
      <c r="E2921">
        <v>423.28</v>
      </c>
    </row>
    <row r="2922" spans="2:5" ht="18.75">
      <c r="B2922">
        <v>4</v>
      </c>
      <c r="C2922" s="5">
        <v>46041</v>
      </c>
      <c r="D2922" t="s">
        <v>124</v>
      </c>
      <c r="E2922">
        <v>381.03</v>
      </c>
    </row>
    <row r="2923" spans="2:5" ht="18.75">
      <c r="B2923">
        <v>4</v>
      </c>
      <c r="C2923" s="5">
        <v>46041</v>
      </c>
      <c r="D2923" t="s">
        <v>125</v>
      </c>
      <c r="E2923">
        <v>77.55</v>
      </c>
    </row>
    <row r="2924" spans="2:5" ht="18.75">
      <c r="B2924">
        <v>4</v>
      </c>
      <c r="C2924" s="5">
        <v>46041</v>
      </c>
      <c r="D2924" t="s">
        <v>126</v>
      </c>
      <c r="E2924">
        <v>155.13</v>
      </c>
    </row>
    <row r="2925" spans="2:5" ht="18.75">
      <c r="B2925">
        <v>4</v>
      </c>
      <c r="C2925" s="5">
        <v>46041</v>
      </c>
      <c r="D2925" t="s">
        <v>130</v>
      </c>
      <c r="E2925">
        <v>258.01</v>
      </c>
    </row>
    <row r="2926" spans="2:5" ht="18.75">
      <c r="B2926">
        <v>4</v>
      </c>
      <c r="C2926" s="5">
        <v>46041</v>
      </c>
      <c r="D2926" t="s">
        <v>132</v>
      </c>
      <c r="E2926">
        <v>227.96</v>
      </c>
    </row>
    <row r="2927" spans="2:5" ht="18.75">
      <c r="B2927">
        <v>4</v>
      </c>
      <c r="C2927" s="5">
        <v>46041</v>
      </c>
      <c r="D2927" t="s">
        <v>133</v>
      </c>
      <c r="E2927">
        <v>213.49</v>
      </c>
    </row>
    <row r="2928" spans="2:5" ht="18.75">
      <c r="B2928">
        <v>4</v>
      </c>
      <c r="C2928" s="5">
        <v>46041</v>
      </c>
      <c r="D2928" t="s">
        <v>134</v>
      </c>
      <c r="E2928">
        <v>222.56</v>
      </c>
    </row>
    <row r="2929" spans="2:5" ht="18.75">
      <c r="B2929">
        <v>4</v>
      </c>
      <c r="C2929" s="5">
        <v>46041</v>
      </c>
      <c r="D2929" t="s">
        <v>135</v>
      </c>
      <c r="E2929">
        <v>70.61</v>
      </c>
    </row>
    <row r="2930" spans="2:5" ht="18.75">
      <c r="B2930">
        <v>4</v>
      </c>
      <c r="C2930" s="5">
        <v>46041</v>
      </c>
      <c r="D2930" t="s">
        <v>136</v>
      </c>
      <c r="E2930">
        <v>152.79</v>
      </c>
    </row>
    <row r="2931" spans="2:5" ht="18.75">
      <c r="B2931">
        <v>4</v>
      </c>
      <c r="C2931" s="5">
        <v>46041</v>
      </c>
      <c r="D2931" t="s">
        <v>137</v>
      </c>
      <c r="E2931">
        <v>57.38</v>
      </c>
    </row>
    <row r="2932" spans="2:5" ht="18.75">
      <c r="B2932">
        <v>4</v>
      </c>
      <c r="C2932" s="5">
        <v>46041</v>
      </c>
      <c r="D2932" t="s">
        <v>138</v>
      </c>
      <c r="E2932">
        <v>318.99</v>
      </c>
    </row>
    <row r="2933" spans="2:5" ht="18.75">
      <c r="B2933">
        <v>4</v>
      </c>
      <c r="C2933" s="5">
        <v>46041</v>
      </c>
      <c r="D2933" t="s">
        <v>140</v>
      </c>
      <c r="E2933">
        <v>102.53</v>
      </c>
    </row>
    <row r="2934" spans="2:5" ht="18.75">
      <c r="B2934">
        <v>4</v>
      </c>
      <c r="C2934" s="5">
        <v>46041</v>
      </c>
      <c r="D2934" t="s">
        <v>141</v>
      </c>
      <c r="E2934">
        <v>332.39</v>
      </c>
    </row>
    <row r="2935" spans="2:5" ht="18.75">
      <c r="B2935">
        <v>4</v>
      </c>
      <c r="C2935" s="5">
        <v>46041</v>
      </c>
      <c r="D2935" t="s">
        <v>142</v>
      </c>
      <c r="E2935">
        <v>204.09</v>
      </c>
    </row>
    <row r="2936" spans="2:5" ht="18.75">
      <c r="B2936">
        <v>4</v>
      </c>
      <c r="C2936" s="5">
        <v>46041</v>
      </c>
      <c r="D2936" t="s">
        <v>139</v>
      </c>
      <c r="E2936">
        <v>237.18</v>
      </c>
    </row>
    <row r="2937" spans="2:5" ht="18.75">
      <c r="B2937">
        <v>4</v>
      </c>
      <c r="C2937" s="5">
        <v>46041</v>
      </c>
      <c r="D2937" t="s">
        <v>143</v>
      </c>
      <c r="E2937">
        <v>1139.99</v>
      </c>
    </row>
    <row r="2938" spans="2:5" ht="18.75">
      <c r="B2938">
        <v>4</v>
      </c>
      <c r="C2938" s="5">
        <v>46041</v>
      </c>
      <c r="D2938" t="s">
        <v>145</v>
      </c>
      <c r="E2938">
        <v>201.04</v>
      </c>
    </row>
    <row r="2939" spans="2:5" ht="18.75">
      <c r="B2939">
        <v>4</v>
      </c>
      <c r="C2939" s="5">
        <v>46041</v>
      </c>
      <c r="D2939" t="s">
        <v>146</v>
      </c>
      <c r="E2939">
        <v>390.24</v>
      </c>
    </row>
    <row r="2940" spans="2:5" ht="18.75">
      <c r="B2940">
        <v>4</v>
      </c>
      <c r="C2940" s="5">
        <v>46041</v>
      </c>
      <c r="D2940" t="s">
        <v>148</v>
      </c>
      <c r="E2940">
        <v>100.58</v>
      </c>
    </row>
    <row r="2941" spans="2:5" ht="18.75">
      <c r="B2941">
        <v>4</v>
      </c>
      <c r="C2941" s="5">
        <v>46041</v>
      </c>
      <c r="D2941" t="s">
        <v>147</v>
      </c>
      <c r="E2941">
        <v>286.42</v>
      </c>
    </row>
    <row r="2942" spans="2:5" ht="18.75">
      <c r="B2942">
        <v>4</v>
      </c>
      <c r="C2942" s="5">
        <v>46041</v>
      </c>
      <c r="D2942" t="s">
        <v>150</v>
      </c>
      <c r="E2942">
        <v>85.73</v>
      </c>
    </row>
    <row r="2943" spans="2:5" ht="18.75">
      <c r="B2943">
        <v>4</v>
      </c>
      <c r="C2943" s="5">
        <v>46041</v>
      </c>
      <c r="D2943" t="s">
        <v>151</v>
      </c>
      <c r="E2943">
        <v>316.2</v>
      </c>
    </row>
    <row r="2944" spans="2:5" ht="18.75">
      <c r="B2944">
        <v>4</v>
      </c>
      <c r="C2944" s="5">
        <v>46041</v>
      </c>
      <c r="D2944" t="s">
        <v>127</v>
      </c>
      <c r="E2944">
        <v>276.81</v>
      </c>
    </row>
    <row r="2945" spans="2:5" ht="18.75">
      <c r="B2945">
        <v>4</v>
      </c>
      <c r="C2945" s="5">
        <v>46041</v>
      </c>
      <c r="D2945" t="s">
        <v>129</v>
      </c>
      <c r="E2945">
        <v>275.26</v>
      </c>
    </row>
    <row r="2946" spans="2:5" ht="18.75">
      <c r="B2946">
        <v>4</v>
      </c>
      <c r="C2946" s="5">
        <v>46041</v>
      </c>
      <c r="D2946" t="s">
        <v>149</v>
      </c>
      <c r="E2946">
        <v>127.33</v>
      </c>
    </row>
    <row r="2947" spans="2:5" ht="18.75">
      <c r="B2947">
        <v>5</v>
      </c>
      <c r="C2947" s="5">
        <v>46048</v>
      </c>
      <c r="D2947" t="s">
        <v>111</v>
      </c>
      <c r="E2947">
        <v>228.56</v>
      </c>
    </row>
    <row r="2948" spans="2:5" ht="18.75">
      <c r="B2948">
        <v>5</v>
      </c>
      <c r="C2948" s="5">
        <v>46048</v>
      </c>
      <c r="D2948" t="s">
        <v>113</v>
      </c>
      <c r="E2948">
        <v>278.56</v>
      </c>
    </row>
    <row r="2949" spans="2:5" ht="18.75">
      <c r="B2949">
        <v>5</v>
      </c>
      <c r="C2949" s="5">
        <v>46048</v>
      </c>
      <c r="D2949" t="s">
        <v>114</v>
      </c>
      <c r="E2949">
        <v>302.69</v>
      </c>
    </row>
    <row r="2950" spans="2:5" ht="18.75">
      <c r="B2950">
        <v>5</v>
      </c>
      <c r="C2950" s="5">
        <v>46048</v>
      </c>
      <c r="D2950" t="s">
        <v>116</v>
      </c>
      <c r="E2950">
        <v>108.59</v>
      </c>
    </row>
    <row r="2951" spans="2:5" ht="18.75">
      <c r="B2951">
        <v>5</v>
      </c>
      <c r="C2951" s="5">
        <v>46048</v>
      </c>
      <c r="D2951" t="s">
        <v>117</v>
      </c>
      <c r="E2951">
        <v>259.72000000000003</v>
      </c>
    </row>
    <row r="2952" spans="2:5" ht="18.75">
      <c r="B2952">
        <v>5</v>
      </c>
      <c r="C2952" s="5">
        <v>46048</v>
      </c>
      <c r="D2952" t="s">
        <v>118</v>
      </c>
      <c r="E2952">
        <v>201.66</v>
      </c>
    </row>
    <row r="2953" spans="2:5" ht="18.75">
      <c r="B2953">
        <v>5</v>
      </c>
      <c r="C2953" s="5">
        <v>46048</v>
      </c>
      <c r="D2953" t="s">
        <v>119</v>
      </c>
      <c r="E2953">
        <v>485.16</v>
      </c>
    </row>
    <row r="2954" spans="2:5" ht="18.75">
      <c r="B2954">
        <v>5</v>
      </c>
      <c r="C2954" s="5">
        <v>46048</v>
      </c>
      <c r="D2954" t="s">
        <v>121</v>
      </c>
      <c r="E2954">
        <v>134.29</v>
      </c>
    </row>
    <row r="2955" spans="2:5" ht="18.75">
      <c r="B2955">
        <v>5</v>
      </c>
      <c r="C2955" s="5">
        <v>46048</v>
      </c>
      <c r="D2955" t="s">
        <v>122</v>
      </c>
      <c r="E2955">
        <v>237.69</v>
      </c>
    </row>
    <row r="2956" spans="2:5" ht="18.75">
      <c r="B2956">
        <v>5</v>
      </c>
      <c r="C2956" s="5">
        <v>46048</v>
      </c>
      <c r="D2956" t="s">
        <v>123</v>
      </c>
      <c r="E2956">
        <v>490.74</v>
      </c>
    </row>
    <row r="2957" spans="2:5" ht="18.75">
      <c r="B2957">
        <v>5</v>
      </c>
      <c r="C2957" s="5">
        <v>46048</v>
      </c>
      <c r="D2957" t="s">
        <v>124</v>
      </c>
      <c r="E2957">
        <v>487.88</v>
      </c>
    </row>
    <row r="2958" spans="2:5" ht="18.75">
      <c r="B2958">
        <v>5</v>
      </c>
      <c r="C2958" s="5">
        <v>46048</v>
      </c>
      <c r="D2958" t="s">
        <v>125</v>
      </c>
      <c r="E2958">
        <v>84.45</v>
      </c>
    </row>
    <row r="2959" spans="2:5" ht="18.75">
      <c r="B2959">
        <v>5</v>
      </c>
      <c r="C2959" s="5">
        <v>46048</v>
      </c>
      <c r="D2959" t="s">
        <v>126</v>
      </c>
      <c r="E2959">
        <v>256.67</v>
      </c>
    </row>
    <row r="2960" spans="2:5" ht="18.75">
      <c r="B2960">
        <v>5</v>
      </c>
      <c r="C2960" s="5">
        <v>46048</v>
      </c>
      <c r="D2960" t="s">
        <v>130</v>
      </c>
      <c r="E2960">
        <v>394.43</v>
      </c>
    </row>
    <row r="2961" spans="2:5" ht="18.75">
      <c r="B2961">
        <v>5</v>
      </c>
      <c r="C2961" s="5">
        <v>46048</v>
      </c>
      <c r="D2961" t="s">
        <v>132</v>
      </c>
      <c r="E2961">
        <v>171.64</v>
      </c>
    </row>
    <row r="2962" spans="2:5" ht="18.75">
      <c r="B2962">
        <v>5</v>
      </c>
      <c r="C2962" s="5">
        <v>46048</v>
      </c>
      <c r="D2962" t="s">
        <v>133</v>
      </c>
      <c r="E2962">
        <v>354.51</v>
      </c>
    </row>
    <row r="2963" spans="2:5" ht="18.75">
      <c r="B2963">
        <v>5</v>
      </c>
      <c r="C2963" s="5">
        <v>46048</v>
      </c>
      <c r="D2963" t="s">
        <v>134</v>
      </c>
      <c r="E2963">
        <v>362.67</v>
      </c>
    </row>
    <row r="2964" spans="2:5" ht="18.75">
      <c r="B2964">
        <v>5</v>
      </c>
      <c r="C2964" s="5">
        <v>46048</v>
      </c>
      <c r="D2964" t="s">
        <v>136</v>
      </c>
      <c r="E2964">
        <v>123.08</v>
      </c>
    </row>
    <row r="2965" spans="2:5" ht="18.75">
      <c r="B2965">
        <v>5</v>
      </c>
      <c r="C2965" s="5">
        <v>46048</v>
      </c>
      <c r="D2965" t="s">
        <v>138</v>
      </c>
      <c r="E2965">
        <v>612.94000000000005</v>
      </c>
    </row>
    <row r="2966" spans="2:5" ht="18.75">
      <c r="B2966">
        <v>5</v>
      </c>
      <c r="C2966" s="5">
        <v>46048</v>
      </c>
      <c r="D2966" t="s">
        <v>140</v>
      </c>
      <c r="E2966">
        <v>111.24</v>
      </c>
    </row>
    <row r="2967" spans="2:5" ht="18.75">
      <c r="B2967">
        <v>5</v>
      </c>
      <c r="C2967" s="5">
        <v>46048</v>
      </c>
      <c r="D2967" t="s">
        <v>141</v>
      </c>
      <c r="E2967">
        <v>659.8</v>
      </c>
    </row>
    <row r="2968" spans="2:5" ht="18.75">
      <c r="B2968">
        <v>5</v>
      </c>
      <c r="C2968" s="5">
        <v>46048</v>
      </c>
      <c r="D2968" t="s">
        <v>142</v>
      </c>
      <c r="E2968">
        <v>192.68</v>
      </c>
    </row>
    <row r="2969" spans="2:5" ht="18.75">
      <c r="B2969">
        <v>5</v>
      </c>
      <c r="C2969" s="5">
        <v>46048</v>
      </c>
      <c r="D2969" t="s">
        <v>139</v>
      </c>
      <c r="E2969">
        <v>313.52999999999997</v>
      </c>
    </row>
    <row r="2970" spans="2:5" ht="18.75">
      <c r="B2970">
        <v>5</v>
      </c>
      <c r="C2970" s="5">
        <v>46048</v>
      </c>
      <c r="D2970" t="s">
        <v>143</v>
      </c>
      <c r="E2970">
        <v>1998.88</v>
      </c>
    </row>
    <row r="2971" spans="2:5" ht="18.75">
      <c r="B2971">
        <v>5</v>
      </c>
      <c r="C2971" s="5">
        <v>46048</v>
      </c>
      <c r="D2971" t="s">
        <v>145</v>
      </c>
      <c r="E2971">
        <v>332.34</v>
      </c>
    </row>
    <row r="2972" spans="2:5" ht="18.75">
      <c r="B2972">
        <v>5</v>
      </c>
      <c r="C2972" s="5">
        <v>46048</v>
      </c>
      <c r="D2972" t="s">
        <v>146</v>
      </c>
      <c r="E2972">
        <v>696.2</v>
      </c>
    </row>
    <row r="2973" spans="2:5" ht="18.75">
      <c r="B2973">
        <v>5</v>
      </c>
      <c r="C2973" s="5">
        <v>46048</v>
      </c>
      <c r="D2973" t="s">
        <v>147</v>
      </c>
      <c r="E2973">
        <v>405.98</v>
      </c>
    </row>
    <row r="2974" spans="2:5" ht="18.75">
      <c r="B2974">
        <v>5</v>
      </c>
      <c r="C2974" s="5">
        <v>46048</v>
      </c>
      <c r="D2974" t="s">
        <v>150</v>
      </c>
      <c r="E2974">
        <v>74.08</v>
      </c>
    </row>
    <row r="2975" spans="2:5" ht="18.75">
      <c r="B2975">
        <v>5</v>
      </c>
      <c r="C2975" s="5">
        <v>46048</v>
      </c>
      <c r="D2975" t="s">
        <v>151</v>
      </c>
      <c r="E2975">
        <v>649.84</v>
      </c>
    </row>
    <row r="2976" spans="2:5" ht="18.75">
      <c r="B2976">
        <v>5</v>
      </c>
      <c r="C2976" s="5">
        <v>46048</v>
      </c>
      <c r="D2976" t="s">
        <v>112</v>
      </c>
      <c r="E2976">
        <v>71.150000000000006</v>
      </c>
    </row>
    <row r="2977" spans="2:5" ht="18.75">
      <c r="B2977">
        <v>5</v>
      </c>
      <c r="C2977" s="5">
        <v>46048</v>
      </c>
      <c r="D2977" t="s">
        <v>120</v>
      </c>
      <c r="E2977">
        <v>138.13</v>
      </c>
    </row>
    <row r="2978" spans="2:5" ht="18.75">
      <c r="B2978">
        <v>5</v>
      </c>
      <c r="C2978" s="5">
        <v>46048</v>
      </c>
      <c r="D2978" t="s">
        <v>135</v>
      </c>
      <c r="E2978">
        <v>71.739999999999995</v>
      </c>
    </row>
    <row r="2979" spans="2:5" ht="18.75">
      <c r="B2979">
        <v>5</v>
      </c>
      <c r="C2979" s="5">
        <v>46048</v>
      </c>
      <c r="D2979" t="s">
        <v>137</v>
      </c>
      <c r="E2979">
        <v>59.3</v>
      </c>
    </row>
    <row r="2980" spans="2:5" ht="18.75">
      <c r="B2980">
        <v>5</v>
      </c>
      <c r="C2980" s="5">
        <v>46048</v>
      </c>
      <c r="D2980" t="s">
        <v>148</v>
      </c>
      <c r="E2980">
        <v>75.930000000000007</v>
      </c>
    </row>
    <row r="2981" spans="2:5" ht="18.75">
      <c r="B2981">
        <v>5</v>
      </c>
      <c r="C2981" s="5">
        <v>46048</v>
      </c>
      <c r="D2981" t="s">
        <v>127</v>
      </c>
      <c r="E2981">
        <v>305.63</v>
      </c>
    </row>
    <row r="2982" spans="2:5" ht="18.75">
      <c r="B2982">
        <v>5</v>
      </c>
      <c r="C2982" s="5">
        <v>46048</v>
      </c>
      <c r="D2982" t="s">
        <v>129</v>
      </c>
      <c r="E2982">
        <v>502.12</v>
      </c>
    </row>
    <row r="2983" spans="2:5" ht="18.75">
      <c r="B2983">
        <v>5</v>
      </c>
      <c r="C2983" s="5">
        <v>46048</v>
      </c>
      <c r="D2983" t="s">
        <v>149</v>
      </c>
      <c r="E2983">
        <v>170</v>
      </c>
    </row>
    <row r="2984" spans="2:5" ht="18.75">
      <c r="B2984">
        <v>5</v>
      </c>
      <c r="C2984" s="5">
        <v>46048</v>
      </c>
      <c r="D2984" t="s">
        <v>128</v>
      </c>
      <c r="E2984">
        <v>189.23</v>
      </c>
    </row>
    <row r="2985" spans="2:5" ht="18.75">
      <c r="B2985">
        <v>6</v>
      </c>
      <c r="C2985" s="5">
        <v>46055</v>
      </c>
      <c r="D2985" t="s">
        <v>143</v>
      </c>
      <c r="E2985">
        <v>890.06</v>
      </c>
    </row>
    <row r="2986" spans="2:5" ht="18.75">
      <c r="B2986">
        <v>6</v>
      </c>
      <c r="C2986" s="5">
        <v>46055</v>
      </c>
      <c r="D2986" t="s">
        <v>127</v>
      </c>
      <c r="E2986">
        <v>158.37</v>
      </c>
    </row>
    <row r="2987" spans="2:5" ht="18.75">
      <c r="B2987">
        <v>6</v>
      </c>
      <c r="C2987" s="5">
        <v>46055</v>
      </c>
      <c r="D2987" t="s">
        <v>126</v>
      </c>
      <c r="E2987">
        <v>30.53</v>
      </c>
    </row>
    <row r="2988" spans="2:5" ht="18.75">
      <c r="B2988">
        <v>6</v>
      </c>
      <c r="C2988" s="5">
        <v>46055</v>
      </c>
      <c r="D2988" t="s">
        <v>111</v>
      </c>
      <c r="E2988">
        <v>75.400000000000006</v>
      </c>
    </row>
    <row r="2989" spans="2:5" ht="18.75">
      <c r="B2989">
        <v>6</v>
      </c>
      <c r="C2989" s="5">
        <v>46055</v>
      </c>
      <c r="D2989" t="s">
        <v>121</v>
      </c>
      <c r="E2989">
        <v>78.78</v>
      </c>
    </row>
    <row r="2990" spans="2:5" ht="18.75">
      <c r="B2990">
        <v>6</v>
      </c>
      <c r="C2990" s="5">
        <v>46055</v>
      </c>
      <c r="D2990" t="s">
        <v>122</v>
      </c>
      <c r="E2990">
        <v>143.57</v>
      </c>
    </row>
    <row r="2991" spans="2:5" ht="18.75">
      <c r="B2991">
        <v>6</v>
      </c>
      <c r="C2991" s="5">
        <v>46055</v>
      </c>
      <c r="D2991" t="s">
        <v>130</v>
      </c>
      <c r="E2991">
        <v>232.92</v>
      </c>
    </row>
    <row r="2992" spans="2:5" ht="18.75">
      <c r="B2992">
        <v>6</v>
      </c>
      <c r="C2992" s="5">
        <v>46055</v>
      </c>
      <c r="D2992" t="s">
        <v>133</v>
      </c>
      <c r="E2992">
        <v>117.55</v>
      </c>
    </row>
    <row r="2993" spans="2:5" ht="18.75">
      <c r="B2993">
        <v>6</v>
      </c>
      <c r="C2993" s="5">
        <v>46055</v>
      </c>
      <c r="D2993" t="s">
        <v>134</v>
      </c>
      <c r="E2993">
        <v>144.96</v>
      </c>
    </row>
    <row r="2994" spans="2:5" ht="18.75">
      <c r="B2994">
        <v>6</v>
      </c>
      <c r="C2994" s="5">
        <v>46055</v>
      </c>
      <c r="D2994" t="s">
        <v>138</v>
      </c>
      <c r="E2994">
        <v>198.53</v>
      </c>
    </row>
    <row r="2995" spans="2:5" ht="18.75">
      <c r="B2995">
        <v>6</v>
      </c>
      <c r="C2995" s="5">
        <v>46055</v>
      </c>
      <c r="D2995" t="s">
        <v>141</v>
      </c>
      <c r="E2995">
        <v>204.8</v>
      </c>
    </row>
    <row r="2996" spans="2:5" ht="18.75">
      <c r="B2996">
        <v>6</v>
      </c>
      <c r="C2996" s="5">
        <v>46055</v>
      </c>
      <c r="D2996" t="s">
        <v>145</v>
      </c>
      <c r="E2996">
        <v>134.66999999999999</v>
      </c>
    </row>
    <row r="2997" spans="2:5" ht="18.75">
      <c r="B2997">
        <v>6</v>
      </c>
      <c r="C2997" s="5">
        <v>46055</v>
      </c>
      <c r="D2997" t="s">
        <v>146</v>
      </c>
      <c r="E2997">
        <v>255.19</v>
      </c>
    </row>
    <row r="2998" spans="2:5" ht="18.75">
      <c r="B2998">
        <v>6</v>
      </c>
      <c r="C2998" s="5">
        <v>46055</v>
      </c>
      <c r="D2998" t="s">
        <v>151</v>
      </c>
      <c r="E2998">
        <v>301.45999999999998</v>
      </c>
    </row>
    <row r="2999" spans="2:5" ht="18.75">
      <c r="B2999">
        <v>6</v>
      </c>
      <c r="C2999" s="5">
        <v>46055</v>
      </c>
      <c r="D2999" t="s">
        <v>114</v>
      </c>
      <c r="E2999">
        <v>85.92</v>
      </c>
    </row>
    <row r="3000" spans="2:5" ht="18.75">
      <c r="B3000">
        <v>6</v>
      </c>
      <c r="C3000" s="5">
        <v>46055</v>
      </c>
      <c r="D3000" t="s">
        <v>117</v>
      </c>
      <c r="E3000">
        <v>127.35</v>
      </c>
    </row>
    <row r="3001" spans="2:5" ht="18.75">
      <c r="B3001">
        <v>6</v>
      </c>
      <c r="C3001" s="5">
        <v>46055</v>
      </c>
      <c r="D3001" t="s">
        <v>119</v>
      </c>
      <c r="E3001">
        <v>143.08000000000001</v>
      </c>
    </row>
    <row r="3002" spans="2:5" ht="18.75">
      <c r="B3002">
        <v>6</v>
      </c>
      <c r="C3002" s="5">
        <v>46055</v>
      </c>
      <c r="D3002" t="s">
        <v>129</v>
      </c>
      <c r="E3002">
        <v>191.19</v>
      </c>
    </row>
    <row r="3003" spans="2:5" ht="18.75">
      <c r="B3003">
        <v>6</v>
      </c>
      <c r="C3003" s="5">
        <v>46055</v>
      </c>
      <c r="D3003" t="s">
        <v>148</v>
      </c>
      <c r="E3003">
        <v>37.5</v>
      </c>
    </row>
    <row r="3004" spans="2:5" ht="18.75">
      <c r="B3004">
        <v>6</v>
      </c>
      <c r="C3004" s="5">
        <v>46055</v>
      </c>
      <c r="D3004" t="s">
        <v>128</v>
      </c>
      <c r="E3004">
        <v>3.24</v>
      </c>
    </row>
    <row r="3005" spans="2:5" ht="18.75">
      <c r="B3005">
        <v>7</v>
      </c>
      <c r="C3005" s="5">
        <v>46062</v>
      </c>
      <c r="D3005" t="s">
        <v>123</v>
      </c>
      <c r="E3005">
        <v>143.41999999999999</v>
      </c>
    </row>
    <row r="3006" spans="2:5" ht="18.75">
      <c r="B3006">
        <v>7</v>
      </c>
      <c r="C3006" s="5">
        <v>46062</v>
      </c>
      <c r="D3006" t="s">
        <v>139</v>
      </c>
      <c r="E3006">
        <v>87.17</v>
      </c>
    </row>
    <row r="3007" spans="2:5" ht="18.75">
      <c r="B3007">
        <v>7</v>
      </c>
      <c r="C3007" s="5">
        <v>46062</v>
      </c>
      <c r="D3007" t="s">
        <v>143</v>
      </c>
      <c r="E3007">
        <v>318.89</v>
      </c>
    </row>
    <row r="3008" spans="2:5" ht="18.75">
      <c r="B3008">
        <v>7</v>
      </c>
      <c r="C3008" s="5">
        <v>46062</v>
      </c>
      <c r="D3008" t="s">
        <v>147</v>
      </c>
      <c r="E3008">
        <v>124.31</v>
      </c>
    </row>
    <row r="3009" spans="2:5" ht="18.75">
      <c r="B3009">
        <v>7</v>
      </c>
      <c r="C3009" s="5">
        <v>46062</v>
      </c>
      <c r="D3009" t="s">
        <v>126</v>
      </c>
      <c r="E3009">
        <v>14.39</v>
      </c>
    </row>
    <row r="3010" spans="2:5" ht="18.75">
      <c r="B3010">
        <v>7</v>
      </c>
      <c r="C3010" s="5">
        <v>46062</v>
      </c>
      <c r="D3010" t="s">
        <v>113</v>
      </c>
      <c r="E3010">
        <v>90.46</v>
      </c>
    </row>
    <row r="3011" spans="2:5" ht="18.75">
      <c r="B3011">
        <v>7</v>
      </c>
      <c r="C3011" s="5">
        <v>46062</v>
      </c>
      <c r="D3011" t="s">
        <v>118</v>
      </c>
      <c r="E3011">
        <v>62.79</v>
      </c>
    </row>
    <row r="3012" spans="2:5" ht="18.75">
      <c r="B3012">
        <v>7</v>
      </c>
      <c r="C3012" s="5">
        <v>46062</v>
      </c>
      <c r="D3012" t="s">
        <v>121</v>
      </c>
      <c r="E3012">
        <v>76.569999999999993</v>
      </c>
    </row>
    <row r="3013" spans="2:5" ht="18.75">
      <c r="B3013">
        <v>7</v>
      </c>
      <c r="C3013" s="5">
        <v>46062</v>
      </c>
      <c r="D3013" t="s">
        <v>124</v>
      </c>
      <c r="E3013">
        <v>87.11</v>
      </c>
    </row>
    <row r="3014" spans="2:5" ht="18.75">
      <c r="B3014">
        <v>7</v>
      </c>
      <c r="C3014" s="5">
        <v>46062</v>
      </c>
      <c r="D3014" t="s">
        <v>127</v>
      </c>
      <c r="E3014">
        <v>80.88</v>
      </c>
    </row>
    <row r="3015" spans="2:5" ht="18.75">
      <c r="B3015">
        <v>8</v>
      </c>
      <c r="C3015" s="5">
        <v>46069</v>
      </c>
      <c r="D3015" t="s">
        <v>111</v>
      </c>
      <c r="E3015">
        <v>219.53</v>
      </c>
    </row>
    <row r="3016" spans="2:5" ht="18.75">
      <c r="B3016">
        <v>8</v>
      </c>
      <c r="C3016" s="5">
        <v>46069</v>
      </c>
      <c r="D3016" t="s">
        <v>113</v>
      </c>
      <c r="E3016">
        <v>193.2</v>
      </c>
    </row>
    <row r="3017" spans="2:5" ht="18.75">
      <c r="B3017">
        <v>8</v>
      </c>
      <c r="C3017" s="5">
        <v>46069</v>
      </c>
      <c r="D3017" t="s">
        <v>139</v>
      </c>
      <c r="E3017">
        <v>308.79000000000002</v>
      </c>
    </row>
    <row r="3018" spans="2:5" ht="18.75">
      <c r="B3018">
        <v>8</v>
      </c>
      <c r="C3018" s="5">
        <v>46069</v>
      </c>
      <c r="D3018" t="s">
        <v>143</v>
      </c>
      <c r="E3018">
        <v>1739.31</v>
      </c>
    </row>
    <row r="3019" spans="2:5" ht="18.75">
      <c r="B3019">
        <v>8</v>
      </c>
      <c r="C3019" s="5">
        <v>46069</v>
      </c>
      <c r="D3019" t="s">
        <v>147</v>
      </c>
      <c r="E3019">
        <v>287.67</v>
      </c>
    </row>
    <row r="3020" spans="2:5" ht="18.75">
      <c r="B3020">
        <v>8</v>
      </c>
      <c r="C3020" s="5">
        <v>46069</v>
      </c>
      <c r="D3020" t="s">
        <v>121</v>
      </c>
      <c r="E3020">
        <v>177.64</v>
      </c>
    </row>
    <row r="3021" spans="2:5" ht="18.75">
      <c r="B3021">
        <v>8</v>
      </c>
      <c r="C3021" s="5">
        <v>46069</v>
      </c>
      <c r="D3021" t="s">
        <v>123</v>
      </c>
      <c r="E3021">
        <v>345.1</v>
      </c>
    </row>
    <row r="3022" spans="2:5" ht="18.75">
      <c r="B3022">
        <v>8</v>
      </c>
      <c r="C3022" s="5">
        <v>46069</v>
      </c>
      <c r="D3022" t="s">
        <v>124</v>
      </c>
      <c r="E3022">
        <v>345.46</v>
      </c>
    </row>
    <row r="3023" spans="2:5" ht="18.75">
      <c r="B3023">
        <v>8</v>
      </c>
      <c r="C3023" s="5">
        <v>46069</v>
      </c>
      <c r="D3023" t="s">
        <v>118</v>
      </c>
      <c r="E3023">
        <v>137.37</v>
      </c>
    </row>
    <row r="3024" spans="2:5" ht="18.75">
      <c r="B3024">
        <v>8</v>
      </c>
      <c r="C3024" s="5">
        <v>46069</v>
      </c>
      <c r="D3024" t="s">
        <v>127</v>
      </c>
      <c r="E3024">
        <v>191.34</v>
      </c>
    </row>
    <row r="3025" spans="2:5" ht="18.75">
      <c r="B3025">
        <v>8</v>
      </c>
      <c r="C3025" s="5">
        <v>46069</v>
      </c>
      <c r="D3025" t="s">
        <v>126</v>
      </c>
      <c r="E3025">
        <v>234.8</v>
      </c>
    </row>
    <row r="3026" spans="2:5" ht="18.75">
      <c r="B3026">
        <v>8</v>
      </c>
      <c r="C3026" s="5">
        <v>46069</v>
      </c>
      <c r="D3026" t="s">
        <v>129</v>
      </c>
      <c r="E3026">
        <v>397.19</v>
      </c>
    </row>
    <row r="3027" spans="2:5" ht="18.75">
      <c r="B3027">
        <v>8</v>
      </c>
      <c r="C3027" s="5">
        <v>46069</v>
      </c>
      <c r="D3027" t="s">
        <v>130</v>
      </c>
      <c r="E3027">
        <v>429.31</v>
      </c>
    </row>
    <row r="3028" spans="2:5" ht="18.75">
      <c r="B3028">
        <v>8</v>
      </c>
      <c r="C3028" s="5">
        <v>46069</v>
      </c>
      <c r="D3028" t="s">
        <v>138</v>
      </c>
      <c r="E3028">
        <v>401.54</v>
      </c>
    </row>
    <row r="3029" spans="2:5" ht="18.75">
      <c r="B3029">
        <v>8</v>
      </c>
      <c r="C3029" s="5">
        <v>46069</v>
      </c>
      <c r="D3029" t="s">
        <v>114</v>
      </c>
      <c r="E3029">
        <v>268.58</v>
      </c>
    </row>
    <row r="3030" spans="2:5" ht="18.75">
      <c r="B3030">
        <v>8</v>
      </c>
      <c r="C3030" s="5">
        <v>46069</v>
      </c>
      <c r="D3030" t="s">
        <v>119</v>
      </c>
      <c r="E3030">
        <v>396.63</v>
      </c>
    </row>
    <row r="3031" spans="2:5" ht="18.75">
      <c r="B3031">
        <v>8</v>
      </c>
      <c r="C3031" s="5">
        <v>46069</v>
      </c>
      <c r="D3031" t="s">
        <v>151</v>
      </c>
      <c r="E3031">
        <v>658.9</v>
      </c>
    </row>
    <row r="3032" spans="2:5" ht="18.75">
      <c r="B3032">
        <v>8</v>
      </c>
      <c r="C3032" s="5">
        <v>46069</v>
      </c>
      <c r="D3032" t="s">
        <v>141</v>
      </c>
      <c r="E3032">
        <v>512.85</v>
      </c>
    </row>
    <row r="3033" spans="2:5" ht="18.75">
      <c r="B3033">
        <v>8</v>
      </c>
      <c r="C3033" s="5">
        <v>46069</v>
      </c>
      <c r="D3033" t="s">
        <v>134</v>
      </c>
      <c r="E3033">
        <v>237.01</v>
      </c>
    </row>
    <row r="3034" spans="2:5" ht="18.75">
      <c r="B3034">
        <v>8</v>
      </c>
      <c r="C3034" s="5">
        <v>46069</v>
      </c>
      <c r="D3034" t="s">
        <v>133</v>
      </c>
      <c r="E3034">
        <v>234.45</v>
      </c>
    </row>
    <row r="3035" spans="2:5" ht="18.75">
      <c r="B3035">
        <v>8</v>
      </c>
      <c r="C3035" s="5">
        <v>46069</v>
      </c>
      <c r="D3035" t="s">
        <v>146</v>
      </c>
      <c r="E3035">
        <v>424.8</v>
      </c>
    </row>
    <row r="3036" spans="2:5" ht="18.75">
      <c r="B3036">
        <v>8</v>
      </c>
      <c r="C3036" s="5">
        <v>46069</v>
      </c>
      <c r="D3036" t="s">
        <v>132</v>
      </c>
      <c r="E3036">
        <v>208.28</v>
      </c>
    </row>
    <row r="3037" spans="2:5" ht="18.75">
      <c r="B3037">
        <v>9</v>
      </c>
      <c r="C3037" s="5">
        <v>46076</v>
      </c>
      <c r="D3037" t="s">
        <v>143</v>
      </c>
      <c r="E3037">
        <v>1603.2</v>
      </c>
    </row>
    <row r="3038" spans="2:5" ht="18.75">
      <c r="B3038">
        <v>9</v>
      </c>
      <c r="C3038" s="5">
        <v>46076</v>
      </c>
      <c r="D3038" t="s">
        <v>126</v>
      </c>
      <c r="E3038">
        <v>166.26</v>
      </c>
    </row>
    <row r="3039" spans="2:5" ht="18.75">
      <c r="B3039">
        <v>9</v>
      </c>
      <c r="C3039" s="5">
        <v>46076</v>
      </c>
      <c r="D3039" t="s">
        <v>127</v>
      </c>
      <c r="E3039">
        <v>292.33</v>
      </c>
    </row>
    <row r="3040" spans="2:5" ht="18.75">
      <c r="B3040">
        <v>8</v>
      </c>
      <c r="C3040" s="5">
        <v>46069</v>
      </c>
      <c r="D3040" t="s">
        <v>112</v>
      </c>
      <c r="E3040">
        <v>69.84</v>
      </c>
    </row>
    <row r="3041" spans="2:5" ht="18.75">
      <c r="B3041">
        <v>8</v>
      </c>
      <c r="C3041" s="5">
        <v>46069</v>
      </c>
      <c r="D3041" t="s">
        <v>116</v>
      </c>
      <c r="E3041">
        <v>96.73</v>
      </c>
    </row>
    <row r="3042" spans="2:5" ht="18.75">
      <c r="B3042">
        <v>8</v>
      </c>
      <c r="C3042" s="5">
        <v>46069</v>
      </c>
      <c r="D3042" t="s">
        <v>117</v>
      </c>
      <c r="E3042">
        <v>197.64</v>
      </c>
    </row>
    <row r="3043" spans="2:5" ht="18.75">
      <c r="B3043">
        <v>8</v>
      </c>
      <c r="C3043" s="5">
        <v>46069</v>
      </c>
      <c r="D3043" t="s">
        <v>120</v>
      </c>
      <c r="E3043">
        <v>116.39</v>
      </c>
    </row>
    <row r="3044" spans="2:5" ht="18.75">
      <c r="B3044">
        <v>8</v>
      </c>
      <c r="C3044" s="5">
        <v>46069</v>
      </c>
      <c r="D3044" t="s">
        <v>122</v>
      </c>
      <c r="E3044">
        <v>183.65</v>
      </c>
    </row>
    <row r="3045" spans="2:5" ht="18.75">
      <c r="B3045">
        <v>8</v>
      </c>
      <c r="C3045" s="5">
        <v>46069</v>
      </c>
      <c r="D3045" t="s">
        <v>125</v>
      </c>
      <c r="E3045">
        <v>72.760000000000005</v>
      </c>
    </row>
    <row r="3046" spans="2:5" ht="18.75">
      <c r="B3046">
        <v>8</v>
      </c>
      <c r="C3046" s="5">
        <v>46069</v>
      </c>
      <c r="D3046" t="s">
        <v>128</v>
      </c>
      <c r="E3046">
        <v>136.04</v>
      </c>
    </row>
    <row r="3047" spans="2:5" ht="18.75">
      <c r="B3047">
        <v>8</v>
      </c>
      <c r="C3047" s="5">
        <v>46069</v>
      </c>
      <c r="D3047" t="s">
        <v>135</v>
      </c>
      <c r="E3047">
        <v>73.89</v>
      </c>
    </row>
    <row r="3048" spans="2:5" ht="18.75">
      <c r="B3048">
        <v>8</v>
      </c>
      <c r="C3048" s="5">
        <v>46069</v>
      </c>
      <c r="D3048" t="s">
        <v>136</v>
      </c>
      <c r="E3048">
        <v>102.34</v>
      </c>
    </row>
    <row r="3049" spans="2:5" ht="18.75">
      <c r="B3049">
        <v>8</v>
      </c>
      <c r="C3049" s="5">
        <v>46069</v>
      </c>
      <c r="D3049" t="s">
        <v>137</v>
      </c>
      <c r="E3049">
        <v>67.930000000000007</v>
      </c>
    </row>
    <row r="3050" spans="2:5" ht="18.75">
      <c r="B3050">
        <v>8</v>
      </c>
      <c r="C3050" s="5">
        <v>46069</v>
      </c>
      <c r="D3050" t="s">
        <v>140</v>
      </c>
      <c r="E3050">
        <v>104.64</v>
      </c>
    </row>
    <row r="3051" spans="2:5" ht="18.75">
      <c r="B3051">
        <v>8</v>
      </c>
      <c r="C3051" s="5">
        <v>46069</v>
      </c>
      <c r="D3051" t="s">
        <v>142</v>
      </c>
      <c r="E3051">
        <v>127.31</v>
      </c>
    </row>
    <row r="3052" spans="2:5" ht="18.75">
      <c r="B3052">
        <v>8</v>
      </c>
      <c r="C3052" s="5">
        <v>46069</v>
      </c>
      <c r="D3052" t="s">
        <v>145</v>
      </c>
      <c r="E3052">
        <v>222.85</v>
      </c>
    </row>
    <row r="3053" spans="2:5" ht="18.75">
      <c r="B3053">
        <v>8</v>
      </c>
      <c r="C3053" s="5">
        <v>46069</v>
      </c>
      <c r="D3053" t="s">
        <v>148</v>
      </c>
      <c r="E3053">
        <v>87.18</v>
      </c>
    </row>
    <row r="3054" spans="2:5" ht="18.75">
      <c r="B3054">
        <v>8</v>
      </c>
      <c r="C3054" s="5">
        <v>46069</v>
      </c>
      <c r="D3054" t="s">
        <v>150</v>
      </c>
      <c r="E3054">
        <v>67.91</v>
      </c>
    </row>
    <row r="3055" spans="2:5" ht="18.75">
      <c r="B3055">
        <v>8</v>
      </c>
      <c r="C3055" s="5">
        <v>46069</v>
      </c>
      <c r="D3055" t="s">
        <v>149</v>
      </c>
      <c r="E3055">
        <v>113.09</v>
      </c>
    </row>
    <row r="3056" spans="2:5" ht="18.75">
      <c r="B3056">
        <v>9</v>
      </c>
      <c r="C3056" s="5">
        <v>46076</v>
      </c>
      <c r="D3056" t="s">
        <v>114</v>
      </c>
      <c r="E3056">
        <v>281.12</v>
      </c>
    </row>
    <row r="3057" spans="2:5" ht="18.75">
      <c r="B3057">
        <v>9</v>
      </c>
      <c r="C3057" s="5">
        <v>46076</v>
      </c>
      <c r="D3057" t="s">
        <v>133</v>
      </c>
      <c r="E3057">
        <v>281.68</v>
      </c>
    </row>
    <row r="3058" spans="2:5" ht="18.75">
      <c r="B3058">
        <v>9</v>
      </c>
      <c r="C3058" s="5">
        <v>46076</v>
      </c>
      <c r="D3058" t="s">
        <v>134</v>
      </c>
      <c r="E3058">
        <v>311.32</v>
      </c>
    </row>
    <row r="3059" spans="2:5" ht="18.75">
      <c r="B3059">
        <v>9</v>
      </c>
      <c r="C3059" s="5">
        <v>46076</v>
      </c>
      <c r="D3059" t="s">
        <v>138</v>
      </c>
      <c r="E3059">
        <v>486.61</v>
      </c>
    </row>
    <row r="3060" spans="2:5" ht="18.75">
      <c r="B3060">
        <v>9</v>
      </c>
      <c r="C3060" s="5">
        <v>46076</v>
      </c>
      <c r="D3060" t="s">
        <v>141</v>
      </c>
      <c r="E3060">
        <v>579.47</v>
      </c>
    </row>
    <row r="3061" spans="2:5" ht="18.75">
      <c r="B3061">
        <v>9</v>
      </c>
      <c r="C3061" s="5">
        <v>46076</v>
      </c>
      <c r="D3061" t="s">
        <v>139</v>
      </c>
      <c r="E3061">
        <v>228.32</v>
      </c>
    </row>
    <row r="3062" spans="2:5" ht="18.75">
      <c r="B3062">
        <v>9</v>
      </c>
      <c r="C3062" s="5">
        <v>46076</v>
      </c>
      <c r="D3062" t="s">
        <v>145</v>
      </c>
      <c r="E3062">
        <v>293.76</v>
      </c>
    </row>
    <row r="3063" spans="2:5" ht="18.75">
      <c r="B3063">
        <v>9</v>
      </c>
      <c r="C3063" s="5">
        <v>46076</v>
      </c>
      <c r="D3063" t="s">
        <v>146</v>
      </c>
      <c r="E3063">
        <v>516.65</v>
      </c>
    </row>
    <row r="3064" spans="2:5" ht="18.75">
      <c r="B3064">
        <v>9</v>
      </c>
      <c r="C3064" s="5">
        <v>46076</v>
      </c>
      <c r="D3064" t="s">
        <v>151</v>
      </c>
      <c r="E3064">
        <v>659.75</v>
      </c>
    </row>
    <row r="3065" spans="2:5" ht="18.75">
      <c r="B3065">
        <v>9</v>
      </c>
      <c r="C3065" s="5">
        <v>46076</v>
      </c>
      <c r="D3065" t="s">
        <v>111</v>
      </c>
      <c r="E3065">
        <v>188.18</v>
      </c>
    </row>
    <row r="3066" spans="2:5" ht="18.75">
      <c r="B3066">
        <v>9</v>
      </c>
      <c r="C3066" s="5">
        <v>46076</v>
      </c>
      <c r="D3066" t="s">
        <v>117</v>
      </c>
      <c r="E3066">
        <v>243.46</v>
      </c>
    </row>
    <row r="3067" spans="2:5" ht="18.75">
      <c r="B3067">
        <v>9</v>
      </c>
      <c r="C3067" s="5">
        <v>46076</v>
      </c>
      <c r="D3067" t="s">
        <v>119</v>
      </c>
      <c r="E3067">
        <v>396.68</v>
      </c>
    </row>
    <row r="3068" spans="2:5" ht="18.75">
      <c r="B3068">
        <v>9</v>
      </c>
      <c r="C3068" s="5">
        <v>46076</v>
      </c>
      <c r="D3068" t="s">
        <v>130</v>
      </c>
      <c r="E3068">
        <v>500.83</v>
      </c>
    </row>
    <row r="3069" spans="2:5" ht="18.75">
      <c r="B3069">
        <v>9</v>
      </c>
      <c r="C3069" s="5">
        <v>46076</v>
      </c>
      <c r="D3069" t="s">
        <v>129</v>
      </c>
      <c r="E3069">
        <v>375.94</v>
      </c>
    </row>
    <row r="3070" spans="2:5" ht="18.75">
      <c r="B3070">
        <v>9</v>
      </c>
      <c r="C3070" s="5">
        <v>46076</v>
      </c>
      <c r="D3070" t="s">
        <v>123</v>
      </c>
      <c r="E3070">
        <v>316.72000000000003</v>
      </c>
    </row>
    <row r="3071" spans="2:5" ht="18.75">
      <c r="B3071">
        <v>9</v>
      </c>
      <c r="C3071" s="5">
        <v>46076</v>
      </c>
      <c r="D3071" t="s">
        <v>124</v>
      </c>
      <c r="E3071">
        <v>438.22</v>
      </c>
    </row>
    <row r="3072" spans="2:5" ht="18.75">
      <c r="B3072">
        <v>9</v>
      </c>
      <c r="C3072" s="5">
        <v>46076</v>
      </c>
      <c r="D3072" t="s">
        <v>113</v>
      </c>
      <c r="E3072">
        <v>139.46</v>
      </c>
    </row>
    <row r="3073" spans="2:5" ht="18.75">
      <c r="B3073">
        <v>9</v>
      </c>
      <c r="C3073" s="5">
        <v>46076</v>
      </c>
      <c r="D3073" t="s">
        <v>118</v>
      </c>
      <c r="E3073">
        <v>133.54</v>
      </c>
    </row>
    <row r="3074" spans="2:5" ht="18.75">
      <c r="B3074">
        <v>9</v>
      </c>
      <c r="C3074" s="5">
        <v>46076</v>
      </c>
      <c r="D3074" t="s">
        <v>121</v>
      </c>
      <c r="E3074">
        <v>133.9</v>
      </c>
    </row>
    <row r="3075" spans="2:5" ht="18.75">
      <c r="B3075">
        <v>9</v>
      </c>
      <c r="C3075" s="5">
        <v>46076</v>
      </c>
      <c r="D3075" t="s">
        <v>147</v>
      </c>
      <c r="E3075">
        <v>267.22000000000003</v>
      </c>
    </row>
    <row r="3076" spans="2:5" ht="18.75">
      <c r="B3076">
        <v>9</v>
      </c>
      <c r="C3076" s="5">
        <v>46076</v>
      </c>
      <c r="D3076" t="s">
        <v>112</v>
      </c>
      <c r="E3076">
        <v>47.81</v>
      </c>
    </row>
    <row r="3077" spans="2:5" ht="18.75">
      <c r="B3077">
        <v>9</v>
      </c>
      <c r="C3077" s="5">
        <v>46076</v>
      </c>
      <c r="D3077" t="s">
        <v>116</v>
      </c>
      <c r="E3077">
        <v>66.260000000000005</v>
      </c>
    </row>
    <row r="3078" spans="2:5" ht="18.75">
      <c r="B3078">
        <v>9</v>
      </c>
      <c r="C3078" s="5">
        <v>46076</v>
      </c>
      <c r="D3078" t="s">
        <v>120</v>
      </c>
      <c r="E3078">
        <v>87.29</v>
      </c>
    </row>
    <row r="3079" spans="2:5" ht="18.75">
      <c r="B3079">
        <v>9</v>
      </c>
      <c r="C3079" s="5">
        <v>46076</v>
      </c>
      <c r="D3079" t="s">
        <v>122</v>
      </c>
      <c r="E3079">
        <v>242.84</v>
      </c>
    </row>
    <row r="3080" spans="2:5" ht="18.75">
      <c r="B3080">
        <v>9</v>
      </c>
      <c r="C3080" s="5">
        <v>46076</v>
      </c>
      <c r="D3080" t="s">
        <v>125</v>
      </c>
      <c r="E3080">
        <v>77.38</v>
      </c>
    </row>
    <row r="3081" spans="2:5" ht="18.75">
      <c r="B3081">
        <v>9</v>
      </c>
      <c r="C3081" s="5">
        <v>46076</v>
      </c>
      <c r="D3081" t="s">
        <v>128</v>
      </c>
      <c r="E3081">
        <v>78.569999999999993</v>
      </c>
    </row>
    <row r="3082" spans="2:5" ht="18.75">
      <c r="B3082">
        <v>9</v>
      </c>
      <c r="C3082" s="5">
        <v>46076</v>
      </c>
      <c r="D3082" t="s">
        <v>132</v>
      </c>
      <c r="E3082">
        <v>124.06</v>
      </c>
    </row>
    <row r="3083" spans="2:5" ht="18.75">
      <c r="B3083">
        <v>9</v>
      </c>
      <c r="C3083" s="5">
        <v>46076</v>
      </c>
      <c r="D3083" t="s">
        <v>135</v>
      </c>
      <c r="E3083">
        <v>58.74</v>
      </c>
    </row>
    <row r="3084" spans="2:5" ht="18.75">
      <c r="B3084">
        <v>9</v>
      </c>
      <c r="C3084" s="5">
        <v>46076</v>
      </c>
      <c r="D3084" t="s">
        <v>136</v>
      </c>
      <c r="E3084">
        <v>178.4</v>
      </c>
    </row>
    <row r="3085" spans="2:5" ht="18.75">
      <c r="B3085">
        <v>9</v>
      </c>
      <c r="C3085" s="5">
        <v>46076</v>
      </c>
      <c r="D3085" t="s">
        <v>137</v>
      </c>
      <c r="E3085">
        <v>74.28</v>
      </c>
    </row>
    <row r="3086" spans="2:5" ht="18.75">
      <c r="B3086">
        <v>9</v>
      </c>
      <c r="C3086" s="5">
        <v>46076</v>
      </c>
      <c r="D3086" t="s">
        <v>140</v>
      </c>
      <c r="E3086">
        <v>75.27</v>
      </c>
    </row>
    <row r="3087" spans="2:5" ht="18.75">
      <c r="B3087">
        <v>9</v>
      </c>
      <c r="C3087" s="5">
        <v>46076</v>
      </c>
      <c r="D3087" t="s">
        <v>142</v>
      </c>
      <c r="E3087">
        <v>185.7</v>
      </c>
    </row>
    <row r="3088" spans="2:5" ht="18.75">
      <c r="B3088">
        <v>9</v>
      </c>
      <c r="C3088" s="5">
        <v>46076</v>
      </c>
      <c r="D3088" t="s">
        <v>148</v>
      </c>
      <c r="E3088">
        <v>97.7</v>
      </c>
    </row>
    <row r="3089" spans="2:5" ht="18.75">
      <c r="B3089">
        <v>9</v>
      </c>
      <c r="C3089" s="5">
        <v>46076</v>
      </c>
      <c r="D3089" t="s">
        <v>150</v>
      </c>
      <c r="E3089">
        <v>71.73</v>
      </c>
    </row>
    <row r="3090" spans="2:5" ht="18.75">
      <c r="B3090">
        <v>9</v>
      </c>
      <c r="C3090" s="5">
        <v>46076</v>
      </c>
      <c r="D3090" t="s">
        <v>149</v>
      </c>
      <c r="E3090">
        <v>134.1</v>
      </c>
    </row>
    <row r="3091" spans="2:5" ht="18.75">
      <c r="B3091">
        <v>10</v>
      </c>
      <c r="C3091" s="5">
        <v>46083</v>
      </c>
      <c r="D3091" t="s">
        <v>111</v>
      </c>
      <c r="E3091">
        <v>203.76</v>
      </c>
    </row>
    <row r="3092" spans="2:5" ht="18.75">
      <c r="B3092">
        <v>10</v>
      </c>
      <c r="C3092" s="5">
        <v>46083</v>
      </c>
      <c r="D3092" t="s">
        <v>112</v>
      </c>
      <c r="E3092">
        <v>71.66</v>
      </c>
    </row>
    <row r="3093" spans="2:5" ht="18.75">
      <c r="B3093">
        <v>10</v>
      </c>
      <c r="C3093" s="5">
        <v>46083</v>
      </c>
      <c r="D3093" t="s">
        <v>113</v>
      </c>
      <c r="E3093">
        <v>204.79</v>
      </c>
    </row>
    <row r="3094" spans="2:5" ht="18.75">
      <c r="B3094">
        <v>10</v>
      </c>
      <c r="C3094" s="5">
        <v>46083</v>
      </c>
      <c r="D3094" t="s">
        <v>114</v>
      </c>
      <c r="E3094">
        <v>285.01</v>
      </c>
    </row>
    <row r="3095" spans="2:5" ht="18.75">
      <c r="B3095">
        <v>10</v>
      </c>
      <c r="C3095" s="5">
        <v>46083</v>
      </c>
      <c r="D3095" t="s">
        <v>116</v>
      </c>
      <c r="E3095">
        <v>123.85</v>
      </c>
    </row>
    <row r="3096" spans="2:5" ht="18.75">
      <c r="B3096">
        <v>10</v>
      </c>
      <c r="C3096" s="5">
        <v>46083</v>
      </c>
      <c r="D3096" t="s">
        <v>117</v>
      </c>
      <c r="E3096">
        <v>231.01</v>
      </c>
    </row>
    <row r="3097" spans="2:5" ht="18.75">
      <c r="B3097">
        <v>10</v>
      </c>
      <c r="C3097" s="5">
        <v>46083</v>
      </c>
      <c r="D3097" t="s">
        <v>118</v>
      </c>
      <c r="E3097">
        <v>158.91</v>
      </c>
    </row>
    <row r="3098" spans="2:5" ht="18.75">
      <c r="B3098">
        <v>10</v>
      </c>
      <c r="C3098" s="5">
        <v>46083</v>
      </c>
      <c r="D3098" t="s">
        <v>119</v>
      </c>
      <c r="E3098">
        <v>407.17</v>
      </c>
    </row>
    <row r="3099" spans="2:5" ht="18.75">
      <c r="B3099">
        <v>10</v>
      </c>
      <c r="C3099" s="5">
        <v>46083</v>
      </c>
      <c r="D3099" t="s">
        <v>120</v>
      </c>
      <c r="E3099">
        <v>167.24</v>
      </c>
    </row>
    <row r="3100" spans="2:5" ht="18.75">
      <c r="B3100">
        <v>10</v>
      </c>
      <c r="C3100" s="5">
        <v>46083</v>
      </c>
      <c r="D3100" t="s">
        <v>121</v>
      </c>
      <c r="E3100">
        <v>169.03</v>
      </c>
    </row>
    <row r="3101" spans="2:5" ht="18.75">
      <c r="B3101">
        <v>10</v>
      </c>
      <c r="C3101" s="5">
        <v>46083</v>
      </c>
      <c r="D3101" t="s">
        <v>122</v>
      </c>
      <c r="E3101">
        <v>233.76</v>
      </c>
    </row>
    <row r="3102" spans="2:5" ht="18.75">
      <c r="B3102">
        <v>10</v>
      </c>
      <c r="C3102" s="5">
        <v>46083</v>
      </c>
      <c r="D3102" t="s">
        <v>123</v>
      </c>
      <c r="E3102">
        <v>408.43</v>
      </c>
    </row>
    <row r="3103" spans="2:5" ht="18.75">
      <c r="B3103">
        <v>10</v>
      </c>
      <c r="C3103" s="5">
        <v>46083</v>
      </c>
      <c r="D3103" t="s">
        <v>124</v>
      </c>
      <c r="E3103">
        <v>435.19</v>
      </c>
    </row>
    <row r="3104" spans="2:5" ht="18.75">
      <c r="B3104">
        <v>10</v>
      </c>
      <c r="C3104" s="5">
        <v>46083</v>
      </c>
      <c r="D3104" t="s">
        <v>125</v>
      </c>
      <c r="E3104">
        <v>51.91</v>
      </c>
    </row>
    <row r="3105" spans="2:5" ht="18.75">
      <c r="B3105">
        <v>10</v>
      </c>
      <c r="C3105" s="5">
        <v>46083</v>
      </c>
      <c r="D3105" t="s">
        <v>126</v>
      </c>
      <c r="E3105">
        <v>137.81</v>
      </c>
    </row>
    <row r="3106" spans="2:5" ht="18.75">
      <c r="B3106">
        <v>10</v>
      </c>
      <c r="C3106" s="5">
        <v>46083</v>
      </c>
      <c r="D3106" t="s">
        <v>129</v>
      </c>
      <c r="E3106">
        <v>388.51</v>
      </c>
    </row>
    <row r="3107" spans="2:5" ht="18.75">
      <c r="B3107">
        <v>10</v>
      </c>
      <c r="C3107" s="5">
        <v>46083</v>
      </c>
      <c r="D3107" t="s">
        <v>130</v>
      </c>
      <c r="E3107">
        <v>461.1</v>
      </c>
    </row>
    <row r="3108" spans="2:5" ht="18.75">
      <c r="B3108">
        <v>10</v>
      </c>
      <c r="C3108" s="5">
        <v>46083</v>
      </c>
      <c r="D3108" t="s">
        <v>132</v>
      </c>
      <c r="E3108">
        <v>195.79</v>
      </c>
    </row>
    <row r="3109" spans="2:5" ht="18.75">
      <c r="B3109">
        <v>10</v>
      </c>
      <c r="C3109" s="5">
        <v>46083</v>
      </c>
      <c r="D3109" t="s">
        <v>133</v>
      </c>
      <c r="E3109">
        <v>224.52</v>
      </c>
    </row>
    <row r="3110" spans="2:5" ht="18.75">
      <c r="B3110">
        <v>10</v>
      </c>
      <c r="C3110" s="5">
        <v>46083</v>
      </c>
      <c r="D3110" t="s">
        <v>134</v>
      </c>
      <c r="E3110">
        <v>262.47000000000003</v>
      </c>
    </row>
    <row r="3111" spans="2:5" ht="18.75">
      <c r="B3111">
        <v>10</v>
      </c>
      <c r="C3111" s="5">
        <v>46083</v>
      </c>
      <c r="D3111" t="s">
        <v>136</v>
      </c>
      <c r="E3111">
        <v>203.86</v>
      </c>
    </row>
    <row r="3112" spans="2:5" ht="18.75">
      <c r="B3112">
        <v>10</v>
      </c>
      <c r="C3112" s="5">
        <v>46083</v>
      </c>
      <c r="D3112" t="s">
        <v>137</v>
      </c>
      <c r="E3112">
        <v>72.66</v>
      </c>
    </row>
    <row r="3113" spans="2:5" ht="18.75">
      <c r="B3113">
        <v>10</v>
      </c>
      <c r="C3113" s="5">
        <v>46083</v>
      </c>
      <c r="D3113" t="s">
        <v>138</v>
      </c>
      <c r="E3113">
        <v>450.26</v>
      </c>
    </row>
    <row r="3114" spans="2:5" ht="18.75">
      <c r="B3114">
        <v>10</v>
      </c>
      <c r="C3114" s="5">
        <v>46083</v>
      </c>
      <c r="D3114" t="s">
        <v>140</v>
      </c>
      <c r="E3114">
        <v>72.459999999999994</v>
      </c>
    </row>
    <row r="3115" spans="2:5" ht="18.75">
      <c r="B3115">
        <v>10</v>
      </c>
      <c r="C3115" s="5">
        <v>46083</v>
      </c>
      <c r="D3115" t="s">
        <v>141</v>
      </c>
      <c r="E3115">
        <v>585.86</v>
      </c>
    </row>
    <row r="3116" spans="2:5" ht="18.75">
      <c r="B3116">
        <v>10</v>
      </c>
      <c r="C3116" s="5">
        <v>46083</v>
      </c>
      <c r="D3116" t="s">
        <v>142</v>
      </c>
      <c r="E3116">
        <v>197.13</v>
      </c>
    </row>
    <row r="3117" spans="2:5" ht="18.75">
      <c r="B3117">
        <v>10</v>
      </c>
      <c r="C3117" s="5">
        <v>46083</v>
      </c>
      <c r="D3117" t="s">
        <v>139</v>
      </c>
      <c r="E3117">
        <v>291.17</v>
      </c>
    </row>
    <row r="3118" spans="2:5" ht="18.75">
      <c r="B3118">
        <v>10</v>
      </c>
      <c r="C3118" s="5">
        <v>46083</v>
      </c>
      <c r="D3118" t="s">
        <v>143</v>
      </c>
      <c r="E3118">
        <v>2055.5100000000002</v>
      </c>
    </row>
    <row r="3119" spans="2:5" ht="18.75">
      <c r="B3119">
        <v>10</v>
      </c>
      <c r="C3119" s="5">
        <v>46083</v>
      </c>
      <c r="D3119" t="s">
        <v>145</v>
      </c>
      <c r="E3119">
        <v>262.19</v>
      </c>
    </row>
    <row r="3120" spans="2:5" ht="18.75">
      <c r="B3120">
        <v>10</v>
      </c>
      <c r="C3120" s="5">
        <v>46083</v>
      </c>
      <c r="D3120" t="s">
        <v>146</v>
      </c>
      <c r="E3120">
        <v>555.66</v>
      </c>
    </row>
    <row r="3121" spans="2:5" ht="18.75">
      <c r="B3121">
        <v>10</v>
      </c>
      <c r="C3121" s="5">
        <v>46083</v>
      </c>
      <c r="D3121" t="s">
        <v>148</v>
      </c>
      <c r="E3121">
        <v>123.83</v>
      </c>
    </row>
    <row r="3122" spans="2:5" ht="18.75">
      <c r="B3122">
        <v>10</v>
      </c>
      <c r="C3122" s="5">
        <v>46083</v>
      </c>
      <c r="D3122" t="s">
        <v>147</v>
      </c>
      <c r="E3122">
        <v>330.55</v>
      </c>
    </row>
    <row r="3123" spans="2:5" ht="18.75">
      <c r="B3123">
        <v>10</v>
      </c>
      <c r="C3123" s="5">
        <v>46083</v>
      </c>
      <c r="D3123" t="s">
        <v>150</v>
      </c>
      <c r="E3123">
        <v>68.739999999999995</v>
      </c>
    </row>
    <row r="3124" spans="2:5" ht="18.75">
      <c r="B3124">
        <v>10</v>
      </c>
      <c r="C3124" s="5">
        <v>46083</v>
      </c>
      <c r="D3124" t="s">
        <v>151</v>
      </c>
      <c r="E3124">
        <v>726.81</v>
      </c>
    </row>
    <row r="3125" spans="2:5" ht="18.75">
      <c r="B3125">
        <v>10</v>
      </c>
      <c r="C3125" s="5">
        <v>46083</v>
      </c>
      <c r="D3125" t="s">
        <v>128</v>
      </c>
      <c r="E3125">
        <v>139.63</v>
      </c>
    </row>
    <row r="3126" spans="2:5" ht="18.75">
      <c r="B3126">
        <v>10</v>
      </c>
      <c r="C3126" s="5">
        <v>46083</v>
      </c>
      <c r="D3126" t="s">
        <v>135</v>
      </c>
      <c r="E3126">
        <v>85.21</v>
      </c>
    </row>
    <row r="3127" spans="2:5" ht="18.75">
      <c r="B3127">
        <v>10</v>
      </c>
      <c r="C3127" s="5">
        <v>46083</v>
      </c>
      <c r="D3127" t="s">
        <v>127</v>
      </c>
      <c r="E3127">
        <v>265.91000000000003</v>
      </c>
    </row>
    <row r="3128" spans="2:5" ht="18.75">
      <c r="B3128">
        <v>10</v>
      </c>
      <c r="C3128" s="5">
        <v>46083</v>
      </c>
      <c r="D3128" t="s">
        <v>149</v>
      </c>
      <c r="E3128">
        <v>161.25</v>
      </c>
    </row>
    <row r="3129" spans="2:5" ht="18.75">
      <c r="B3129">
        <v>11</v>
      </c>
      <c r="C3129" s="5">
        <v>46090</v>
      </c>
      <c r="D3129" t="s">
        <v>111</v>
      </c>
      <c r="E3129">
        <v>135.41</v>
      </c>
    </row>
    <row r="3130" spans="2:5" ht="18.75">
      <c r="B3130">
        <v>11</v>
      </c>
      <c r="C3130" s="5">
        <v>46090</v>
      </c>
      <c r="D3130" t="s">
        <v>112</v>
      </c>
      <c r="E3130">
        <v>65.069999999999993</v>
      </c>
    </row>
    <row r="3131" spans="2:5" ht="18.75">
      <c r="B3131">
        <v>11</v>
      </c>
      <c r="C3131" s="5">
        <v>46090</v>
      </c>
      <c r="D3131" t="s">
        <v>113</v>
      </c>
      <c r="E3131">
        <v>120.31</v>
      </c>
    </row>
    <row r="3132" spans="2:5" ht="18.75">
      <c r="B3132">
        <v>11</v>
      </c>
      <c r="C3132" s="5">
        <v>46090</v>
      </c>
      <c r="D3132" t="s">
        <v>114</v>
      </c>
      <c r="E3132">
        <v>207</v>
      </c>
    </row>
    <row r="3133" spans="2:5" ht="18.75">
      <c r="B3133">
        <v>11</v>
      </c>
      <c r="C3133" s="5">
        <v>46090</v>
      </c>
      <c r="D3133" t="s">
        <v>116</v>
      </c>
      <c r="E3133">
        <v>80.489999999999995</v>
      </c>
    </row>
    <row r="3134" spans="2:5" ht="18.75">
      <c r="B3134">
        <v>11</v>
      </c>
      <c r="C3134" s="5">
        <v>46090</v>
      </c>
      <c r="D3134" t="s">
        <v>117</v>
      </c>
      <c r="E3134">
        <v>152.71</v>
      </c>
    </row>
    <row r="3135" spans="2:5" ht="18.75">
      <c r="B3135">
        <v>11</v>
      </c>
      <c r="C3135" s="5">
        <v>46090</v>
      </c>
      <c r="D3135" t="s">
        <v>118</v>
      </c>
      <c r="E3135">
        <v>104.6</v>
      </c>
    </row>
    <row r="3136" spans="2:5" ht="18.75">
      <c r="B3136">
        <v>11</v>
      </c>
      <c r="C3136" s="5">
        <v>46090</v>
      </c>
      <c r="D3136" t="s">
        <v>119</v>
      </c>
      <c r="E3136">
        <v>223.05</v>
      </c>
    </row>
    <row r="3137" spans="2:5" ht="18.75">
      <c r="B3137">
        <v>11</v>
      </c>
      <c r="C3137" s="5">
        <v>46090</v>
      </c>
      <c r="D3137" t="s">
        <v>120</v>
      </c>
      <c r="E3137">
        <v>102.31</v>
      </c>
    </row>
    <row r="3138" spans="2:5" ht="18.75">
      <c r="B3138">
        <v>11</v>
      </c>
      <c r="C3138" s="5">
        <v>46090</v>
      </c>
      <c r="D3138" t="s">
        <v>121</v>
      </c>
      <c r="E3138">
        <v>97.29</v>
      </c>
    </row>
    <row r="3139" spans="2:5" ht="18.75">
      <c r="B3139">
        <v>11</v>
      </c>
      <c r="C3139" s="5">
        <v>46090</v>
      </c>
      <c r="D3139" t="s">
        <v>122</v>
      </c>
      <c r="E3139">
        <v>279.95999999999998</v>
      </c>
    </row>
    <row r="3140" spans="2:5" ht="18.75">
      <c r="B3140">
        <v>11</v>
      </c>
      <c r="C3140" s="5">
        <v>46090</v>
      </c>
      <c r="D3140" t="s">
        <v>123</v>
      </c>
      <c r="E3140">
        <v>265.77</v>
      </c>
    </row>
    <row r="3141" spans="2:5" ht="18.75">
      <c r="B3141">
        <v>11</v>
      </c>
      <c r="C3141" s="5">
        <v>46090</v>
      </c>
      <c r="D3141" t="s">
        <v>124</v>
      </c>
      <c r="E3141">
        <v>281.02999999999997</v>
      </c>
    </row>
    <row r="3142" spans="2:5" ht="18.75">
      <c r="B3142">
        <v>11</v>
      </c>
      <c r="C3142" s="5">
        <v>46090</v>
      </c>
      <c r="D3142" t="s">
        <v>125</v>
      </c>
      <c r="E3142">
        <v>60.12</v>
      </c>
    </row>
    <row r="3143" spans="2:5" ht="18.75">
      <c r="B3143">
        <v>11</v>
      </c>
      <c r="C3143" s="5">
        <v>46090</v>
      </c>
      <c r="D3143" t="s">
        <v>126</v>
      </c>
      <c r="E3143">
        <v>89.63</v>
      </c>
    </row>
    <row r="3144" spans="2:5" ht="18.75">
      <c r="B3144">
        <v>11</v>
      </c>
      <c r="C3144" s="5">
        <v>46090</v>
      </c>
      <c r="D3144" t="s">
        <v>128</v>
      </c>
      <c r="E3144">
        <v>185.05</v>
      </c>
    </row>
    <row r="3145" spans="2:5" ht="18.75">
      <c r="B3145">
        <v>11</v>
      </c>
      <c r="C3145" s="5">
        <v>46090</v>
      </c>
      <c r="D3145" t="s">
        <v>129</v>
      </c>
      <c r="E3145">
        <v>266.73</v>
      </c>
    </row>
    <row r="3146" spans="2:5" ht="18.75">
      <c r="B3146">
        <v>11</v>
      </c>
      <c r="C3146" s="5">
        <v>46090</v>
      </c>
      <c r="D3146" t="s">
        <v>130</v>
      </c>
      <c r="E3146">
        <v>313.66000000000003</v>
      </c>
    </row>
    <row r="3147" spans="2:5" ht="18.75">
      <c r="B3147">
        <v>11</v>
      </c>
      <c r="C3147" s="5">
        <v>46090</v>
      </c>
      <c r="D3147" t="s">
        <v>132</v>
      </c>
      <c r="E3147">
        <v>181.52</v>
      </c>
    </row>
    <row r="3148" spans="2:5" ht="18.75">
      <c r="B3148">
        <v>11</v>
      </c>
      <c r="C3148" s="5">
        <v>46090</v>
      </c>
      <c r="D3148" t="s">
        <v>133</v>
      </c>
      <c r="E3148">
        <v>173.02</v>
      </c>
    </row>
    <row r="3149" spans="2:5" ht="18.75">
      <c r="B3149">
        <v>11</v>
      </c>
      <c r="C3149" s="5">
        <v>46090</v>
      </c>
      <c r="D3149" t="s">
        <v>134</v>
      </c>
      <c r="E3149">
        <v>178.78</v>
      </c>
    </row>
    <row r="3150" spans="2:5" ht="18.75">
      <c r="B3150">
        <v>11</v>
      </c>
      <c r="C3150" s="5">
        <v>46090</v>
      </c>
      <c r="D3150" t="s">
        <v>135</v>
      </c>
      <c r="E3150">
        <v>75.33</v>
      </c>
    </row>
    <row r="3151" spans="2:5" ht="18.75">
      <c r="B3151">
        <v>11</v>
      </c>
      <c r="C3151" s="5">
        <v>46090</v>
      </c>
      <c r="D3151" t="s">
        <v>136</v>
      </c>
      <c r="E3151">
        <v>193.94</v>
      </c>
    </row>
    <row r="3152" spans="2:5" ht="18.75">
      <c r="B3152">
        <v>11</v>
      </c>
      <c r="C3152" s="5">
        <v>46090</v>
      </c>
      <c r="D3152" t="s">
        <v>137</v>
      </c>
      <c r="E3152">
        <v>71.63</v>
      </c>
    </row>
    <row r="3153" spans="2:5" ht="18.75">
      <c r="B3153">
        <v>11</v>
      </c>
      <c r="C3153" s="5">
        <v>46090</v>
      </c>
      <c r="D3153" t="s">
        <v>138</v>
      </c>
      <c r="E3153">
        <v>285.67</v>
      </c>
    </row>
    <row r="3154" spans="2:5" ht="18.75">
      <c r="B3154">
        <v>11</v>
      </c>
      <c r="C3154" s="5">
        <v>46090</v>
      </c>
      <c r="D3154" t="s">
        <v>140</v>
      </c>
      <c r="E3154">
        <v>64.78</v>
      </c>
    </row>
    <row r="3155" spans="2:5" ht="18.75">
      <c r="B3155">
        <v>11</v>
      </c>
      <c r="C3155" s="5">
        <v>46090</v>
      </c>
      <c r="D3155" t="s">
        <v>141</v>
      </c>
      <c r="E3155">
        <v>364.72</v>
      </c>
    </row>
    <row r="3156" spans="2:5" ht="18.75">
      <c r="B3156">
        <v>11</v>
      </c>
      <c r="C3156" s="5">
        <v>46090</v>
      </c>
      <c r="D3156" t="s">
        <v>142</v>
      </c>
      <c r="E3156">
        <v>221.64</v>
      </c>
    </row>
    <row r="3157" spans="2:5" ht="18.75">
      <c r="B3157">
        <v>11</v>
      </c>
      <c r="C3157" s="5">
        <v>46090</v>
      </c>
      <c r="D3157" t="s">
        <v>139</v>
      </c>
      <c r="E3157">
        <v>169.69</v>
      </c>
    </row>
    <row r="3158" spans="2:5" ht="18.75">
      <c r="B3158">
        <v>11</v>
      </c>
      <c r="C3158" s="5">
        <v>46090</v>
      </c>
      <c r="D3158" t="s">
        <v>143</v>
      </c>
      <c r="E3158">
        <v>441.51</v>
      </c>
    </row>
    <row r="3159" spans="2:5" ht="18.75">
      <c r="B3159">
        <v>11</v>
      </c>
      <c r="C3159" s="5">
        <v>46090</v>
      </c>
      <c r="D3159" t="s">
        <v>145</v>
      </c>
      <c r="E3159">
        <v>162.13999999999999</v>
      </c>
    </row>
    <row r="3160" spans="2:5" ht="18.75">
      <c r="B3160">
        <v>11</v>
      </c>
      <c r="C3160" s="5">
        <v>46090</v>
      </c>
      <c r="D3160" t="s">
        <v>146</v>
      </c>
      <c r="E3160">
        <v>327.08</v>
      </c>
    </row>
    <row r="3161" spans="2:5" ht="18.75">
      <c r="B3161">
        <v>11</v>
      </c>
      <c r="C3161" s="5">
        <v>46090</v>
      </c>
      <c r="D3161" t="s">
        <v>148</v>
      </c>
      <c r="E3161">
        <v>89.49</v>
      </c>
    </row>
    <row r="3162" spans="2:5" ht="18.75">
      <c r="B3162">
        <v>11</v>
      </c>
      <c r="C3162" s="5">
        <v>46090</v>
      </c>
      <c r="D3162" t="s">
        <v>147</v>
      </c>
      <c r="E3162">
        <v>172.92</v>
      </c>
    </row>
    <row r="3163" spans="2:5" ht="18.75">
      <c r="B3163">
        <v>11</v>
      </c>
      <c r="C3163" s="5">
        <v>46090</v>
      </c>
      <c r="D3163" t="s">
        <v>150</v>
      </c>
      <c r="E3163">
        <v>86.27</v>
      </c>
    </row>
    <row r="3164" spans="2:5" ht="18.75">
      <c r="B3164">
        <v>11</v>
      </c>
      <c r="C3164" s="5">
        <v>46090</v>
      </c>
      <c r="D3164" t="s">
        <v>151</v>
      </c>
      <c r="E3164">
        <v>358.48</v>
      </c>
    </row>
    <row r="3165" spans="2:5" ht="18.75">
      <c r="B3165">
        <v>11</v>
      </c>
      <c r="C3165" s="5">
        <v>46090</v>
      </c>
      <c r="D3165" t="s">
        <v>127</v>
      </c>
      <c r="E3165">
        <v>90.48</v>
      </c>
    </row>
    <row r="3166" spans="2:5" ht="18.75">
      <c r="B3166">
        <v>11</v>
      </c>
      <c r="C3166" s="5">
        <v>46090</v>
      </c>
      <c r="D3166" t="s">
        <v>149</v>
      </c>
      <c r="E3166">
        <v>168.83</v>
      </c>
    </row>
    <row r="3167" spans="2:5" ht="18.75">
      <c r="B3167">
        <v>43</v>
      </c>
      <c r="C3167" s="5">
        <v>45950</v>
      </c>
      <c r="D3167" t="s">
        <v>138</v>
      </c>
      <c r="E3167">
        <v>391.9</v>
      </c>
    </row>
    <row r="3168" spans="2:5" ht="18.75">
      <c r="B3168">
        <v>43</v>
      </c>
      <c r="C3168" s="5">
        <v>45950</v>
      </c>
      <c r="D3168" t="s">
        <v>141</v>
      </c>
      <c r="E3168">
        <v>585.19000000000005</v>
      </c>
    </row>
    <row r="3169" spans="2:5" ht="18.75">
      <c r="B3169">
        <v>43</v>
      </c>
      <c r="C3169" s="5">
        <v>45950</v>
      </c>
      <c r="D3169" t="s">
        <v>143</v>
      </c>
      <c r="E3169">
        <v>1339.33</v>
      </c>
    </row>
    <row r="3170" spans="2:5" ht="18.75">
      <c r="B3170">
        <v>43</v>
      </c>
      <c r="C3170" s="5">
        <v>45950</v>
      </c>
      <c r="D3170" t="s">
        <v>145</v>
      </c>
      <c r="E3170">
        <v>328.41</v>
      </c>
    </row>
    <row r="3171" spans="2:5" ht="18.75">
      <c r="B3171">
        <v>43</v>
      </c>
      <c r="C3171" s="5">
        <v>45950</v>
      </c>
      <c r="D3171" t="s">
        <v>146</v>
      </c>
      <c r="E3171">
        <v>532.25</v>
      </c>
    </row>
    <row r="3172" spans="2:5" ht="18.75">
      <c r="B3172">
        <v>43</v>
      </c>
      <c r="C3172" s="5">
        <v>45950</v>
      </c>
      <c r="D3172" t="s">
        <v>111</v>
      </c>
      <c r="E3172">
        <v>295.25</v>
      </c>
    </row>
    <row r="3173" spans="2:5" ht="18.75">
      <c r="B3173">
        <v>43</v>
      </c>
      <c r="C3173" s="5">
        <v>45950</v>
      </c>
      <c r="D3173" t="s">
        <v>117</v>
      </c>
      <c r="E3173">
        <v>251.05</v>
      </c>
    </row>
    <row r="3174" spans="2:5" ht="18.75">
      <c r="B3174">
        <v>43</v>
      </c>
      <c r="C3174" s="5">
        <v>45950</v>
      </c>
      <c r="D3174" t="s">
        <v>120</v>
      </c>
      <c r="E3174">
        <v>197.87</v>
      </c>
    </row>
    <row r="3175" spans="2:5" ht="18.75">
      <c r="B3175">
        <v>43</v>
      </c>
      <c r="C3175" s="5">
        <v>45950</v>
      </c>
      <c r="D3175" t="s">
        <v>127</v>
      </c>
      <c r="E3175">
        <v>216.32</v>
      </c>
    </row>
    <row r="3176" spans="2:5" ht="18.75">
      <c r="B3176">
        <v>43</v>
      </c>
      <c r="C3176" s="5">
        <v>45950</v>
      </c>
      <c r="D3176" t="s">
        <v>129</v>
      </c>
      <c r="E3176">
        <v>390.39</v>
      </c>
    </row>
    <row r="3177" spans="2:5" ht="18.75">
      <c r="B3177">
        <v>43</v>
      </c>
      <c r="C3177" s="5">
        <v>45950</v>
      </c>
      <c r="D3177" t="s">
        <v>133</v>
      </c>
      <c r="E3177">
        <v>299.18</v>
      </c>
    </row>
    <row r="3178" spans="2:5" ht="18.75">
      <c r="B3178">
        <v>43</v>
      </c>
      <c r="C3178" s="5">
        <v>45950</v>
      </c>
      <c r="D3178" t="s">
        <v>134</v>
      </c>
      <c r="E3178">
        <v>308.51</v>
      </c>
    </row>
    <row r="3179" spans="2:5" ht="18.75">
      <c r="B3179">
        <v>43</v>
      </c>
      <c r="C3179" s="5">
        <v>45950</v>
      </c>
      <c r="D3179" t="s">
        <v>114</v>
      </c>
      <c r="E3179">
        <v>243.99</v>
      </c>
    </row>
    <row r="3180" spans="2:5" ht="18.75">
      <c r="B3180">
        <v>43</v>
      </c>
      <c r="C3180" s="5">
        <v>45950</v>
      </c>
      <c r="D3180" t="s">
        <v>119</v>
      </c>
      <c r="E3180">
        <v>396.97</v>
      </c>
    </row>
    <row r="3181" spans="2:5" ht="18.75">
      <c r="B3181">
        <v>43</v>
      </c>
      <c r="C3181" s="5">
        <v>45950</v>
      </c>
      <c r="D3181" t="s">
        <v>118</v>
      </c>
      <c r="E3181">
        <v>159.97999999999999</v>
      </c>
    </row>
    <row r="3182" spans="2:5" ht="18.75">
      <c r="B3182">
        <v>43</v>
      </c>
      <c r="C3182" s="5">
        <v>45950</v>
      </c>
      <c r="D3182" t="s">
        <v>123</v>
      </c>
      <c r="E3182">
        <v>405.34</v>
      </c>
    </row>
    <row r="3183" spans="2:5" ht="18.75">
      <c r="B3183">
        <v>43</v>
      </c>
      <c r="C3183" s="5">
        <v>45950</v>
      </c>
      <c r="D3183" t="s">
        <v>124</v>
      </c>
      <c r="E3183">
        <v>407.15</v>
      </c>
    </row>
    <row r="3184" spans="2:5" ht="18.75">
      <c r="B3184">
        <v>43</v>
      </c>
      <c r="C3184" s="5">
        <v>45950</v>
      </c>
      <c r="D3184" t="s">
        <v>126</v>
      </c>
      <c r="E3184">
        <v>102.95</v>
      </c>
    </row>
    <row r="3185" spans="2:5" ht="18.75">
      <c r="B3185">
        <v>43</v>
      </c>
      <c r="C3185" s="5">
        <v>45950</v>
      </c>
      <c r="D3185" t="s">
        <v>139</v>
      </c>
      <c r="E3185">
        <v>219.06</v>
      </c>
    </row>
    <row r="3186" spans="2:5" ht="18.75">
      <c r="B3186">
        <v>43</v>
      </c>
      <c r="C3186" s="5">
        <v>45950</v>
      </c>
      <c r="D3186" t="s">
        <v>219</v>
      </c>
      <c r="E3186">
        <v>261.79000000000002</v>
      </c>
    </row>
    <row r="3187" spans="2:5" ht="18.75">
      <c r="B3187">
        <v>43</v>
      </c>
      <c r="C3187" s="5">
        <v>45950</v>
      </c>
      <c r="D3187" t="s">
        <v>113</v>
      </c>
      <c r="E3187">
        <v>174.57</v>
      </c>
    </row>
    <row r="3188" spans="2:5" ht="18.75">
      <c r="B3188">
        <v>43</v>
      </c>
      <c r="C3188" s="5">
        <v>45950</v>
      </c>
      <c r="D3188" t="s">
        <v>112</v>
      </c>
      <c r="E3188">
        <v>71.28</v>
      </c>
    </row>
    <row r="3189" spans="2:5" ht="18.75">
      <c r="B3189">
        <v>43</v>
      </c>
      <c r="C3189" s="5">
        <v>45950</v>
      </c>
      <c r="D3189" t="s">
        <v>116</v>
      </c>
      <c r="E3189">
        <v>81.64</v>
      </c>
    </row>
    <row r="3190" spans="2:5" ht="18.75">
      <c r="B3190">
        <v>43</v>
      </c>
      <c r="C3190" s="5">
        <v>45950</v>
      </c>
      <c r="D3190" t="s">
        <v>121</v>
      </c>
      <c r="E3190">
        <v>135.29</v>
      </c>
    </row>
    <row r="3191" spans="2:5" ht="18.75">
      <c r="B3191">
        <v>43</v>
      </c>
      <c r="C3191" s="5">
        <v>45950</v>
      </c>
      <c r="D3191" t="s">
        <v>122</v>
      </c>
      <c r="E3191">
        <v>250.67</v>
      </c>
    </row>
    <row r="3192" spans="2:5" ht="18.75">
      <c r="B3192">
        <v>43</v>
      </c>
      <c r="C3192" s="5">
        <v>45950</v>
      </c>
      <c r="D3192" t="s">
        <v>125</v>
      </c>
      <c r="E3192">
        <v>46.7</v>
      </c>
    </row>
    <row r="3193" spans="2:5" ht="18.75">
      <c r="B3193">
        <v>43</v>
      </c>
      <c r="C3193" s="5">
        <v>45950</v>
      </c>
      <c r="D3193" t="s">
        <v>128</v>
      </c>
      <c r="E3193">
        <v>144.75</v>
      </c>
    </row>
    <row r="3194" spans="2:5" ht="18.75">
      <c r="B3194">
        <v>43</v>
      </c>
      <c r="C3194" s="5">
        <v>45950</v>
      </c>
      <c r="D3194" t="s">
        <v>132</v>
      </c>
      <c r="E3194">
        <v>143.69999999999999</v>
      </c>
    </row>
    <row r="3195" spans="2:5" ht="18.75">
      <c r="B3195">
        <v>43</v>
      </c>
      <c r="C3195" s="5">
        <v>45950</v>
      </c>
      <c r="D3195" t="s">
        <v>135</v>
      </c>
      <c r="E3195">
        <v>57.31</v>
      </c>
    </row>
    <row r="3196" spans="2:5" ht="18.75">
      <c r="B3196">
        <v>43</v>
      </c>
      <c r="C3196" s="5">
        <v>45950</v>
      </c>
      <c r="D3196" t="s">
        <v>136</v>
      </c>
      <c r="E3196">
        <v>87.03</v>
      </c>
    </row>
    <row r="3197" spans="2:5" ht="18.75">
      <c r="B3197">
        <v>43</v>
      </c>
      <c r="C3197" s="5">
        <v>45950</v>
      </c>
      <c r="D3197" t="s">
        <v>137</v>
      </c>
      <c r="E3197">
        <v>96.93</v>
      </c>
    </row>
    <row r="3198" spans="2:5" ht="18.75">
      <c r="B3198">
        <v>43</v>
      </c>
      <c r="C3198" s="5">
        <v>45950</v>
      </c>
      <c r="D3198" t="s">
        <v>140</v>
      </c>
      <c r="E3198">
        <v>64.319999999999993</v>
      </c>
    </row>
    <row r="3199" spans="2:5" ht="18.75">
      <c r="B3199">
        <v>43</v>
      </c>
      <c r="C3199" s="5">
        <v>45950</v>
      </c>
      <c r="D3199" t="s">
        <v>142</v>
      </c>
      <c r="E3199">
        <v>129.11000000000001</v>
      </c>
    </row>
    <row r="3200" spans="2:5" ht="18.75">
      <c r="B3200">
        <v>43</v>
      </c>
      <c r="C3200" s="5">
        <v>45950</v>
      </c>
      <c r="D3200" t="s">
        <v>149</v>
      </c>
      <c r="E3200">
        <v>105.23</v>
      </c>
    </row>
    <row r="3201" spans="2:5" ht="18.75">
      <c r="B3201">
        <v>43</v>
      </c>
      <c r="C3201" s="5">
        <v>45950</v>
      </c>
      <c r="D3201" t="s">
        <v>150</v>
      </c>
      <c r="E3201">
        <v>62.82</v>
      </c>
    </row>
    <row r="3202" spans="2:5" ht="18.75">
      <c r="B3202">
        <v>44</v>
      </c>
      <c r="C3202" s="5">
        <v>45957</v>
      </c>
      <c r="D3202" t="s">
        <v>111</v>
      </c>
      <c r="E3202">
        <v>274.2</v>
      </c>
    </row>
    <row r="3203" spans="2:5" ht="18.75">
      <c r="B3203">
        <v>44</v>
      </c>
      <c r="C3203" s="5">
        <v>45957</v>
      </c>
      <c r="D3203" t="s">
        <v>143</v>
      </c>
      <c r="E3203">
        <v>1319.3</v>
      </c>
    </row>
    <row r="3204" spans="2:5" ht="18.75">
      <c r="B3204">
        <v>44</v>
      </c>
      <c r="C3204" s="5">
        <v>45957</v>
      </c>
      <c r="D3204" t="s">
        <v>127</v>
      </c>
      <c r="E3204">
        <v>233.8</v>
      </c>
    </row>
    <row r="3205" spans="2:5" ht="18.75">
      <c r="B3205">
        <v>44</v>
      </c>
      <c r="C3205" s="5">
        <v>45957</v>
      </c>
      <c r="D3205" t="s">
        <v>117</v>
      </c>
      <c r="E3205">
        <v>261.33</v>
      </c>
    </row>
    <row r="3206" spans="2:5" ht="18.75">
      <c r="B3206">
        <v>44</v>
      </c>
      <c r="C3206" s="5">
        <v>45957</v>
      </c>
      <c r="D3206" t="s">
        <v>119</v>
      </c>
      <c r="E3206">
        <v>397.19</v>
      </c>
    </row>
    <row r="3207" spans="2:5" ht="18.75">
      <c r="B3207">
        <v>44</v>
      </c>
      <c r="C3207" s="5">
        <v>45957</v>
      </c>
      <c r="D3207" t="s">
        <v>120</v>
      </c>
      <c r="E3207">
        <v>239.92</v>
      </c>
    </row>
    <row r="3208" spans="2:5" ht="18.75">
      <c r="B3208">
        <v>44</v>
      </c>
      <c r="C3208" s="5">
        <v>45957</v>
      </c>
      <c r="D3208" t="s">
        <v>121</v>
      </c>
      <c r="E3208">
        <v>323.07</v>
      </c>
    </row>
    <row r="3209" spans="2:5" ht="18.75">
      <c r="B3209">
        <v>44</v>
      </c>
      <c r="C3209" s="5">
        <v>45957</v>
      </c>
      <c r="D3209" t="s">
        <v>133</v>
      </c>
      <c r="E3209">
        <v>337.37</v>
      </c>
    </row>
    <row r="3210" spans="2:5" ht="18.75">
      <c r="B3210">
        <v>44</v>
      </c>
      <c r="C3210" s="5">
        <v>45957</v>
      </c>
      <c r="D3210" t="s">
        <v>134</v>
      </c>
      <c r="E3210">
        <v>345.33</v>
      </c>
    </row>
    <row r="3211" spans="2:5" ht="18.75">
      <c r="B3211">
        <v>44</v>
      </c>
      <c r="C3211" s="5">
        <v>45957</v>
      </c>
      <c r="D3211" t="s">
        <v>141</v>
      </c>
      <c r="E3211">
        <v>607.1</v>
      </c>
    </row>
    <row r="3212" spans="2:5" ht="18.75">
      <c r="B3212">
        <v>44</v>
      </c>
      <c r="C3212" s="5">
        <v>45957</v>
      </c>
      <c r="D3212" t="s">
        <v>145</v>
      </c>
      <c r="E3212">
        <v>449.08</v>
      </c>
    </row>
    <row r="3213" spans="2:5" ht="18.75">
      <c r="B3213">
        <v>44</v>
      </c>
      <c r="C3213" s="5">
        <v>45957</v>
      </c>
      <c r="D3213" t="s">
        <v>146</v>
      </c>
      <c r="E3213">
        <v>628.41</v>
      </c>
    </row>
    <row r="3214" spans="2:5" ht="18.75">
      <c r="B3214">
        <v>44</v>
      </c>
      <c r="C3214" s="5">
        <v>45957</v>
      </c>
      <c r="D3214" t="s">
        <v>114</v>
      </c>
      <c r="E3214">
        <v>262.79000000000002</v>
      </c>
    </row>
    <row r="3215" spans="2:5" ht="18.75">
      <c r="B3215">
        <v>44</v>
      </c>
      <c r="C3215" s="5">
        <v>45957</v>
      </c>
      <c r="D3215" t="s">
        <v>138</v>
      </c>
      <c r="E3215">
        <v>450.36</v>
      </c>
    </row>
    <row r="3216" spans="2:5" ht="18.75">
      <c r="B3216">
        <v>44</v>
      </c>
      <c r="C3216" s="5">
        <v>45957</v>
      </c>
      <c r="D3216" t="s">
        <v>129</v>
      </c>
      <c r="E3216">
        <v>453.62</v>
      </c>
    </row>
    <row r="3217" spans="2:5" ht="18.75">
      <c r="B3217">
        <v>44</v>
      </c>
      <c r="C3217" s="5">
        <v>45957</v>
      </c>
      <c r="D3217" t="s">
        <v>122</v>
      </c>
      <c r="E3217">
        <v>231.96</v>
      </c>
    </row>
    <row r="3218" spans="2:5" ht="18.75">
      <c r="B3218">
        <v>44</v>
      </c>
      <c r="C3218" s="5">
        <v>45957</v>
      </c>
      <c r="D3218" t="s">
        <v>123</v>
      </c>
      <c r="E3218">
        <v>516.76</v>
      </c>
    </row>
    <row r="3219" spans="2:5" ht="18.75">
      <c r="B3219">
        <v>44</v>
      </c>
      <c r="C3219" s="5">
        <v>45957</v>
      </c>
      <c r="D3219" t="s">
        <v>124</v>
      </c>
      <c r="E3219">
        <v>485.83</v>
      </c>
    </row>
    <row r="3220" spans="2:5" ht="18.75">
      <c r="B3220">
        <v>44</v>
      </c>
      <c r="C3220" s="5">
        <v>45957</v>
      </c>
      <c r="D3220" t="s">
        <v>128</v>
      </c>
      <c r="E3220">
        <v>158.88</v>
      </c>
    </row>
    <row r="3221" spans="2:5" ht="18.75">
      <c r="B3221">
        <v>44</v>
      </c>
      <c r="C3221" s="5">
        <v>45957</v>
      </c>
      <c r="D3221" t="s">
        <v>132</v>
      </c>
      <c r="E3221">
        <v>300.44</v>
      </c>
    </row>
    <row r="3222" spans="2:5" ht="18.75">
      <c r="B3222">
        <v>44</v>
      </c>
      <c r="C3222" s="5">
        <v>45957</v>
      </c>
      <c r="D3222" t="s">
        <v>142</v>
      </c>
      <c r="E3222">
        <v>284.43</v>
      </c>
    </row>
    <row r="3223" spans="2:5" ht="18.75">
      <c r="B3223">
        <v>44</v>
      </c>
      <c r="C3223" s="5">
        <v>45957</v>
      </c>
      <c r="D3223" t="s">
        <v>219</v>
      </c>
      <c r="E3223">
        <v>334.47</v>
      </c>
    </row>
    <row r="3224" spans="2:5" ht="18.75">
      <c r="B3224">
        <v>44</v>
      </c>
      <c r="C3224" s="5">
        <v>45957</v>
      </c>
      <c r="D3224" t="s">
        <v>112</v>
      </c>
      <c r="E3224">
        <v>81.36</v>
      </c>
    </row>
    <row r="3225" spans="2:5" ht="18.75">
      <c r="B3225">
        <v>44</v>
      </c>
      <c r="C3225" s="5">
        <v>45957</v>
      </c>
      <c r="D3225" t="s">
        <v>113</v>
      </c>
      <c r="E3225">
        <v>233.28</v>
      </c>
    </row>
    <row r="3226" spans="2:5" ht="18.75">
      <c r="B3226">
        <v>44</v>
      </c>
      <c r="C3226" s="5">
        <v>45957</v>
      </c>
      <c r="D3226" t="s">
        <v>116</v>
      </c>
      <c r="E3226">
        <v>92.8</v>
      </c>
    </row>
    <row r="3227" spans="2:5" ht="18.75">
      <c r="B3227">
        <v>44</v>
      </c>
      <c r="C3227" s="5">
        <v>45957</v>
      </c>
      <c r="D3227" t="s">
        <v>118</v>
      </c>
      <c r="E3227">
        <v>178.58</v>
      </c>
    </row>
    <row r="3228" spans="2:5" ht="18.75">
      <c r="B3228">
        <v>44</v>
      </c>
      <c r="C3228" s="5">
        <v>45957</v>
      </c>
      <c r="D3228" t="s">
        <v>125</v>
      </c>
      <c r="E3228">
        <v>65.88</v>
      </c>
    </row>
    <row r="3229" spans="2:5" ht="18.75">
      <c r="B3229">
        <v>44</v>
      </c>
      <c r="C3229" s="5">
        <v>45957</v>
      </c>
      <c r="D3229" t="s">
        <v>126</v>
      </c>
      <c r="E3229">
        <v>119.11</v>
      </c>
    </row>
    <row r="3230" spans="2:5" ht="18.75">
      <c r="B3230">
        <v>44</v>
      </c>
      <c r="C3230" s="5">
        <v>45957</v>
      </c>
      <c r="D3230" t="s">
        <v>136</v>
      </c>
      <c r="E3230">
        <v>77.069999999999993</v>
      </c>
    </row>
    <row r="3231" spans="2:5" ht="18.75">
      <c r="B3231">
        <v>44</v>
      </c>
      <c r="C3231" s="5">
        <v>45957</v>
      </c>
      <c r="D3231" t="s">
        <v>137</v>
      </c>
      <c r="E3231">
        <v>78.56</v>
      </c>
    </row>
    <row r="3232" spans="2:5" ht="18.75">
      <c r="B3232">
        <v>44</v>
      </c>
      <c r="C3232" s="5">
        <v>45957</v>
      </c>
      <c r="D3232" t="s">
        <v>140</v>
      </c>
      <c r="E3232">
        <v>77.23</v>
      </c>
    </row>
    <row r="3233" spans="2:5" ht="18.75">
      <c r="B3233">
        <v>44</v>
      </c>
      <c r="C3233" s="5">
        <v>45957</v>
      </c>
      <c r="D3233" t="s">
        <v>139</v>
      </c>
      <c r="E3233">
        <v>295.23</v>
      </c>
    </row>
    <row r="3234" spans="2:5" ht="18.75">
      <c r="B3234">
        <v>44</v>
      </c>
      <c r="C3234" s="5">
        <v>45957</v>
      </c>
      <c r="D3234" t="s">
        <v>149</v>
      </c>
      <c r="E3234">
        <v>132.25</v>
      </c>
    </row>
    <row r="3235" spans="2:5" ht="18.75">
      <c r="B3235">
        <v>44</v>
      </c>
      <c r="C3235" s="5">
        <v>45957</v>
      </c>
      <c r="D3235" t="s">
        <v>150</v>
      </c>
      <c r="E3235">
        <v>51.61</v>
      </c>
    </row>
    <row r="3236" spans="2:5" ht="18.75">
      <c r="B3236">
        <v>44</v>
      </c>
      <c r="C3236" s="5">
        <v>45957</v>
      </c>
      <c r="D3236" t="s">
        <v>135</v>
      </c>
      <c r="E3236">
        <v>45.68</v>
      </c>
    </row>
    <row r="3237" spans="2:5" ht="18.75">
      <c r="B3237">
        <v>45</v>
      </c>
      <c r="C3237" s="5">
        <v>45964</v>
      </c>
      <c r="D3237" t="s">
        <v>143</v>
      </c>
      <c r="E3237">
        <v>1382.07</v>
      </c>
    </row>
    <row r="3238" spans="2:5" ht="18.75">
      <c r="B3238">
        <v>45</v>
      </c>
      <c r="C3238" s="5">
        <v>45964</v>
      </c>
      <c r="D3238" t="s">
        <v>126</v>
      </c>
      <c r="E3238">
        <v>78.180000000000007</v>
      </c>
    </row>
    <row r="3239" spans="2:5" ht="18.75">
      <c r="B3239">
        <v>45</v>
      </c>
      <c r="C3239" s="5">
        <v>45964</v>
      </c>
      <c r="D3239" t="s">
        <v>127</v>
      </c>
      <c r="E3239">
        <v>271.14</v>
      </c>
    </row>
    <row r="3240" spans="2:5" ht="18.75">
      <c r="B3240">
        <v>45</v>
      </c>
      <c r="C3240" s="5">
        <v>45964</v>
      </c>
      <c r="D3240" t="s">
        <v>146</v>
      </c>
      <c r="E3240">
        <v>585.88</v>
      </c>
    </row>
    <row r="3241" spans="2:5" ht="18.75">
      <c r="B3241">
        <v>45</v>
      </c>
      <c r="C3241" s="5">
        <v>45964</v>
      </c>
      <c r="D3241" t="s">
        <v>141</v>
      </c>
      <c r="E3241">
        <v>352.85</v>
      </c>
    </row>
    <row r="3242" spans="2:5" ht="18.75">
      <c r="B3242">
        <v>45</v>
      </c>
      <c r="C3242" s="5">
        <v>45964</v>
      </c>
      <c r="D3242" t="s">
        <v>111</v>
      </c>
      <c r="E3242">
        <v>251.47</v>
      </c>
    </row>
    <row r="3243" spans="2:5" ht="18.75">
      <c r="B3243">
        <v>45</v>
      </c>
      <c r="C3243" s="5">
        <v>45964</v>
      </c>
      <c r="D3243" t="s">
        <v>112</v>
      </c>
      <c r="E3243">
        <v>75.67</v>
      </c>
    </row>
    <row r="3244" spans="2:5" ht="18.75">
      <c r="B3244">
        <v>45</v>
      </c>
      <c r="C3244" s="5">
        <v>45964</v>
      </c>
      <c r="D3244" t="s">
        <v>113</v>
      </c>
      <c r="E3244">
        <v>224.78</v>
      </c>
    </row>
    <row r="3245" spans="2:5" ht="18.75">
      <c r="B3245">
        <v>45</v>
      </c>
      <c r="C3245" s="5">
        <v>45964</v>
      </c>
      <c r="D3245" t="s">
        <v>114</v>
      </c>
      <c r="E3245">
        <v>272.99</v>
      </c>
    </row>
    <row r="3246" spans="2:5" ht="18.75">
      <c r="B3246">
        <v>45</v>
      </c>
      <c r="C3246" s="5">
        <v>45964</v>
      </c>
      <c r="D3246" t="s">
        <v>116</v>
      </c>
      <c r="E3246">
        <v>99.57</v>
      </c>
    </row>
    <row r="3247" spans="2:5" ht="18.75">
      <c r="B3247">
        <v>45</v>
      </c>
      <c r="C3247" s="5">
        <v>45964</v>
      </c>
      <c r="D3247" t="s">
        <v>117</v>
      </c>
      <c r="E3247">
        <v>286.26</v>
      </c>
    </row>
    <row r="3248" spans="2:5" ht="18.75">
      <c r="B3248">
        <v>45</v>
      </c>
      <c r="C3248" s="5">
        <v>45964</v>
      </c>
      <c r="D3248" t="s">
        <v>118</v>
      </c>
      <c r="E3248">
        <v>172.48</v>
      </c>
    </row>
    <row r="3249" spans="2:5" ht="18.75">
      <c r="B3249">
        <v>45</v>
      </c>
      <c r="C3249" s="5">
        <v>45964</v>
      </c>
      <c r="D3249" t="s">
        <v>119</v>
      </c>
      <c r="E3249">
        <v>429.72</v>
      </c>
    </row>
    <row r="3250" spans="2:5" ht="18.75">
      <c r="B3250">
        <v>45</v>
      </c>
      <c r="C3250" s="5">
        <v>45964</v>
      </c>
      <c r="D3250" t="s">
        <v>120</v>
      </c>
      <c r="E3250">
        <v>163.27000000000001</v>
      </c>
    </row>
    <row r="3251" spans="2:5" ht="18.75">
      <c r="B3251">
        <v>45</v>
      </c>
      <c r="C3251" s="5">
        <v>45964</v>
      </c>
      <c r="D3251" t="s">
        <v>121</v>
      </c>
      <c r="E3251">
        <v>140.24</v>
      </c>
    </row>
    <row r="3252" spans="2:5" ht="18.75">
      <c r="B3252">
        <v>45</v>
      </c>
      <c r="C3252" s="5">
        <v>45964</v>
      </c>
      <c r="D3252" t="s">
        <v>122</v>
      </c>
      <c r="E3252">
        <v>391.54</v>
      </c>
    </row>
    <row r="3253" spans="2:5" ht="18.75">
      <c r="B3253">
        <v>45</v>
      </c>
      <c r="C3253" s="5">
        <v>45964</v>
      </c>
      <c r="D3253" t="s">
        <v>123</v>
      </c>
      <c r="E3253">
        <v>462.04</v>
      </c>
    </row>
    <row r="3254" spans="2:5" ht="18.75">
      <c r="B3254">
        <v>45</v>
      </c>
      <c r="C3254" s="5">
        <v>45964</v>
      </c>
      <c r="D3254" t="s">
        <v>124</v>
      </c>
      <c r="E3254">
        <v>439.45</v>
      </c>
    </row>
    <row r="3255" spans="2:5" ht="18.75">
      <c r="B3255">
        <v>45</v>
      </c>
      <c r="C3255" s="5">
        <v>45964</v>
      </c>
      <c r="D3255" t="s">
        <v>125</v>
      </c>
      <c r="E3255">
        <v>69.64</v>
      </c>
    </row>
    <row r="3256" spans="2:5" ht="18.75">
      <c r="B3256">
        <v>45</v>
      </c>
      <c r="C3256" s="5">
        <v>45964</v>
      </c>
      <c r="D3256" t="s">
        <v>128</v>
      </c>
      <c r="E3256">
        <v>233.58</v>
      </c>
    </row>
    <row r="3257" spans="2:5" ht="18.75">
      <c r="B3257">
        <v>45</v>
      </c>
      <c r="C3257" s="5">
        <v>45964</v>
      </c>
      <c r="D3257" t="s">
        <v>129</v>
      </c>
      <c r="E3257">
        <v>449.26</v>
      </c>
    </row>
    <row r="3258" spans="2:5" ht="18.75">
      <c r="B3258">
        <v>45</v>
      </c>
      <c r="C3258" s="5">
        <v>45964</v>
      </c>
      <c r="D3258" t="s">
        <v>132</v>
      </c>
      <c r="E3258">
        <v>156.02000000000001</v>
      </c>
    </row>
    <row r="3259" spans="2:5" ht="18.75">
      <c r="B3259">
        <v>45</v>
      </c>
      <c r="C3259" s="5">
        <v>45964</v>
      </c>
      <c r="D3259" t="s">
        <v>133</v>
      </c>
      <c r="E3259">
        <v>360.8</v>
      </c>
    </row>
    <row r="3260" spans="2:5" ht="18.75">
      <c r="B3260">
        <v>45</v>
      </c>
      <c r="C3260" s="5">
        <v>45964</v>
      </c>
      <c r="D3260" t="s">
        <v>134</v>
      </c>
      <c r="E3260">
        <v>348.83</v>
      </c>
    </row>
    <row r="3261" spans="2:5" ht="18.75">
      <c r="B3261">
        <v>45</v>
      </c>
      <c r="C3261" s="5">
        <v>45964</v>
      </c>
      <c r="D3261" t="s">
        <v>135</v>
      </c>
      <c r="E3261">
        <v>65.900000000000006</v>
      </c>
    </row>
    <row r="3262" spans="2:5" ht="18.75">
      <c r="B3262">
        <v>45</v>
      </c>
      <c r="C3262" s="5">
        <v>45964</v>
      </c>
      <c r="D3262" t="s">
        <v>136</v>
      </c>
      <c r="E3262">
        <v>82.55</v>
      </c>
    </row>
    <row r="3263" spans="2:5" ht="18.75">
      <c r="B3263">
        <v>45</v>
      </c>
      <c r="C3263" s="5">
        <v>45964</v>
      </c>
      <c r="D3263" t="s">
        <v>137</v>
      </c>
      <c r="E3263">
        <v>84.72</v>
      </c>
    </row>
    <row r="3264" spans="2:5" ht="18.75">
      <c r="B3264">
        <v>45</v>
      </c>
      <c r="C3264" s="5">
        <v>45964</v>
      </c>
      <c r="D3264" t="s">
        <v>138</v>
      </c>
      <c r="E3264">
        <v>459</v>
      </c>
    </row>
    <row r="3265" spans="2:5" ht="18.75">
      <c r="B3265">
        <v>45</v>
      </c>
      <c r="C3265" s="5">
        <v>45964</v>
      </c>
      <c r="D3265" t="s">
        <v>140</v>
      </c>
      <c r="E3265">
        <v>311.81</v>
      </c>
    </row>
    <row r="3266" spans="2:5" ht="18.75">
      <c r="B3266">
        <v>45</v>
      </c>
      <c r="C3266" s="5">
        <v>45964</v>
      </c>
      <c r="D3266" t="s">
        <v>142</v>
      </c>
      <c r="E3266">
        <v>257.83</v>
      </c>
    </row>
    <row r="3267" spans="2:5" ht="18.75">
      <c r="B3267">
        <v>45</v>
      </c>
      <c r="C3267" s="5">
        <v>45964</v>
      </c>
      <c r="D3267" t="s">
        <v>145</v>
      </c>
      <c r="E3267">
        <v>336.22</v>
      </c>
    </row>
    <row r="3268" spans="2:5" ht="18.75">
      <c r="B3268">
        <v>45</v>
      </c>
      <c r="C3268" s="5">
        <v>45964</v>
      </c>
      <c r="D3268" t="s">
        <v>219</v>
      </c>
      <c r="E3268">
        <v>300.42</v>
      </c>
    </row>
    <row r="3269" spans="2:5" ht="18.75">
      <c r="B3269">
        <v>45</v>
      </c>
      <c r="C3269" s="5">
        <v>45964</v>
      </c>
      <c r="D3269" t="s">
        <v>149</v>
      </c>
      <c r="E3269">
        <v>135.11000000000001</v>
      </c>
    </row>
    <row r="3270" spans="2:5" ht="18.75">
      <c r="B3270">
        <v>45</v>
      </c>
      <c r="C3270" s="5">
        <v>45964</v>
      </c>
      <c r="D3270" t="s">
        <v>150</v>
      </c>
      <c r="E3270">
        <v>70.97</v>
      </c>
    </row>
    <row r="3271" spans="2:5" ht="18.75">
      <c r="B3271">
        <v>45</v>
      </c>
      <c r="C3271" s="5">
        <v>45964</v>
      </c>
      <c r="D3271" t="s">
        <v>139</v>
      </c>
      <c r="E3271">
        <v>189.02</v>
      </c>
    </row>
    <row r="3272" spans="2:5" ht="18.75">
      <c r="B3272">
        <v>46</v>
      </c>
      <c r="C3272" s="5">
        <v>45971</v>
      </c>
      <c r="D3272" t="s">
        <v>111</v>
      </c>
      <c r="E3272">
        <v>201.05</v>
      </c>
    </row>
    <row r="3273" spans="2:5" ht="18.75">
      <c r="B3273">
        <v>46</v>
      </c>
      <c r="C3273" s="5">
        <v>45971</v>
      </c>
      <c r="D3273" t="s">
        <v>112</v>
      </c>
      <c r="E3273">
        <v>77.319999999999993</v>
      </c>
    </row>
    <row r="3274" spans="2:5" ht="18.75">
      <c r="B3274">
        <v>46</v>
      </c>
      <c r="C3274" s="5">
        <v>45971</v>
      </c>
      <c r="D3274" t="s">
        <v>114</v>
      </c>
      <c r="E3274">
        <v>136.30000000000001</v>
      </c>
    </row>
    <row r="3275" spans="2:5" ht="18.75">
      <c r="B3275">
        <v>46</v>
      </c>
      <c r="C3275" s="5">
        <v>45971</v>
      </c>
      <c r="D3275" t="s">
        <v>117</v>
      </c>
      <c r="E3275">
        <v>177.6</v>
      </c>
    </row>
    <row r="3276" spans="2:5" ht="18.75">
      <c r="B3276">
        <v>46</v>
      </c>
      <c r="C3276" s="5">
        <v>45971</v>
      </c>
      <c r="D3276" t="s">
        <v>118</v>
      </c>
      <c r="E3276">
        <v>221.95</v>
      </c>
    </row>
    <row r="3277" spans="2:5" ht="18.75">
      <c r="B3277">
        <v>46</v>
      </c>
      <c r="C3277" s="5">
        <v>45971</v>
      </c>
      <c r="D3277" t="s">
        <v>119</v>
      </c>
      <c r="E3277">
        <v>303.10000000000002</v>
      </c>
    </row>
    <row r="3278" spans="2:5" ht="18.75">
      <c r="B3278">
        <v>46</v>
      </c>
      <c r="C3278" s="5">
        <v>45971</v>
      </c>
      <c r="D3278" t="s">
        <v>120</v>
      </c>
      <c r="E3278">
        <v>126.14</v>
      </c>
    </row>
    <row r="3279" spans="2:5" ht="18.75">
      <c r="B3279">
        <v>46</v>
      </c>
      <c r="C3279" s="5">
        <v>45971</v>
      </c>
      <c r="D3279" t="s">
        <v>121</v>
      </c>
      <c r="E3279">
        <v>159.9</v>
      </c>
    </row>
    <row r="3280" spans="2:5" ht="18.75">
      <c r="B3280">
        <v>46</v>
      </c>
      <c r="C3280" s="5">
        <v>45971</v>
      </c>
      <c r="D3280" t="s">
        <v>122</v>
      </c>
      <c r="E3280">
        <v>158.05000000000001</v>
      </c>
    </row>
    <row r="3281" spans="2:5" ht="18.75">
      <c r="B3281">
        <v>46</v>
      </c>
      <c r="C3281" s="5">
        <v>45971</v>
      </c>
      <c r="D3281" t="s">
        <v>123</v>
      </c>
      <c r="E3281">
        <v>445.79</v>
      </c>
    </row>
    <row r="3282" spans="2:5" ht="18.75">
      <c r="B3282">
        <v>46</v>
      </c>
      <c r="C3282" s="5">
        <v>45971</v>
      </c>
      <c r="D3282" t="s">
        <v>126</v>
      </c>
      <c r="E3282">
        <v>142.91999999999999</v>
      </c>
    </row>
    <row r="3283" spans="2:5" ht="18.75">
      <c r="B3283">
        <v>46</v>
      </c>
      <c r="C3283" s="5">
        <v>45971</v>
      </c>
      <c r="D3283" t="s">
        <v>128</v>
      </c>
      <c r="E3283">
        <v>140.21</v>
      </c>
    </row>
    <row r="3284" spans="2:5" ht="18.75">
      <c r="B3284">
        <v>46</v>
      </c>
      <c r="C3284" s="5">
        <v>45971</v>
      </c>
      <c r="D3284" t="s">
        <v>132</v>
      </c>
      <c r="E3284">
        <v>169.28</v>
      </c>
    </row>
    <row r="3285" spans="2:5" ht="18.75">
      <c r="B3285">
        <v>46</v>
      </c>
      <c r="C3285" s="5">
        <v>45971</v>
      </c>
      <c r="D3285" t="s">
        <v>133</v>
      </c>
      <c r="E3285">
        <v>321.51</v>
      </c>
    </row>
    <row r="3286" spans="2:5" ht="18.75">
      <c r="B3286">
        <v>46</v>
      </c>
      <c r="C3286" s="5">
        <v>45971</v>
      </c>
      <c r="D3286" t="s">
        <v>134</v>
      </c>
      <c r="E3286">
        <v>293.68</v>
      </c>
    </row>
    <row r="3287" spans="2:5" ht="18.75">
      <c r="B3287">
        <v>46</v>
      </c>
      <c r="C3287" s="5">
        <v>45971</v>
      </c>
      <c r="D3287" t="s">
        <v>137</v>
      </c>
      <c r="E3287">
        <v>74.489999999999995</v>
      </c>
    </row>
    <row r="3288" spans="2:5" ht="18.75">
      <c r="B3288">
        <v>46</v>
      </c>
      <c r="C3288" s="5">
        <v>45971</v>
      </c>
      <c r="D3288" t="s">
        <v>138</v>
      </c>
      <c r="E3288">
        <v>360.56</v>
      </c>
    </row>
    <row r="3289" spans="2:5" ht="18.75">
      <c r="B3289">
        <v>46</v>
      </c>
      <c r="C3289" s="5">
        <v>45971</v>
      </c>
      <c r="D3289" t="s">
        <v>141</v>
      </c>
      <c r="E3289">
        <v>600.99</v>
      </c>
    </row>
    <row r="3290" spans="2:5" ht="18.75">
      <c r="B3290">
        <v>46</v>
      </c>
      <c r="C3290" s="5">
        <v>45971</v>
      </c>
      <c r="D3290" t="s">
        <v>142</v>
      </c>
      <c r="E3290">
        <v>196.21</v>
      </c>
    </row>
    <row r="3291" spans="2:5" ht="18.75">
      <c r="B3291">
        <v>46</v>
      </c>
      <c r="C3291" s="5">
        <v>45971</v>
      </c>
      <c r="D3291" t="s">
        <v>143</v>
      </c>
      <c r="E3291">
        <v>1347.36</v>
      </c>
    </row>
    <row r="3292" spans="2:5" ht="18.75">
      <c r="B3292">
        <v>46</v>
      </c>
      <c r="C3292" s="5">
        <v>45971</v>
      </c>
      <c r="D3292" t="s">
        <v>145</v>
      </c>
      <c r="E3292">
        <v>267.5</v>
      </c>
    </row>
    <row r="3293" spans="2:5" ht="18.75">
      <c r="B3293">
        <v>46</v>
      </c>
      <c r="C3293" s="5">
        <v>45971</v>
      </c>
      <c r="D3293" t="s">
        <v>146</v>
      </c>
      <c r="E3293">
        <v>561.95000000000005</v>
      </c>
    </row>
    <row r="3294" spans="2:5" ht="18.75">
      <c r="B3294">
        <v>46</v>
      </c>
      <c r="C3294" s="5">
        <v>45971</v>
      </c>
      <c r="D3294" t="s">
        <v>219</v>
      </c>
      <c r="E3294">
        <v>280.51</v>
      </c>
    </row>
    <row r="3295" spans="2:5" ht="18.75">
      <c r="B3295">
        <v>46</v>
      </c>
      <c r="C3295" s="5">
        <v>45971</v>
      </c>
      <c r="D3295" t="s">
        <v>116</v>
      </c>
      <c r="E3295">
        <v>83.03</v>
      </c>
    </row>
    <row r="3296" spans="2:5" ht="18.75">
      <c r="B3296">
        <v>46</v>
      </c>
      <c r="C3296" s="5">
        <v>45971</v>
      </c>
      <c r="D3296" t="s">
        <v>124</v>
      </c>
      <c r="E3296">
        <v>380.07</v>
      </c>
    </row>
    <row r="3297" spans="2:5" ht="18.75">
      <c r="B3297">
        <v>46</v>
      </c>
      <c r="C3297" s="5">
        <v>45971</v>
      </c>
      <c r="D3297" t="s">
        <v>125</v>
      </c>
      <c r="E3297">
        <v>63.18</v>
      </c>
    </row>
    <row r="3298" spans="2:5" ht="18.75">
      <c r="B3298">
        <v>46</v>
      </c>
      <c r="C3298" s="5">
        <v>45971</v>
      </c>
      <c r="D3298" t="s">
        <v>129</v>
      </c>
      <c r="E3298">
        <v>424.75</v>
      </c>
    </row>
    <row r="3299" spans="2:5" ht="18.75">
      <c r="B3299">
        <v>46</v>
      </c>
      <c r="C3299" s="5">
        <v>45971</v>
      </c>
      <c r="D3299" t="s">
        <v>135</v>
      </c>
      <c r="E3299">
        <v>54.16</v>
      </c>
    </row>
    <row r="3300" spans="2:5" ht="18.75">
      <c r="B3300">
        <v>46</v>
      </c>
      <c r="C3300" s="5">
        <v>45971</v>
      </c>
      <c r="D3300" t="s">
        <v>136</v>
      </c>
      <c r="E3300">
        <v>87.02</v>
      </c>
    </row>
    <row r="3301" spans="2:5" ht="18.75">
      <c r="B3301">
        <v>46</v>
      </c>
      <c r="C3301" s="5">
        <v>45971</v>
      </c>
      <c r="D3301" t="s">
        <v>140</v>
      </c>
      <c r="E3301">
        <v>63.09</v>
      </c>
    </row>
    <row r="3302" spans="2:5" ht="18.75">
      <c r="B3302">
        <v>46</v>
      </c>
      <c r="C3302" s="5">
        <v>45971</v>
      </c>
      <c r="D3302" t="s">
        <v>139</v>
      </c>
      <c r="E3302">
        <v>256.58999999999997</v>
      </c>
    </row>
    <row r="3303" spans="2:5" ht="18.75">
      <c r="B3303">
        <v>46</v>
      </c>
      <c r="C3303" s="5">
        <v>45971</v>
      </c>
      <c r="D3303" t="s">
        <v>149</v>
      </c>
      <c r="E3303">
        <v>135.01</v>
      </c>
    </row>
    <row r="3304" spans="2:5" ht="18.75">
      <c r="B3304">
        <v>46</v>
      </c>
      <c r="C3304" s="5">
        <v>45971</v>
      </c>
      <c r="D3304" t="s">
        <v>150</v>
      </c>
      <c r="E3304">
        <v>61.86</v>
      </c>
    </row>
    <row r="3305" spans="2:5" ht="18.75">
      <c r="B3305">
        <v>46</v>
      </c>
      <c r="C3305" s="5">
        <v>45971</v>
      </c>
      <c r="D3305" t="s">
        <v>127</v>
      </c>
      <c r="E3305">
        <v>228.41</v>
      </c>
    </row>
    <row r="3306" spans="2:5" ht="18.75">
      <c r="B3306">
        <v>46</v>
      </c>
      <c r="C3306" s="5">
        <v>45971</v>
      </c>
      <c r="D3306" t="s">
        <v>113</v>
      </c>
      <c r="E3306">
        <v>163.47</v>
      </c>
    </row>
    <row r="3307" spans="2:5" ht="18.75">
      <c r="B3307">
        <v>47</v>
      </c>
      <c r="C3307" s="5">
        <v>45978</v>
      </c>
      <c r="D3307" t="s">
        <v>111</v>
      </c>
      <c r="E3307">
        <v>234.37</v>
      </c>
    </row>
    <row r="3308" spans="2:5" ht="18.75">
      <c r="B3308">
        <v>47</v>
      </c>
      <c r="C3308" s="5">
        <v>45978</v>
      </c>
      <c r="D3308" t="s">
        <v>112</v>
      </c>
      <c r="E3308">
        <v>125.13</v>
      </c>
    </row>
    <row r="3309" spans="2:5" ht="18.75">
      <c r="B3309">
        <v>47</v>
      </c>
      <c r="C3309" s="5">
        <v>45978</v>
      </c>
      <c r="D3309" t="s">
        <v>113</v>
      </c>
      <c r="E3309">
        <v>291.66000000000003</v>
      </c>
    </row>
    <row r="3310" spans="2:5" ht="18.75">
      <c r="B3310">
        <v>47</v>
      </c>
      <c r="C3310" s="5">
        <v>45978</v>
      </c>
      <c r="D3310" t="s">
        <v>114</v>
      </c>
      <c r="E3310">
        <v>267.33999999999997</v>
      </c>
    </row>
    <row r="3311" spans="2:5" ht="18.75">
      <c r="B3311">
        <v>47</v>
      </c>
      <c r="C3311" s="5">
        <v>45978</v>
      </c>
      <c r="D3311" t="s">
        <v>116</v>
      </c>
      <c r="E3311">
        <v>88.93</v>
      </c>
    </row>
    <row r="3312" spans="2:5" ht="18.75">
      <c r="B3312">
        <v>47</v>
      </c>
      <c r="C3312" s="5">
        <v>45978</v>
      </c>
      <c r="D3312" t="s">
        <v>117</v>
      </c>
      <c r="E3312">
        <v>288.08999999999997</v>
      </c>
    </row>
    <row r="3313" spans="2:5" ht="18.75">
      <c r="B3313">
        <v>47</v>
      </c>
      <c r="C3313" s="5">
        <v>45978</v>
      </c>
      <c r="D3313" t="s">
        <v>118</v>
      </c>
      <c r="E3313">
        <v>186.9</v>
      </c>
    </row>
    <row r="3314" spans="2:5" ht="18.75">
      <c r="B3314">
        <v>47</v>
      </c>
      <c r="C3314" s="5">
        <v>45978</v>
      </c>
      <c r="D3314" t="s">
        <v>119</v>
      </c>
      <c r="E3314">
        <v>469.62</v>
      </c>
    </row>
    <row r="3315" spans="2:5" ht="18.75">
      <c r="B3315">
        <v>47</v>
      </c>
      <c r="C3315" s="5">
        <v>45978</v>
      </c>
      <c r="D3315" t="s">
        <v>120</v>
      </c>
      <c r="E3315">
        <v>150.81</v>
      </c>
    </row>
    <row r="3316" spans="2:5" ht="18.75">
      <c r="B3316">
        <v>47</v>
      </c>
      <c r="C3316" s="5">
        <v>45978</v>
      </c>
      <c r="D3316" t="s">
        <v>121</v>
      </c>
      <c r="E3316">
        <v>158.30000000000001</v>
      </c>
    </row>
    <row r="3317" spans="2:5" ht="18.75">
      <c r="B3317">
        <v>47</v>
      </c>
      <c r="C3317" s="5">
        <v>45978</v>
      </c>
      <c r="D3317" t="s">
        <v>122</v>
      </c>
      <c r="E3317">
        <v>300.06</v>
      </c>
    </row>
    <row r="3318" spans="2:5" ht="18.75">
      <c r="B3318">
        <v>47</v>
      </c>
      <c r="C3318" s="5">
        <v>45978</v>
      </c>
      <c r="D3318" t="s">
        <v>123</v>
      </c>
      <c r="E3318">
        <v>520.33000000000004</v>
      </c>
    </row>
    <row r="3319" spans="2:5" ht="18.75">
      <c r="B3319">
        <v>47</v>
      </c>
      <c r="C3319" s="5">
        <v>45978</v>
      </c>
      <c r="D3319" t="s">
        <v>124</v>
      </c>
      <c r="E3319">
        <v>672.83</v>
      </c>
    </row>
    <row r="3320" spans="2:5" ht="18.75">
      <c r="B3320">
        <v>47</v>
      </c>
      <c r="C3320" s="5">
        <v>45978</v>
      </c>
      <c r="D3320" t="s">
        <v>125</v>
      </c>
      <c r="E3320">
        <v>58.65</v>
      </c>
    </row>
    <row r="3321" spans="2:5" ht="18.75">
      <c r="B3321">
        <v>47</v>
      </c>
      <c r="C3321" s="5">
        <v>45978</v>
      </c>
      <c r="D3321" t="s">
        <v>126</v>
      </c>
      <c r="E3321">
        <v>108.35</v>
      </c>
    </row>
    <row r="3322" spans="2:5" ht="18.75">
      <c r="B3322">
        <v>47</v>
      </c>
      <c r="C3322" s="5">
        <v>45978</v>
      </c>
      <c r="D3322" t="s">
        <v>128</v>
      </c>
      <c r="E3322">
        <v>179.22</v>
      </c>
    </row>
    <row r="3323" spans="2:5" ht="18.75">
      <c r="B3323">
        <v>47</v>
      </c>
      <c r="C3323" s="5">
        <v>45978</v>
      </c>
      <c r="D3323" t="s">
        <v>129</v>
      </c>
      <c r="E3323">
        <v>517.04</v>
      </c>
    </row>
    <row r="3324" spans="2:5" ht="18.75">
      <c r="B3324">
        <v>47</v>
      </c>
      <c r="C3324" s="5">
        <v>45978</v>
      </c>
      <c r="D3324" t="s">
        <v>132</v>
      </c>
      <c r="E3324">
        <v>170.4</v>
      </c>
    </row>
    <row r="3325" spans="2:5" ht="18.75">
      <c r="B3325">
        <v>47</v>
      </c>
      <c r="C3325" s="5">
        <v>45978</v>
      </c>
      <c r="D3325" t="s">
        <v>133</v>
      </c>
      <c r="E3325">
        <v>263.83</v>
      </c>
    </row>
    <row r="3326" spans="2:5" ht="18.75">
      <c r="B3326">
        <v>47</v>
      </c>
      <c r="C3326" s="5">
        <v>45978</v>
      </c>
      <c r="D3326" t="s">
        <v>134</v>
      </c>
      <c r="E3326">
        <v>294.99</v>
      </c>
    </row>
    <row r="3327" spans="2:5" ht="18.75">
      <c r="B3327">
        <v>47</v>
      </c>
      <c r="C3327" s="5">
        <v>45978</v>
      </c>
      <c r="D3327" t="s">
        <v>135</v>
      </c>
      <c r="E3327">
        <v>80.760000000000005</v>
      </c>
    </row>
    <row r="3328" spans="2:5" ht="18.75">
      <c r="B3328">
        <v>47</v>
      </c>
      <c r="C3328" s="5">
        <v>45978</v>
      </c>
      <c r="D3328" t="s">
        <v>136</v>
      </c>
      <c r="E3328">
        <v>120.14</v>
      </c>
    </row>
    <row r="3329" spans="2:5" ht="18.75">
      <c r="B3329">
        <v>47</v>
      </c>
      <c r="C3329" s="5">
        <v>45978</v>
      </c>
      <c r="D3329" t="s">
        <v>137</v>
      </c>
      <c r="E3329">
        <v>97.16</v>
      </c>
    </row>
    <row r="3330" spans="2:5" ht="18.75">
      <c r="B3330">
        <v>47</v>
      </c>
      <c r="C3330" s="5">
        <v>45978</v>
      </c>
      <c r="D3330" t="s">
        <v>138</v>
      </c>
      <c r="E3330">
        <v>431.91</v>
      </c>
    </row>
    <row r="3331" spans="2:5" ht="18.75">
      <c r="B3331">
        <v>47</v>
      </c>
      <c r="C3331" s="5">
        <v>45978</v>
      </c>
      <c r="D3331" t="s">
        <v>140</v>
      </c>
      <c r="E3331">
        <v>65.430000000000007</v>
      </c>
    </row>
    <row r="3332" spans="2:5" ht="18.75">
      <c r="B3332">
        <v>47</v>
      </c>
      <c r="C3332" s="5">
        <v>45978</v>
      </c>
      <c r="D3332" t="s">
        <v>141</v>
      </c>
      <c r="E3332">
        <v>602.11</v>
      </c>
    </row>
    <row r="3333" spans="2:5" ht="18.75">
      <c r="B3333">
        <v>47</v>
      </c>
      <c r="C3333" s="5">
        <v>45978</v>
      </c>
      <c r="D3333" t="s">
        <v>142</v>
      </c>
      <c r="E3333">
        <v>200.29</v>
      </c>
    </row>
    <row r="3334" spans="2:5" ht="18.75">
      <c r="B3334">
        <v>47</v>
      </c>
      <c r="C3334" s="5">
        <v>45978</v>
      </c>
      <c r="D3334" t="s">
        <v>139</v>
      </c>
      <c r="E3334">
        <v>293.94</v>
      </c>
    </row>
    <row r="3335" spans="2:5" ht="18.75">
      <c r="B3335">
        <v>47</v>
      </c>
      <c r="C3335" s="5">
        <v>45978</v>
      </c>
      <c r="D3335" t="s">
        <v>143</v>
      </c>
      <c r="E3335">
        <v>1727.71</v>
      </c>
    </row>
    <row r="3336" spans="2:5" ht="18.75">
      <c r="B3336">
        <v>47</v>
      </c>
      <c r="C3336" s="5">
        <v>45978</v>
      </c>
      <c r="D3336" t="s">
        <v>145</v>
      </c>
      <c r="E3336">
        <v>275.02999999999997</v>
      </c>
    </row>
    <row r="3337" spans="2:5" ht="18.75">
      <c r="B3337">
        <v>47</v>
      </c>
      <c r="C3337" s="5">
        <v>45978</v>
      </c>
      <c r="D3337" t="s">
        <v>146</v>
      </c>
      <c r="E3337">
        <v>602.39</v>
      </c>
    </row>
    <row r="3338" spans="2:5" ht="18.75">
      <c r="B3338">
        <v>47</v>
      </c>
      <c r="C3338" s="5">
        <v>45978</v>
      </c>
      <c r="D3338" t="s">
        <v>219</v>
      </c>
      <c r="E3338">
        <v>351.2</v>
      </c>
    </row>
    <row r="3339" spans="2:5" ht="18.75">
      <c r="B3339">
        <v>47</v>
      </c>
      <c r="C3339" s="5">
        <v>45978</v>
      </c>
      <c r="D3339" t="s">
        <v>149</v>
      </c>
      <c r="E3339">
        <v>144.5</v>
      </c>
    </row>
    <row r="3340" spans="2:5" ht="18.75">
      <c r="B3340">
        <v>47</v>
      </c>
      <c r="C3340" s="5">
        <v>45978</v>
      </c>
      <c r="D3340" t="s">
        <v>150</v>
      </c>
      <c r="E3340">
        <v>55.36</v>
      </c>
    </row>
    <row r="3341" spans="2:5" ht="18.75">
      <c r="B3341">
        <v>47</v>
      </c>
      <c r="C3341" s="5">
        <v>45978</v>
      </c>
      <c r="D3341" t="s">
        <v>127</v>
      </c>
      <c r="E3341">
        <v>298.23</v>
      </c>
    </row>
    <row r="3342" spans="2:5" ht="18.75">
      <c r="B3342">
        <v>48</v>
      </c>
      <c r="C3342" s="5">
        <v>45985</v>
      </c>
      <c r="D3342" t="s">
        <v>111</v>
      </c>
      <c r="E3342">
        <v>210.86</v>
      </c>
    </row>
    <row r="3343" spans="2:5" ht="18.75">
      <c r="B3343">
        <v>48</v>
      </c>
      <c r="C3343" s="5">
        <v>45985</v>
      </c>
      <c r="D3343" t="s">
        <v>114</v>
      </c>
      <c r="E3343">
        <v>268.06</v>
      </c>
    </row>
    <row r="3344" spans="2:5" ht="18.75">
      <c r="B3344">
        <v>48</v>
      </c>
      <c r="C3344" s="5">
        <v>45985</v>
      </c>
      <c r="D3344" t="s">
        <v>117</v>
      </c>
      <c r="E3344">
        <v>291.02999999999997</v>
      </c>
    </row>
    <row r="3345" spans="2:5" ht="18.75">
      <c r="B3345">
        <v>48</v>
      </c>
      <c r="C3345" s="5">
        <v>45985</v>
      </c>
      <c r="D3345" t="s">
        <v>119</v>
      </c>
      <c r="E3345">
        <v>355.04</v>
      </c>
    </row>
    <row r="3346" spans="2:5" ht="18.75">
      <c r="B3346">
        <v>48</v>
      </c>
      <c r="C3346" s="5">
        <v>45985</v>
      </c>
      <c r="D3346" t="s">
        <v>121</v>
      </c>
      <c r="E3346">
        <v>149.93</v>
      </c>
    </row>
    <row r="3347" spans="2:5" ht="18.75">
      <c r="B3347">
        <v>48</v>
      </c>
      <c r="C3347" s="5">
        <v>45985</v>
      </c>
      <c r="D3347" t="s">
        <v>122</v>
      </c>
      <c r="E3347">
        <v>192.53</v>
      </c>
    </row>
    <row r="3348" spans="2:5" ht="18.75">
      <c r="B3348">
        <v>48</v>
      </c>
      <c r="C3348" s="5">
        <v>45985</v>
      </c>
      <c r="D3348" t="s">
        <v>123</v>
      </c>
      <c r="E3348">
        <v>558.13</v>
      </c>
    </row>
    <row r="3349" spans="2:5" ht="18.75">
      <c r="B3349">
        <v>48</v>
      </c>
      <c r="C3349" s="5">
        <v>45985</v>
      </c>
      <c r="D3349" t="s">
        <v>124</v>
      </c>
      <c r="E3349">
        <v>471.45</v>
      </c>
    </row>
    <row r="3350" spans="2:5" ht="18.75">
      <c r="B3350">
        <v>48</v>
      </c>
      <c r="C3350" s="5">
        <v>45985</v>
      </c>
      <c r="D3350" t="s">
        <v>126</v>
      </c>
      <c r="E3350">
        <v>99.57</v>
      </c>
    </row>
    <row r="3351" spans="2:5" ht="18.75">
      <c r="B3351">
        <v>48</v>
      </c>
      <c r="C3351" s="5">
        <v>45985</v>
      </c>
      <c r="D3351" t="s">
        <v>128</v>
      </c>
      <c r="E3351">
        <v>124.01</v>
      </c>
    </row>
    <row r="3352" spans="2:5" ht="18.75">
      <c r="B3352">
        <v>48</v>
      </c>
      <c r="C3352" s="5">
        <v>45985</v>
      </c>
      <c r="D3352" t="s">
        <v>129</v>
      </c>
      <c r="E3352">
        <v>511.01</v>
      </c>
    </row>
    <row r="3353" spans="2:5" ht="18.75">
      <c r="B3353">
        <v>48</v>
      </c>
      <c r="C3353" s="5">
        <v>45985</v>
      </c>
      <c r="D3353" t="s">
        <v>133</v>
      </c>
      <c r="E3353">
        <v>291.68</v>
      </c>
    </row>
    <row r="3354" spans="2:5" ht="18.75">
      <c r="B3354">
        <v>48</v>
      </c>
      <c r="C3354" s="5">
        <v>45985</v>
      </c>
      <c r="D3354" t="s">
        <v>134</v>
      </c>
      <c r="E3354">
        <v>298.89999999999998</v>
      </c>
    </row>
    <row r="3355" spans="2:5" ht="18.75">
      <c r="B3355">
        <v>48</v>
      </c>
      <c r="C3355" s="5">
        <v>45985</v>
      </c>
      <c r="D3355" t="s">
        <v>138</v>
      </c>
      <c r="E3355">
        <v>462.4</v>
      </c>
    </row>
    <row r="3356" spans="2:5" ht="18.75">
      <c r="B3356">
        <v>48</v>
      </c>
      <c r="C3356" s="5">
        <v>45985</v>
      </c>
      <c r="D3356" t="s">
        <v>141</v>
      </c>
      <c r="E3356">
        <v>588.9</v>
      </c>
    </row>
    <row r="3357" spans="2:5" ht="18.75">
      <c r="B3357">
        <v>48</v>
      </c>
      <c r="C3357" s="5">
        <v>45985</v>
      </c>
      <c r="D3357" t="s">
        <v>142</v>
      </c>
      <c r="E3357">
        <v>158.19</v>
      </c>
    </row>
    <row r="3358" spans="2:5" ht="18.75">
      <c r="B3358">
        <v>48</v>
      </c>
      <c r="C3358" s="5">
        <v>45985</v>
      </c>
      <c r="D3358" t="s">
        <v>143</v>
      </c>
      <c r="E3358">
        <v>1799.12</v>
      </c>
    </row>
    <row r="3359" spans="2:5" ht="18.75">
      <c r="B3359">
        <v>48</v>
      </c>
      <c r="C3359" s="5">
        <v>45985</v>
      </c>
      <c r="D3359" t="s">
        <v>145</v>
      </c>
      <c r="E3359">
        <v>463.36</v>
      </c>
    </row>
    <row r="3360" spans="2:5" ht="18.75">
      <c r="B3360">
        <v>48</v>
      </c>
      <c r="C3360" s="5">
        <v>45985</v>
      </c>
      <c r="D3360" t="s">
        <v>146</v>
      </c>
      <c r="E3360">
        <v>588.47</v>
      </c>
    </row>
    <row r="3361" spans="2:5" ht="18.75">
      <c r="B3361">
        <v>48</v>
      </c>
      <c r="C3361" s="5">
        <v>45985</v>
      </c>
      <c r="D3361" t="s">
        <v>219</v>
      </c>
      <c r="E3361">
        <v>194.99</v>
      </c>
    </row>
    <row r="3362" spans="2:5" ht="18.75">
      <c r="B3362">
        <v>48</v>
      </c>
      <c r="C3362" s="5">
        <v>45985</v>
      </c>
      <c r="D3362" t="s">
        <v>112</v>
      </c>
      <c r="E3362">
        <v>45.53</v>
      </c>
    </row>
    <row r="3363" spans="2:5" ht="18.75">
      <c r="B3363">
        <v>48</v>
      </c>
      <c r="C3363" s="5">
        <v>45985</v>
      </c>
      <c r="D3363" t="s">
        <v>113</v>
      </c>
      <c r="E3363">
        <v>190.11</v>
      </c>
    </row>
    <row r="3364" spans="2:5" ht="18.75">
      <c r="B3364">
        <v>48</v>
      </c>
      <c r="C3364" s="5">
        <v>45985</v>
      </c>
      <c r="D3364" t="s">
        <v>116</v>
      </c>
      <c r="E3364">
        <v>80.42</v>
      </c>
    </row>
    <row r="3365" spans="2:5" ht="18.75">
      <c r="B3365">
        <v>48</v>
      </c>
      <c r="C3365" s="5">
        <v>45985</v>
      </c>
      <c r="D3365" t="s">
        <v>118</v>
      </c>
      <c r="E3365">
        <v>148.47</v>
      </c>
    </row>
    <row r="3366" spans="2:5" ht="18.75">
      <c r="B3366">
        <v>48</v>
      </c>
      <c r="C3366" s="5">
        <v>45985</v>
      </c>
      <c r="D3366" t="s">
        <v>132</v>
      </c>
      <c r="E3366">
        <v>188.73</v>
      </c>
    </row>
    <row r="3367" spans="2:5" ht="18.75">
      <c r="B3367">
        <v>48</v>
      </c>
      <c r="C3367" s="5">
        <v>45985</v>
      </c>
      <c r="D3367" t="s">
        <v>136</v>
      </c>
      <c r="E3367">
        <v>79.23</v>
      </c>
    </row>
    <row r="3368" spans="2:5" ht="18.75">
      <c r="B3368">
        <v>48</v>
      </c>
      <c r="C3368" s="5">
        <v>45985</v>
      </c>
      <c r="D3368" t="s">
        <v>139</v>
      </c>
      <c r="E3368">
        <v>247.59</v>
      </c>
    </row>
    <row r="3369" spans="2:5" ht="18.75">
      <c r="B3369">
        <v>48</v>
      </c>
      <c r="C3369" s="5">
        <v>45985</v>
      </c>
      <c r="D3369" t="s">
        <v>149</v>
      </c>
      <c r="E3369">
        <v>152.74</v>
      </c>
    </row>
    <row r="3370" spans="2:5" ht="18.75">
      <c r="B3370">
        <v>48</v>
      </c>
      <c r="C3370" s="5">
        <v>45985</v>
      </c>
      <c r="D3370" t="s">
        <v>120</v>
      </c>
      <c r="E3370">
        <v>88.17</v>
      </c>
    </row>
    <row r="3371" spans="2:5" ht="18.75">
      <c r="B3371">
        <v>48</v>
      </c>
      <c r="C3371" s="5">
        <v>45985</v>
      </c>
      <c r="D3371" t="s">
        <v>125</v>
      </c>
      <c r="E3371">
        <v>50.17</v>
      </c>
    </row>
    <row r="3372" spans="2:5" ht="18.75">
      <c r="B3372">
        <v>48</v>
      </c>
      <c r="C3372" s="5">
        <v>45985</v>
      </c>
      <c r="D3372" t="s">
        <v>135</v>
      </c>
      <c r="E3372">
        <v>56.64</v>
      </c>
    </row>
    <row r="3373" spans="2:5" ht="18.75">
      <c r="B3373">
        <v>48</v>
      </c>
      <c r="C3373" s="5">
        <v>45985</v>
      </c>
      <c r="D3373" t="s">
        <v>137</v>
      </c>
      <c r="E3373">
        <v>91.01</v>
      </c>
    </row>
    <row r="3374" spans="2:5" ht="18.75">
      <c r="B3374">
        <v>48</v>
      </c>
      <c r="C3374" s="5">
        <v>45985</v>
      </c>
      <c r="D3374" t="s">
        <v>140</v>
      </c>
      <c r="E3374">
        <v>82.21</v>
      </c>
    </row>
    <row r="3375" spans="2:5" ht="18.75">
      <c r="B3375">
        <v>48</v>
      </c>
      <c r="C3375" s="5">
        <v>45985</v>
      </c>
      <c r="D3375" t="s">
        <v>150</v>
      </c>
      <c r="E3375">
        <v>71.95</v>
      </c>
    </row>
    <row r="3376" spans="2:5" ht="18.75">
      <c r="B3376">
        <v>48</v>
      </c>
      <c r="C3376" s="5">
        <v>45985</v>
      </c>
      <c r="D3376" t="s">
        <v>127</v>
      </c>
      <c r="E3376">
        <v>195.52</v>
      </c>
    </row>
    <row r="3377" spans="2:5" ht="18.75">
      <c r="B3377">
        <v>48</v>
      </c>
      <c r="C3377" s="5">
        <v>45985</v>
      </c>
      <c r="D3377" t="s">
        <v>147</v>
      </c>
      <c r="E3377">
        <v>129.09</v>
      </c>
    </row>
    <row r="3378" spans="2:5" ht="18.75">
      <c r="B3378">
        <v>49</v>
      </c>
      <c r="C3378" s="5">
        <v>45992</v>
      </c>
      <c r="D3378" t="s">
        <v>113</v>
      </c>
      <c r="E3378">
        <v>246.21</v>
      </c>
    </row>
    <row r="3379" spans="2:5" ht="18.75">
      <c r="B3379">
        <v>49</v>
      </c>
      <c r="C3379" s="5">
        <v>45992</v>
      </c>
      <c r="D3379" t="s">
        <v>118</v>
      </c>
      <c r="E3379">
        <v>166.43</v>
      </c>
    </row>
    <row r="3380" spans="2:5" ht="18.75">
      <c r="B3380">
        <v>49</v>
      </c>
      <c r="C3380" s="5">
        <v>45992</v>
      </c>
      <c r="D3380" t="s">
        <v>123</v>
      </c>
      <c r="E3380">
        <v>534.82000000000005</v>
      </c>
    </row>
    <row r="3381" spans="2:5" ht="18.75">
      <c r="B3381">
        <v>49</v>
      </c>
      <c r="C3381" s="5">
        <v>45992</v>
      </c>
      <c r="D3381" t="s">
        <v>124</v>
      </c>
      <c r="E3381">
        <v>524.14</v>
      </c>
    </row>
    <row r="3382" spans="2:5" ht="18.75">
      <c r="B3382">
        <v>49</v>
      </c>
      <c r="C3382" s="5">
        <v>45992</v>
      </c>
      <c r="D3382" t="s">
        <v>139</v>
      </c>
      <c r="E3382">
        <v>319.35000000000002</v>
      </c>
    </row>
    <row r="3383" spans="2:5" ht="18.75">
      <c r="B3383">
        <v>49</v>
      </c>
      <c r="C3383" s="5">
        <v>45992</v>
      </c>
      <c r="D3383" t="s">
        <v>143</v>
      </c>
      <c r="E3383">
        <v>1222.96</v>
      </c>
    </row>
    <row r="3384" spans="2:5" ht="18.75">
      <c r="B3384">
        <v>49</v>
      </c>
      <c r="C3384" s="5">
        <v>45992</v>
      </c>
      <c r="D3384" t="s">
        <v>147</v>
      </c>
      <c r="E3384">
        <v>381.14</v>
      </c>
    </row>
    <row r="3385" spans="2:5" ht="18.75">
      <c r="B3385">
        <v>49</v>
      </c>
      <c r="C3385" s="5">
        <v>45992</v>
      </c>
      <c r="D3385" t="s">
        <v>127</v>
      </c>
      <c r="E3385">
        <v>200.85</v>
      </c>
    </row>
    <row r="3386" spans="2:5" ht="18.75">
      <c r="B3386">
        <v>49</v>
      </c>
      <c r="C3386" s="5">
        <v>45992</v>
      </c>
      <c r="D3386" t="s">
        <v>126</v>
      </c>
      <c r="E3386">
        <v>199.65</v>
      </c>
    </row>
    <row r="3387" spans="2:5" ht="18.75">
      <c r="B3387">
        <v>49</v>
      </c>
      <c r="C3387" s="5">
        <v>45992</v>
      </c>
      <c r="D3387" t="s">
        <v>141</v>
      </c>
      <c r="E3387">
        <v>709</v>
      </c>
    </row>
    <row r="3388" spans="2:5" ht="18.75">
      <c r="B3388">
        <v>49</v>
      </c>
      <c r="C3388" s="5">
        <v>45992</v>
      </c>
      <c r="D3388" t="s">
        <v>111</v>
      </c>
      <c r="E3388">
        <v>206.86</v>
      </c>
    </row>
    <row r="3389" spans="2:5" ht="18.75">
      <c r="B3389">
        <v>49</v>
      </c>
      <c r="C3389" s="5">
        <v>45992</v>
      </c>
      <c r="D3389" t="s">
        <v>114</v>
      </c>
      <c r="E3389">
        <v>288.68</v>
      </c>
    </row>
    <row r="3390" spans="2:5" ht="18.75">
      <c r="B3390">
        <v>49</v>
      </c>
      <c r="C3390" s="5">
        <v>45992</v>
      </c>
      <c r="D3390" t="s">
        <v>117</v>
      </c>
      <c r="E3390">
        <v>281.73</v>
      </c>
    </row>
    <row r="3391" spans="2:5" ht="18.75">
      <c r="B3391">
        <v>49</v>
      </c>
      <c r="C3391" s="5">
        <v>45992</v>
      </c>
      <c r="D3391" t="s">
        <v>119</v>
      </c>
      <c r="E3391">
        <v>455.92</v>
      </c>
    </row>
    <row r="3392" spans="2:5" ht="18.75">
      <c r="B3392">
        <v>49</v>
      </c>
      <c r="C3392" s="5">
        <v>45992</v>
      </c>
      <c r="D3392" t="s">
        <v>120</v>
      </c>
      <c r="E3392">
        <v>216.06</v>
      </c>
    </row>
    <row r="3393" spans="2:5" ht="18.75">
      <c r="B3393">
        <v>49</v>
      </c>
      <c r="C3393" s="5">
        <v>45992</v>
      </c>
      <c r="D3393" t="s">
        <v>129</v>
      </c>
      <c r="E3393">
        <v>527.17999999999995</v>
      </c>
    </row>
    <row r="3394" spans="2:5" ht="18.75">
      <c r="B3394">
        <v>49</v>
      </c>
      <c r="C3394" s="5">
        <v>45992</v>
      </c>
      <c r="D3394" t="s">
        <v>133</v>
      </c>
      <c r="E3394">
        <v>286.25</v>
      </c>
    </row>
    <row r="3395" spans="2:5" ht="18.75">
      <c r="B3395">
        <v>49</v>
      </c>
      <c r="C3395" s="5">
        <v>45992</v>
      </c>
      <c r="D3395" t="s">
        <v>134</v>
      </c>
      <c r="E3395">
        <v>312.12</v>
      </c>
    </row>
    <row r="3396" spans="2:5" ht="18.75">
      <c r="B3396">
        <v>49</v>
      </c>
      <c r="C3396" s="5">
        <v>45992</v>
      </c>
      <c r="D3396" t="s">
        <v>138</v>
      </c>
      <c r="E3396">
        <v>497.73</v>
      </c>
    </row>
    <row r="3397" spans="2:5" ht="18.75">
      <c r="B3397">
        <v>49</v>
      </c>
      <c r="C3397" s="5">
        <v>45992</v>
      </c>
      <c r="D3397" t="s">
        <v>145</v>
      </c>
      <c r="E3397">
        <v>342.12</v>
      </c>
    </row>
    <row r="3398" spans="2:5" ht="18.75">
      <c r="B3398">
        <v>49</v>
      </c>
      <c r="C3398" s="5">
        <v>45992</v>
      </c>
      <c r="D3398" t="s">
        <v>146</v>
      </c>
      <c r="E3398">
        <v>655.36</v>
      </c>
    </row>
    <row r="3399" spans="2:5" ht="18.75">
      <c r="B3399">
        <v>49</v>
      </c>
      <c r="C3399" s="5">
        <v>45992</v>
      </c>
      <c r="D3399" t="s">
        <v>148</v>
      </c>
      <c r="E3399">
        <v>268.27</v>
      </c>
    </row>
    <row r="3400" spans="2:5" ht="18.75">
      <c r="B3400">
        <v>49</v>
      </c>
      <c r="C3400" s="5">
        <v>45992</v>
      </c>
      <c r="D3400" t="s">
        <v>151</v>
      </c>
      <c r="E3400">
        <v>604.96</v>
      </c>
    </row>
    <row r="3401" spans="2:5" ht="18.75">
      <c r="B3401">
        <v>49</v>
      </c>
      <c r="C3401" s="5">
        <v>45992</v>
      </c>
      <c r="D3401" t="s">
        <v>112</v>
      </c>
      <c r="E3401">
        <v>56.44</v>
      </c>
    </row>
    <row r="3402" spans="2:5" ht="18.75">
      <c r="B3402">
        <v>49</v>
      </c>
      <c r="C3402" s="5">
        <v>45992</v>
      </c>
      <c r="D3402" t="s">
        <v>116</v>
      </c>
      <c r="E3402">
        <v>112.46</v>
      </c>
    </row>
    <row r="3403" spans="2:5" ht="18.75">
      <c r="B3403">
        <v>49</v>
      </c>
      <c r="C3403" s="5">
        <v>45992</v>
      </c>
      <c r="D3403" t="s">
        <v>121</v>
      </c>
      <c r="E3403">
        <v>184.96</v>
      </c>
    </row>
    <row r="3404" spans="2:5" ht="18.75">
      <c r="B3404">
        <v>49</v>
      </c>
      <c r="C3404" s="5">
        <v>45992</v>
      </c>
      <c r="D3404" t="s">
        <v>122</v>
      </c>
      <c r="E3404">
        <v>315.12</v>
      </c>
    </row>
    <row r="3405" spans="2:5" ht="18.75">
      <c r="B3405">
        <v>49</v>
      </c>
      <c r="C3405" s="5">
        <v>45992</v>
      </c>
      <c r="D3405" t="s">
        <v>125</v>
      </c>
      <c r="E3405">
        <v>84.02</v>
      </c>
    </row>
    <row r="3406" spans="2:5" ht="18.75">
      <c r="B3406">
        <v>49</v>
      </c>
      <c r="C3406" s="5">
        <v>45992</v>
      </c>
      <c r="D3406" t="s">
        <v>128</v>
      </c>
      <c r="E3406">
        <v>212.34</v>
      </c>
    </row>
    <row r="3407" spans="2:5" ht="18.75">
      <c r="B3407">
        <v>49</v>
      </c>
      <c r="C3407" s="5">
        <v>45992</v>
      </c>
      <c r="D3407" t="s">
        <v>132</v>
      </c>
      <c r="E3407">
        <v>233.82</v>
      </c>
    </row>
    <row r="3408" spans="2:5" ht="18.75">
      <c r="B3408">
        <v>49</v>
      </c>
      <c r="C3408" s="5">
        <v>45992</v>
      </c>
      <c r="D3408" t="s">
        <v>135</v>
      </c>
      <c r="E3408">
        <v>85.38</v>
      </c>
    </row>
    <row r="3409" spans="2:5" ht="18.75">
      <c r="B3409">
        <v>49</v>
      </c>
      <c r="C3409" s="5">
        <v>45992</v>
      </c>
      <c r="D3409" t="s">
        <v>136</v>
      </c>
      <c r="E3409">
        <v>116.11</v>
      </c>
    </row>
    <row r="3410" spans="2:5" ht="18.75">
      <c r="B3410">
        <v>49</v>
      </c>
      <c r="C3410" s="5">
        <v>45992</v>
      </c>
      <c r="D3410" t="s">
        <v>137</v>
      </c>
      <c r="E3410">
        <v>101.12</v>
      </c>
    </row>
    <row r="3411" spans="2:5" ht="18.75">
      <c r="B3411">
        <v>49</v>
      </c>
      <c r="C3411" s="5">
        <v>45992</v>
      </c>
      <c r="D3411" t="s">
        <v>140</v>
      </c>
      <c r="E3411">
        <v>101.66</v>
      </c>
    </row>
    <row r="3412" spans="2:5" ht="18.75">
      <c r="B3412">
        <v>49</v>
      </c>
      <c r="C3412" s="5">
        <v>45992</v>
      </c>
      <c r="D3412" t="s">
        <v>142</v>
      </c>
      <c r="E3412">
        <v>181.5</v>
      </c>
    </row>
    <row r="3413" spans="2:5" ht="18.75">
      <c r="B3413">
        <v>49</v>
      </c>
      <c r="C3413" s="5">
        <v>45992</v>
      </c>
      <c r="D3413" t="s">
        <v>149</v>
      </c>
      <c r="E3413">
        <v>196.25</v>
      </c>
    </row>
    <row r="3414" spans="2:5" ht="18.75">
      <c r="B3414">
        <v>49</v>
      </c>
      <c r="C3414" s="5">
        <v>45992</v>
      </c>
      <c r="D3414" t="s">
        <v>150</v>
      </c>
      <c r="E3414">
        <v>103.37</v>
      </c>
    </row>
    <row r="3415" spans="2:5" ht="18.75">
      <c r="B3415">
        <v>50</v>
      </c>
      <c r="C3415" s="5">
        <v>45999</v>
      </c>
      <c r="D3415" t="s">
        <v>111</v>
      </c>
      <c r="E3415">
        <v>203.99</v>
      </c>
    </row>
    <row r="3416" spans="2:5" ht="18.75">
      <c r="B3416">
        <v>50</v>
      </c>
      <c r="C3416" s="5">
        <v>45999</v>
      </c>
      <c r="D3416" t="s">
        <v>112</v>
      </c>
      <c r="E3416">
        <v>120.17</v>
      </c>
    </row>
    <row r="3417" spans="2:5" ht="18.75">
      <c r="B3417">
        <v>50</v>
      </c>
      <c r="C3417" s="5">
        <v>45999</v>
      </c>
      <c r="D3417" t="s">
        <v>113</v>
      </c>
      <c r="E3417">
        <v>281.27999999999997</v>
      </c>
    </row>
    <row r="3418" spans="2:5" ht="18.75">
      <c r="B3418">
        <v>50</v>
      </c>
      <c r="C3418" s="5">
        <v>45999</v>
      </c>
      <c r="D3418" t="s">
        <v>114</v>
      </c>
      <c r="E3418">
        <v>344.32</v>
      </c>
    </row>
    <row r="3419" spans="2:5" ht="18.75">
      <c r="B3419">
        <v>50</v>
      </c>
      <c r="C3419" s="5">
        <v>45999</v>
      </c>
      <c r="D3419" t="s">
        <v>116</v>
      </c>
      <c r="E3419">
        <v>124.7</v>
      </c>
    </row>
    <row r="3420" spans="2:5" ht="18.75">
      <c r="B3420">
        <v>50</v>
      </c>
      <c r="C3420" s="5">
        <v>45999</v>
      </c>
      <c r="D3420" t="s">
        <v>117</v>
      </c>
      <c r="E3420">
        <v>225.88</v>
      </c>
    </row>
    <row r="3421" spans="2:5" ht="18.75">
      <c r="B3421">
        <v>50</v>
      </c>
      <c r="C3421" s="5">
        <v>45999</v>
      </c>
      <c r="D3421" t="s">
        <v>118</v>
      </c>
      <c r="E3421">
        <v>144.29</v>
      </c>
    </row>
    <row r="3422" spans="2:5" ht="18.75">
      <c r="B3422">
        <v>50</v>
      </c>
      <c r="C3422" s="5">
        <v>45999</v>
      </c>
      <c r="D3422" t="s">
        <v>119</v>
      </c>
      <c r="E3422">
        <v>440.78</v>
      </c>
    </row>
    <row r="3423" spans="2:5" ht="18.75">
      <c r="B3423">
        <v>50</v>
      </c>
      <c r="C3423" s="5">
        <v>45999</v>
      </c>
      <c r="D3423" t="s">
        <v>120</v>
      </c>
      <c r="E3423">
        <v>155.35</v>
      </c>
    </row>
    <row r="3424" spans="2:5" ht="18.75">
      <c r="B3424">
        <v>50</v>
      </c>
      <c r="C3424" s="5">
        <v>45999</v>
      </c>
      <c r="D3424" t="s">
        <v>121</v>
      </c>
      <c r="E3424">
        <v>86.4</v>
      </c>
    </row>
    <row r="3425" spans="2:5" ht="18.75">
      <c r="B3425">
        <v>50</v>
      </c>
      <c r="C3425" s="5">
        <v>45999</v>
      </c>
      <c r="D3425" t="s">
        <v>122</v>
      </c>
      <c r="E3425">
        <v>292.07</v>
      </c>
    </row>
    <row r="3426" spans="2:5" ht="18.75">
      <c r="B3426">
        <v>50</v>
      </c>
      <c r="C3426" s="5">
        <v>45999</v>
      </c>
      <c r="D3426" t="s">
        <v>123</v>
      </c>
      <c r="E3426">
        <v>517.85</v>
      </c>
    </row>
    <row r="3427" spans="2:5" ht="18.75">
      <c r="B3427">
        <v>50</v>
      </c>
      <c r="C3427" s="5">
        <v>45999</v>
      </c>
      <c r="D3427" t="s">
        <v>124</v>
      </c>
      <c r="E3427">
        <v>490.49</v>
      </c>
    </row>
    <row r="3428" spans="2:5" ht="18.75">
      <c r="B3428">
        <v>50</v>
      </c>
      <c r="C3428" s="5">
        <v>45999</v>
      </c>
      <c r="D3428" t="s">
        <v>125</v>
      </c>
      <c r="E3428">
        <v>81.62</v>
      </c>
    </row>
    <row r="3429" spans="2:5" ht="18.75">
      <c r="B3429">
        <v>50</v>
      </c>
      <c r="C3429" s="5">
        <v>45999</v>
      </c>
      <c r="D3429" t="s">
        <v>126</v>
      </c>
      <c r="E3429">
        <v>123.52</v>
      </c>
    </row>
    <row r="3430" spans="2:5" ht="18.75">
      <c r="B3430">
        <v>50</v>
      </c>
      <c r="C3430" s="5">
        <v>45999</v>
      </c>
      <c r="D3430" t="s">
        <v>129</v>
      </c>
      <c r="E3430">
        <v>522.63</v>
      </c>
    </row>
    <row r="3431" spans="2:5" ht="18.75">
      <c r="B3431">
        <v>50</v>
      </c>
      <c r="C3431" s="5">
        <v>45999</v>
      </c>
      <c r="D3431" t="s">
        <v>132</v>
      </c>
      <c r="E3431">
        <v>255.82</v>
      </c>
    </row>
    <row r="3432" spans="2:5" ht="18.75">
      <c r="B3432">
        <v>50</v>
      </c>
      <c r="C3432" s="5">
        <v>45999</v>
      </c>
      <c r="D3432" t="s">
        <v>133</v>
      </c>
      <c r="E3432">
        <v>322.42</v>
      </c>
    </row>
    <row r="3433" spans="2:5" ht="18.75">
      <c r="B3433">
        <v>50</v>
      </c>
      <c r="C3433" s="5">
        <v>45999</v>
      </c>
      <c r="D3433" t="s">
        <v>134</v>
      </c>
      <c r="E3433">
        <v>332.54</v>
      </c>
    </row>
    <row r="3434" spans="2:5" ht="18.75">
      <c r="B3434">
        <v>50</v>
      </c>
      <c r="C3434" s="5">
        <v>45999</v>
      </c>
      <c r="D3434" t="s">
        <v>135</v>
      </c>
      <c r="E3434">
        <v>91.69</v>
      </c>
    </row>
    <row r="3435" spans="2:5" ht="18.75">
      <c r="B3435">
        <v>50</v>
      </c>
      <c r="C3435" s="5">
        <v>45999</v>
      </c>
      <c r="D3435" t="s">
        <v>136</v>
      </c>
      <c r="E3435">
        <v>136.58000000000001</v>
      </c>
    </row>
    <row r="3436" spans="2:5" ht="18.75">
      <c r="B3436">
        <v>50</v>
      </c>
      <c r="C3436" s="5">
        <v>45999</v>
      </c>
      <c r="D3436" t="s">
        <v>137</v>
      </c>
      <c r="E3436">
        <v>104.65</v>
      </c>
    </row>
    <row r="3437" spans="2:5" ht="18.75">
      <c r="B3437">
        <v>50</v>
      </c>
      <c r="C3437" s="5">
        <v>45999</v>
      </c>
      <c r="D3437" t="s">
        <v>138</v>
      </c>
      <c r="E3437">
        <v>559.69000000000005</v>
      </c>
    </row>
    <row r="3438" spans="2:5" ht="18.75">
      <c r="B3438">
        <v>50</v>
      </c>
      <c r="C3438" s="5">
        <v>45999</v>
      </c>
      <c r="D3438" t="s">
        <v>140</v>
      </c>
      <c r="E3438">
        <v>94.83</v>
      </c>
    </row>
    <row r="3439" spans="2:5" ht="18.75">
      <c r="B3439">
        <v>50</v>
      </c>
      <c r="C3439" s="5">
        <v>45999</v>
      </c>
      <c r="D3439" t="s">
        <v>141</v>
      </c>
      <c r="E3439">
        <v>759.15</v>
      </c>
    </row>
    <row r="3440" spans="2:5" ht="18.75">
      <c r="B3440">
        <v>50</v>
      </c>
      <c r="C3440" s="5">
        <v>45999</v>
      </c>
      <c r="D3440" t="s">
        <v>142</v>
      </c>
      <c r="E3440">
        <v>192.32</v>
      </c>
    </row>
    <row r="3441" spans="2:5" ht="18.75">
      <c r="B3441">
        <v>50</v>
      </c>
      <c r="C3441" s="5">
        <v>45999</v>
      </c>
      <c r="D3441" t="s">
        <v>139</v>
      </c>
      <c r="E3441">
        <v>345.8</v>
      </c>
    </row>
    <row r="3442" spans="2:5" ht="18.75">
      <c r="B3442">
        <v>50</v>
      </c>
      <c r="C3442" s="5">
        <v>45999</v>
      </c>
      <c r="D3442" t="s">
        <v>143</v>
      </c>
      <c r="E3442">
        <v>1651.15</v>
      </c>
    </row>
    <row r="3443" spans="2:5" ht="18.75">
      <c r="B3443">
        <v>50</v>
      </c>
      <c r="C3443" s="5">
        <v>45999</v>
      </c>
      <c r="D3443" t="s">
        <v>145</v>
      </c>
      <c r="E3443">
        <v>259.64999999999998</v>
      </c>
    </row>
    <row r="3444" spans="2:5" ht="18.75">
      <c r="B3444">
        <v>50</v>
      </c>
      <c r="C3444" s="5">
        <v>45999</v>
      </c>
      <c r="D3444" t="s">
        <v>146</v>
      </c>
      <c r="E3444">
        <v>651.41999999999996</v>
      </c>
    </row>
    <row r="3445" spans="2:5" ht="18.75">
      <c r="B3445">
        <v>50</v>
      </c>
      <c r="C3445" s="5">
        <v>45999</v>
      </c>
      <c r="D3445" t="s">
        <v>148</v>
      </c>
      <c r="E3445">
        <v>155.36000000000001</v>
      </c>
    </row>
    <row r="3446" spans="2:5" ht="18.75">
      <c r="B3446">
        <v>50</v>
      </c>
      <c r="C3446" s="5">
        <v>45999</v>
      </c>
      <c r="D3446" t="s">
        <v>147</v>
      </c>
      <c r="E3446">
        <v>403.34</v>
      </c>
    </row>
    <row r="3447" spans="2:5" ht="18.75">
      <c r="B3447">
        <v>50</v>
      </c>
      <c r="C3447" s="5">
        <v>45999</v>
      </c>
      <c r="D3447" t="s">
        <v>149</v>
      </c>
      <c r="E3447">
        <v>153.30000000000001</v>
      </c>
    </row>
    <row r="3448" spans="2:5" ht="18.75">
      <c r="B3448">
        <v>50</v>
      </c>
      <c r="C3448" s="5">
        <v>45999</v>
      </c>
      <c r="D3448" t="s">
        <v>150</v>
      </c>
      <c r="E3448">
        <v>105</v>
      </c>
    </row>
    <row r="3449" spans="2:5" ht="18.75">
      <c r="B3449">
        <v>50</v>
      </c>
      <c r="C3449" s="5">
        <v>45999</v>
      </c>
      <c r="D3449" t="s">
        <v>220</v>
      </c>
      <c r="E3449">
        <v>425.36</v>
      </c>
    </row>
    <row r="3450" spans="2:5" ht="18.75">
      <c r="B3450">
        <v>50</v>
      </c>
      <c r="C3450" s="5">
        <v>45999</v>
      </c>
      <c r="D3450" t="s">
        <v>127</v>
      </c>
      <c r="E3450">
        <v>326.38</v>
      </c>
    </row>
    <row r="3451" spans="2:5" ht="18.75">
      <c r="B3451">
        <v>50</v>
      </c>
      <c r="C3451" s="5">
        <v>45999</v>
      </c>
      <c r="D3451" t="s">
        <v>128</v>
      </c>
      <c r="E3451">
        <v>31.6</v>
      </c>
    </row>
    <row r="3452" spans="2:5" ht="18.75">
      <c r="B3452">
        <v>50</v>
      </c>
      <c r="C3452" s="5">
        <v>45999</v>
      </c>
      <c r="D3452" t="s">
        <v>151</v>
      </c>
      <c r="E3452">
        <v>276.39999999999998</v>
      </c>
    </row>
    <row r="3453" spans="2:5" ht="18.75">
      <c r="B3453">
        <v>51</v>
      </c>
      <c r="C3453" s="5">
        <v>46006</v>
      </c>
      <c r="D3453" t="s">
        <v>126</v>
      </c>
      <c r="E3453">
        <v>58.68</v>
      </c>
    </row>
    <row r="3454" spans="2:5" ht="18.75">
      <c r="B3454">
        <v>51</v>
      </c>
      <c r="C3454" s="5">
        <v>46006</v>
      </c>
      <c r="D3454" t="s">
        <v>143</v>
      </c>
      <c r="E3454">
        <v>1567.22</v>
      </c>
    </row>
    <row r="3455" spans="2:5" ht="18.75">
      <c r="B3455">
        <v>51</v>
      </c>
      <c r="C3455" s="5">
        <v>46006</v>
      </c>
      <c r="D3455" t="s">
        <v>127</v>
      </c>
      <c r="E3455">
        <v>213.45</v>
      </c>
    </row>
    <row r="3456" spans="2:5" ht="18.75">
      <c r="B3456">
        <v>51</v>
      </c>
      <c r="C3456" s="5">
        <v>46006</v>
      </c>
      <c r="D3456" t="s">
        <v>117</v>
      </c>
      <c r="E3456">
        <v>257.52999999999997</v>
      </c>
    </row>
    <row r="3457" spans="2:5" ht="18.75">
      <c r="B3457">
        <v>51</v>
      </c>
      <c r="C3457" s="5">
        <v>46006</v>
      </c>
      <c r="D3457" t="s">
        <v>134</v>
      </c>
      <c r="E3457">
        <v>330.69</v>
      </c>
    </row>
    <row r="3458" spans="2:5" ht="18.75">
      <c r="B3458">
        <v>51</v>
      </c>
      <c r="C3458" s="5">
        <v>46006</v>
      </c>
      <c r="D3458" t="s">
        <v>141</v>
      </c>
      <c r="E3458">
        <v>643.57000000000005</v>
      </c>
    </row>
    <row r="3459" spans="2:5" ht="18.75">
      <c r="B3459">
        <v>51</v>
      </c>
      <c r="C3459" s="5">
        <v>46006</v>
      </c>
      <c r="D3459" t="s">
        <v>146</v>
      </c>
      <c r="E3459">
        <v>671.12</v>
      </c>
    </row>
    <row r="3460" spans="2:5" ht="18.75">
      <c r="B3460">
        <v>51</v>
      </c>
      <c r="C3460" s="5">
        <v>46006</v>
      </c>
      <c r="D3460" t="s">
        <v>151</v>
      </c>
      <c r="E3460">
        <v>593.36</v>
      </c>
    </row>
    <row r="3461" spans="2:5" ht="18.75">
      <c r="B3461">
        <v>51</v>
      </c>
      <c r="C3461" s="5">
        <v>46006</v>
      </c>
      <c r="D3461" t="s">
        <v>114</v>
      </c>
      <c r="E3461">
        <v>311.73</v>
      </c>
    </row>
    <row r="3462" spans="2:5" ht="18.75">
      <c r="B3462">
        <v>51</v>
      </c>
      <c r="C3462" s="5">
        <v>46006</v>
      </c>
      <c r="D3462" t="s">
        <v>119</v>
      </c>
      <c r="E3462">
        <v>407.42</v>
      </c>
    </row>
    <row r="3463" spans="2:5" ht="18.75">
      <c r="B3463">
        <v>51</v>
      </c>
      <c r="C3463" s="5">
        <v>46006</v>
      </c>
      <c r="D3463" t="s">
        <v>133</v>
      </c>
      <c r="E3463">
        <v>307.45999999999998</v>
      </c>
    </row>
    <row r="3464" spans="2:5" ht="18.75">
      <c r="B3464">
        <v>51</v>
      </c>
      <c r="C3464" s="5">
        <v>46006</v>
      </c>
      <c r="D3464" t="s">
        <v>138</v>
      </c>
      <c r="E3464">
        <v>497.17</v>
      </c>
    </row>
    <row r="3465" spans="2:5" ht="18.75">
      <c r="B3465">
        <v>51</v>
      </c>
      <c r="C3465" s="5">
        <v>46006</v>
      </c>
      <c r="D3465" t="s">
        <v>145</v>
      </c>
      <c r="E3465">
        <v>342.92</v>
      </c>
    </row>
    <row r="3466" spans="2:5" ht="18.75">
      <c r="B3466">
        <v>51</v>
      </c>
      <c r="C3466" s="5">
        <v>46006</v>
      </c>
      <c r="D3466" t="s">
        <v>129</v>
      </c>
      <c r="E3466">
        <v>354.37</v>
      </c>
    </row>
    <row r="3467" spans="2:5" ht="18.75">
      <c r="B3467">
        <v>51</v>
      </c>
      <c r="C3467" s="5">
        <v>46006</v>
      </c>
      <c r="D3467" t="s">
        <v>111</v>
      </c>
      <c r="E3467">
        <v>182.24</v>
      </c>
    </row>
    <row r="3468" spans="2:5" ht="18.75">
      <c r="B3468">
        <v>51</v>
      </c>
      <c r="C3468" s="5">
        <v>46006</v>
      </c>
      <c r="D3468" t="s">
        <v>123</v>
      </c>
      <c r="E3468">
        <v>443.03</v>
      </c>
    </row>
    <row r="3469" spans="2:5" ht="18.75">
      <c r="B3469">
        <v>51</v>
      </c>
      <c r="C3469" s="5">
        <v>46006</v>
      </c>
      <c r="D3469" t="s">
        <v>124</v>
      </c>
      <c r="E3469">
        <v>367.7</v>
      </c>
    </row>
    <row r="3470" spans="2:5" ht="18.75">
      <c r="B3470">
        <v>51</v>
      </c>
      <c r="C3470" s="5">
        <v>46006</v>
      </c>
      <c r="D3470" t="s">
        <v>147</v>
      </c>
      <c r="E3470">
        <v>305.73</v>
      </c>
    </row>
    <row r="3471" spans="2:5" ht="18.75">
      <c r="B3471">
        <v>51</v>
      </c>
      <c r="C3471" s="5">
        <v>46006</v>
      </c>
      <c r="D3471" t="s">
        <v>113</v>
      </c>
      <c r="E3471">
        <v>237.11</v>
      </c>
    </row>
    <row r="3472" spans="2:5" ht="18.75">
      <c r="B3472">
        <v>51</v>
      </c>
      <c r="C3472" s="5">
        <v>46006</v>
      </c>
      <c r="D3472" t="s">
        <v>139</v>
      </c>
      <c r="E3472">
        <v>266.64</v>
      </c>
    </row>
    <row r="3473" spans="2:5" ht="18.75">
      <c r="B3473">
        <v>51</v>
      </c>
      <c r="C3473" s="5">
        <v>46006</v>
      </c>
      <c r="D3473" t="s">
        <v>112</v>
      </c>
      <c r="E3473">
        <v>85.51</v>
      </c>
    </row>
    <row r="3474" spans="2:5" ht="18.75">
      <c r="B3474">
        <v>51</v>
      </c>
      <c r="C3474" s="5">
        <v>46006</v>
      </c>
      <c r="D3474" t="s">
        <v>120</v>
      </c>
      <c r="E3474">
        <v>124.52</v>
      </c>
    </row>
    <row r="3475" spans="2:5" ht="18.75">
      <c r="B3475">
        <v>51</v>
      </c>
      <c r="C3475" s="5">
        <v>46006</v>
      </c>
      <c r="D3475" t="s">
        <v>122</v>
      </c>
      <c r="E3475">
        <v>267.27</v>
      </c>
    </row>
    <row r="3476" spans="2:5" ht="18.75">
      <c r="B3476">
        <v>51</v>
      </c>
      <c r="C3476" s="5">
        <v>46006</v>
      </c>
      <c r="D3476" t="s">
        <v>132</v>
      </c>
      <c r="E3476">
        <v>267.24</v>
      </c>
    </row>
    <row r="3477" spans="2:5" ht="18.75">
      <c r="B3477">
        <v>51</v>
      </c>
      <c r="C3477" s="5">
        <v>46006</v>
      </c>
      <c r="D3477" t="s">
        <v>148</v>
      </c>
      <c r="E3477">
        <v>111.92</v>
      </c>
    </row>
    <row r="3478" spans="2:5" ht="18.75">
      <c r="B3478">
        <v>51</v>
      </c>
      <c r="C3478" s="5">
        <v>46006</v>
      </c>
      <c r="D3478" t="s">
        <v>150</v>
      </c>
      <c r="E3478">
        <v>100.2</v>
      </c>
    </row>
    <row r="3479" spans="2:5" ht="18.75">
      <c r="B3479">
        <v>51</v>
      </c>
      <c r="C3479" s="5">
        <v>46006</v>
      </c>
      <c r="D3479" t="s">
        <v>116</v>
      </c>
      <c r="E3479">
        <v>97.55</v>
      </c>
    </row>
    <row r="3480" spans="2:5" ht="18.75">
      <c r="B3480">
        <v>51</v>
      </c>
      <c r="C3480" s="5">
        <v>46006</v>
      </c>
      <c r="D3480" t="s">
        <v>118</v>
      </c>
      <c r="E3480">
        <v>99.3</v>
      </c>
    </row>
    <row r="3481" spans="2:5" ht="18.75">
      <c r="B3481">
        <v>51</v>
      </c>
      <c r="C3481" s="5">
        <v>46006</v>
      </c>
      <c r="D3481" t="s">
        <v>121</v>
      </c>
      <c r="E3481">
        <v>108.88</v>
      </c>
    </row>
    <row r="3482" spans="2:5" ht="18.75">
      <c r="B3482">
        <v>51</v>
      </c>
      <c r="C3482" s="5">
        <v>46006</v>
      </c>
      <c r="D3482" t="s">
        <v>136</v>
      </c>
      <c r="E3482">
        <v>115.32</v>
      </c>
    </row>
    <row r="3483" spans="2:5" ht="18.75">
      <c r="B3483">
        <v>51</v>
      </c>
      <c r="C3483" s="5">
        <v>46006</v>
      </c>
      <c r="D3483" t="s">
        <v>125</v>
      </c>
      <c r="E3483">
        <v>73.180000000000007</v>
      </c>
    </row>
    <row r="3484" spans="2:5" ht="18.75">
      <c r="B3484">
        <v>51</v>
      </c>
      <c r="C3484" s="5">
        <v>46006</v>
      </c>
      <c r="D3484" t="s">
        <v>135</v>
      </c>
      <c r="E3484">
        <v>72.400000000000006</v>
      </c>
    </row>
    <row r="3485" spans="2:5" ht="18.75">
      <c r="B3485">
        <v>51</v>
      </c>
      <c r="C3485" s="5">
        <v>46006</v>
      </c>
      <c r="D3485" t="s">
        <v>137</v>
      </c>
      <c r="E3485">
        <v>58.71</v>
      </c>
    </row>
    <row r="3486" spans="2:5" ht="18.75">
      <c r="B3486">
        <v>51</v>
      </c>
      <c r="C3486" s="5">
        <v>46006</v>
      </c>
      <c r="D3486" t="s">
        <v>140</v>
      </c>
      <c r="E3486">
        <v>100.83</v>
      </c>
    </row>
    <row r="3487" spans="2:5" ht="18.75">
      <c r="B3487">
        <v>51</v>
      </c>
      <c r="C3487" s="5">
        <v>46006</v>
      </c>
      <c r="D3487" t="s">
        <v>149</v>
      </c>
      <c r="E3487">
        <v>160.16</v>
      </c>
    </row>
    <row r="3488" spans="2:5" ht="18.75">
      <c r="B3488">
        <v>51</v>
      </c>
      <c r="C3488" s="5">
        <v>46006</v>
      </c>
      <c r="D3488" t="s">
        <v>142</v>
      </c>
      <c r="E3488">
        <v>117.93</v>
      </c>
    </row>
    <row r="3489" spans="2:5" ht="18.75">
      <c r="B3489">
        <v>51</v>
      </c>
      <c r="C3489" s="5">
        <v>46006</v>
      </c>
      <c r="D3489" t="s">
        <v>128</v>
      </c>
      <c r="E3489">
        <v>5.73</v>
      </c>
    </row>
    <row r="3490" spans="2:5" ht="18.75">
      <c r="B3490">
        <v>52</v>
      </c>
      <c r="C3490" s="5">
        <v>46013</v>
      </c>
      <c r="D3490" t="s">
        <v>111</v>
      </c>
      <c r="E3490">
        <v>87.18</v>
      </c>
    </row>
    <row r="3491" spans="2:5" ht="18.75">
      <c r="B3491">
        <v>52</v>
      </c>
      <c r="C3491" s="5">
        <v>46013</v>
      </c>
      <c r="D3491" t="s">
        <v>112</v>
      </c>
      <c r="E3491">
        <v>29.67</v>
      </c>
    </row>
    <row r="3492" spans="2:5" ht="18.75">
      <c r="B3492">
        <v>52</v>
      </c>
      <c r="C3492" s="5">
        <v>46013</v>
      </c>
      <c r="D3492" t="s">
        <v>113</v>
      </c>
      <c r="E3492">
        <v>50.08</v>
      </c>
    </row>
    <row r="3493" spans="2:5" ht="18.75">
      <c r="B3493">
        <v>52</v>
      </c>
      <c r="C3493" s="5">
        <v>46013</v>
      </c>
      <c r="D3493" t="s">
        <v>114</v>
      </c>
      <c r="E3493">
        <v>156.47999999999999</v>
      </c>
    </row>
    <row r="3494" spans="2:5" ht="18.75">
      <c r="B3494">
        <v>52</v>
      </c>
      <c r="C3494" s="5">
        <v>46013</v>
      </c>
      <c r="D3494" t="s">
        <v>116</v>
      </c>
      <c r="E3494">
        <v>43.67</v>
      </c>
    </row>
    <row r="3495" spans="2:5" ht="18.75">
      <c r="B3495">
        <v>52</v>
      </c>
      <c r="C3495" s="5">
        <v>46013</v>
      </c>
      <c r="D3495" t="s">
        <v>117</v>
      </c>
      <c r="E3495">
        <v>95.3</v>
      </c>
    </row>
    <row r="3496" spans="2:5" ht="18.75">
      <c r="B3496">
        <v>52</v>
      </c>
      <c r="C3496" s="5">
        <v>46013</v>
      </c>
      <c r="D3496" t="s">
        <v>118</v>
      </c>
      <c r="E3496">
        <v>53.73</v>
      </c>
    </row>
    <row r="3497" spans="2:5" ht="18.75">
      <c r="B3497">
        <v>52</v>
      </c>
      <c r="C3497" s="5">
        <v>46013</v>
      </c>
      <c r="D3497" t="s">
        <v>119</v>
      </c>
      <c r="E3497">
        <v>178.25</v>
      </c>
    </row>
    <row r="3498" spans="2:5" ht="18.75">
      <c r="B3498">
        <v>52</v>
      </c>
      <c r="C3498" s="5">
        <v>46013</v>
      </c>
      <c r="D3498" t="s">
        <v>120</v>
      </c>
      <c r="E3498">
        <v>67.13</v>
      </c>
    </row>
    <row r="3499" spans="2:5" ht="18.75">
      <c r="B3499">
        <v>52</v>
      </c>
      <c r="C3499" s="5">
        <v>46013</v>
      </c>
      <c r="D3499" t="s">
        <v>121</v>
      </c>
      <c r="E3499">
        <v>76.36</v>
      </c>
    </row>
    <row r="3500" spans="2:5" ht="18.75">
      <c r="B3500">
        <v>52</v>
      </c>
      <c r="C3500" s="5">
        <v>46013</v>
      </c>
      <c r="D3500" t="s">
        <v>122</v>
      </c>
      <c r="E3500">
        <v>78.28</v>
      </c>
    </row>
    <row r="3501" spans="2:5" ht="18.75">
      <c r="B3501">
        <v>52</v>
      </c>
      <c r="C3501" s="5">
        <v>46013</v>
      </c>
      <c r="D3501" t="s">
        <v>123</v>
      </c>
      <c r="E3501">
        <v>357.06</v>
      </c>
    </row>
    <row r="3502" spans="2:5" ht="18.75">
      <c r="B3502">
        <v>52</v>
      </c>
      <c r="C3502" s="5">
        <v>46013</v>
      </c>
      <c r="D3502" t="s">
        <v>124</v>
      </c>
      <c r="E3502">
        <v>259.72000000000003</v>
      </c>
    </row>
    <row r="3503" spans="2:5" ht="18.75">
      <c r="B3503">
        <v>52</v>
      </c>
      <c r="C3503" s="5">
        <v>46013</v>
      </c>
      <c r="D3503" t="s">
        <v>127</v>
      </c>
      <c r="E3503">
        <v>128.37</v>
      </c>
    </row>
    <row r="3504" spans="2:5" ht="18.75">
      <c r="B3504">
        <v>52</v>
      </c>
      <c r="C3504" s="5">
        <v>46013</v>
      </c>
      <c r="D3504" t="s">
        <v>132</v>
      </c>
      <c r="E3504">
        <v>99.65</v>
      </c>
    </row>
    <row r="3505" spans="2:5" ht="18.75">
      <c r="B3505">
        <v>52</v>
      </c>
      <c r="C3505" s="5">
        <v>46013</v>
      </c>
      <c r="D3505" t="s">
        <v>133</v>
      </c>
      <c r="E3505">
        <v>122.9</v>
      </c>
    </row>
    <row r="3506" spans="2:5" ht="18.75">
      <c r="B3506">
        <v>52</v>
      </c>
      <c r="C3506" s="5">
        <v>46013</v>
      </c>
      <c r="D3506" t="s">
        <v>134</v>
      </c>
      <c r="E3506">
        <v>111.5</v>
      </c>
    </row>
    <row r="3507" spans="2:5" ht="18.75">
      <c r="B3507">
        <v>52</v>
      </c>
      <c r="C3507" s="5">
        <v>46013</v>
      </c>
      <c r="D3507" t="s">
        <v>136</v>
      </c>
      <c r="E3507">
        <v>48.72</v>
      </c>
    </row>
    <row r="3508" spans="2:5" ht="18.75">
      <c r="B3508">
        <v>52</v>
      </c>
      <c r="C3508" s="5">
        <v>46013</v>
      </c>
      <c r="D3508" t="s">
        <v>138</v>
      </c>
      <c r="E3508">
        <v>224.06</v>
      </c>
    </row>
    <row r="3509" spans="2:5" ht="18.75">
      <c r="B3509">
        <v>52</v>
      </c>
      <c r="C3509" s="5">
        <v>46013</v>
      </c>
      <c r="D3509" t="s">
        <v>142</v>
      </c>
      <c r="E3509">
        <v>63.79</v>
      </c>
    </row>
    <row r="3510" spans="2:5" ht="18.75">
      <c r="B3510">
        <v>52</v>
      </c>
      <c r="C3510" s="5">
        <v>46013</v>
      </c>
      <c r="D3510" t="s">
        <v>139</v>
      </c>
      <c r="E3510">
        <v>225.91</v>
      </c>
    </row>
    <row r="3511" spans="2:5" ht="18.75">
      <c r="B3511">
        <v>52</v>
      </c>
      <c r="C3511" s="5">
        <v>46013</v>
      </c>
      <c r="D3511" t="s">
        <v>143</v>
      </c>
      <c r="E3511">
        <v>890.63</v>
      </c>
    </row>
    <row r="3512" spans="2:5" ht="18.75">
      <c r="B3512">
        <v>52</v>
      </c>
      <c r="C3512" s="5">
        <v>46013</v>
      </c>
      <c r="D3512" t="s">
        <v>145</v>
      </c>
      <c r="E3512">
        <v>81.09</v>
      </c>
    </row>
    <row r="3513" spans="2:5" ht="18.75">
      <c r="B3513">
        <v>52</v>
      </c>
      <c r="C3513" s="5">
        <v>46013</v>
      </c>
      <c r="D3513" t="s">
        <v>146</v>
      </c>
      <c r="E3513">
        <v>185.73</v>
      </c>
    </row>
    <row r="3514" spans="2:5" ht="18.75">
      <c r="B3514">
        <v>52</v>
      </c>
      <c r="C3514" s="5">
        <v>46013</v>
      </c>
      <c r="D3514" t="s">
        <v>148</v>
      </c>
      <c r="E3514">
        <v>28.62</v>
      </c>
    </row>
    <row r="3515" spans="2:5" ht="18.75">
      <c r="B3515">
        <v>52</v>
      </c>
      <c r="C3515" s="5">
        <v>46013</v>
      </c>
      <c r="D3515" t="s">
        <v>147</v>
      </c>
      <c r="E3515">
        <v>147.28</v>
      </c>
    </row>
    <row r="3516" spans="2:5" ht="18.75">
      <c r="B3516">
        <v>52</v>
      </c>
      <c r="C3516" s="5">
        <v>46013</v>
      </c>
      <c r="D3516" t="s">
        <v>151</v>
      </c>
      <c r="E3516">
        <v>246.53</v>
      </c>
    </row>
    <row r="3517" spans="2:5" ht="18.75">
      <c r="B3517">
        <v>52</v>
      </c>
      <c r="C3517" s="5">
        <v>46013</v>
      </c>
      <c r="D3517" t="s">
        <v>129</v>
      </c>
      <c r="E3517">
        <v>282.56</v>
      </c>
    </row>
    <row r="3518" spans="2:5" ht="18.75">
      <c r="B3518">
        <v>52</v>
      </c>
      <c r="C3518" s="5">
        <v>46013</v>
      </c>
      <c r="D3518" t="s">
        <v>141</v>
      </c>
      <c r="E3518">
        <v>174.99</v>
      </c>
    </row>
    <row r="3519" spans="2:5" ht="18.75">
      <c r="B3519">
        <v>52</v>
      </c>
      <c r="C3519" s="5">
        <v>46013</v>
      </c>
      <c r="D3519" t="s">
        <v>125</v>
      </c>
      <c r="E3519">
        <v>21.82</v>
      </c>
    </row>
    <row r="3520" spans="2:5" ht="18.75">
      <c r="B3520">
        <v>52</v>
      </c>
      <c r="C3520" s="5">
        <v>46013</v>
      </c>
      <c r="D3520" t="s">
        <v>135</v>
      </c>
      <c r="E3520">
        <v>24.82</v>
      </c>
    </row>
    <row r="3521" spans="2:5" ht="18.75">
      <c r="B3521">
        <v>52</v>
      </c>
      <c r="C3521" s="5">
        <v>46013</v>
      </c>
      <c r="D3521" t="s">
        <v>137</v>
      </c>
      <c r="E3521">
        <v>26.52</v>
      </c>
    </row>
    <row r="3522" spans="2:5" ht="18.75">
      <c r="B3522">
        <v>52</v>
      </c>
      <c r="C3522" s="5">
        <v>46013</v>
      </c>
      <c r="D3522" t="s">
        <v>140</v>
      </c>
      <c r="E3522">
        <v>27.37</v>
      </c>
    </row>
    <row r="3523" spans="2:5" ht="18.75">
      <c r="B3523">
        <v>52</v>
      </c>
      <c r="C3523" s="5">
        <v>46013</v>
      </c>
      <c r="D3523" t="s">
        <v>149</v>
      </c>
      <c r="E3523">
        <v>66.489999999999995</v>
      </c>
    </row>
    <row r="3524" spans="2:5" ht="18.75">
      <c r="B3524">
        <v>52</v>
      </c>
      <c r="C3524" s="5">
        <v>46013</v>
      </c>
      <c r="D3524" t="s">
        <v>150</v>
      </c>
      <c r="E3524">
        <v>37.159999999999997</v>
      </c>
    </row>
    <row r="3525" spans="2:5" ht="18.75">
      <c r="B3525">
        <v>52</v>
      </c>
      <c r="C3525" s="5">
        <v>46013</v>
      </c>
      <c r="D3525" t="s">
        <v>126</v>
      </c>
      <c r="E3525">
        <v>20.91</v>
      </c>
    </row>
    <row r="3526" spans="2:5" ht="18.75">
      <c r="B3526">
        <v>1</v>
      </c>
      <c r="C3526" s="5">
        <v>46020</v>
      </c>
      <c r="D3526" t="s">
        <v>111</v>
      </c>
      <c r="E3526">
        <v>53.09</v>
      </c>
    </row>
    <row r="3527" spans="2:5" ht="18.75">
      <c r="B3527">
        <v>1</v>
      </c>
      <c r="C3527" s="5">
        <v>46020</v>
      </c>
      <c r="D3527" t="s">
        <v>112</v>
      </c>
      <c r="E3527">
        <v>36.44</v>
      </c>
    </row>
    <row r="3528" spans="2:5" ht="18.75">
      <c r="B3528">
        <v>1</v>
      </c>
      <c r="C3528" s="5">
        <v>46020</v>
      </c>
      <c r="D3528" t="s">
        <v>113</v>
      </c>
      <c r="E3528">
        <v>62.61</v>
      </c>
    </row>
    <row r="3529" spans="2:5" ht="18.75">
      <c r="B3529">
        <v>1</v>
      </c>
      <c r="C3529" s="5">
        <v>46020</v>
      </c>
      <c r="D3529" t="s">
        <v>114</v>
      </c>
      <c r="E3529">
        <v>68.709999999999994</v>
      </c>
    </row>
    <row r="3530" spans="2:5" ht="18.75">
      <c r="B3530">
        <v>1</v>
      </c>
      <c r="C3530" s="5">
        <v>46020</v>
      </c>
      <c r="D3530" t="s">
        <v>117</v>
      </c>
      <c r="E3530">
        <v>71.2</v>
      </c>
    </row>
    <row r="3531" spans="2:5" ht="18.75">
      <c r="B3531">
        <v>1</v>
      </c>
      <c r="C3531" s="5">
        <v>46020</v>
      </c>
      <c r="D3531" t="s">
        <v>118</v>
      </c>
      <c r="E3531">
        <v>51.86</v>
      </c>
    </row>
    <row r="3532" spans="2:5" ht="18.75">
      <c r="B3532">
        <v>1</v>
      </c>
      <c r="C3532" s="5">
        <v>46020</v>
      </c>
      <c r="D3532" t="s">
        <v>119</v>
      </c>
      <c r="E3532">
        <v>168.81</v>
      </c>
    </row>
    <row r="3533" spans="2:5" ht="18.75">
      <c r="B3533">
        <v>1</v>
      </c>
      <c r="C3533" s="5">
        <v>46020</v>
      </c>
      <c r="D3533" t="s">
        <v>120</v>
      </c>
      <c r="E3533">
        <v>49.46</v>
      </c>
    </row>
    <row r="3534" spans="2:5" ht="18.75">
      <c r="B3534">
        <v>1</v>
      </c>
      <c r="C3534" s="5">
        <v>46020</v>
      </c>
      <c r="D3534" t="s">
        <v>121</v>
      </c>
      <c r="E3534">
        <v>34.479999999999997</v>
      </c>
    </row>
    <row r="3535" spans="2:5" ht="18.75">
      <c r="B3535">
        <v>1</v>
      </c>
      <c r="C3535" s="5">
        <v>46020</v>
      </c>
      <c r="D3535" t="s">
        <v>122</v>
      </c>
      <c r="E3535">
        <v>114.3</v>
      </c>
    </row>
    <row r="3536" spans="2:5" ht="18.75">
      <c r="B3536">
        <v>1</v>
      </c>
      <c r="C3536" s="5">
        <v>46020</v>
      </c>
      <c r="D3536" t="s">
        <v>123</v>
      </c>
      <c r="E3536">
        <v>203.92</v>
      </c>
    </row>
    <row r="3537" spans="2:5" ht="18.75">
      <c r="B3537">
        <v>1</v>
      </c>
      <c r="C3537" s="5">
        <v>46020</v>
      </c>
      <c r="D3537" t="s">
        <v>124</v>
      </c>
      <c r="E3537">
        <v>149.02000000000001</v>
      </c>
    </row>
    <row r="3538" spans="2:5" ht="18.75">
      <c r="B3538">
        <v>1</v>
      </c>
      <c r="C3538" s="5">
        <v>46020</v>
      </c>
      <c r="D3538" t="s">
        <v>126</v>
      </c>
      <c r="E3538">
        <v>21.24</v>
      </c>
    </row>
    <row r="3539" spans="2:5" ht="18.75">
      <c r="B3539">
        <v>1</v>
      </c>
      <c r="C3539" s="5">
        <v>46020</v>
      </c>
      <c r="D3539" t="s">
        <v>132</v>
      </c>
      <c r="E3539">
        <v>66.760000000000005</v>
      </c>
    </row>
    <row r="3540" spans="2:5" ht="18.75">
      <c r="B3540">
        <v>1</v>
      </c>
      <c r="C3540" s="5">
        <v>46020</v>
      </c>
      <c r="D3540" t="s">
        <v>133</v>
      </c>
      <c r="E3540">
        <v>134.91</v>
      </c>
    </row>
    <row r="3541" spans="2:5" ht="18.75">
      <c r="B3541">
        <v>1</v>
      </c>
      <c r="C3541" s="5">
        <v>46020</v>
      </c>
      <c r="D3541" t="s">
        <v>134</v>
      </c>
      <c r="E3541">
        <v>125.65</v>
      </c>
    </row>
    <row r="3542" spans="2:5" ht="18.75">
      <c r="B3542">
        <v>1</v>
      </c>
      <c r="C3542" s="5">
        <v>46020</v>
      </c>
      <c r="D3542" t="s">
        <v>138</v>
      </c>
      <c r="E3542">
        <v>215.28</v>
      </c>
    </row>
    <row r="3543" spans="2:5" ht="18.75">
      <c r="B3543">
        <v>1</v>
      </c>
      <c r="C3543" s="5">
        <v>46020</v>
      </c>
      <c r="D3543" t="s">
        <v>139</v>
      </c>
      <c r="E3543">
        <v>215.1</v>
      </c>
    </row>
    <row r="3544" spans="2:5" ht="18.75">
      <c r="B3544">
        <v>1</v>
      </c>
      <c r="C3544" s="5">
        <v>46020</v>
      </c>
      <c r="D3544" t="s">
        <v>143</v>
      </c>
      <c r="E3544">
        <v>688.35</v>
      </c>
    </row>
    <row r="3545" spans="2:5" ht="18.75">
      <c r="B3545">
        <v>1</v>
      </c>
      <c r="C3545" s="5">
        <v>46020</v>
      </c>
      <c r="D3545" t="s">
        <v>145</v>
      </c>
      <c r="E3545">
        <v>65.239999999999995</v>
      </c>
    </row>
    <row r="3546" spans="2:5" ht="18.75">
      <c r="B3546">
        <v>1</v>
      </c>
      <c r="C3546" s="5">
        <v>46020</v>
      </c>
      <c r="D3546" t="s">
        <v>146</v>
      </c>
      <c r="E3546">
        <v>149.36000000000001</v>
      </c>
    </row>
    <row r="3547" spans="2:5" ht="18.75">
      <c r="B3547">
        <v>1</v>
      </c>
      <c r="C3547" s="5">
        <v>46020</v>
      </c>
      <c r="D3547" t="s">
        <v>148</v>
      </c>
      <c r="E3547">
        <v>27.92</v>
      </c>
    </row>
    <row r="3548" spans="2:5" ht="18.75">
      <c r="B3548">
        <v>1</v>
      </c>
      <c r="C3548" s="5">
        <v>46020</v>
      </c>
      <c r="D3548" t="s">
        <v>147</v>
      </c>
      <c r="E3548">
        <v>127.05</v>
      </c>
    </row>
    <row r="3549" spans="2:5" ht="18.75">
      <c r="B3549">
        <v>1</v>
      </c>
      <c r="C3549" s="5">
        <v>46020</v>
      </c>
      <c r="D3549" t="s">
        <v>149</v>
      </c>
      <c r="E3549">
        <v>92.19</v>
      </c>
    </row>
    <row r="3550" spans="2:5" ht="18.75">
      <c r="B3550">
        <v>1</v>
      </c>
      <c r="C3550" s="5">
        <v>46020</v>
      </c>
      <c r="D3550" t="s">
        <v>151</v>
      </c>
      <c r="E3550">
        <v>222.12</v>
      </c>
    </row>
    <row r="3551" spans="2:5" ht="18.75">
      <c r="B3551">
        <v>1</v>
      </c>
      <c r="C3551" s="5">
        <v>46020</v>
      </c>
      <c r="D3551" t="s">
        <v>116</v>
      </c>
      <c r="E3551">
        <v>20.100000000000001</v>
      </c>
    </row>
    <row r="3552" spans="2:5" ht="18.75">
      <c r="B3552">
        <v>1</v>
      </c>
      <c r="C3552" s="5">
        <v>46020</v>
      </c>
      <c r="D3552" t="s">
        <v>125</v>
      </c>
      <c r="E3552">
        <v>16.02</v>
      </c>
    </row>
    <row r="3553" spans="2:5" ht="18.75">
      <c r="B3553">
        <v>1</v>
      </c>
      <c r="C3553" s="5">
        <v>46020</v>
      </c>
      <c r="D3553" t="s">
        <v>127</v>
      </c>
      <c r="E3553">
        <v>53.95</v>
      </c>
    </row>
    <row r="3554" spans="2:5" ht="18.75">
      <c r="B3554">
        <v>1</v>
      </c>
      <c r="C3554" s="5">
        <v>46020</v>
      </c>
      <c r="D3554" t="s">
        <v>129</v>
      </c>
      <c r="E3554">
        <v>216.34</v>
      </c>
    </row>
    <row r="3555" spans="2:5" ht="18.75">
      <c r="B3555">
        <v>1</v>
      </c>
      <c r="C3555" s="5">
        <v>46020</v>
      </c>
      <c r="D3555" t="s">
        <v>135</v>
      </c>
      <c r="E3555">
        <v>16.02</v>
      </c>
    </row>
    <row r="3556" spans="2:5" ht="18.75">
      <c r="B3556">
        <v>1</v>
      </c>
      <c r="C3556" s="5">
        <v>46020</v>
      </c>
      <c r="D3556" t="s">
        <v>136</v>
      </c>
      <c r="E3556">
        <v>16.02</v>
      </c>
    </row>
    <row r="3557" spans="2:5" ht="18.75">
      <c r="B3557">
        <v>1</v>
      </c>
      <c r="C3557" s="5">
        <v>46020</v>
      </c>
      <c r="D3557" t="s">
        <v>137</v>
      </c>
      <c r="E3557">
        <v>16.02</v>
      </c>
    </row>
    <row r="3558" spans="2:5" ht="18.75">
      <c r="B3558">
        <v>2</v>
      </c>
      <c r="C3558" s="5">
        <v>46027</v>
      </c>
      <c r="D3558" t="s">
        <v>111</v>
      </c>
      <c r="E3558">
        <v>171.13</v>
      </c>
    </row>
    <row r="3559" spans="2:5" ht="18.75">
      <c r="B3559">
        <v>2</v>
      </c>
      <c r="C3559" s="5">
        <v>46027</v>
      </c>
      <c r="D3559" t="s">
        <v>112</v>
      </c>
      <c r="E3559">
        <v>84.76</v>
      </c>
    </row>
    <row r="3560" spans="2:5" ht="18.75">
      <c r="B3560">
        <v>2</v>
      </c>
      <c r="C3560" s="5">
        <v>46027</v>
      </c>
      <c r="D3560" t="s">
        <v>113</v>
      </c>
      <c r="E3560">
        <v>159.91999999999999</v>
      </c>
    </row>
    <row r="3561" spans="2:5" ht="18.75">
      <c r="B3561">
        <v>2</v>
      </c>
      <c r="C3561" s="5">
        <v>46027</v>
      </c>
      <c r="D3561" t="s">
        <v>114</v>
      </c>
      <c r="E3561">
        <v>298.45999999999998</v>
      </c>
    </row>
    <row r="3562" spans="2:5" ht="18.75">
      <c r="B3562">
        <v>2</v>
      </c>
      <c r="C3562" s="5">
        <v>46027</v>
      </c>
      <c r="D3562" t="s">
        <v>116</v>
      </c>
      <c r="E3562">
        <v>77.040000000000006</v>
      </c>
    </row>
    <row r="3563" spans="2:5" ht="18.75">
      <c r="B3563">
        <v>2</v>
      </c>
      <c r="C3563" s="5">
        <v>46027</v>
      </c>
      <c r="D3563" t="s">
        <v>117</v>
      </c>
      <c r="E3563">
        <v>228.55</v>
      </c>
    </row>
    <row r="3564" spans="2:5" ht="18.75">
      <c r="B3564">
        <v>2</v>
      </c>
      <c r="C3564" s="5">
        <v>46027</v>
      </c>
      <c r="D3564" t="s">
        <v>118</v>
      </c>
      <c r="E3564">
        <v>119.59</v>
      </c>
    </row>
    <row r="3565" spans="2:5" ht="18.75">
      <c r="B3565">
        <v>2</v>
      </c>
      <c r="C3565" s="5">
        <v>46027</v>
      </c>
      <c r="D3565" t="s">
        <v>119</v>
      </c>
      <c r="E3565">
        <v>434.75</v>
      </c>
    </row>
    <row r="3566" spans="2:5" ht="18.75">
      <c r="B3566">
        <v>2</v>
      </c>
      <c r="C3566" s="5">
        <v>46027</v>
      </c>
      <c r="D3566" t="s">
        <v>120</v>
      </c>
      <c r="E3566">
        <v>143.26</v>
      </c>
    </row>
    <row r="3567" spans="2:5" ht="18.75">
      <c r="B3567">
        <v>2</v>
      </c>
      <c r="C3567" s="5">
        <v>46027</v>
      </c>
      <c r="D3567" t="s">
        <v>121</v>
      </c>
      <c r="E3567">
        <v>77.45</v>
      </c>
    </row>
    <row r="3568" spans="2:5" ht="18.75">
      <c r="B3568">
        <v>2</v>
      </c>
      <c r="C3568" s="5">
        <v>46027</v>
      </c>
      <c r="D3568" t="s">
        <v>122</v>
      </c>
      <c r="E3568">
        <v>251.76</v>
      </c>
    </row>
    <row r="3569" spans="2:5" ht="18.75">
      <c r="B3569">
        <v>2</v>
      </c>
      <c r="C3569" s="5">
        <v>46027</v>
      </c>
      <c r="D3569" t="s">
        <v>123</v>
      </c>
      <c r="E3569">
        <v>399.47</v>
      </c>
    </row>
    <row r="3570" spans="2:5" ht="18.75">
      <c r="B3570">
        <v>2</v>
      </c>
      <c r="C3570" s="5">
        <v>46027</v>
      </c>
      <c r="D3570" t="s">
        <v>124</v>
      </c>
      <c r="E3570">
        <v>286.36</v>
      </c>
    </row>
    <row r="3571" spans="2:5" ht="18.75">
      <c r="B3571">
        <v>2</v>
      </c>
      <c r="C3571" s="5">
        <v>46027</v>
      </c>
      <c r="D3571" t="s">
        <v>126</v>
      </c>
      <c r="E3571">
        <v>100.05</v>
      </c>
    </row>
    <row r="3572" spans="2:5" ht="18.75">
      <c r="B3572">
        <v>2</v>
      </c>
      <c r="C3572" s="5">
        <v>46027</v>
      </c>
      <c r="D3572" t="s">
        <v>129</v>
      </c>
      <c r="E3572">
        <v>421.35</v>
      </c>
    </row>
    <row r="3573" spans="2:5" ht="18.75">
      <c r="B3573">
        <v>2</v>
      </c>
      <c r="C3573" s="5">
        <v>46027</v>
      </c>
      <c r="D3573" t="s">
        <v>132</v>
      </c>
      <c r="E3573">
        <v>179.52</v>
      </c>
    </row>
    <row r="3574" spans="2:5" ht="18.75">
      <c r="B3574">
        <v>2</v>
      </c>
      <c r="C3574" s="5">
        <v>46027</v>
      </c>
      <c r="D3574" t="s">
        <v>133</v>
      </c>
      <c r="E3574">
        <v>287.04000000000002</v>
      </c>
    </row>
    <row r="3575" spans="2:5" ht="18.75">
      <c r="B3575">
        <v>2</v>
      </c>
      <c r="C3575" s="5">
        <v>46027</v>
      </c>
      <c r="D3575" t="s">
        <v>134</v>
      </c>
      <c r="E3575">
        <v>334.77</v>
      </c>
    </row>
    <row r="3576" spans="2:5" ht="18.75">
      <c r="B3576">
        <v>2</v>
      </c>
      <c r="C3576" s="5">
        <v>46027</v>
      </c>
      <c r="D3576" t="s">
        <v>138</v>
      </c>
      <c r="E3576">
        <v>482.27</v>
      </c>
    </row>
    <row r="3577" spans="2:5" ht="18.75">
      <c r="B3577">
        <v>2</v>
      </c>
      <c r="C3577" s="5">
        <v>46027</v>
      </c>
      <c r="D3577" t="s">
        <v>140</v>
      </c>
      <c r="E3577">
        <v>85.7</v>
      </c>
    </row>
    <row r="3578" spans="2:5" ht="18.75">
      <c r="B3578">
        <v>2</v>
      </c>
      <c r="C3578" s="5">
        <v>46027</v>
      </c>
      <c r="D3578" t="s">
        <v>141</v>
      </c>
      <c r="E3578">
        <v>425.62</v>
      </c>
    </row>
    <row r="3579" spans="2:5" ht="18.75">
      <c r="B3579">
        <v>2</v>
      </c>
      <c r="C3579" s="5">
        <v>46027</v>
      </c>
      <c r="D3579" t="s">
        <v>142</v>
      </c>
      <c r="E3579">
        <v>151.94</v>
      </c>
    </row>
    <row r="3580" spans="2:5" ht="18.75">
      <c r="B3580">
        <v>2</v>
      </c>
      <c r="C3580" s="5">
        <v>46027</v>
      </c>
      <c r="D3580" t="s">
        <v>139</v>
      </c>
      <c r="E3580">
        <v>225.83</v>
      </c>
    </row>
    <row r="3581" spans="2:5" ht="18.75">
      <c r="B3581">
        <v>2</v>
      </c>
      <c r="C3581" s="5">
        <v>46027</v>
      </c>
      <c r="D3581" t="s">
        <v>143</v>
      </c>
      <c r="E3581">
        <v>1409.33</v>
      </c>
    </row>
    <row r="3582" spans="2:5" ht="18.75">
      <c r="B3582">
        <v>2</v>
      </c>
      <c r="C3582" s="5">
        <v>46027</v>
      </c>
      <c r="D3582" t="s">
        <v>145</v>
      </c>
      <c r="E3582">
        <v>320.94</v>
      </c>
    </row>
    <row r="3583" spans="2:5" ht="18.75">
      <c r="B3583">
        <v>2</v>
      </c>
      <c r="C3583" s="5">
        <v>46027</v>
      </c>
      <c r="D3583" t="s">
        <v>146</v>
      </c>
      <c r="E3583">
        <v>676.23</v>
      </c>
    </row>
    <row r="3584" spans="2:5" ht="18.75">
      <c r="B3584">
        <v>2</v>
      </c>
      <c r="C3584" s="5">
        <v>46027</v>
      </c>
      <c r="D3584" t="s">
        <v>148</v>
      </c>
      <c r="E3584">
        <v>101.26</v>
      </c>
    </row>
    <row r="3585" spans="2:5" ht="18.75">
      <c r="B3585">
        <v>2</v>
      </c>
      <c r="C3585" s="5">
        <v>46027</v>
      </c>
      <c r="D3585" t="s">
        <v>147</v>
      </c>
      <c r="E3585">
        <v>265.98</v>
      </c>
    </row>
    <row r="3586" spans="2:5" ht="18.75">
      <c r="B3586">
        <v>2</v>
      </c>
      <c r="C3586" s="5">
        <v>46027</v>
      </c>
      <c r="D3586" t="s">
        <v>150</v>
      </c>
      <c r="E3586">
        <v>83.55</v>
      </c>
    </row>
    <row r="3587" spans="2:5" ht="18.75">
      <c r="B3587">
        <v>2</v>
      </c>
      <c r="C3587" s="5">
        <v>46027</v>
      </c>
      <c r="D3587" t="s">
        <v>151</v>
      </c>
      <c r="E3587">
        <v>585.16</v>
      </c>
    </row>
    <row r="3588" spans="2:5" ht="18.75">
      <c r="B3588">
        <v>2</v>
      </c>
      <c r="C3588" s="5">
        <v>46027</v>
      </c>
      <c r="D3588" t="s">
        <v>125</v>
      </c>
      <c r="E3588">
        <v>54.96</v>
      </c>
    </row>
    <row r="3589" spans="2:5" ht="18.75">
      <c r="B3589">
        <v>2</v>
      </c>
      <c r="C3589" s="5">
        <v>46027</v>
      </c>
      <c r="D3589" t="s">
        <v>135</v>
      </c>
      <c r="E3589">
        <v>62.68</v>
      </c>
    </row>
    <row r="3590" spans="2:5" ht="18.75">
      <c r="B3590">
        <v>2</v>
      </c>
      <c r="C3590" s="5">
        <v>46027</v>
      </c>
      <c r="D3590" t="s">
        <v>136</v>
      </c>
      <c r="E3590">
        <v>66.17</v>
      </c>
    </row>
    <row r="3591" spans="2:5" ht="18.75">
      <c r="B3591">
        <v>2</v>
      </c>
      <c r="C3591" s="5">
        <v>46027</v>
      </c>
      <c r="D3591" t="s">
        <v>137</v>
      </c>
      <c r="E3591">
        <v>55.6</v>
      </c>
    </row>
    <row r="3592" spans="2:5" ht="18.75">
      <c r="B3592">
        <v>2</v>
      </c>
      <c r="C3592" s="5">
        <v>46027</v>
      </c>
      <c r="D3592" t="s">
        <v>149</v>
      </c>
      <c r="E3592">
        <v>177.61</v>
      </c>
    </row>
    <row r="3593" spans="2:5" ht="18.75">
      <c r="B3593">
        <v>2</v>
      </c>
      <c r="C3593" s="5">
        <v>46027</v>
      </c>
      <c r="D3593" t="s">
        <v>127</v>
      </c>
      <c r="E3593">
        <v>158.38999999999999</v>
      </c>
    </row>
    <row r="3594" spans="2:5" ht="18.75">
      <c r="B3594">
        <v>3</v>
      </c>
      <c r="C3594" s="5">
        <v>46034</v>
      </c>
      <c r="D3594" t="s">
        <v>111</v>
      </c>
      <c r="E3594">
        <v>116.8</v>
      </c>
    </row>
    <row r="3595" spans="2:5" ht="18.75">
      <c r="B3595">
        <v>3</v>
      </c>
      <c r="C3595" s="5">
        <v>46034</v>
      </c>
      <c r="D3595" t="s">
        <v>112</v>
      </c>
      <c r="E3595">
        <v>71.42</v>
      </c>
    </row>
    <row r="3596" spans="2:5" ht="18.75">
      <c r="B3596">
        <v>3</v>
      </c>
      <c r="C3596" s="5">
        <v>46034</v>
      </c>
      <c r="D3596" t="s">
        <v>114</v>
      </c>
      <c r="E3596">
        <v>164.37</v>
      </c>
    </row>
    <row r="3597" spans="2:5" ht="18.75">
      <c r="B3597">
        <v>3</v>
      </c>
      <c r="C3597" s="5">
        <v>46034</v>
      </c>
      <c r="D3597" t="s">
        <v>116</v>
      </c>
      <c r="E3597">
        <v>82.86</v>
      </c>
    </row>
    <row r="3598" spans="2:5" ht="18.75">
      <c r="B3598">
        <v>3</v>
      </c>
      <c r="C3598" s="5">
        <v>46034</v>
      </c>
      <c r="D3598" t="s">
        <v>117</v>
      </c>
      <c r="E3598">
        <v>145.71</v>
      </c>
    </row>
    <row r="3599" spans="2:5" ht="18.75">
      <c r="B3599">
        <v>3</v>
      </c>
      <c r="C3599" s="5">
        <v>46034</v>
      </c>
      <c r="D3599" t="s">
        <v>119</v>
      </c>
      <c r="E3599">
        <v>233.73</v>
      </c>
    </row>
    <row r="3600" spans="2:5" ht="18.75">
      <c r="B3600">
        <v>3</v>
      </c>
      <c r="C3600" s="5">
        <v>46034</v>
      </c>
      <c r="D3600" t="s">
        <v>120</v>
      </c>
      <c r="E3600">
        <v>122.14</v>
      </c>
    </row>
    <row r="3601" spans="2:5" ht="18.75">
      <c r="B3601">
        <v>3</v>
      </c>
      <c r="C3601" s="5">
        <v>46034</v>
      </c>
      <c r="D3601" t="s">
        <v>122</v>
      </c>
      <c r="E3601">
        <v>224.08</v>
      </c>
    </row>
    <row r="3602" spans="2:5" ht="18.75">
      <c r="B3602">
        <v>3</v>
      </c>
      <c r="C3602" s="5">
        <v>46034</v>
      </c>
      <c r="D3602" t="s">
        <v>123</v>
      </c>
      <c r="E3602">
        <v>473.42</v>
      </c>
    </row>
    <row r="3603" spans="2:5" ht="18.75">
      <c r="B3603">
        <v>3</v>
      </c>
      <c r="C3603" s="5">
        <v>46034</v>
      </c>
      <c r="D3603" t="s">
        <v>124</v>
      </c>
      <c r="E3603">
        <v>392.45</v>
      </c>
    </row>
    <row r="3604" spans="2:5" ht="18.75">
      <c r="B3604">
        <v>3</v>
      </c>
      <c r="C3604" s="5">
        <v>46034</v>
      </c>
      <c r="D3604" t="s">
        <v>126</v>
      </c>
      <c r="E3604">
        <v>157.22999999999999</v>
      </c>
    </row>
    <row r="3605" spans="2:5" ht="18.75">
      <c r="B3605">
        <v>3</v>
      </c>
      <c r="C3605" s="5">
        <v>46034</v>
      </c>
      <c r="D3605" t="s">
        <v>129</v>
      </c>
      <c r="E3605">
        <v>279.38</v>
      </c>
    </row>
    <row r="3606" spans="2:5" ht="18.75">
      <c r="B3606">
        <v>3</v>
      </c>
      <c r="C3606" s="5">
        <v>46034</v>
      </c>
      <c r="D3606" t="s">
        <v>132</v>
      </c>
      <c r="E3606">
        <v>221.51</v>
      </c>
    </row>
    <row r="3607" spans="2:5" ht="18.75">
      <c r="B3607">
        <v>3</v>
      </c>
      <c r="C3607" s="5">
        <v>46034</v>
      </c>
      <c r="D3607" t="s">
        <v>133</v>
      </c>
      <c r="E3607">
        <v>196.9</v>
      </c>
    </row>
    <row r="3608" spans="2:5" ht="18.75">
      <c r="B3608">
        <v>3</v>
      </c>
      <c r="C3608" s="5">
        <v>46034</v>
      </c>
      <c r="D3608" t="s">
        <v>134</v>
      </c>
      <c r="E3608">
        <v>208.68</v>
      </c>
    </row>
    <row r="3609" spans="2:5" ht="18.75">
      <c r="B3609">
        <v>3</v>
      </c>
      <c r="C3609" s="5">
        <v>46034</v>
      </c>
      <c r="D3609" t="s">
        <v>138</v>
      </c>
      <c r="E3609">
        <v>282.61</v>
      </c>
    </row>
    <row r="3610" spans="2:5" ht="18.75">
      <c r="B3610">
        <v>3</v>
      </c>
      <c r="C3610" s="5">
        <v>46034</v>
      </c>
      <c r="D3610" t="s">
        <v>140</v>
      </c>
      <c r="E3610">
        <v>70.069999999999993</v>
      </c>
    </row>
    <row r="3611" spans="2:5" ht="18.75">
      <c r="B3611">
        <v>3</v>
      </c>
      <c r="C3611" s="5">
        <v>46034</v>
      </c>
      <c r="D3611" t="s">
        <v>141</v>
      </c>
      <c r="E3611">
        <v>355.46</v>
      </c>
    </row>
    <row r="3612" spans="2:5" ht="18.75">
      <c r="B3612">
        <v>3</v>
      </c>
      <c r="C3612" s="5">
        <v>46034</v>
      </c>
      <c r="D3612" t="s">
        <v>142</v>
      </c>
      <c r="E3612">
        <v>164.77</v>
      </c>
    </row>
    <row r="3613" spans="2:5" ht="18.75">
      <c r="B3613">
        <v>3</v>
      </c>
      <c r="C3613" s="5">
        <v>46034</v>
      </c>
      <c r="D3613" t="s">
        <v>139</v>
      </c>
      <c r="E3613">
        <v>210.79</v>
      </c>
    </row>
    <row r="3614" spans="2:5" ht="18.75">
      <c r="B3614">
        <v>3</v>
      </c>
      <c r="C3614" s="5">
        <v>46034</v>
      </c>
      <c r="D3614" t="s">
        <v>143</v>
      </c>
      <c r="E3614">
        <v>1217.28</v>
      </c>
    </row>
    <row r="3615" spans="2:5" ht="18.75">
      <c r="B3615">
        <v>3</v>
      </c>
      <c r="C3615" s="5">
        <v>46034</v>
      </c>
      <c r="D3615" t="s">
        <v>145</v>
      </c>
      <c r="E3615">
        <v>181.44</v>
      </c>
    </row>
    <row r="3616" spans="2:5" ht="18.75">
      <c r="B3616">
        <v>3</v>
      </c>
      <c r="C3616" s="5">
        <v>46034</v>
      </c>
      <c r="D3616" t="s">
        <v>221</v>
      </c>
      <c r="E3616">
        <v>283.08999999999997</v>
      </c>
    </row>
    <row r="3617" spans="2:5" ht="18.75">
      <c r="B3617">
        <v>3</v>
      </c>
      <c r="C3617" s="5">
        <v>46034</v>
      </c>
      <c r="D3617" t="s">
        <v>146</v>
      </c>
      <c r="E3617">
        <v>337.22</v>
      </c>
    </row>
    <row r="3618" spans="2:5" ht="18.75">
      <c r="B3618">
        <v>3</v>
      </c>
      <c r="C3618" s="5">
        <v>46034</v>
      </c>
      <c r="D3618" t="s">
        <v>147</v>
      </c>
      <c r="E3618">
        <v>288.81</v>
      </c>
    </row>
    <row r="3619" spans="2:5" ht="18.75">
      <c r="B3619">
        <v>3</v>
      </c>
      <c r="C3619" s="5">
        <v>46034</v>
      </c>
      <c r="D3619" t="s">
        <v>151</v>
      </c>
      <c r="E3619">
        <v>330.79</v>
      </c>
    </row>
    <row r="3620" spans="2:5" ht="18.75">
      <c r="B3620">
        <v>3</v>
      </c>
      <c r="C3620" s="5">
        <v>46034</v>
      </c>
      <c r="D3620" t="s">
        <v>113</v>
      </c>
      <c r="E3620">
        <v>259.39</v>
      </c>
    </row>
    <row r="3621" spans="2:5" ht="18.75">
      <c r="B3621">
        <v>3</v>
      </c>
      <c r="C3621" s="5">
        <v>46034</v>
      </c>
      <c r="D3621" t="s">
        <v>118</v>
      </c>
      <c r="E3621">
        <v>127.74</v>
      </c>
    </row>
    <row r="3622" spans="2:5" ht="18.75">
      <c r="B3622">
        <v>3</v>
      </c>
      <c r="C3622" s="5">
        <v>46034</v>
      </c>
      <c r="D3622" t="s">
        <v>125</v>
      </c>
      <c r="E3622">
        <v>57.29</v>
      </c>
    </row>
    <row r="3623" spans="2:5" ht="18.75">
      <c r="B3623">
        <v>3</v>
      </c>
      <c r="C3623" s="5">
        <v>46034</v>
      </c>
      <c r="D3623" t="s">
        <v>135</v>
      </c>
      <c r="E3623">
        <v>62.38</v>
      </c>
    </row>
    <row r="3624" spans="2:5" ht="18.75">
      <c r="B3624">
        <v>3</v>
      </c>
      <c r="C3624" s="5">
        <v>46034</v>
      </c>
      <c r="D3624" t="s">
        <v>136</v>
      </c>
      <c r="E3624">
        <v>87.49</v>
      </c>
    </row>
    <row r="3625" spans="2:5" ht="18.75">
      <c r="B3625">
        <v>3</v>
      </c>
      <c r="C3625" s="5">
        <v>46034</v>
      </c>
      <c r="D3625" t="s">
        <v>137</v>
      </c>
      <c r="E3625">
        <v>53.73</v>
      </c>
    </row>
    <row r="3626" spans="2:5" ht="18.75">
      <c r="B3626">
        <v>3</v>
      </c>
      <c r="C3626" s="5">
        <v>46034</v>
      </c>
      <c r="D3626" t="s">
        <v>148</v>
      </c>
      <c r="E3626">
        <v>63.11</v>
      </c>
    </row>
    <row r="3627" spans="2:5" ht="18.75">
      <c r="B3627">
        <v>3</v>
      </c>
      <c r="C3627" s="5">
        <v>46034</v>
      </c>
      <c r="D3627" t="s">
        <v>150</v>
      </c>
      <c r="E3627">
        <v>64.87</v>
      </c>
    </row>
    <row r="3628" spans="2:5" ht="18.75">
      <c r="B3628">
        <v>3</v>
      </c>
      <c r="C3628" s="5">
        <v>46034</v>
      </c>
      <c r="D3628" t="s">
        <v>127</v>
      </c>
      <c r="E3628">
        <v>179.37</v>
      </c>
    </row>
    <row r="3629" spans="2:5" ht="18.75">
      <c r="B3629">
        <v>3</v>
      </c>
      <c r="C3629" s="5">
        <v>46034</v>
      </c>
      <c r="D3629" t="s">
        <v>149</v>
      </c>
      <c r="E3629">
        <v>149.27000000000001</v>
      </c>
    </row>
    <row r="3630" spans="2:5" ht="18.75">
      <c r="B3630">
        <v>4</v>
      </c>
      <c r="C3630" s="5">
        <v>46041</v>
      </c>
      <c r="D3630" t="s">
        <v>111</v>
      </c>
      <c r="E3630">
        <v>154.96</v>
      </c>
    </row>
    <row r="3631" spans="2:5" ht="18.75">
      <c r="B3631">
        <v>4</v>
      </c>
      <c r="C3631" s="5">
        <v>46041</v>
      </c>
      <c r="D3631" t="s">
        <v>112</v>
      </c>
      <c r="E3631">
        <v>108.87</v>
      </c>
    </row>
    <row r="3632" spans="2:5" ht="18.75">
      <c r="B3632">
        <v>4</v>
      </c>
      <c r="C3632" s="5">
        <v>46041</v>
      </c>
      <c r="D3632" t="s">
        <v>113</v>
      </c>
      <c r="E3632">
        <v>191.42</v>
      </c>
    </row>
    <row r="3633" spans="2:5" ht="18.75">
      <c r="B3633">
        <v>4</v>
      </c>
      <c r="C3633" s="5">
        <v>46041</v>
      </c>
      <c r="D3633" t="s">
        <v>114</v>
      </c>
      <c r="E3633">
        <v>207.75</v>
      </c>
    </row>
    <row r="3634" spans="2:5" ht="18.75">
      <c r="B3634">
        <v>4</v>
      </c>
      <c r="C3634" s="5">
        <v>46041</v>
      </c>
      <c r="D3634" t="s">
        <v>116</v>
      </c>
      <c r="E3634">
        <v>99.84</v>
      </c>
    </row>
    <row r="3635" spans="2:5" ht="18.75">
      <c r="B3635">
        <v>4</v>
      </c>
      <c r="C3635" s="5">
        <v>46041</v>
      </c>
      <c r="D3635" t="s">
        <v>117</v>
      </c>
      <c r="E3635">
        <v>151.32</v>
      </c>
    </row>
    <row r="3636" spans="2:5" ht="18.75">
      <c r="B3636">
        <v>4</v>
      </c>
      <c r="C3636" s="5">
        <v>46041</v>
      </c>
      <c r="D3636" t="s">
        <v>118</v>
      </c>
      <c r="E3636">
        <v>160.84</v>
      </c>
    </row>
    <row r="3637" spans="2:5" ht="18.75">
      <c r="B3637">
        <v>4</v>
      </c>
      <c r="C3637" s="5">
        <v>46041</v>
      </c>
      <c r="D3637" t="s">
        <v>119</v>
      </c>
      <c r="E3637">
        <v>271.33</v>
      </c>
    </row>
    <row r="3638" spans="2:5" ht="18.75">
      <c r="B3638">
        <v>4</v>
      </c>
      <c r="C3638" s="5">
        <v>46041</v>
      </c>
      <c r="D3638" t="s">
        <v>120</v>
      </c>
      <c r="E3638">
        <v>138.51</v>
      </c>
    </row>
    <row r="3639" spans="2:5" ht="18.75">
      <c r="B3639">
        <v>4</v>
      </c>
      <c r="C3639" s="5">
        <v>46041</v>
      </c>
      <c r="D3639" t="s">
        <v>121</v>
      </c>
      <c r="E3639">
        <v>147.24</v>
      </c>
    </row>
    <row r="3640" spans="2:5" ht="18.75">
      <c r="B3640">
        <v>4</v>
      </c>
      <c r="C3640" s="5">
        <v>46041</v>
      </c>
      <c r="D3640" t="s">
        <v>122</v>
      </c>
      <c r="E3640">
        <v>245.6</v>
      </c>
    </row>
    <row r="3641" spans="2:5" ht="18.75">
      <c r="B3641">
        <v>4</v>
      </c>
      <c r="C3641" s="5">
        <v>46041</v>
      </c>
      <c r="D3641" t="s">
        <v>123</v>
      </c>
      <c r="E3641">
        <v>423.28</v>
      </c>
    </row>
    <row r="3642" spans="2:5" ht="18.75">
      <c r="B3642">
        <v>4</v>
      </c>
      <c r="C3642" s="5">
        <v>46041</v>
      </c>
      <c r="D3642" t="s">
        <v>124</v>
      </c>
      <c r="E3642">
        <v>381.03</v>
      </c>
    </row>
    <row r="3643" spans="2:5" ht="18.75">
      <c r="B3643">
        <v>4</v>
      </c>
      <c r="C3643" s="5">
        <v>46041</v>
      </c>
      <c r="D3643" t="s">
        <v>125</v>
      </c>
      <c r="E3643">
        <v>77.55</v>
      </c>
    </row>
    <row r="3644" spans="2:5" ht="18.75">
      <c r="B3644">
        <v>4</v>
      </c>
      <c r="C3644" s="5">
        <v>46041</v>
      </c>
      <c r="D3644" t="s">
        <v>126</v>
      </c>
      <c r="E3644">
        <v>155.13</v>
      </c>
    </row>
    <row r="3645" spans="2:5" ht="18.75">
      <c r="B3645">
        <v>4</v>
      </c>
      <c r="C3645" s="5">
        <v>46041</v>
      </c>
      <c r="D3645" t="s">
        <v>130</v>
      </c>
      <c r="E3645">
        <v>258.01</v>
      </c>
    </row>
    <row r="3646" spans="2:5" ht="18.75">
      <c r="B3646">
        <v>4</v>
      </c>
      <c r="C3646" s="5">
        <v>46041</v>
      </c>
      <c r="D3646" t="s">
        <v>132</v>
      </c>
      <c r="E3646">
        <v>227.96</v>
      </c>
    </row>
    <row r="3647" spans="2:5" ht="18.75">
      <c r="B3647">
        <v>4</v>
      </c>
      <c r="C3647" s="5">
        <v>46041</v>
      </c>
      <c r="D3647" t="s">
        <v>133</v>
      </c>
      <c r="E3647">
        <v>213.49</v>
      </c>
    </row>
    <row r="3648" spans="2:5" ht="18.75">
      <c r="B3648">
        <v>4</v>
      </c>
      <c r="C3648" s="5">
        <v>46041</v>
      </c>
      <c r="D3648" t="s">
        <v>134</v>
      </c>
      <c r="E3648">
        <v>222.56</v>
      </c>
    </row>
    <row r="3649" spans="2:5" ht="18.75">
      <c r="B3649">
        <v>4</v>
      </c>
      <c r="C3649" s="5">
        <v>46041</v>
      </c>
      <c r="D3649" t="s">
        <v>135</v>
      </c>
      <c r="E3649">
        <v>70.61</v>
      </c>
    </row>
    <row r="3650" spans="2:5" ht="18.75">
      <c r="B3650">
        <v>4</v>
      </c>
      <c r="C3650" s="5">
        <v>46041</v>
      </c>
      <c r="D3650" t="s">
        <v>136</v>
      </c>
      <c r="E3650">
        <v>152.79</v>
      </c>
    </row>
    <row r="3651" spans="2:5" ht="18.75">
      <c r="B3651">
        <v>4</v>
      </c>
      <c r="C3651" s="5">
        <v>46041</v>
      </c>
      <c r="D3651" t="s">
        <v>137</v>
      </c>
      <c r="E3651">
        <v>57.38</v>
      </c>
    </row>
    <row r="3652" spans="2:5" ht="18.75">
      <c r="B3652">
        <v>4</v>
      </c>
      <c r="C3652" s="5">
        <v>46041</v>
      </c>
      <c r="D3652" t="s">
        <v>138</v>
      </c>
      <c r="E3652">
        <v>318.99</v>
      </c>
    </row>
    <row r="3653" spans="2:5" ht="18.75">
      <c r="B3653">
        <v>4</v>
      </c>
      <c r="C3653" s="5">
        <v>46041</v>
      </c>
      <c r="D3653" t="s">
        <v>140</v>
      </c>
      <c r="E3653">
        <v>102.53</v>
      </c>
    </row>
    <row r="3654" spans="2:5" ht="18.75">
      <c r="B3654">
        <v>4</v>
      </c>
      <c r="C3654" s="5">
        <v>46041</v>
      </c>
      <c r="D3654" t="s">
        <v>141</v>
      </c>
      <c r="E3654">
        <v>332.39</v>
      </c>
    </row>
    <row r="3655" spans="2:5" ht="18.75">
      <c r="B3655">
        <v>4</v>
      </c>
      <c r="C3655" s="5">
        <v>46041</v>
      </c>
      <c r="D3655" t="s">
        <v>142</v>
      </c>
      <c r="E3655">
        <v>204.09</v>
      </c>
    </row>
    <row r="3656" spans="2:5" ht="18.75">
      <c r="B3656">
        <v>4</v>
      </c>
      <c r="C3656" s="5">
        <v>46041</v>
      </c>
      <c r="D3656" t="s">
        <v>139</v>
      </c>
      <c r="E3656">
        <v>237.18</v>
      </c>
    </row>
    <row r="3657" spans="2:5" ht="18.75">
      <c r="B3657">
        <v>4</v>
      </c>
      <c r="C3657" s="5">
        <v>46041</v>
      </c>
      <c r="D3657" t="s">
        <v>143</v>
      </c>
      <c r="E3657">
        <v>1139.99</v>
      </c>
    </row>
    <row r="3658" spans="2:5" ht="18.75">
      <c r="B3658">
        <v>4</v>
      </c>
      <c r="C3658" s="5">
        <v>46041</v>
      </c>
      <c r="D3658" t="s">
        <v>145</v>
      </c>
      <c r="E3658">
        <v>201.04</v>
      </c>
    </row>
    <row r="3659" spans="2:5" ht="18.75">
      <c r="B3659">
        <v>4</v>
      </c>
      <c r="C3659" s="5">
        <v>46041</v>
      </c>
      <c r="D3659" t="s">
        <v>146</v>
      </c>
      <c r="E3659">
        <v>390.24</v>
      </c>
    </row>
    <row r="3660" spans="2:5" ht="18.75">
      <c r="B3660">
        <v>4</v>
      </c>
      <c r="C3660" s="5">
        <v>46041</v>
      </c>
      <c r="D3660" t="s">
        <v>148</v>
      </c>
      <c r="E3660">
        <v>100.58</v>
      </c>
    </row>
    <row r="3661" spans="2:5" ht="18.75">
      <c r="B3661">
        <v>4</v>
      </c>
      <c r="C3661" s="5">
        <v>46041</v>
      </c>
      <c r="D3661" t="s">
        <v>147</v>
      </c>
      <c r="E3661">
        <v>286.42</v>
      </c>
    </row>
    <row r="3662" spans="2:5" ht="18.75">
      <c r="B3662">
        <v>4</v>
      </c>
      <c r="C3662" s="5">
        <v>46041</v>
      </c>
      <c r="D3662" t="s">
        <v>150</v>
      </c>
      <c r="E3662">
        <v>85.73</v>
      </c>
    </row>
    <row r="3663" spans="2:5" ht="18.75">
      <c r="B3663">
        <v>4</v>
      </c>
      <c r="C3663" s="5">
        <v>46041</v>
      </c>
      <c r="D3663" t="s">
        <v>151</v>
      </c>
      <c r="E3663">
        <v>316.2</v>
      </c>
    </row>
    <row r="3664" spans="2:5" ht="18.75">
      <c r="B3664">
        <v>4</v>
      </c>
      <c r="C3664" s="5">
        <v>46041</v>
      </c>
      <c r="D3664" t="s">
        <v>127</v>
      </c>
      <c r="E3664">
        <v>276.81</v>
      </c>
    </row>
    <row r="3665" spans="2:5" ht="18.75">
      <c r="B3665">
        <v>4</v>
      </c>
      <c r="C3665" s="5">
        <v>46041</v>
      </c>
      <c r="D3665" t="s">
        <v>129</v>
      </c>
      <c r="E3665">
        <v>275.26</v>
      </c>
    </row>
    <row r="3666" spans="2:5" ht="18.75">
      <c r="B3666">
        <v>4</v>
      </c>
      <c r="C3666" s="5">
        <v>46041</v>
      </c>
      <c r="D3666" t="s">
        <v>149</v>
      </c>
      <c r="E3666">
        <v>127.33</v>
      </c>
    </row>
    <row r="3667" spans="2:5" ht="18.75">
      <c r="B3667">
        <v>5</v>
      </c>
      <c r="C3667" s="5">
        <v>46048</v>
      </c>
      <c r="D3667" t="s">
        <v>111</v>
      </c>
      <c r="E3667">
        <v>228.56</v>
      </c>
    </row>
    <row r="3668" spans="2:5" ht="18.75">
      <c r="B3668">
        <v>5</v>
      </c>
      <c r="C3668" s="5">
        <v>46048</v>
      </c>
      <c r="D3668" t="s">
        <v>113</v>
      </c>
      <c r="E3668">
        <v>278.56</v>
      </c>
    </row>
    <row r="3669" spans="2:5" ht="18.75">
      <c r="B3669">
        <v>5</v>
      </c>
      <c r="C3669" s="5">
        <v>46048</v>
      </c>
      <c r="D3669" t="s">
        <v>114</v>
      </c>
      <c r="E3669">
        <v>302.69</v>
      </c>
    </row>
    <row r="3670" spans="2:5" ht="18.75">
      <c r="B3670">
        <v>5</v>
      </c>
      <c r="C3670" s="5">
        <v>46048</v>
      </c>
      <c r="D3670" t="s">
        <v>116</v>
      </c>
      <c r="E3670">
        <v>108.59</v>
      </c>
    </row>
    <row r="3671" spans="2:5" ht="18.75">
      <c r="B3671">
        <v>5</v>
      </c>
      <c r="C3671" s="5">
        <v>46048</v>
      </c>
      <c r="D3671" t="s">
        <v>117</v>
      </c>
      <c r="E3671">
        <v>259.72000000000003</v>
      </c>
    </row>
    <row r="3672" spans="2:5" ht="18.75">
      <c r="B3672">
        <v>5</v>
      </c>
      <c r="C3672" s="5">
        <v>46048</v>
      </c>
      <c r="D3672" t="s">
        <v>118</v>
      </c>
      <c r="E3672">
        <v>201.66</v>
      </c>
    </row>
    <row r="3673" spans="2:5" ht="18.75">
      <c r="B3673">
        <v>5</v>
      </c>
      <c r="C3673" s="5">
        <v>46048</v>
      </c>
      <c r="D3673" t="s">
        <v>119</v>
      </c>
      <c r="E3673">
        <v>485.16</v>
      </c>
    </row>
    <row r="3674" spans="2:5" ht="18.75">
      <c r="B3674">
        <v>5</v>
      </c>
      <c r="C3674" s="5">
        <v>46048</v>
      </c>
      <c r="D3674" t="s">
        <v>121</v>
      </c>
      <c r="E3674">
        <v>134.29</v>
      </c>
    </row>
    <row r="3675" spans="2:5" ht="18.75">
      <c r="B3675">
        <v>5</v>
      </c>
      <c r="C3675" s="5">
        <v>46048</v>
      </c>
      <c r="D3675" t="s">
        <v>122</v>
      </c>
      <c r="E3675">
        <v>237.69</v>
      </c>
    </row>
    <row r="3676" spans="2:5" ht="18.75">
      <c r="B3676">
        <v>5</v>
      </c>
      <c r="C3676" s="5">
        <v>46048</v>
      </c>
      <c r="D3676" t="s">
        <v>123</v>
      </c>
      <c r="E3676">
        <v>490.74</v>
      </c>
    </row>
    <row r="3677" spans="2:5" ht="18.75">
      <c r="B3677">
        <v>5</v>
      </c>
      <c r="C3677" s="5">
        <v>46048</v>
      </c>
      <c r="D3677" t="s">
        <v>124</v>
      </c>
      <c r="E3677">
        <v>487.88</v>
      </c>
    </row>
    <row r="3678" spans="2:5" ht="18.75">
      <c r="B3678">
        <v>5</v>
      </c>
      <c r="C3678" s="5">
        <v>46048</v>
      </c>
      <c r="D3678" t="s">
        <v>125</v>
      </c>
      <c r="E3678">
        <v>84.45</v>
      </c>
    </row>
    <row r="3679" spans="2:5" ht="18.75">
      <c r="B3679">
        <v>5</v>
      </c>
      <c r="C3679" s="5">
        <v>46048</v>
      </c>
      <c r="D3679" t="s">
        <v>126</v>
      </c>
      <c r="E3679">
        <v>256.67</v>
      </c>
    </row>
    <row r="3680" spans="2:5" ht="18.75">
      <c r="B3680">
        <v>5</v>
      </c>
      <c r="C3680" s="5">
        <v>46048</v>
      </c>
      <c r="D3680" t="s">
        <v>130</v>
      </c>
      <c r="E3680">
        <v>394.43</v>
      </c>
    </row>
    <row r="3681" spans="2:5" ht="18.75">
      <c r="B3681">
        <v>5</v>
      </c>
      <c r="C3681" s="5">
        <v>46048</v>
      </c>
      <c r="D3681" t="s">
        <v>132</v>
      </c>
      <c r="E3681">
        <v>171.64</v>
      </c>
    </row>
    <row r="3682" spans="2:5" ht="18.75">
      <c r="B3682">
        <v>5</v>
      </c>
      <c r="C3682" s="5">
        <v>46048</v>
      </c>
      <c r="D3682" t="s">
        <v>133</v>
      </c>
      <c r="E3682">
        <v>354.51</v>
      </c>
    </row>
    <row r="3683" spans="2:5" ht="18.75">
      <c r="B3683">
        <v>5</v>
      </c>
      <c r="C3683" s="5">
        <v>46048</v>
      </c>
      <c r="D3683" t="s">
        <v>134</v>
      </c>
      <c r="E3683">
        <v>362.67</v>
      </c>
    </row>
    <row r="3684" spans="2:5" ht="18.75">
      <c r="B3684">
        <v>5</v>
      </c>
      <c r="C3684" s="5">
        <v>46048</v>
      </c>
      <c r="D3684" t="s">
        <v>136</v>
      </c>
      <c r="E3684">
        <v>123.08</v>
      </c>
    </row>
    <row r="3685" spans="2:5" ht="18.75">
      <c r="B3685">
        <v>5</v>
      </c>
      <c r="C3685" s="5">
        <v>46048</v>
      </c>
      <c r="D3685" t="s">
        <v>138</v>
      </c>
      <c r="E3685">
        <v>612.94000000000005</v>
      </c>
    </row>
    <row r="3686" spans="2:5" ht="18.75">
      <c r="B3686">
        <v>5</v>
      </c>
      <c r="C3686" s="5">
        <v>46048</v>
      </c>
      <c r="D3686" t="s">
        <v>140</v>
      </c>
      <c r="E3686">
        <v>111.24</v>
      </c>
    </row>
    <row r="3687" spans="2:5" ht="18.75">
      <c r="B3687">
        <v>5</v>
      </c>
      <c r="C3687" s="5">
        <v>46048</v>
      </c>
      <c r="D3687" t="s">
        <v>141</v>
      </c>
      <c r="E3687">
        <v>659.8</v>
      </c>
    </row>
    <row r="3688" spans="2:5" ht="18.75">
      <c r="B3688">
        <v>5</v>
      </c>
      <c r="C3688" s="5">
        <v>46048</v>
      </c>
      <c r="D3688" t="s">
        <v>142</v>
      </c>
      <c r="E3688">
        <v>192.68</v>
      </c>
    </row>
    <row r="3689" spans="2:5" ht="18.75">
      <c r="B3689">
        <v>5</v>
      </c>
      <c r="C3689" s="5">
        <v>46048</v>
      </c>
      <c r="D3689" t="s">
        <v>139</v>
      </c>
      <c r="E3689">
        <v>313.52999999999997</v>
      </c>
    </row>
    <row r="3690" spans="2:5" ht="18.75">
      <c r="B3690">
        <v>5</v>
      </c>
      <c r="C3690" s="5">
        <v>46048</v>
      </c>
      <c r="D3690" t="s">
        <v>143</v>
      </c>
      <c r="E3690">
        <v>1998.88</v>
      </c>
    </row>
    <row r="3691" spans="2:5" ht="18.75">
      <c r="B3691">
        <v>5</v>
      </c>
      <c r="C3691" s="5">
        <v>46048</v>
      </c>
      <c r="D3691" t="s">
        <v>145</v>
      </c>
      <c r="E3691">
        <v>332.34</v>
      </c>
    </row>
    <row r="3692" spans="2:5" ht="18.75">
      <c r="B3692">
        <v>5</v>
      </c>
      <c r="C3692" s="5">
        <v>46048</v>
      </c>
      <c r="D3692" t="s">
        <v>146</v>
      </c>
      <c r="E3692">
        <v>696.2</v>
      </c>
    </row>
    <row r="3693" spans="2:5" ht="18.75">
      <c r="B3693">
        <v>5</v>
      </c>
      <c r="C3693" s="5">
        <v>46048</v>
      </c>
      <c r="D3693" t="s">
        <v>147</v>
      </c>
      <c r="E3693">
        <v>405.98</v>
      </c>
    </row>
    <row r="3694" spans="2:5" ht="18.75">
      <c r="B3694">
        <v>5</v>
      </c>
      <c r="C3694" s="5">
        <v>46048</v>
      </c>
      <c r="D3694" t="s">
        <v>150</v>
      </c>
      <c r="E3694">
        <v>74.08</v>
      </c>
    </row>
    <row r="3695" spans="2:5" ht="18.75">
      <c r="B3695">
        <v>5</v>
      </c>
      <c r="C3695" s="5">
        <v>46048</v>
      </c>
      <c r="D3695" t="s">
        <v>151</v>
      </c>
      <c r="E3695">
        <v>649.84</v>
      </c>
    </row>
    <row r="3696" spans="2:5" ht="18.75">
      <c r="B3696">
        <v>5</v>
      </c>
      <c r="C3696" s="5">
        <v>46048</v>
      </c>
      <c r="D3696" t="s">
        <v>112</v>
      </c>
      <c r="E3696">
        <v>71.150000000000006</v>
      </c>
    </row>
    <row r="3697" spans="2:5" ht="18.75">
      <c r="B3697">
        <v>5</v>
      </c>
      <c r="C3697" s="5">
        <v>46048</v>
      </c>
      <c r="D3697" t="s">
        <v>120</v>
      </c>
      <c r="E3697">
        <v>138.13</v>
      </c>
    </row>
    <row r="3698" spans="2:5" ht="18.75">
      <c r="B3698">
        <v>5</v>
      </c>
      <c r="C3698" s="5">
        <v>46048</v>
      </c>
      <c r="D3698" t="s">
        <v>135</v>
      </c>
      <c r="E3698">
        <v>71.739999999999995</v>
      </c>
    </row>
    <row r="3699" spans="2:5" ht="18.75">
      <c r="B3699">
        <v>5</v>
      </c>
      <c r="C3699" s="5">
        <v>46048</v>
      </c>
      <c r="D3699" t="s">
        <v>137</v>
      </c>
      <c r="E3699">
        <v>59.3</v>
      </c>
    </row>
    <row r="3700" spans="2:5" ht="18.75">
      <c r="B3700">
        <v>5</v>
      </c>
      <c r="C3700" s="5">
        <v>46048</v>
      </c>
      <c r="D3700" t="s">
        <v>148</v>
      </c>
      <c r="E3700">
        <v>75.930000000000007</v>
      </c>
    </row>
    <row r="3701" spans="2:5" ht="18.75">
      <c r="B3701">
        <v>5</v>
      </c>
      <c r="C3701" s="5">
        <v>46048</v>
      </c>
      <c r="D3701" t="s">
        <v>127</v>
      </c>
      <c r="E3701">
        <v>305.63</v>
      </c>
    </row>
    <row r="3702" spans="2:5" ht="18.75">
      <c r="B3702">
        <v>5</v>
      </c>
      <c r="C3702" s="5">
        <v>46048</v>
      </c>
      <c r="D3702" t="s">
        <v>129</v>
      </c>
      <c r="E3702">
        <v>502.12</v>
      </c>
    </row>
    <row r="3703" spans="2:5" ht="18.75">
      <c r="B3703">
        <v>5</v>
      </c>
      <c r="C3703" s="5">
        <v>46048</v>
      </c>
      <c r="D3703" t="s">
        <v>149</v>
      </c>
      <c r="E3703">
        <v>170</v>
      </c>
    </row>
    <row r="3704" spans="2:5" ht="18.75">
      <c r="B3704">
        <v>5</v>
      </c>
      <c r="C3704" s="5">
        <v>46048</v>
      </c>
      <c r="D3704" t="s">
        <v>128</v>
      </c>
      <c r="E3704">
        <v>189.23</v>
      </c>
    </row>
    <row r="3705" spans="2:5" ht="18.75">
      <c r="B3705">
        <v>6</v>
      </c>
      <c r="C3705" s="5">
        <v>46055</v>
      </c>
      <c r="D3705" t="s">
        <v>143</v>
      </c>
      <c r="E3705">
        <v>890.06</v>
      </c>
    </row>
    <row r="3706" spans="2:5" ht="18.75">
      <c r="B3706">
        <v>6</v>
      </c>
      <c r="C3706" s="5">
        <v>46055</v>
      </c>
      <c r="D3706" t="s">
        <v>127</v>
      </c>
      <c r="E3706">
        <v>158.37</v>
      </c>
    </row>
    <row r="3707" spans="2:5" ht="18.75">
      <c r="B3707">
        <v>6</v>
      </c>
      <c r="C3707" s="5">
        <v>46055</v>
      </c>
      <c r="D3707" t="s">
        <v>126</v>
      </c>
      <c r="E3707">
        <v>30.53</v>
      </c>
    </row>
    <row r="3708" spans="2:5" ht="18.75">
      <c r="B3708">
        <v>6</v>
      </c>
      <c r="C3708" s="5">
        <v>46055</v>
      </c>
      <c r="D3708" t="s">
        <v>111</v>
      </c>
      <c r="E3708">
        <v>75.400000000000006</v>
      </c>
    </row>
    <row r="3709" spans="2:5" ht="18.75">
      <c r="B3709">
        <v>6</v>
      </c>
      <c r="C3709" s="5">
        <v>46055</v>
      </c>
      <c r="D3709" t="s">
        <v>121</v>
      </c>
      <c r="E3709">
        <v>78.78</v>
      </c>
    </row>
    <row r="3710" spans="2:5" ht="18.75">
      <c r="B3710">
        <v>6</v>
      </c>
      <c r="C3710" s="5">
        <v>46055</v>
      </c>
      <c r="D3710" t="s">
        <v>122</v>
      </c>
      <c r="E3710">
        <v>143.57</v>
      </c>
    </row>
    <row r="3711" spans="2:5" ht="18.75">
      <c r="B3711">
        <v>6</v>
      </c>
      <c r="C3711" s="5">
        <v>46055</v>
      </c>
      <c r="D3711" t="s">
        <v>130</v>
      </c>
      <c r="E3711">
        <v>232.92</v>
      </c>
    </row>
    <row r="3712" spans="2:5" ht="18.75">
      <c r="B3712">
        <v>6</v>
      </c>
      <c r="C3712" s="5">
        <v>46055</v>
      </c>
      <c r="D3712" t="s">
        <v>133</v>
      </c>
      <c r="E3712">
        <v>117.55</v>
      </c>
    </row>
    <row r="3713" spans="2:5" ht="18.75">
      <c r="B3713">
        <v>6</v>
      </c>
      <c r="C3713" s="5">
        <v>46055</v>
      </c>
      <c r="D3713" t="s">
        <v>134</v>
      </c>
      <c r="E3713">
        <v>144.96</v>
      </c>
    </row>
    <row r="3714" spans="2:5" ht="18.75">
      <c r="B3714">
        <v>6</v>
      </c>
      <c r="C3714" s="5">
        <v>46055</v>
      </c>
      <c r="D3714" t="s">
        <v>138</v>
      </c>
      <c r="E3714">
        <v>198.53</v>
      </c>
    </row>
    <row r="3715" spans="2:5" ht="18.75">
      <c r="B3715">
        <v>6</v>
      </c>
      <c r="C3715" s="5">
        <v>46055</v>
      </c>
      <c r="D3715" t="s">
        <v>141</v>
      </c>
      <c r="E3715">
        <v>204.8</v>
      </c>
    </row>
    <row r="3716" spans="2:5" ht="18.75">
      <c r="B3716">
        <v>6</v>
      </c>
      <c r="C3716" s="5">
        <v>46055</v>
      </c>
      <c r="D3716" t="s">
        <v>145</v>
      </c>
      <c r="E3716">
        <v>134.66999999999999</v>
      </c>
    </row>
    <row r="3717" spans="2:5" ht="18.75">
      <c r="B3717">
        <v>6</v>
      </c>
      <c r="C3717" s="5">
        <v>46055</v>
      </c>
      <c r="D3717" t="s">
        <v>146</v>
      </c>
      <c r="E3717">
        <v>255.19</v>
      </c>
    </row>
    <row r="3718" spans="2:5" ht="18.75">
      <c r="B3718">
        <v>6</v>
      </c>
      <c r="C3718" s="5">
        <v>46055</v>
      </c>
      <c r="D3718" t="s">
        <v>151</v>
      </c>
      <c r="E3718">
        <v>301.45999999999998</v>
      </c>
    </row>
    <row r="3719" spans="2:5" ht="18.75">
      <c r="B3719">
        <v>6</v>
      </c>
      <c r="C3719" s="5">
        <v>46055</v>
      </c>
      <c r="D3719" t="s">
        <v>114</v>
      </c>
      <c r="E3719">
        <v>85.92</v>
      </c>
    </row>
    <row r="3720" spans="2:5" ht="18.75">
      <c r="B3720">
        <v>6</v>
      </c>
      <c r="C3720" s="5">
        <v>46055</v>
      </c>
      <c r="D3720" t="s">
        <v>117</v>
      </c>
      <c r="E3720">
        <v>127.35</v>
      </c>
    </row>
    <row r="3721" spans="2:5" ht="18.75">
      <c r="B3721">
        <v>6</v>
      </c>
      <c r="C3721" s="5">
        <v>46055</v>
      </c>
      <c r="D3721" t="s">
        <v>119</v>
      </c>
      <c r="E3721">
        <v>143.08000000000001</v>
      </c>
    </row>
    <row r="3722" spans="2:5" ht="18.75">
      <c r="B3722">
        <v>6</v>
      </c>
      <c r="C3722" s="5">
        <v>46055</v>
      </c>
      <c r="D3722" t="s">
        <v>129</v>
      </c>
      <c r="E3722">
        <v>191.19</v>
      </c>
    </row>
    <row r="3723" spans="2:5" ht="18.75">
      <c r="B3723">
        <v>6</v>
      </c>
      <c r="C3723" s="5">
        <v>46055</v>
      </c>
      <c r="D3723" t="s">
        <v>148</v>
      </c>
      <c r="E3723">
        <v>37.5</v>
      </c>
    </row>
    <row r="3724" spans="2:5" ht="18.75">
      <c r="B3724">
        <v>6</v>
      </c>
      <c r="C3724" s="5">
        <v>46055</v>
      </c>
      <c r="D3724" t="s">
        <v>128</v>
      </c>
      <c r="E3724">
        <v>3.24</v>
      </c>
    </row>
    <row r="3725" spans="2:5" ht="18.75">
      <c r="B3725">
        <v>7</v>
      </c>
      <c r="C3725" s="5">
        <v>46062</v>
      </c>
      <c r="D3725" t="s">
        <v>123</v>
      </c>
      <c r="E3725">
        <v>143.41999999999999</v>
      </c>
    </row>
    <row r="3726" spans="2:5" ht="18.75">
      <c r="B3726">
        <v>7</v>
      </c>
      <c r="C3726" s="5">
        <v>46062</v>
      </c>
      <c r="D3726" t="s">
        <v>139</v>
      </c>
      <c r="E3726">
        <v>87.17</v>
      </c>
    </row>
    <row r="3727" spans="2:5" ht="18.75">
      <c r="B3727">
        <v>7</v>
      </c>
      <c r="C3727" s="5">
        <v>46062</v>
      </c>
      <c r="D3727" t="s">
        <v>143</v>
      </c>
      <c r="E3727">
        <v>318.89</v>
      </c>
    </row>
    <row r="3728" spans="2:5" ht="18.75">
      <c r="B3728">
        <v>7</v>
      </c>
      <c r="C3728" s="5">
        <v>46062</v>
      </c>
      <c r="D3728" t="s">
        <v>147</v>
      </c>
      <c r="E3728">
        <v>124.31</v>
      </c>
    </row>
    <row r="3729" spans="2:5" ht="18.75">
      <c r="B3729">
        <v>7</v>
      </c>
      <c r="C3729" s="5">
        <v>46062</v>
      </c>
      <c r="D3729" t="s">
        <v>126</v>
      </c>
      <c r="E3729">
        <v>14.39</v>
      </c>
    </row>
    <row r="3730" spans="2:5" ht="18.75">
      <c r="B3730">
        <v>7</v>
      </c>
      <c r="C3730" s="5">
        <v>46062</v>
      </c>
      <c r="D3730" t="s">
        <v>113</v>
      </c>
      <c r="E3730">
        <v>90.46</v>
      </c>
    </row>
    <row r="3731" spans="2:5" ht="18.75">
      <c r="B3731">
        <v>7</v>
      </c>
      <c r="C3731" s="5">
        <v>46062</v>
      </c>
      <c r="D3731" t="s">
        <v>118</v>
      </c>
      <c r="E3731">
        <v>62.79</v>
      </c>
    </row>
    <row r="3732" spans="2:5" ht="18.75">
      <c r="B3732">
        <v>7</v>
      </c>
      <c r="C3732" s="5">
        <v>46062</v>
      </c>
      <c r="D3732" t="s">
        <v>121</v>
      </c>
      <c r="E3732">
        <v>76.569999999999993</v>
      </c>
    </row>
    <row r="3733" spans="2:5" ht="18.75">
      <c r="B3733">
        <v>7</v>
      </c>
      <c r="C3733" s="5">
        <v>46062</v>
      </c>
      <c r="D3733" t="s">
        <v>124</v>
      </c>
      <c r="E3733">
        <v>87.11</v>
      </c>
    </row>
    <row r="3734" spans="2:5" ht="18.75">
      <c r="B3734">
        <v>7</v>
      </c>
      <c r="C3734" s="5">
        <v>46062</v>
      </c>
      <c r="D3734" t="s">
        <v>127</v>
      </c>
      <c r="E3734">
        <v>80.88</v>
      </c>
    </row>
    <row r="3735" spans="2:5" ht="18.75">
      <c r="B3735">
        <v>8</v>
      </c>
      <c r="C3735" s="5">
        <v>46069</v>
      </c>
      <c r="D3735" t="s">
        <v>111</v>
      </c>
      <c r="E3735">
        <v>219.53</v>
      </c>
    </row>
    <row r="3736" spans="2:5" ht="18.75">
      <c r="B3736">
        <v>8</v>
      </c>
      <c r="C3736" s="5">
        <v>46069</v>
      </c>
      <c r="D3736" t="s">
        <v>113</v>
      </c>
      <c r="E3736">
        <v>193.2</v>
      </c>
    </row>
    <row r="3737" spans="2:5" ht="18.75">
      <c r="B3737">
        <v>8</v>
      </c>
      <c r="C3737" s="5">
        <v>46069</v>
      </c>
      <c r="D3737" t="s">
        <v>139</v>
      </c>
      <c r="E3737">
        <v>308.79000000000002</v>
      </c>
    </row>
    <row r="3738" spans="2:5" ht="18.75">
      <c r="B3738">
        <v>8</v>
      </c>
      <c r="C3738" s="5">
        <v>46069</v>
      </c>
      <c r="D3738" t="s">
        <v>143</v>
      </c>
      <c r="E3738">
        <v>1739.31</v>
      </c>
    </row>
    <row r="3739" spans="2:5" ht="18.75">
      <c r="B3739">
        <v>8</v>
      </c>
      <c r="C3739" s="5">
        <v>46069</v>
      </c>
      <c r="D3739" t="s">
        <v>147</v>
      </c>
      <c r="E3739">
        <v>287.67</v>
      </c>
    </row>
    <row r="3740" spans="2:5" ht="18.75">
      <c r="B3740">
        <v>8</v>
      </c>
      <c r="C3740" s="5">
        <v>46069</v>
      </c>
      <c r="D3740" t="s">
        <v>121</v>
      </c>
      <c r="E3740">
        <v>177.64</v>
      </c>
    </row>
    <row r="3741" spans="2:5" ht="18.75">
      <c r="B3741">
        <v>8</v>
      </c>
      <c r="C3741" s="5">
        <v>46069</v>
      </c>
      <c r="D3741" t="s">
        <v>123</v>
      </c>
      <c r="E3741">
        <v>345.1</v>
      </c>
    </row>
    <row r="3742" spans="2:5" ht="18.75">
      <c r="B3742">
        <v>8</v>
      </c>
      <c r="C3742" s="5">
        <v>46069</v>
      </c>
      <c r="D3742" t="s">
        <v>124</v>
      </c>
      <c r="E3742">
        <v>345.46</v>
      </c>
    </row>
    <row r="3743" spans="2:5" ht="18.75">
      <c r="B3743">
        <v>8</v>
      </c>
      <c r="C3743" s="5">
        <v>46069</v>
      </c>
      <c r="D3743" t="s">
        <v>118</v>
      </c>
      <c r="E3743">
        <v>137.37</v>
      </c>
    </row>
    <row r="3744" spans="2:5" ht="18.75">
      <c r="B3744">
        <v>8</v>
      </c>
      <c r="C3744" s="5">
        <v>46069</v>
      </c>
      <c r="D3744" t="s">
        <v>127</v>
      </c>
      <c r="E3744">
        <v>191.34</v>
      </c>
    </row>
    <row r="3745" spans="2:5" ht="18.75">
      <c r="B3745">
        <v>8</v>
      </c>
      <c r="C3745" s="5">
        <v>46069</v>
      </c>
      <c r="D3745" t="s">
        <v>126</v>
      </c>
      <c r="E3745">
        <v>234.8</v>
      </c>
    </row>
    <row r="3746" spans="2:5" ht="18.75">
      <c r="B3746">
        <v>8</v>
      </c>
      <c r="C3746" s="5">
        <v>46069</v>
      </c>
      <c r="D3746" t="s">
        <v>129</v>
      </c>
      <c r="E3746">
        <v>397.19</v>
      </c>
    </row>
    <row r="3747" spans="2:5" ht="18.75">
      <c r="B3747">
        <v>8</v>
      </c>
      <c r="C3747" s="5">
        <v>46069</v>
      </c>
      <c r="D3747" t="s">
        <v>130</v>
      </c>
      <c r="E3747">
        <v>429.31</v>
      </c>
    </row>
    <row r="3748" spans="2:5" ht="18.75">
      <c r="B3748">
        <v>8</v>
      </c>
      <c r="C3748" s="5">
        <v>46069</v>
      </c>
      <c r="D3748" t="s">
        <v>138</v>
      </c>
      <c r="E3748">
        <v>401.54</v>
      </c>
    </row>
    <row r="3749" spans="2:5" ht="18.75">
      <c r="B3749">
        <v>8</v>
      </c>
      <c r="C3749" s="5">
        <v>46069</v>
      </c>
      <c r="D3749" t="s">
        <v>114</v>
      </c>
      <c r="E3749">
        <v>268.58</v>
      </c>
    </row>
    <row r="3750" spans="2:5" ht="18.75">
      <c r="B3750">
        <v>8</v>
      </c>
      <c r="C3750" s="5">
        <v>46069</v>
      </c>
      <c r="D3750" t="s">
        <v>119</v>
      </c>
      <c r="E3750">
        <v>396.63</v>
      </c>
    </row>
    <row r="3751" spans="2:5" ht="18.75">
      <c r="B3751">
        <v>8</v>
      </c>
      <c r="C3751" s="5">
        <v>46069</v>
      </c>
      <c r="D3751" t="s">
        <v>151</v>
      </c>
      <c r="E3751">
        <v>658.9</v>
      </c>
    </row>
    <row r="3752" spans="2:5" ht="18.75">
      <c r="B3752">
        <v>8</v>
      </c>
      <c r="C3752" s="5">
        <v>46069</v>
      </c>
      <c r="D3752" t="s">
        <v>141</v>
      </c>
      <c r="E3752">
        <v>512.85</v>
      </c>
    </row>
    <row r="3753" spans="2:5" ht="18.75">
      <c r="B3753">
        <v>8</v>
      </c>
      <c r="C3753" s="5">
        <v>46069</v>
      </c>
      <c r="D3753" t="s">
        <v>134</v>
      </c>
      <c r="E3753">
        <v>237.01</v>
      </c>
    </row>
    <row r="3754" spans="2:5" ht="18.75">
      <c r="B3754">
        <v>8</v>
      </c>
      <c r="C3754" s="5">
        <v>46069</v>
      </c>
      <c r="D3754" t="s">
        <v>133</v>
      </c>
      <c r="E3754">
        <v>234.45</v>
      </c>
    </row>
    <row r="3755" spans="2:5" ht="18.75">
      <c r="B3755">
        <v>8</v>
      </c>
      <c r="C3755" s="5">
        <v>46069</v>
      </c>
      <c r="D3755" t="s">
        <v>146</v>
      </c>
      <c r="E3755">
        <v>424.8</v>
      </c>
    </row>
    <row r="3756" spans="2:5" ht="18.75">
      <c r="B3756">
        <v>8</v>
      </c>
      <c r="C3756" s="5">
        <v>46069</v>
      </c>
      <c r="D3756" t="s">
        <v>132</v>
      </c>
      <c r="E3756">
        <v>208.28</v>
      </c>
    </row>
    <row r="3757" spans="2:5" ht="18.75">
      <c r="B3757">
        <v>9</v>
      </c>
      <c r="C3757" s="5">
        <v>46076</v>
      </c>
      <c r="D3757" t="s">
        <v>143</v>
      </c>
      <c r="E3757">
        <v>1603.2</v>
      </c>
    </row>
    <row r="3758" spans="2:5" ht="18.75">
      <c r="B3758">
        <v>9</v>
      </c>
      <c r="C3758" s="5">
        <v>46076</v>
      </c>
      <c r="D3758" t="s">
        <v>126</v>
      </c>
      <c r="E3758">
        <v>166.26</v>
      </c>
    </row>
    <row r="3759" spans="2:5" ht="18.75">
      <c r="B3759">
        <v>9</v>
      </c>
      <c r="C3759" s="5">
        <v>46076</v>
      </c>
      <c r="D3759" t="s">
        <v>127</v>
      </c>
      <c r="E3759">
        <v>292.33</v>
      </c>
    </row>
    <row r="3760" spans="2:5" ht="18.75">
      <c r="B3760">
        <v>8</v>
      </c>
      <c r="C3760" s="5">
        <v>46069</v>
      </c>
      <c r="D3760" t="s">
        <v>112</v>
      </c>
      <c r="E3760">
        <v>69.84</v>
      </c>
    </row>
    <row r="3761" spans="2:5" ht="18.75">
      <c r="B3761">
        <v>8</v>
      </c>
      <c r="C3761" s="5">
        <v>46069</v>
      </c>
      <c r="D3761" t="s">
        <v>116</v>
      </c>
      <c r="E3761">
        <v>96.73</v>
      </c>
    </row>
    <row r="3762" spans="2:5" ht="18.75">
      <c r="B3762">
        <v>8</v>
      </c>
      <c r="C3762" s="5">
        <v>46069</v>
      </c>
      <c r="D3762" t="s">
        <v>117</v>
      </c>
      <c r="E3762">
        <v>197.64</v>
      </c>
    </row>
    <row r="3763" spans="2:5" ht="18.75">
      <c r="B3763">
        <v>8</v>
      </c>
      <c r="C3763" s="5">
        <v>46069</v>
      </c>
      <c r="D3763" t="s">
        <v>120</v>
      </c>
      <c r="E3763">
        <v>116.39</v>
      </c>
    </row>
    <row r="3764" spans="2:5" ht="18.75">
      <c r="B3764">
        <v>8</v>
      </c>
      <c r="C3764" s="5">
        <v>46069</v>
      </c>
      <c r="D3764" t="s">
        <v>122</v>
      </c>
      <c r="E3764">
        <v>183.65</v>
      </c>
    </row>
    <row r="3765" spans="2:5" ht="18.75">
      <c r="B3765">
        <v>8</v>
      </c>
      <c r="C3765" s="5">
        <v>46069</v>
      </c>
      <c r="D3765" t="s">
        <v>125</v>
      </c>
      <c r="E3765">
        <v>72.760000000000005</v>
      </c>
    </row>
    <row r="3766" spans="2:5" ht="18.75">
      <c r="B3766">
        <v>8</v>
      </c>
      <c r="C3766" s="5">
        <v>46069</v>
      </c>
      <c r="D3766" t="s">
        <v>128</v>
      </c>
      <c r="E3766">
        <v>136.04</v>
      </c>
    </row>
    <row r="3767" spans="2:5" ht="18.75">
      <c r="B3767">
        <v>8</v>
      </c>
      <c r="C3767" s="5">
        <v>46069</v>
      </c>
      <c r="D3767" t="s">
        <v>135</v>
      </c>
      <c r="E3767">
        <v>73.89</v>
      </c>
    </row>
    <row r="3768" spans="2:5" ht="18.75">
      <c r="B3768">
        <v>8</v>
      </c>
      <c r="C3768" s="5">
        <v>46069</v>
      </c>
      <c r="D3768" t="s">
        <v>136</v>
      </c>
      <c r="E3768">
        <v>102.34</v>
      </c>
    </row>
    <row r="3769" spans="2:5" ht="18.75">
      <c r="B3769">
        <v>8</v>
      </c>
      <c r="C3769" s="5">
        <v>46069</v>
      </c>
      <c r="D3769" t="s">
        <v>137</v>
      </c>
      <c r="E3769">
        <v>67.930000000000007</v>
      </c>
    </row>
    <row r="3770" spans="2:5" ht="18.75">
      <c r="B3770">
        <v>8</v>
      </c>
      <c r="C3770" s="5">
        <v>46069</v>
      </c>
      <c r="D3770" t="s">
        <v>140</v>
      </c>
      <c r="E3770">
        <v>104.64</v>
      </c>
    </row>
    <row r="3771" spans="2:5" ht="18.75">
      <c r="B3771">
        <v>8</v>
      </c>
      <c r="C3771" s="5">
        <v>46069</v>
      </c>
      <c r="D3771" t="s">
        <v>142</v>
      </c>
      <c r="E3771">
        <v>127.31</v>
      </c>
    </row>
    <row r="3772" spans="2:5" ht="18.75">
      <c r="B3772">
        <v>8</v>
      </c>
      <c r="C3772" s="5">
        <v>46069</v>
      </c>
      <c r="D3772" t="s">
        <v>145</v>
      </c>
      <c r="E3772">
        <v>222.85</v>
      </c>
    </row>
    <row r="3773" spans="2:5" ht="18.75">
      <c r="B3773">
        <v>8</v>
      </c>
      <c r="C3773" s="5">
        <v>46069</v>
      </c>
      <c r="D3773" t="s">
        <v>148</v>
      </c>
      <c r="E3773">
        <v>87.18</v>
      </c>
    </row>
    <row r="3774" spans="2:5" ht="18.75">
      <c r="B3774">
        <v>8</v>
      </c>
      <c r="C3774" s="5">
        <v>46069</v>
      </c>
      <c r="D3774" t="s">
        <v>150</v>
      </c>
      <c r="E3774">
        <v>67.91</v>
      </c>
    </row>
    <row r="3775" spans="2:5" ht="18.75">
      <c r="B3775">
        <v>8</v>
      </c>
      <c r="C3775" s="5">
        <v>46069</v>
      </c>
      <c r="D3775" t="s">
        <v>149</v>
      </c>
      <c r="E3775">
        <v>113.09</v>
      </c>
    </row>
    <row r="3776" spans="2:5" ht="18.75">
      <c r="B3776">
        <v>9</v>
      </c>
      <c r="C3776" s="5">
        <v>46076</v>
      </c>
      <c r="D3776" t="s">
        <v>114</v>
      </c>
      <c r="E3776">
        <v>281.12</v>
      </c>
    </row>
    <row r="3777" spans="2:5" ht="18.75">
      <c r="B3777">
        <v>9</v>
      </c>
      <c r="C3777" s="5">
        <v>46076</v>
      </c>
      <c r="D3777" t="s">
        <v>133</v>
      </c>
      <c r="E3777">
        <v>281.68</v>
      </c>
    </row>
    <row r="3778" spans="2:5" ht="18.75">
      <c r="B3778">
        <v>9</v>
      </c>
      <c r="C3778" s="5">
        <v>46076</v>
      </c>
      <c r="D3778" t="s">
        <v>134</v>
      </c>
      <c r="E3778">
        <v>311.32</v>
      </c>
    </row>
    <row r="3779" spans="2:5" ht="18.75">
      <c r="B3779">
        <v>9</v>
      </c>
      <c r="C3779" s="5">
        <v>46076</v>
      </c>
      <c r="D3779" t="s">
        <v>138</v>
      </c>
      <c r="E3779">
        <v>486.61</v>
      </c>
    </row>
    <row r="3780" spans="2:5" ht="18.75">
      <c r="B3780">
        <v>9</v>
      </c>
      <c r="C3780" s="5">
        <v>46076</v>
      </c>
      <c r="D3780" t="s">
        <v>141</v>
      </c>
      <c r="E3780">
        <v>579.47</v>
      </c>
    </row>
    <row r="3781" spans="2:5" ht="18.75">
      <c r="B3781">
        <v>9</v>
      </c>
      <c r="C3781" s="5">
        <v>46076</v>
      </c>
      <c r="D3781" t="s">
        <v>139</v>
      </c>
      <c r="E3781">
        <v>228.32</v>
      </c>
    </row>
    <row r="3782" spans="2:5" ht="18.75">
      <c r="B3782">
        <v>9</v>
      </c>
      <c r="C3782" s="5">
        <v>46076</v>
      </c>
      <c r="D3782" t="s">
        <v>145</v>
      </c>
      <c r="E3782">
        <v>293.76</v>
      </c>
    </row>
    <row r="3783" spans="2:5" ht="18.75">
      <c r="B3783">
        <v>9</v>
      </c>
      <c r="C3783" s="5">
        <v>46076</v>
      </c>
      <c r="D3783" t="s">
        <v>146</v>
      </c>
      <c r="E3783">
        <v>516.65</v>
      </c>
    </row>
    <row r="3784" spans="2:5" ht="18.75">
      <c r="B3784">
        <v>9</v>
      </c>
      <c r="C3784" s="5">
        <v>46076</v>
      </c>
      <c r="D3784" t="s">
        <v>151</v>
      </c>
      <c r="E3784">
        <v>659.75</v>
      </c>
    </row>
    <row r="3785" spans="2:5" ht="18.75">
      <c r="B3785">
        <v>9</v>
      </c>
      <c r="C3785" s="5">
        <v>46076</v>
      </c>
      <c r="D3785" t="s">
        <v>111</v>
      </c>
      <c r="E3785">
        <v>188.18</v>
      </c>
    </row>
    <row r="3786" spans="2:5" ht="18.75">
      <c r="B3786">
        <v>9</v>
      </c>
      <c r="C3786" s="5">
        <v>46076</v>
      </c>
      <c r="D3786" t="s">
        <v>117</v>
      </c>
      <c r="E3786">
        <v>243.46</v>
      </c>
    </row>
    <row r="3787" spans="2:5" ht="18.75">
      <c r="B3787">
        <v>9</v>
      </c>
      <c r="C3787" s="5">
        <v>46076</v>
      </c>
      <c r="D3787" t="s">
        <v>119</v>
      </c>
      <c r="E3787">
        <v>396.68</v>
      </c>
    </row>
    <row r="3788" spans="2:5" ht="18.75">
      <c r="B3788">
        <v>9</v>
      </c>
      <c r="C3788" s="5">
        <v>46076</v>
      </c>
      <c r="D3788" t="s">
        <v>130</v>
      </c>
      <c r="E3788">
        <v>500.83</v>
      </c>
    </row>
    <row r="3789" spans="2:5" ht="18.75">
      <c r="B3789">
        <v>9</v>
      </c>
      <c r="C3789" s="5">
        <v>46076</v>
      </c>
      <c r="D3789" t="s">
        <v>129</v>
      </c>
      <c r="E3789">
        <v>375.94</v>
      </c>
    </row>
    <row r="3790" spans="2:5" ht="18.75">
      <c r="B3790">
        <v>9</v>
      </c>
      <c r="C3790" s="5">
        <v>46076</v>
      </c>
      <c r="D3790" t="s">
        <v>123</v>
      </c>
      <c r="E3790">
        <v>316.72000000000003</v>
      </c>
    </row>
    <row r="3791" spans="2:5" ht="18.75">
      <c r="B3791">
        <v>9</v>
      </c>
      <c r="C3791" s="5">
        <v>46076</v>
      </c>
      <c r="D3791" t="s">
        <v>124</v>
      </c>
      <c r="E3791">
        <v>438.22</v>
      </c>
    </row>
    <row r="3792" spans="2:5" ht="18.75">
      <c r="B3792">
        <v>9</v>
      </c>
      <c r="C3792" s="5">
        <v>46076</v>
      </c>
      <c r="D3792" t="s">
        <v>113</v>
      </c>
      <c r="E3792">
        <v>139.46</v>
      </c>
    </row>
    <row r="3793" spans="2:5" ht="18.75">
      <c r="B3793">
        <v>9</v>
      </c>
      <c r="C3793" s="5">
        <v>46076</v>
      </c>
      <c r="D3793" t="s">
        <v>118</v>
      </c>
      <c r="E3793">
        <v>133.54</v>
      </c>
    </row>
    <row r="3794" spans="2:5" ht="18.75">
      <c r="B3794">
        <v>9</v>
      </c>
      <c r="C3794" s="5">
        <v>46076</v>
      </c>
      <c r="D3794" t="s">
        <v>121</v>
      </c>
      <c r="E3794">
        <v>133.9</v>
      </c>
    </row>
    <row r="3795" spans="2:5" ht="18.75">
      <c r="B3795">
        <v>9</v>
      </c>
      <c r="C3795" s="5">
        <v>46076</v>
      </c>
      <c r="D3795" t="s">
        <v>147</v>
      </c>
      <c r="E3795">
        <v>267.22000000000003</v>
      </c>
    </row>
    <row r="3796" spans="2:5" ht="18.75">
      <c r="B3796">
        <v>9</v>
      </c>
      <c r="C3796" s="5">
        <v>46076</v>
      </c>
      <c r="D3796" t="s">
        <v>112</v>
      </c>
      <c r="E3796">
        <v>47.81</v>
      </c>
    </row>
    <row r="3797" spans="2:5" ht="18.75">
      <c r="B3797">
        <v>9</v>
      </c>
      <c r="C3797" s="5">
        <v>46076</v>
      </c>
      <c r="D3797" t="s">
        <v>116</v>
      </c>
      <c r="E3797">
        <v>66.260000000000005</v>
      </c>
    </row>
    <row r="3798" spans="2:5" ht="18.75">
      <c r="B3798">
        <v>9</v>
      </c>
      <c r="C3798" s="5">
        <v>46076</v>
      </c>
      <c r="D3798" t="s">
        <v>120</v>
      </c>
      <c r="E3798">
        <v>87.29</v>
      </c>
    </row>
    <row r="3799" spans="2:5" ht="18.75">
      <c r="B3799">
        <v>9</v>
      </c>
      <c r="C3799" s="5">
        <v>46076</v>
      </c>
      <c r="D3799" t="s">
        <v>122</v>
      </c>
      <c r="E3799">
        <v>242.84</v>
      </c>
    </row>
    <row r="3800" spans="2:5" ht="18.75">
      <c r="B3800">
        <v>9</v>
      </c>
      <c r="C3800" s="5">
        <v>46076</v>
      </c>
      <c r="D3800" t="s">
        <v>125</v>
      </c>
      <c r="E3800">
        <v>77.38</v>
      </c>
    </row>
    <row r="3801" spans="2:5" ht="18.75">
      <c r="B3801">
        <v>9</v>
      </c>
      <c r="C3801" s="5">
        <v>46076</v>
      </c>
      <c r="D3801" t="s">
        <v>128</v>
      </c>
      <c r="E3801">
        <v>78.569999999999993</v>
      </c>
    </row>
    <row r="3802" spans="2:5" ht="18.75">
      <c r="B3802">
        <v>9</v>
      </c>
      <c r="C3802" s="5">
        <v>46076</v>
      </c>
      <c r="D3802" t="s">
        <v>132</v>
      </c>
      <c r="E3802">
        <v>124.06</v>
      </c>
    </row>
    <row r="3803" spans="2:5" ht="18.75">
      <c r="B3803">
        <v>9</v>
      </c>
      <c r="C3803" s="5">
        <v>46076</v>
      </c>
      <c r="D3803" t="s">
        <v>135</v>
      </c>
      <c r="E3803">
        <v>58.74</v>
      </c>
    </row>
    <row r="3804" spans="2:5" ht="18.75">
      <c r="B3804">
        <v>9</v>
      </c>
      <c r="C3804" s="5">
        <v>46076</v>
      </c>
      <c r="D3804" t="s">
        <v>136</v>
      </c>
      <c r="E3804">
        <v>178.4</v>
      </c>
    </row>
    <row r="3805" spans="2:5" ht="18.75">
      <c r="B3805">
        <v>9</v>
      </c>
      <c r="C3805" s="5">
        <v>46076</v>
      </c>
      <c r="D3805" t="s">
        <v>137</v>
      </c>
      <c r="E3805">
        <v>74.28</v>
      </c>
    </row>
    <row r="3806" spans="2:5" ht="18.75">
      <c r="B3806">
        <v>9</v>
      </c>
      <c r="C3806" s="5">
        <v>46076</v>
      </c>
      <c r="D3806" t="s">
        <v>140</v>
      </c>
      <c r="E3806">
        <v>75.27</v>
      </c>
    </row>
    <row r="3807" spans="2:5" ht="18.75">
      <c r="B3807">
        <v>9</v>
      </c>
      <c r="C3807" s="5">
        <v>46076</v>
      </c>
      <c r="D3807" t="s">
        <v>142</v>
      </c>
      <c r="E3807">
        <v>185.7</v>
      </c>
    </row>
    <row r="3808" spans="2:5" ht="18.75">
      <c r="B3808">
        <v>9</v>
      </c>
      <c r="C3808" s="5">
        <v>46076</v>
      </c>
      <c r="D3808" t="s">
        <v>148</v>
      </c>
      <c r="E3808">
        <v>97.7</v>
      </c>
    </row>
    <row r="3809" spans="2:5" ht="18.75">
      <c r="B3809">
        <v>9</v>
      </c>
      <c r="C3809" s="5">
        <v>46076</v>
      </c>
      <c r="D3809" t="s">
        <v>150</v>
      </c>
      <c r="E3809">
        <v>71.73</v>
      </c>
    </row>
    <row r="3810" spans="2:5" ht="18.75">
      <c r="B3810">
        <v>9</v>
      </c>
      <c r="C3810" s="5">
        <v>46076</v>
      </c>
      <c r="D3810" t="s">
        <v>149</v>
      </c>
      <c r="E3810">
        <v>134.1</v>
      </c>
    </row>
    <row r="3811" spans="2:5" ht="18.75">
      <c r="B3811">
        <v>10</v>
      </c>
      <c r="C3811" s="5">
        <v>46083</v>
      </c>
      <c r="D3811" t="s">
        <v>111</v>
      </c>
      <c r="E3811">
        <v>203.76</v>
      </c>
    </row>
    <row r="3812" spans="2:5" ht="18.75">
      <c r="B3812">
        <v>10</v>
      </c>
      <c r="C3812" s="5">
        <v>46083</v>
      </c>
      <c r="D3812" t="s">
        <v>112</v>
      </c>
      <c r="E3812">
        <v>71.66</v>
      </c>
    </row>
    <row r="3813" spans="2:5" ht="18.75">
      <c r="B3813">
        <v>10</v>
      </c>
      <c r="C3813" s="5">
        <v>46083</v>
      </c>
      <c r="D3813" t="s">
        <v>113</v>
      </c>
      <c r="E3813">
        <v>204.79</v>
      </c>
    </row>
    <row r="3814" spans="2:5" ht="18.75">
      <c r="B3814">
        <v>10</v>
      </c>
      <c r="C3814" s="5">
        <v>46083</v>
      </c>
      <c r="D3814" t="s">
        <v>114</v>
      </c>
      <c r="E3814">
        <v>285.01</v>
      </c>
    </row>
    <row r="3815" spans="2:5" ht="18.75">
      <c r="B3815">
        <v>10</v>
      </c>
      <c r="C3815" s="5">
        <v>46083</v>
      </c>
      <c r="D3815" t="s">
        <v>116</v>
      </c>
      <c r="E3815">
        <v>123.85</v>
      </c>
    </row>
    <row r="3816" spans="2:5" ht="18.75">
      <c r="B3816">
        <v>10</v>
      </c>
      <c r="C3816" s="5">
        <v>46083</v>
      </c>
      <c r="D3816" t="s">
        <v>117</v>
      </c>
      <c r="E3816">
        <v>231.01</v>
      </c>
    </row>
    <row r="3817" spans="2:5" ht="18.75">
      <c r="B3817">
        <v>10</v>
      </c>
      <c r="C3817" s="5">
        <v>46083</v>
      </c>
      <c r="D3817" t="s">
        <v>118</v>
      </c>
      <c r="E3817">
        <v>158.91</v>
      </c>
    </row>
    <row r="3818" spans="2:5" ht="18.75">
      <c r="B3818">
        <v>10</v>
      </c>
      <c r="C3818" s="5">
        <v>46083</v>
      </c>
      <c r="D3818" t="s">
        <v>119</v>
      </c>
      <c r="E3818">
        <v>407.17</v>
      </c>
    </row>
    <row r="3819" spans="2:5" ht="18.75">
      <c r="B3819">
        <v>10</v>
      </c>
      <c r="C3819" s="5">
        <v>46083</v>
      </c>
      <c r="D3819" t="s">
        <v>120</v>
      </c>
      <c r="E3819">
        <v>167.24</v>
      </c>
    </row>
    <row r="3820" spans="2:5" ht="18.75">
      <c r="B3820">
        <v>10</v>
      </c>
      <c r="C3820" s="5">
        <v>46083</v>
      </c>
      <c r="D3820" t="s">
        <v>121</v>
      </c>
      <c r="E3820">
        <v>169.03</v>
      </c>
    </row>
    <row r="3821" spans="2:5" ht="18.75">
      <c r="B3821">
        <v>10</v>
      </c>
      <c r="C3821" s="5">
        <v>46083</v>
      </c>
      <c r="D3821" t="s">
        <v>122</v>
      </c>
      <c r="E3821">
        <v>233.76</v>
      </c>
    </row>
    <row r="3822" spans="2:5" ht="18.75">
      <c r="B3822">
        <v>10</v>
      </c>
      <c r="C3822" s="5">
        <v>46083</v>
      </c>
      <c r="D3822" t="s">
        <v>123</v>
      </c>
      <c r="E3822">
        <v>408.43</v>
      </c>
    </row>
    <row r="3823" spans="2:5" ht="18.75">
      <c r="B3823">
        <v>10</v>
      </c>
      <c r="C3823" s="5">
        <v>46083</v>
      </c>
      <c r="D3823" t="s">
        <v>124</v>
      </c>
      <c r="E3823">
        <v>435.19</v>
      </c>
    </row>
    <row r="3824" spans="2:5" ht="18.75">
      <c r="B3824">
        <v>10</v>
      </c>
      <c r="C3824" s="5">
        <v>46083</v>
      </c>
      <c r="D3824" t="s">
        <v>125</v>
      </c>
      <c r="E3824">
        <v>51.91</v>
      </c>
    </row>
    <row r="3825" spans="2:5" ht="18.75">
      <c r="B3825">
        <v>10</v>
      </c>
      <c r="C3825" s="5">
        <v>46083</v>
      </c>
      <c r="D3825" t="s">
        <v>126</v>
      </c>
      <c r="E3825">
        <v>137.81</v>
      </c>
    </row>
    <row r="3826" spans="2:5" ht="18.75">
      <c r="B3826">
        <v>10</v>
      </c>
      <c r="C3826" s="5">
        <v>46083</v>
      </c>
      <c r="D3826" t="s">
        <v>129</v>
      </c>
      <c r="E3826">
        <v>388.51</v>
      </c>
    </row>
    <row r="3827" spans="2:5" ht="18.75">
      <c r="B3827">
        <v>10</v>
      </c>
      <c r="C3827" s="5">
        <v>46083</v>
      </c>
      <c r="D3827" t="s">
        <v>130</v>
      </c>
      <c r="E3827">
        <v>461.1</v>
      </c>
    </row>
    <row r="3828" spans="2:5" ht="18.75">
      <c r="B3828">
        <v>10</v>
      </c>
      <c r="C3828" s="5">
        <v>46083</v>
      </c>
      <c r="D3828" t="s">
        <v>132</v>
      </c>
      <c r="E3828">
        <v>195.79</v>
      </c>
    </row>
    <row r="3829" spans="2:5" ht="18.75">
      <c r="B3829">
        <v>10</v>
      </c>
      <c r="C3829" s="5">
        <v>46083</v>
      </c>
      <c r="D3829" t="s">
        <v>133</v>
      </c>
      <c r="E3829">
        <v>224.52</v>
      </c>
    </row>
    <row r="3830" spans="2:5" ht="18.75">
      <c r="B3830">
        <v>10</v>
      </c>
      <c r="C3830" s="5">
        <v>46083</v>
      </c>
      <c r="D3830" t="s">
        <v>134</v>
      </c>
      <c r="E3830">
        <v>262.47000000000003</v>
      </c>
    </row>
    <row r="3831" spans="2:5" ht="18.75">
      <c r="B3831">
        <v>10</v>
      </c>
      <c r="C3831" s="5">
        <v>46083</v>
      </c>
      <c r="D3831" t="s">
        <v>136</v>
      </c>
      <c r="E3831">
        <v>203.86</v>
      </c>
    </row>
    <row r="3832" spans="2:5" ht="18.75">
      <c r="B3832">
        <v>10</v>
      </c>
      <c r="C3832" s="5">
        <v>46083</v>
      </c>
      <c r="D3832" t="s">
        <v>137</v>
      </c>
      <c r="E3832">
        <v>72.66</v>
      </c>
    </row>
    <row r="3833" spans="2:5" ht="18.75">
      <c r="B3833">
        <v>10</v>
      </c>
      <c r="C3833" s="5">
        <v>46083</v>
      </c>
      <c r="D3833" t="s">
        <v>138</v>
      </c>
      <c r="E3833">
        <v>450.26</v>
      </c>
    </row>
    <row r="3834" spans="2:5" ht="18.75">
      <c r="B3834">
        <v>10</v>
      </c>
      <c r="C3834" s="5">
        <v>46083</v>
      </c>
      <c r="D3834" t="s">
        <v>140</v>
      </c>
      <c r="E3834">
        <v>72.459999999999994</v>
      </c>
    </row>
    <row r="3835" spans="2:5" ht="18.75">
      <c r="B3835">
        <v>10</v>
      </c>
      <c r="C3835" s="5">
        <v>46083</v>
      </c>
      <c r="D3835" t="s">
        <v>141</v>
      </c>
      <c r="E3835">
        <v>585.86</v>
      </c>
    </row>
    <row r="3836" spans="2:5" ht="18.75">
      <c r="B3836">
        <v>10</v>
      </c>
      <c r="C3836" s="5">
        <v>46083</v>
      </c>
      <c r="D3836" t="s">
        <v>142</v>
      </c>
      <c r="E3836">
        <v>197.13</v>
      </c>
    </row>
    <row r="3837" spans="2:5" ht="18.75">
      <c r="B3837">
        <v>10</v>
      </c>
      <c r="C3837" s="5">
        <v>46083</v>
      </c>
      <c r="D3837" t="s">
        <v>139</v>
      </c>
      <c r="E3837">
        <v>291.17</v>
      </c>
    </row>
    <row r="3838" spans="2:5" ht="18.75">
      <c r="B3838">
        <v>10</v>
      </c>
      <c r="C3838" s="5">
        <v>46083</v>
      </c>
      <c r="D3838" t="s">
        <v>143</v>
      </c>
      <c r="E3838">
        <v>2055.5100000000002</v>
      </c>
    </row>
    <row r="3839" spans="2:5" ht="18.75">
      <c r="B3839">
        <v>10</v>
      </c>
      <c r="C3839" s="5">
        <v>46083</v>
      </c>
      <c r="D3839" t="s">
        <v>145</v>
      </c>
      <c r="E3839">
        <v>262.19</v>
      </c>
    </row>
    <row r="3840" spans="2:5" ht="18.75">
      <c r="B3840">
        <v>10</v>
      </c>
      <c r="C3840" s="5">
        <v>46083</v>
      </c>
      <c r="D3840" t="s">
        <v>146</v>
      </c>
      <c r="E3840">
        <v>555.66</v>
      </c>
    </row>
    <row r="3841" spans="2:5" ht="18.75">
      <c r="B3841">
        <v>10</v>
      </c>
      <c r="C3841" s="5">
        <v>46083</v>
      </c>
      <c r="D3841" t="s">
        <v>148</v>
      </c>
      <c r="E3841">
        <v>123.83</v>
      </c>
    </row>
    <row r="3842" spans="2:5" ht="18.75">
      <c r="B3842">
        <v>10</v>
      </c>
      <c r="C3842" s="5">
        <v>46083</v>
      </c>
      <c r="D3842" t="s">
        <v>147</v>
      </c>
      <c r="E3842">
        <v>330.55</v>
      </c>
    </row>
    <row r="3843" spans="2:5" ht="18.75">
      <c r="B3843">
        <v>10</v>
      </c>
      <c r="C3843" s="5">
        <v>46083</v>
      </c>
      <c r="D3843" t="s">
        <v>150</v>
      </c>
      <c r="E3843">
        <v>68.739999999999995</v>
      </c>
    </row>
    <row r="3844" spans="2:5" ht="18.75">
      <c r="B3844">
        <v>10</v>
      </c>
      <c r="C3844" s="5">
        <v>46083</v>
      </c>
      <c r="D3844" t="s">
        <v>151</v>
      </c>
      <c r="E3844">
        <v>726.81</v>
      </c>
    </row>
    <row r="3845" spans="2:5" ht="18.75">
      <c r="B3845">
        <v>10</v>
      </c>
      <c r="C3845" s="5">
        <v>46083</v>
      </c>
      <c r="D3845" t="s">
        <v>128</v>
      </c>
      <c r="E3845">
        <v>139.63</v>
      </c>
    </row>
    <row r="3846" spans="2:5" ht="18.75">
      <c r="B3846">
        <v>10</v>
      </c>
      <c r="C3846" s="5">
        <v>46083</v>
      </c>
      <c r="D3846" t="s">
        <v>135</v>
      </c>
      <c r="E3846">
        <v>85.21</v>
      </c>
    </row>
    <row r="3847" spans="2:5" ht="18.75">
      <c r="B3847">
        <v>10</v>
      </c>
      <c r="C3847" s="5">
        <v>46083</v>
      </c>
      <c r="D3847" t="s">
        <v>127</v>
      </c>
      <c r="E3847">
        <v>265.91000000000003</v>
      </c>
    </row>
    <row r="3848" spans="2:5" ht="18.75">
      <c r="B3848">
        <v>10</v>
      </c>
      <c r="C3848" s="5">
        <v>46083</v>
      </c>
      <c r="D3848" t="s">
        <v>149</v>
      </c>
      <c r="E3848">
        <v>161.25</v>
      </c>
    </row>
    <row r="3849" spans="2:5" ht="18.75">
      <c r="B3849">
        <v>11</v>
      </c>
      <c r="C3849" s="5">
        <v>46090</v>
      </c>
      <c r="D3849" t="s">
        <v>111</v>
      </c>
      <c r="E3849">
        <v>135.41</v>
      </c>
    </row>
    <row r="3850" spans="2:5" ht="18.75">
      <c r="B3850">
        <v>11</v>
      </c>
      <c r="C3850" s="5">
        <v>46090</v>
      </c>
      <c r="D3850" t="s">
        <v>112</v>
      </c>
      <c r="E3850">
        <v>65.069999999999993</v>
      </c>
    </row>
    <row r="3851" spans="2:5" ht="18.75">
      <c r="B3851">
        <v>11</v>
      </c>
      <c r="C3851" s="5">
        <v>46090</v>
      </c>
      <c r="D3851" t="s">
        <v>113</v>
      </c>
      <c r="E3851">
        <v>120.31</v>
      </c>
    </row>
    <row r="3852" spans="2:5" ht="18.75">
      <c r="B3852">
        <v>11</v>
      </c>
      <c r="C3852" s="5">
        <v>46090</v>
      </c>
      <c r="D3852" t="s">
        <v>114</v>
      </c>
      <c r="E3852">
        <v>207</v>
      </c>
    </row>
    <row r="3853" spans="2:5" ht="18.75">
      <c r="B3853">
        <v>11</v>
      </c>
      <c r="C3853" s="5">
        <v>46090</v>
      </c>
      <c r="D3853" t="s">
        <v>116</v>
      </c>
      <c r="E3853">
        <v>80.489999999999995</v>
      </c>
    </row>
    <row r="3854" spans="2:5" ht="18.75">
      <c r="B3854">
        <v>11</v>
      </c>
      <c r="C3854" s="5">
        <v>46090</v>
      </c>
      <c r="D3854" t="s">
        <v>117</v>
      </c>
      <c r="E3854">
        <v>152.71</v>
      </c>
    </row>
    <row r="3855" spans="2:5" ht="18.75">
      <c r="B3855">
        <v>11</v>
      </c>
      <c r="C3855" s="5">
        <v>46090</v>
      </c>
      <c r="D3855" t="s">
        <v>118</v>
      </c>
      <c r="E3855">
        <v>104.6</v>
      </c>
    </row>
    <row r="3856" spans="2:5" ht="18.75">
      <c r="B3856">
        <v>11</v>
      </c>
      <c r="C3856" s="5">
        <v>46090</v>
      </c>
      <c r="D3856" t="s">
        <v>119</v>
      </c>
      <c r="E3856">
        <v>223.05</v>
      </c>
    </row>
    <row r="3857" spans="2:5" ht="18.75">
      <c r="B3857">
        <v>11</v>
      </c>
      <c r="C3857" s="5">
        <v>46090</v>
      </c>
      <c r="D3857" t="s">
        <v>120</v>
      </c>
      <c r="E3857">
        <v>102.31</v>
      </c>
    </row>
    <row r="3858" spans="2:5" ht="18.75">
      <c r="B3858">
        <v>11</v>
      </c>
      <c r="C3858" s="5">
        <v>46090</v>
      </c>
      <c r="D3858" t="s">
        <v>121</v>
      </c>
      <c r="E3858">
        <v>97.29</v>
      </c>
    </row>
    <row r="3859" spans="2:5" ht="18.75">
      <c r="B3859">
        <v>11</v>
      </c>
      <c r="C3859" s="5">
        <v>46090</v>
      </c>
      <c r="D3859" t="s">
        <v>122</v>
      </c>
      <c r="E3859">
        <v>279.95999999999998</v>
      </c>
    </row>
    <row r="3860" spans="2:5" ht="18.75">
      <c r="B3860">
        <v>11</v>
      </c>
      <c r="C3860" s="5">
        <v>46090</v>
      </c>
      <c r="D3860" t="s">
        <v>123</v>
      </c>
      <c r="E3860">
        <v>265.77</v>
      </c>
    </row>
    <row r="3861" spans="2:5" ht="18.75">
      <c r="B3861">
        <v>11</v>
      </c>
      <c r="C3861" s="5">
        <v>46090</v>
      </c>
      <c r="D3861" t="s">
        <v>124</v>
      </c>
      <c r="E3861">
        <v>281.02999999999997</v>
      </c>
    </row>
    <row r="3862" spans="2:5" ht="18.75">
      <c r="B3862">
        <v>11</v>
      </c>
      <c r="C3862" s="5">
        <v>46090</v>
      </c>
      <c r="D3862" t="s">
        <v>125</v>
      </c>
      <c r="E3862">
        <v>60.12</v>
      </c>
    </row>
    <row r="3863" spans="2:5" ht="18.75">
      <c r="B3863">
        <v>11</v>
      </c>
      <c r="C3863" s="5">
        <v>46090</v>
      </c>
      <c r="D3863" t="s">
        <v>126</v>
      </c>
      <c r="E3863">
        <v>89.63</v>
      </c>
    </row>
    <row r="3864" spans="2:5" ht="18.75">
      <c r="B3864">
        <v>11</v>
      </c>
      <c r="C3864" s="5">
        <v>46090</v>
      </c>
      <c r="D3864" t="s">
        <v>128</v>
      </c>
      <c r="E3864">
        <v>185.05</v>
      </c>
    </row>
    <row r="3865" spans="2:5" ht="18.75">
      <c r="B3865">
        <v>11</v>
      </c>
      <c r="C3865" s="5">
        <v>46090</v>
      </c>
      <c r="D3865" t="s">
        <v>129</v>
      </c>
      <c r="E3865">
        <v>266.73</v>
      </c>
    </row>
    <row r="3866" spans="2:5" ht="18.75">
      <c r="B3866">
        <v>11</v>
      </c>
      <c r="C3866" s="5">
        <v>46090</v>
      </c>
      <c r="D3866" t="s">
        <v>130</v>
      </c>
      <c r="E3866">
        <v>313.66000000000003</v>
      </c>
    </row>
    <row r="3867" spans="2:5" ht="18.75">
      <c r="B3867">
        <v>11</v>
      </c>
      <c r="C3867" s="5">
        <v>46090</v>
      </c>
      <c r="D3867" t="s">
        <v>132</v>
      </c>
      <c r="E3867">
        <v>181.52</v>
      </c>
    </row>
    <row r="3868" spans="2:5" ht="18.75">
      <c r="B3868">
        <v>11</v>
      </c>
      <c r="C3868" s="5">
        <v>46090</v>
      </c>
      <c r="D3868" t="s">
        <v>133</v>
      </c>
      <c r="E3868">
        <v>173.02</v>
      </c>
    </row>
    <row r="3869" spans="2:5" ht="18.75">
      <c r="B3869">
        <v>11</v>
      </c>
      <c r="C3869" s="5">
        <v>46090</v>
      </c>
      <c r="D3869" t="s">
        <v>134</v>
      </c>
      <c r="E3869">
        <v>178.78</v>
      </c>
    </row>
    <row r="3870" spans="2:5" ht="18.75">
      <c r="B3870">
        <v>11</v>
      </c>
      <c r="C3870" s="5">
        <v>46090</v>
      </c>
      <c r="D3870" t="s">
        <v>135</v>
      </c>
      <c r="E3870">
        <v>75.33</v>
      </c>
    </row>
    <row r="3871" spans="2:5" ht="18.75">
      <c r="B3871">
        <v>11</v>
      </c>
      <c r="C3871" s="5">
        <v>46090</v>
      </c>
      <c r="D3871" t="s">
        <v>136</v>
      </c>
      <c r="E3871">
        <v>193.94</v>
      </c>
    </row>
    <row r="3872" spans="2:5" ht="18.75">
      <c r="B3872">
        <v>11</v>
      </c>
      <c r="C3872" s="5">
        <v>46090</v>
      </c>
      <c r="D3872" t="s">
        <v>137</v>
      </c>
      <c r="E3872">
        <v>71.63</v>
      </c>
    </row>
    <row r="3873" spans="2:5" ht="18.75">
      <c r="B3873">
        <v>11</v>
      </c>
      <c r="C3873" s="5">
        <v>46090</v>
      </c>
      <c r="D3873" t="s">
        <v>138</v>
      </c>
      <c r="E3873">
        <v>285.67</v>
      </c>
    </row>
    <row r="3874" spans="2:5" ht="18.75">
      <c r="B3874">
        <v>11</v>
      </c>
      <c r="C3874" s="5">
        <v>46090</v>
      </c>
      <c r="D3874" t="s">
        <v>140</v>
      </c>
      <c r="E3874">
        <v>64.78</v>
      </c>
    </row>
    <row r="3875" spans="2:5" ht="18.75">
      <c r="B3875">
        <v>11</v>
      </c>
      <c r="C3875" s="5">
        <v>46090</v>
      </c>
      <c r="D3875" t="s">
        <v>141</v>
      </c>
      <c r="E3875">
        <v>364.72</v>
      </c>
    </row>
    <row r="3876" spans="2:5" ht="18.75">
      <c r="B3876">
        <v>11</v>
      </c>
      <c r="C3876" s="5">
        <v>46090</v>
      </c>
      <c r="D3876" t="s">
        <v>142</v>
      </c>
      <c r="E3876">
        <v>221.64</v>
      </c>
    </row>
    <row r="3877" spans="2:5" ht="18.75">
      <c r="B3877">
        <v>11</v>
      </c>
      <c r="C3877" s="5">
        <v>46090</v>
      </c>
      <c r="D3877" t="s">
        <v>139</v>
      </c>
      <c r="E3877">
        <v>169.69</v>
      </c>
    </row>
    <row r="3878" spans="2:5" ht="18.75">
      <c r="B3878">
        <v>11</v>
      </c>
      <c r="C3878" s="5">
        <v>46090</v>
      </c>
      <c r="D3878" t="s">
        <v>143</v>
      </c>
      <c r="E3878">
        <v>441.51</v>
      </c>
    </row>
    <row r="3879" spans="2:5" ht="18.75">
      <c r="B3879">
        <v>11</v>
      </c>
      <c r="C3879" s="5">
        <v>46090</v>
      </c>
      <c r="D3879" t="s">
        <v>145</v>
      </c>
      <c r="E3879">
        <v>162.13999999999999</v>
      </c>
    </row>
    <row r="3880" spans="2:5" ht="18.75">
      <c r="B3880">
        <v>11</v>
      </c>
      <c r="C3880" s="5">
        <v>46090</v>
      </c>
      <c r="D3880" t="s">
        <v>146</v>
      </c>
      <c r="E3880">
        <v>327.08</v>
      </c>
    </row>
    <row r="3881" spans="2:5" ht="18.75">
      <c r="B3881">
        <v>11</v>
      </c>
      <c r="C3881" s="5">
        <v>46090</v>
      </c>
      <c r="D3881" t="s">
        <v>148</v>
      </c>
      <c r="E3881">
        <v>89.49</v>
      </c>
    </row>
    <row r="3882" spans="2:5" ht="18.75">
      <c r="B3882">
        <v>11</v>
      </c>
      <c r="C3882" s="5">
        <v>46090</v>
      </c>
      <c r="D3882" t="s">
        <v>147</v>
      </c>
      <c r="E3882">
        <v>172.92</v>
      </c>
    </row>
    <row r="3883" spans="2:5" ht="18.75">
      <c r="B3883">
        <v>11</v>
      </c>
      <c r="C3883" s="5">
        <v>46090</v>
      </c>
      <c r="D3883" t="s">
        <v>150</v>
      </c>
      <c r="E3883">
        <v>86.27</v>
      </c>
    </row>
    <row r="3884" spans="2:5" ht="18.75">
      <c r="B3884">
        <v>11</v>
      </c>
      <c r="C3884" s="5">
        <v>46090</v>
      </c>
      <c r="D3884" t="s">
        <v>151</v>
      </c>
      <c r="E3884">
        <v>358.48</v>
      </c>
    </row>
    <row r="3885" spans="2:5" ht="18.75">
      <c r="B3885">
        <v>11</v>
      </c>
      <c r="C3885" s="5">
        <v>46090</v>
      </c>
      <c r="D3885" t="s">
        <v>127</v>
      </c>
      <c r="E3885">
        <v>90.48</v>
      </c>
    </row>
    <row r="3886" spans="2:5" ht="18.75">
      <c r="B3886">
        <v>11</v>
      </c>
      <c r="C3886" s="5">
        <v>46090</v>
      </c>
      <c r="D3886" t="s">
        <v>149</v>
      </c>
      <c r="E3886">
        <v>168.83</v>
      </c>
    </row>
    <row r="3887" spans="2:5" ht="18.75">
      <c r="B3887">
        <v>43</v>
      </c>
      <c r="C3887" s="5">
        <v>45950</v>
      </c>
      <c r="D3887" t="s">
        <v>138</v>
      </c>
      <c r="E3887">
        <v>391.9</v>
      </c>
    </row>
    <row r="3888" spans="2:5" ht="18.75">
      <c r="B3888">
        <v>43</v>
      </c>
      <c r="C3888" s="5">
        <v>45950</v>
      </c>
      <c r="D3888" t="s">
        <v>141</v>
      </c>
      <c r="E3888">
        <v>585.19000000000005</v>
      </c>
    </row>
    <row r="3889" spans="2:5" ht="18.75">
      <c r="B3889">
        <v>43</v>
      </c>
      <c r="C3889" s="5">
        <v>45950</v>
      </c>
      <c r="D3889" t="s">
        <v>143</v>
      </c>
      <c r="E3889">
        <v>1339.33</v>
      </c>
    </row>
    <row r="3890" spans="2:5" ht="18.75">
      <c r="B3890">
        <v>43</v>
      </c>
      <c r="C3890" s="5">
        <v>45950</v>
      </c>
      <c r="D3890" t="s">
        <v>145</v>
      </c>
      <c r="E3890">
        <v>328.41</v>
      </c>
    </row>
    <row r="3891" spans="2:5" ht="18.75">
      <c r="B3891">
        <v>43</v>
      </c>
      <c r="C3891" s="5">
        <v>45950</v>
      </c>
      <c r="D3891" t="s">
        <v>146</v>
      </c>
      <c r="E3891">
        <v>532.25</v>
      </c>
    </row>
    <row r="3892" spans="2:5" ht="18.75">
      <c r="B3892">
        <v>43</v>
      </c>
      <c r="C3892" s="5">
        <v>45950</v>
      </c>
      <c r="D3892" t="s">
        <v>111</v>
      </c>
      <c r="E3892">
        <v>295.25</v>
      </c>
    </row>
    <row r="3893" spans="2:5" ht="18.75">
      <c r="B3893">
        <v>43</v>
      </c>
      <c r="C3893" s="5">
        <v>45950</v>
      </c>
      <c r="D3893" t="s">
        <v>117</v>
      </c>
      <c r="E3893">
        <v>251.05</v>
      </c>
    </row>
    <row r="3894" spans="2:5" ht="18.75">
      <c r="B3894">
        <v>43</v>
      </c>
      <c r="C3894" s="5">
        <v>45950</v>
      </c>
      <c r="D3894" t="s">
        <v>120</v>
      </c>
      <c r="E3894">
        <v>197.87</v>
      </c>
    </row>
    <row r="3895" spans="2:5" ht="18.75">
      <c r="B3895">
        <v>43</v>
      </c>
      <c r="C3895" s="5">
        <v>45950</v>
      </c>
      <c r="D3895" t="s">
        <v>127</v>
      </c>
      <c r="E3895">
        <v>216.32</v>
      </c>
    </row>
    <row r="3896" spans="2:5" ht="18.75">
      <c r="B3896">
        <v>43</v>
      </c>
      <c r="C3896" s="5">
        <v>45950</v>
      </c>
      <c r="D3896" t="s">
        <v>129</v>
      </c>
      <c r="E3896">
        <v>390.39</v>
      </c>
    </row>
    <row r="3897" spans="2:5" ht="18.75">
      <c r="B3897">
        <v>43</v>
      </c>
      <c r="C3897" s="5">
        <v>45950</v>
      </c>
      <c r="D3897" t="s">
        <v>133</v>
      </c>
      <c r="E3897">
        <v>299.18</v>
      </c>
    </row>
    <row r="3898" spans="2:5" ht="18.75">
      <c r="B3898">
        <v>43</v>
      </c>
      <c r="C3898" s="5">
        <v>45950</v>
      </c>
      <c r="D3898" t="s">
        <v>134</v>
      </c>
      <c r="E3898">
        <v>308.51</v>
      </c>
    </row>
    <row r="3899" spans="2:5" ht="18.75">
      <c r="B3899">
        <v>43</v>
      </c>
      <c r="C3899" s="5">
        <v>45950</v>
      </c>
      <c r="D3899" t="s">
        <v>114</v>
      </c>
      <c r="E3899">
        <v>243.99</v>
      </c>
    </row>
    <row r="3900" spans="2:5" ht="18.75">
      <c r="B3900">
        <v>43</v>
      </c>
      <c r="C3900" s="5">
        <v>45950</v>
      </c>
      <c r="D3900" t="s">
        <v>119</v>
      </c>
      <c r="E3900">
        <v>396.97</v>
      </c>
    </row>
    <row r="3901" spans="2:5" ht="18.75">
      <c r="B3901">
        <v>43</v>
      </c>
      <c r="C3901" s="5">
        <v>45950</v>
      </c>
      <c r="D3901" t="s">
        <v>118</v>
      </c>
      <c r="E3901">
        <v>159.97999999999999</v>
      </c>
    </row>
    <row r="3902" spans="2:5" ht="18.75">
      <c r="B3902">
        <v>43</v>
      </c>
      <c r="C3902" s="5">
        <v>45950</v>
      </c>
      <c r="D3902" t="s">
        <v>123</v>
      </c>
      <c r="E3902">
        <v>405.34</v>
      </c>
    </row>
    <row r="3903" spans="2:5" ht="18.75">
      <c r="B3903">
        <v>43</v>
      </c>
      <c r="C3903" s="5">
        <v>45950</v>
      </c>
      <c r="D3903" t="s">
        <v>124</v>
      </c>
      <c r="E3903">
        <v>407.15</v>
      </c>
    </row>
    <row r="3904" spans="2:5" ht="18.75">
      <c r="B3904">
        <v>43</v>
      </c>
      <c r="C3904" s="5">
        <v>45950</v>
      </c>
      <c r="D3904" t="s">
        <v>126</v>
      </c>
      <c r="E3904">
        <v>102.95</v>
      </c>
    </row>
    <row r="3905" spans="2:5" ht="18.75">
      <c r="B3905">
        <v>43</v>
      </c>
      <c r="C3905" s="5">
        <v>45950</v>
      </c>
      <c r="D3905" t="s">
        <v>139</v>
      </c>
      <c r="E3905">
        <v>219.06</v>
      </c>
    </row>
    <row r="3906" spans="2:5" ht="18.75">
      <c r="B3906">
        <v>43</v>
      </c>
      <c r="C3906" s="5">
        <v>45950</v>
      </c>
      <c r="D3906" t="s">
        <v>219</v>
      </c>
      <c r="E3906">
        <v>261.79000000000002</v>
      </c>
    </row>
    <row r="3907" spans="2:5" ht="18.75">
      <c r="B3907">
        <v>43</v>
      </c>
      <c r="C3907" s="5">
        <v>45950</v>
      </c>
      <c r="D3907" t="s">
        <v>113</v>
      </c>
      <c r="E3907">
        <v>174.57</v>
      </c>
    </row>
    <row r="3908" spans="2:5" ht="18.75">
      <c r="B3908">
        <v>43</v>
      </c>
      <c r="C3908" s="5">
        <v>45950</v>
      </c>
      <c r="D3908" t="s">
        <v>112</v>
      </c>
      <c r="E3908">
        <v>71.28</v>
      </c>
    </row>
    <row r="3909" spans="2:5" ht="18.75">
      <c r="B3909">
        <v>43</v>
      </c>
      <c r="C3909" s="5">
        <v>45950</v>
      </c>
      <c r="D3909" t="s">
        <v>116</v>
      </c>
      <c r="E3909">
        <v>81.64</v>
      </c>
    </row>
    <row r="3910" spans="2:5" ht="18.75">
      <c r="B3910">
        <v>43</v>
      </c>
      <c r="C3910" s="5">
        <v>45950</v>
      </c>
      <c r="D3910" t="s">
        <v>121</v>
      </c>
      <c r="E3910">
        <v>135.29</v>
      </c>
    </row>
    <row r="3911" spans="2:5" ht="18.75">
      <c r="B3911">
        <v>43</v>
      </c>
      <c r="C3911" s="5">
        <v>45950</v>
      </c>
      <c r="D3911" t="s">
        <v>122</v>
      </c>
      <c r="E3911">
        <v>250.67</v>
      </c>
    </row>
    <row r="3912" spans="2:5" ht="18.75">
      <c r="B3912">
        <v>43</v>
      </c>
      <c r="C3912" s="5">
        <v>45950</v>
      </c>
      <c r="D3912" t="s">
        <v>125</v>
      </c>
      <c r="E3912">
        <v>46.7</v>
      </c>
    </row>
    <row r="3913" spans="2:5" ht="18.75">
      <c r="B3913">
        <v>43</v>
      </c>
      <c r="C3913" s="5">
        <v>45950</v>
      </c>
      <c r="D3913" t="s">
        <v>128</v>
      </c>
      <c r="E3913">
        <v>144.75</v>
      </c>
    </row>
    <row r="3914" spans="2:5" ht="18.75">
      <c r="B3914">
        <v>43</v>
      </c>
      <c r="C3914" s="5">
        <v>45950</v>
      </c>
      <c r="D3914" t="s">
        <v>132</v>
      </c>
      <c r="E3914">
        <v>143.69999999999999</v>
      </c>
    </row>
    <row r="3915" spans="2:5" ht="18.75">
      <c r="B3915">
        <v>43</v>
      </c>
      <c r="C3915" s="5">
        <v>45950</v>
      </c>
      <c r="D3915" t="s">
        <v>135</v>
      </c>
      <c r="E3915">
        <v>57.31</v>
      </c>
    </row>
    <row r="3916" spans="2:5" ht="18.75">
      <c r="B3916">
        <v>43</v>
      </c>
      <c r="C3916" s="5">
        <v>45950</v>
      </c>
      <c r="D3916" t="s">
        <v>136</v>
      </c>
      <c r="E3916">
        <v>87.03</v>
      </c>
    </row>
    <row r="3917" spans="2:5" ht="18.75">
      <c r="B3917">
        <v>43</v>
      </c>
      <c r="C3917" s="5">
        <v>45950</v>
      </c>
      <c r="D3917" t="s">
        <v>137</v>
      </c>
      <c r="E3917">
        <v>96.93</v>
      </c>
    </row>
    <row r="3918" spans="2:5" ht="18.75">
      <c r="B3918">
        <v>43</v>
      </c>
      <c r="C3918" s="5">
        <v>45950</v>
      </c>
      <c r="D3918" t="s">
        <v>140</v>
      </c>
      <c r="E3918">
        <v>64.319999999999993</v>
      </c>
    </row>
    <row r="3919" spans="2:5" ht="18.75">
      <c r="B3919">
        <v>43</v>
      </c>
      <c r="C3919" s="5">
        <v>45950</v>
      </c>
      <c r="D3919" t="s">
        <v>142</v>
      </c>
      <c r="E3919">
        <v>129.11000000000001</v>
      </c>
    </row>
    <row r="3920" spans="2:5" ht="18.75">
      <c r="B3920">
        <v>43</v>
      </c>
      <c r="C3920" s="5">
        <v>45950</v>
      </c>
      <c r="D3920" t="s">
        <v>149</v>
      </c>
      <c r="E3920">
        <v>105.23</v>
      </c>
    </row>
    <row r="3921" spans="2:5" ht="18.75">
      <c r="B3921">
        <v>43</v>
      </c>
      <c r="C3921" s="5">
        <v>45950</v>
      </c>
      <c r="D3921" t="s">
        <v>150</v>
      </c>
      <c r="E3921">
        <v>62.82</v>
      </c>
    </row>
    <row r="3922" spans="2:5" ht="18.75">
      <c r="B3922">
        <v>44</v>
      </c>
      <c r="C3922" s="5">
        <v>45957</v>
      </c>
      <c r="D3922" t="s">
        <v>111</v>
      </c>
      <c r="E3922">
        <v>274.2</v>
      </c>
    </row>
    <row r="3923" spans="2:5" ht="18.75">
      <c r="B3923">
        <v>44</v>
      </c>
      <c r="C3923" s="5">
        <v>45957</v>
      </c>
      <c r="D3923" t="s">
        <v>143</v>
      </c>
      <c r="E3923">
        <v>1319.3</v>
      </c>
    </row>
    <row r="3924" spans="2:5" ht="18.75">
      <c r="B3924">
        <v>44</v>
      </c>
      <c r="C3924" s="5">
        <v>45957</v>
      </c>
      <c r="D3924" t="s">
        <v>127</v>
      </c>
      <c r="E3924">
        <v>233.8</v>
      </c>
    </row>
    <row r="3925" spans="2:5" ht="18.75">
      <c r="B3925">
        <v>44</v>
      </c>
      <c r="C3925" s="5">
        <v>45957</v>
      </c>
      <c r="D3925" t="s">
        <v>117</v>
      </c>
      <c r="E3925">
        <v>261.33</v>
      </c>
    </row>
    <row r="3926" spans="2:5" ht="18.75">
      <c r="B3926">
        <v>44</v>
      </c>
      <c r="C3926" s="5">
        <v>45957</v>
      </c>
      <c r="D3926" t="s">
        <v>119</v>
      </c>
      <c r="E3926">
        <v>397.19</v>
      </c>
    </row>
    <row r="3927" spans="2:5" ht="18.75">
      <c r="B3927">
        <v>44</v>
      </c>
      <c r="C3927" s="5">
        <v>45957</v>
      </c>
      <c r="D3927" t="s">
        <v>120</v>
      </c>
      <c r="E3927">
        <v>239.92</v>
      </c>
    </row>
    <row r="3928" spans="2:5" ht="18.75">
      <c r="B3928">
        <v>44</v>
      </c>
      <c r="C3928" s="5">
        <v>45957</v>
      </c>
      <c r="D3928" t="s">
        <v>121</v>
      </c>
      <c r="E3928">
        <v>323.07</v>
      </c>
    </row>
    <row r="3929" spans="2:5" ht="18.75">
      <c r="B3929">
        <v>44</v>
      </c>
      <c r="C3929" s="5">
        <v>45957</v>
      </c>
      <c r="D3929" t="s">
        <v>133</v>
      </c>
      <c r="E3929">
        <v>337.37</v>
      </c>
    </row>
    <row r="3930" spans="2:5" ht="18.75">
      <c r="B3930">
        <v>44</v>
      </c>
      <c r="C3930" s="5">
        <v>45957</v>
      </c>
      <c r="D3930" t="s">
        <v>134</v>
      </c>
      <c r="E3930">
        <v>345.33</v>
      </c>
    </row>
    <row r="3931" spans="2:5" ht="18.75">
      <c r="B3931">
        <v>44</v>
      </c>
      <c r="C3931" s="5">
        <v>45957</v>
      </c>
      <c r="D3931" t="s">
        <v>141</v>
      </c>
      <c r="E3931">
        <v>607.1</v>
      </c>
    </row>
    <row r="3932" spans="2:5" ht="18.75">
      <c r="B3932">
        <v>44</v>
      </c>
      <c r="C3932" s="5">
        <v>45957</v>
      </c>
      <c r="D3932" t="s">
        <v>145</v>
      </c>
      <c r="E3932">
        <v>449.08</v>
      </c>
    </row>
    <row r="3933" spans="2:5" ht="18.75">
      <c r="B3933">
        <v>44</v>
      </c>
      <c r="C3933" s="5">
        <v>45957</v>
      </c>
      <c r="D3933" t="s">
        <v>146</v>
      </c>
      <c r="E3933">
        <v>628.41</v>
      </c>
    </row>
    <row r="3934" spans="2:5" ht="18.75">
      <c r="B3934">
        <v>44</v>
      </c>
      <c r="C3934" s="5">
        <v>45957</v>
      </c>
      <c r="D3934" t="s">
        <v>114</v>
      </c>
      <c r="E3934">
        <v>262.79000000000002</v>
      </c>
    </row>
    <row r="3935" spans="2:5" ht="18.75">
      <c r="B3935">
        <v>44</v>
      </c>
      <c r="C3935" s="5">
        <v>45957</v>
      </c>
      <c r="D3935" t="s">
        <v>138</v>
      </c>
      <c r="E3935">
        <v>450.36</v>
      </c>
    </row>
    <row r="3936" spans="2:5" ht="18.75">
      <c r="B3936">
        <v>44</v>
      </c>
      <c r="C3936" s="5">
        <v>45957</v>
      </c>
      <c r="D3936" t="s">
        <v>129</v>
      </c>
      <c r="E3936">
        <v>453.62</v>
      </c>
    </row>
    <row r="3937" spans="2:5" ht="18.75">
      <c r="B3937">
        <v>44</v>
      </c>
      <c r="C3937" s="5">
        <v>45957</v>
      </c>
      <c r="D3937" t="s">
        <v>122</v>
      </c>
      <c r="E3937">
        <v>231.96</v>
      </c>
    </row>
    <row r="3938" spans="2:5" ht="18.75">
      <c r="B3938">
        <v>44</v>
      </c>
      <c r="C3938" s="5">
        <v>45957</v>
      </c>
      <c r="D3938" t="s">
        <v>123</v>
      </c>
      <c r="E3938">
        <v>516.76</v>
      </c>
    </row>
    <row r="3939" spans="2:5" ht="18.75">
      <c r="B3939">
        <v>44</v>
      </c>
      <c r="C3939" s="5">
        <v>45957</v>
      </c>
      <c r="D3939" t="s">
        <v>124</v>
      </c>
      <c r="E3939">
        <v>485.83</v>
      </c>
    </row>
    <row r="3940" spans="2:5" ht="18.75">
      <c r="B3940">
        <v>44</v>
      </c>
      <c r="C3940" s="5">
        <v>45957</v>
      </c>
      <c r="D3940" t="s">
        <v>128</v>
      </c>
      <c r="E3940">
        <v>158.88</v>
      </c>
    </row>
    <row r="3941" spans="2:5" ht="18.75">
      <c r="B3941">
        <v>44</v>
      </c>
      <c r="C3941" s="5">
        <v>45957</v>
      </c>
      <c r="D3941" t="s">
        <v>132</v>
      </c>
      <c r="E3941">
        <v>300.44</v>
      </c>
    </row>
    <row r="3942" spans="2:5" ht="18.75">
      <c r="B3942">
        <v>44</v>
      </c>
      <c r="C3942" s="5">
        <v>45957</v>
      </c>
      <c r="D3942" t="s">
        <v>142</v>
      </c>
      <c r="E3942">
        <v>284.43</v>
      </c>
    </row>
    <row r="3943" spans="2:5" ht="18.75">
      <c r="B3943">
        <v>44</v>
      </c>
      <c r="C3943" s="5">
        <v>45957</v>
      </c>
      <c r="D3943" t="s">
        <v>219</v>
      </c>
      <c r="E3943">
        <v>334.47</v>
      </c>
    </row>
    <row r="3944" spans="2:5" ht="18.75">
      <c r="B3944">
        <v>44</v>
      </c>
      <c r="C3944" s="5">
        <v>45957</v>
      </c>
      <c r="D3944" t="s">
        <v>112</v>
      </c>
      <c r="E3944">
        <v>81.36</v>
      </c>
    </row>
    <row r="3945" spans="2:5" ht="18.75">
      <c r="B3945">
        <v>44</v>
      </c>
      <c r="C3945" s="5">
        <v>45957</v>
      </c>
      <c r="D3945" t="s">
        <v>113</v>
      </c>
      <c r="E3945">
        <v>233.28</v>
      </c>
    </row>
    <row r="3946" spans="2:5" ht="18.75">
      <c r="B3946">
        <v>44</v>
      </c>
      <c r="C3946" s="5">
        <v>45957</v>
      </c>
      <c r="D3946" t="s">
        <v>116</v>
      </c>
      <c r="E3946">
        <v>92.8</v>
      </c>
    </row>
    <row r="3947" spans="2:5" ht="18.75">
      <c r="B3947">
        <v>44</v>
      </c>
      <c r="C3947" s="5">
        <v>45957</v>
      </c>
      <c r="D3947" t="s">
        <v>118</v>
      </c>
      <c r="E3947">
        <v>178.58</v>
      </c>
    </row>
    <row r="3948" spans="2:5" ht="18.75">
      <c r="B3948">
        <v>44</v>
      </c>
      <c r="C3948" s="5">
        <v>45957</v>
      </c>
      <c r="D3948" t="s">
        <v>125</v>
      </c>
      <c r="E3948">
        <v>65.88</v>
      </c>
    </row>
    <row r="3949" spans="2:5" ht="18.75">
      <c r="B3949">
        <v>44</v>
      </c>
      <c r="C3949" s="5">
        <v>45957</v>
      </c>
      <c r="D3949" t="s">
        <v>126</v>
      </c>
      <c r="E3949">
        <v>119.11</v>
      </c>
    </row>
    <row r="3950" spans="2:5" ht="18.75">
      <c r="B3950">
        <v>44</v>
      </c>
      <c r="C3950" s="5">
        <v>45957</v>
      </c>
      <c r="D3950" t="s">
        <v>136</v>
      </c>
      <c r="E3950">
        <v>77.069999999999993</v>
      </c>
    </row>
    <row r="3951" spans="2:5" ht="18.75">
      <c r="B3951">
        <v>44</v>
      </c>
      <c r="C3951" s="5">
        <v>45957</v>
      </c>
      <c r="D3951" t="s">
        <v>137</v>
      </c>
      <c r="E3951">
        <v>78.56</v>
      </c>
    </row>
    <row r="3952" spans="2:5" ht="18.75">
      <c r="B3952">
        <v>44</v>
      </c>
      <c r="C3952" s="5">
        <v>45957</v>
      </c>
      <c r="D3952" t="s">
        <v>140</v>
      </c>
      <c r="E3952">
        <v>77.23</v>
      </c>
    </row>
    <row r="3953" spans="2:5" ht="18.75">
      <c r="B3953">
        <v>44</v>
      </c>
      <c r="C3953" s="5">
        <v>45957</v>
      </c>
      <c r="D3953" t="s">
        <v>139</v>
      </c>
      <c r="E3953">
        <v>295.23</v>
      </c>
    </row>
    <row r="3954" spans="2:5" ht="18.75">
      <c r="B3954">
        <v>44</v>
      </c>
      <c r="C3954" s="5">
        <v>45957</v>
      </c>
      <c r="D3954" t="s">
        <v>149</v>
      </c>
      <c r="E3954">
        <v>132.25</v>
      </c>
    </row>
    <row r="3955" spans="2:5" ht="18.75">
      <c r="B3955">
        <v>44</v>
      </c>
      <c r="C3955" s="5">
        <v>45957</v>
      </c>
      <c r="D3955" t="s">
        <v>150</v>
      </c>
      <c r="E3955">
        <v>51.61</v>
      </c>
    </row>
    <row r="3956" spans="2:5" ht="18.75">
      <c r="B3956">
        <v>44</v>
      </c>
      <c r="C3956" s="5">
        <v>45957</v>
      </c>
      <c r="D3956" t="s">
        <v>135</v>
      </c>
      <c r="E3956">
        <v>45.68</v>
      </c>
    </row>
    <row r="3957" spans="2:5" ht="18.75">
      <c r="B3957">
        <v>45</v>
      </c>
      <c r="C3957" s="5">
        <v>45964</v>
      </c>
      <c r="D3957" t="s">
        <v>143</v>
      </c>
      <c r="E3957">
        <v>1382.07</v>
      </c>
    </row>
    <row r="3958" spans="2:5" ht="18.75">
      <c r="B3958">
        <v>45</v>
      </c>
      <c r="C3958" s="5">
        <v>45964</v>
      </c>
      <c r="D3958" t="s">
        <v>126</v>
      </c>
      <c r="E3958">
        <v>78.180000000000007</v>
      </c>
    </row>
    <row r="3959" spans="2:5" ht="18.75">
      <c r="B3959">
        <v>45</v>
      </c>
      <c r="C3959" s="5">
        <v>45964</v>
      </c>
      <c r="D3959" t="s">
        <v>127</v>
      </c>
      <c r="E3959">
        <v>271.14</v>
      </c>
    </row>
    <row r="3960" spans="2:5" ht="18.75">
      <c r="B3960">
        <v>45</v>
      </c>
      <c r="C3960" s="5">
        <v>45964</v>
      </c>
      <c r="D3960" t="s">
        <v>146</v>
      </c>
      <c r="E3960">
        <v>585.88</v>
      </c>
    </row>
    <row r="3961" spans="2:5" ht="18.75">
      <c r="B3961">
        <v>45</v>
      </c>
      <c r="C3961" s="5">
        <v>45964</v>
      </c>
      <c r="D3961" t="s">
        <v>141</v>
      </c>
      <c r="E3961">
        <v>352.85</v>
      </c>
    </row>
    <row r="3962" spans="2:5" ht="18.75">
      <c r="B3962">
        <v>45</v>
      </c>
      <c r="C3962" s="5">
        <v>45964</v>
      </c>
      <c r="D3962" t="s">
        <v>111</v>
      </c>
      <c r="E3962">
        <v>251.47</v>
      </c>
    </row>
    <row r="3963" spans="2:5" ht="18.75">
      <c r="B3963">
        <v>45</v>
      </c>
      <c r="C3963" s="5">
        <v>45964</v>
      </c>
      <c r="D3963" t="s">
        <v>112</v>
      </c>
      <c r="E3963">
        <v>75.67</v>
      </c>
    </row>
    <row r="3964" spans="2:5" ht="18.75">
      <c r="B3964">
        <v>45</v>
      </c>
      <c r="C3964" s="5">
        <v>45964</v>
      </c>
      <c r="D3964" t="s">
        <v>113</v>
      </c>
      <c r="E3964">
        <v>224.78</v>
      </c>
    </row>
    <row r="3965" spans="2:5" ht="18.75">
      <c r="B3965">
        <v>45</v>
      </c>
      <c r="C3965" s="5">
        <v>45964</v>
      </c>
      <c r="D3965" t="s">
        <v>114</v>
      </c>
      <c r="E3965">
        <v>272.99</v>
      </c>
    </row>
    <row r="3966" spans="2:5" ht="18.75">
      <c r="B3966">
        <v>45</v>
      </c>
      <c r="C3966" s="5">
        <v>45964</v>
      </c>
      <c r="D3966" t="s">
        <v>116</v>
      </c>
      <c r="E3966">
        <v>99.57</v>
      </c>
    </row>
    <row r="3967" spans="2:5" ht="18.75">
      <c r="B3967">
        <v>45</v>
      </c>
      <c r="C3967" s="5">
        <v>45964</v>
      </c>
      <c r="D3967" t="s">
        <v>117</v>
      </c>
      <c r="E3967">
        <v>286.26</v>
      </c>
    </row>
    <row r="3968" spans="2:5" ht="18.75">
      <c r="B3968">
        <v>45</v>
      </c>
      <c r="C3968" s="5">
        <v>45964</v>
      </c>
      <c r="D3968" t="s">
        <v>118</v>
      </c>
      <c r="E3968">
        <v>172.48</v>
      </c>
    </row>
    <row r="3969" spans="2:5" ht="18.75">
      <c r="B3969">
        <v>45</v>
      </c>
      <c r="C3969" s="5">
        <v>45964</v>
      </c>
      <c r="D3969" t="s">
        <v>119</v>
      </c>
      <c r="E3969">
        <v>429.72</v>
      </c>
    </row>
    <row r="3970" spans="2:5" ht="18.75">
      <c r="B3970">
        <v>45</v>
      </c>
      <c r="C3970" s="5">
        <v>45964</v>
      </c>
      <c r="D3970" t="s">
        <v>120</v>
      </c>
      <c r="E3970">
        <v>163.27000000000001</v>
      </c>
    </row>
    <row r="3971" spans="2:5" ht="18.75">
      <c r="B3971">
        <v>45</v>
      </c>
      <c r="C3971" s="5">
        <v>45964</v>
      </c>
      <c r="D3971" t="s">
        <v>121</v>
      </c>
      <c r="E3971">
        <v>140.24</v>
      </c>
    </row>
    <row r="3972" spans="2:5" ht="18.75">
      <c r="B3972">
        <v>45</v>
      </c>
      <c r="C3972" s="5">
        <v>45964</v>
      </c>
      <c r="D3972" t="s">
        <v>122</v>
      </c>
      <c r="E3972">
        <v>391.54</v>
      </c>
    </row>
    <row r="3973" spans="2:5" ht="18.75">
      <c r="B3973">
        <v>45</v>
      </c>
      <c r="C3973" s="5">
        <v>45964</v>
      </c>
      <c r="D3973" t="s">
        <v>123</v>
      </c>
      <c r="E3973">
        <v>462.04</v>
      </c>
    </row>
    <row r="3974" spans="2:5" ht="18.75">
      <c r="B3974">
        <v>45</v>
      </c>
      <c r="C3974" s="5">
        <v>45964</v>
      </c>
      <c r="D3974" t="s">
        <v>124</v>
      </c>
      <c r="E3974">
        <v>439.45</v>
      </c>
    </row>
    <row r="3975" spans="2:5" ht="18.75">
      <c r="B3975">
        <v>45</v>
      </c>
      <c r="C3975" s="5">
        <v>45964</v>
      </c>
      <c r="D3975" t="s">
        <v>125</v>
      </c>
      <c r="E3975">
        <v>69.64</v>
      </c>
    </row>
    <row r="3976" spans="2:5" ht="18.75">
      <c r="B3976">
        <v>45</v>
      </c>
      <c r="C3976" s="5">
        <v>45964</v>
      </c>
      <c r="D3976" t="s">
        <v>128</v>
      </c>
      <c r="E3976">
        <v>233.58</v>
      </c>
    </row>
    <row r="3977" spans="2:5" ht="18.75">
      <c r="B3977">
        <v>45</v>
      </c>
      <c r="C3977" s="5">
        <v>45964</v>
      </c>
      <c r="D3977" t="s">
        <v>129</v>
      </c>
      <c r="E3977">
        <v>449.26</v>
      </c>
    </row>
    <row r="3978" spans="2:5" ht="18.75">
      <c r="B3978">
        <v>45</v>
      </c>
      <c r="C3978" s="5">
        <v>45964</v>
      </c>
      <c r="D3978" t="s">
        <v>132</v>
      </c>
      <c r="E3978">
        <v>156.02000000000001</v>
      </c>
    </row>
    <row r="3979" spans="2:5" ht="18.75">
      <c r="B3979">
        <v>45</v>
      </c>
      <c r="C3979" s="5">
        <v>45964</v>
      </c>
      <c r="D3979" t="s">
        <v>133</v>
      </c>
      <c r="E3979">
        <v>360.8</v>
      </c>
    </row>
    <row r="3980" spans="2:5" ht="18.75">
      <c r="B3980">
        <v>45</v>
      </c>
      <c r="C3980" s="5">
        <v>45964</v>
      </c>
      <c r="D3980" t="s">
        <v>134</v>
      </c>
      <c r="E3980">
        <v>348.83</v>
      </c>
    </row>
    <row r="3981" spans="2:5" ht="18.75">
      <c r="B3981">
        <v>45</v>
      </c>
      <c r="C3981" s="5">
        <v>45964</v>
      </c>
      <c r="D3981" t="s">
        <v>135</v>
      </c>
      <c r="E3981">
        <v>65.900000000000006</v>
      </c>
    </row>
    <row r="3982" spans="2:5" ht="18.75">
      <c r="B3982">
        <v>45</v>
      </c>
      <c r="C3982" s="5">
        <v>45964</v>
      </c>
      <c r="D3982" t="s">
        <v>136</v>
      </c>
      <c r="E3982">
        <v>82.55</v>
      </c>
    </row>
    <row r="3983" spans="2:5" ht="18.75">
      <c r="B3983">
        <v>45</v>
      </c>
      <c r="C3983" s="5">
        <v>45964</v>
      </c>
      <c r="D3983" t="s">
        <v>137</v>
      </c>
      <c r="E3983">
        <v>84.72</v>
      </c>
    </row>
    <row r="3984" spans="2:5" ht="18.75">
      <c r="B3984">
        <v>45</v>
      </c>
      <c r="C3984" s="5">
        <v>45964</v>
      </c>
      <c r="D3984" t="s">
        <v>138</v>
      </c>
      <c r="E3984">
        <v>459</v>
      </c>
    </row>
    <row r="3985" spans="2:5" ht="18.75">
      <c r="B3985">
        <v>45</v>
      </c>
      <c r="C3985" s="5">
        <v>45964</v>
      </c>
      <c r="D3985" t="s">
        <v>140</v>
      </c>
      <c r="E3985">
        <v>311.81</v>
      </c>
    </row>
    <row r="3986" spans="2:5" ht="18.75">
      <c r="B3986">
        <v>45</v>
      </c>
      <c r="C3986" s="5">
        <v>45964</v>
      </c>
      <c r="D3986" t="s">
        <v>142</v>
      </c>
      <c r="E3986">
        <v>257.83</v>
      </c>
    </row>
    <row r="3987" spans="2:5" ht="18.75">
      <c r="B3987">
        <v>45</v>
      </c>
      <c r="C3987" s="5">
        <v>45964</v>
      </c>
      <c r="D3987" t="s">
        <v>145</v>
      </c>
      <c r="E3987">
        <v>336.22</v>
      </c>
    </row>
    <row r="3988" spans="2:5" ht="18.75">
      <c r="B3988">
        <v>45</v>
      </c>
      <c r="C3988" s="5">
        <v>45964</v>
      </c>
      <c r="D3988" t="s">
        <v>219</v>
      </c>
      <c r="E3988">
        <v>300.42</v>
      </c>
    </row>
    <row r="3989" spans="2:5" ht="18.75">
      <c r="B3989">
        <v>45</v>
      </c>
      <c r="C3989" s="5">
        <v>45964</v>
      </c>
      <c r="D3989" t="s">
        <v>149</v>
      </c>
      <c r="E3989">
        <v>135.11000000000001</v>
      </c>
    </row>
    <row r="3990" spans="2:5" ht="18.75">
      <c r="B3990">
        <v>45</v>
      </c>
      <c r="C3990" s="5">
        <v>45964</v>
      </c>
      <c r="D3990" t="s">
        <v>150</v>
      </c>
      <c r="E3990">
        <v>70.97</v>
      </c>
    </row>
    <row r="3991" spans="2:5" ht="18.75">
      <c r="B3991">
        <v>45</v>
      </c>
      <c r="C3991" s="5">
        <v>45964</v>
      </c>
      <c r="D3991" t="s">
        <v>139</v>
      </c>
      <c r="E3991">
        <v>189.02</v>
      </c>
    </row>
    <row r="3992" spans="2:5" ht="18.75">
      <c r="B3992">
        <v>46</v>
      </c>
      <c r="C3992" s="5">
        <v>45971</v>
      </c>
      <c r="D3992" t="s">
        <v>111</v>
      </c>
      <c r="E3992">
        <v>201.05</v>
      </c>
    </row>
    <row r="3993" spans="2:5" ht="18.75">
      <c r="B3993">
        <v>46</v>
      </c>
      <c r="C3993" s="5">
        <v>45971</v>
      </c>
      <c r="D3993" t="s">
        <v>112</v>
      </c>
      <c r="E3993">
        <v>77.319999999999993</v>
      </c>
    </row>
    <row r="3994" spans="2:5" ht="18.75">
      <c r="B3994">
        <v>46</v>
      </c>
      <c r="C3994" s="5">
        <v>45971</v>
      </c>
      <c r="D3994" t="s">
        <v>114</v>
      </c>
      <c r="E3994">
        <v>136.30000000000001</v>
      </c>
    </row>
    <row r="3995" spans="2:5" ht="18.75">
      <c r="B3995">
        <v>46</v>
      </c>
      <c r="C3995" s="5">
        <v>45971</v>
      </c>
      <c r="D3995" t="s">
        <v>117</v>
      </c>
      <c r="E3995">
        <v>177.6</v>
      </c>
    </row>
    <row r="3996" spans="2:5" ht="18.75">
      <c r="B3996">
        <v>46</v>
      </c>
      <c r="C3996" s="5">
        <v>45971</v>
      </c>
      <c r="D3996" t="s">
        <v>118</v>
      </c>
      <c r="E3996">
        <v>221.95</v>
      </c>
    </row>
    <row r="3997" spans="2:5" ht="18.75">
      <c r="B3997">
        <v>46</v>
      </c>
      <c r="C3997" s="5">
        <v>45971</v>
      </c>
      <c r="D3997" t="s">
        <v>119</v>
      </c>
      <c r="E3997">
        <v>303.10000000000002</v>
      </c>
    </row>
    <row r="3998" spans="2:5" ht="18.75">
      <c r="B3998">
        <v>46</v>
      </c>
      <c r="C3998" s="5">
        <v>45971</v>
      </c>
      <c r="D3998" t="s">
        <v>120</v>
      </c>
      <c r="E3998">
        <v>126.14</v>
      </c>
    </row>
    <row r="3999" spans="2:5" ht="18.75">
      <c r="B3999">
        <v>46</v>
      </c>
      <c r="C3999" s="5">
        <v>45971</v>
      </c>
      <c r="D3999" t="s">
        <v>121</v>
      </c>
      <c r="E3999">
        <v>159.9</v>
      </c>
    </row>
    <row r="4000" spans="2:5" ht="18.75">
      <c r="B4000">
        <v>46</v>
      </c>
      <c r="C4000" s="5">
        <v>45971</v>
      </c>
      <c r="D4000" t="s">
        <v>122</v>
      </c>
      <c r="E4000">
        <v>158.05000000000001</v>
      </c>
    </row>
    <row r="4001" spans="2:5" ht="18.75">
      <c r="B4001">
        <v>46</v>
      </c>
      <c r="C4001" s="5">
        <v>45971</v>
      </c>
      <c r="D4001" t="s">
        <v>123</v>
      </c>
      <c r="E4001">
        <v>445.79</v>
      </c>
    </row>
    <row r="4002" spans="2:5" ht="18.75">
      <c r="B4002">
        <v>46</v>
      </c>
      <c r="C4002" s="5">
        <v>45971</v>
      </c>
      <c r="D4002" t="s">
        <v>126</v>
      </c>
      <c r="E4002">
        <v>142.91999999999999</v>
      </c>
    </row>
    <row r="4003" spans="2:5" ht="18.75">
      <c r="B4003">
        <v>46</v>
      </c>
      <c r="C4003" s="5">
        <v>45971</v>
      </c>
      <c r="D4003" t="s">
        <v>128</v>
      </c>
      <c r="E4003">
        <v>140.21</v>
      </c>
    </row>
    <row r="4004" spans="2:5" ht="18.75">
      <c r="B4004">
        <v>46</v>
      </c>
      <c r="C4004" s="5">
        <v>45971</v>
      </c>
      <c r="D4004" t="s">
        <v>132</v>
      </c>
      <c r="E4004">
        <v>169.28</v>
      </c>
    </row>
    <row r="4005" spans="2:5" ht="18.75">
      <c r="B4005">
        <v>46</v>
      </c>
      <c r="C4005" s="5">
        <v>45971</v>
      </c>
      <c r="D4005" t="s">
        <v>133</v>
      </c>
      <c r="E4005">
        <v>321.51</v>
      </c>
    </row>
    <row r="4006" spans="2:5" ht="18.75">
      <c r="B4006">
        <v>46</v>
      </c>
      <c r="C4006" s="5">
        <v>45971</v>
      </c>
      <c r="D4006" t="s">
        <v>134</v>
      </c>
      <c r="E4006">
        <v>293.68</v>
      </c>
    </row>
    <row r="4007" spans="2:5" ht="18.75">
      <c r="B4007">
        <v>46</v>
      </c>
      <c r="C4007" s="5">
        <v>45971</v>
      </c>
      <c r="D4007" t="s">
        <v>137</v>
      </c>
      <c r="E4007">
        <v>74.489999999999995</v>
      </c>
    </row>
    <row r="4008" spans="2:5" ht="18.75">
      <c r="B4008">
        <v>46</v>
      </c>
      <c r="C4008" s="5">
        <v>45971</v>
      </c>
      <c r="D4008" t="s">
        <v>138</v>
      </c>
      <c r="E4008">
        <v>360.56</v>
      </c>
    </row>
    <row r="4009" spans="2:5" ht="18.75">
      <c r="B4009">
        <v>46</v>
      </c>
      <c r="C4009" s="5">
        <v>45971</v>
      </c>
      <c r="D4009" t="s">
        <v>141</v>
      </c>
      <c r="E4009">
        <v>600.99</v>
      </c>
    </row>
    <row r="4010" spans="2:5" ht="18.75">
      <c r="B4010">
        <v>46</v>
      </c>
      <c r="C4010" s="5">
        <v>45971</v>
      </c>
      <c r="D4010" t="s">
        <v>142</v>
      </c>
      <c r="E4010">
        <v>196.21</v>
      </c>
    </row>
    <row r="4011" spans="2:5" ht="18.75">
      <c r="B4011">
        <v>46</v>
      </c>
      <c r="C4011" s="5">
        <v>45971</v>
      </c>
      <c r="D4011" t="s">
        <v>143</v>
      </c>
      <c r="E4011">
        <v>1347.36</v>
      </c>
    </row>
    <row r="4012" spans="2:5" ht="18.75">
      <c r="B4012">
        <v>46</v>
      </c>
      <c r="C4012" s="5">
        <v>45971</v>
      </c>
      <c r="D4012" t="s">
        <v>145</v>
      </c>
      <c r="E4012">
        <v>267.5</v>
      </c>
    </row>
    <row r="4013" spans="2:5" ht="18.75">
      <c r="B4013">
        <v>46</v>
      </c>
      <c r="C4013" s="5">
        <v>45971</v>
      </c>
      <c r="D4013" t="s">
        <v>146</v>
      </c>
      <c r="E4013">
        <v>561.95000000000005</v>
      </c>
    </row>
    <row r="4014" spans="2:5" ht="18.75">
      <c r="B4014">
        <v>46</v>
      </c>
      <c r="C4014" s="5">
        <v>45971</v>
      </c>
      <c r="D4014" t="s">
        <v>219</v>
      </c>
      <c r="E4014">
        <v>280.51</v>
      </c>
    </row>
    <row r="4015" spans="2:5" ht="18.75">
      <c r="B4015">
        <v>46</v>
      </c>
      <c r="C4015" s="5">
        <v>45971</v>
      </c>
      <c r="D4015" t="s">
        <v>116</v>
      </c>
      <c r="E4015">
        <v>83.03</v>
      </c>
    </row>
    <row r="4016" spans="2:5" ht="18.75">
      <c r="B4016">
        <v>46</v>
      </c>
      <c r="C4016" s="5">
        <v>45971</v>
      </c>
      <c r="D4016" t="s">
        <v>124</v>
      </c>
      <c r="E4016">
        <v>380.07</v>
      </c>
    </row>
    <row r="4017" spans="2:5" ht="18.75">
      <c r="B4017">
        <v>46</v>
      </c>
      <c r="C4017" s="5">
        <v>45971</v>
      </c>
      <c r="D4017" t="s">
        <v>125</v>
      </c>
      <c r="E4017">
        <v>63.18</v>
      </c>
    </row>
    <row r="4018" spans="2:5" ht="18.75">
      <c r="B4018">
        <v>46</v>
      </c>
      <c r="C4018" s="5">
        <v>45971</v>
      </c>
      <c r="D4018" t="s">
        <v>129</v>
      </c>
      <c r="E4018">
        <v>424.75</v>
      </c>
    </row>
    <row r="4019" spans="2:5" ht="18.75">
      <c r="B4019">
        <v>46</v>
      </c>
      <c r="C4019" s="5">
        <v>45971</v>
      </c>
      <c r="D4019" t="s">
        <v>135</v>
      </c>
      <c r="E4019">
        <v>54.16</v>
      </c>
    </row>
    <row r="4020" spans="2:5" ht="18.75">
      <c r="B4020">
        <v>46</v>
      </c>
      <c r="C4020" s="5">
        <v>45971</v>
      </c>
      <c r="D4020" t="s">
        <v>136</v>
      </c>
      <c r="E4020">
        <v>87.02</v>
      </c>
    </row>
    <row r="4021" spans="2:5" ht="18.75">
      <c r="B4021">
        <v>46</v>
      </c>
      <c r="C4021" s="5">
        <v>45971</v>
      </c>
      <c r="D4021" t="s">
        <v>140</v>
      </c>
      <c r="E4021">
        <v>63.09</v>
      </c>
    </row>
    <row r="4022" spans="2:5" ht="18.75">
      <c r="B4022">
        <v>46</v>
      </c>
      <c r="C4022" s="5">
        <v>45971</v>
      </c>
      <c r="D4022" t="s">
        <v>139</v>
      </c>
      <c r="E4022">
        <v>256.58999999999997</v>
      </c>
    </row>
    <row r="4023" spans="2:5" ht="18.75">
      <c r="B4023">
        <v>46</v>
      </c>
      <c r="C4023" s="5">
        <v>45971</v>
      </c>
      <c r="D4023" t="s">
        <v>149</v>
      </c>
      <c r="E4023">
        <v>135.01</v>
      </c>
    </row>
    <row r="4024" spans="2:5" ht="18.75">
      <c r="B4024">
        <v>46</v>
      </c>
      <c r="C4024" s="5">
        <v>45971</v>
      </c>
      <c r="D4024" t="s">
        <v>150</v>
      </c>
      <c r="E4024">
        <v>61.86</v>
      </c>
    </row>
    <row r="4025" spans="2:5" ht="18.75">
      <c r="B4025">
        <v>46</v>
      </c>
      <c r="C4025" s="5">
        <v>45971</v>
      </c>
      <c r="D4025" t="s">
        <v>127</v>
      </c>
      <c r="E4025">
        <v>228.41</v>
      </c>
    </row>
    <row r="4026" spans="2:5" ht="18.75">
      <c r="B4026">
        <v>46</v>
      </c>
      <c r="C4026" s="5">
        <v>45971</v>
      </c>
      <c r="D4026" t="s">
        <v>113</v>
      </c>
      <c r="E4026">
        <v>163.47</v>
      </c>
    </row>
    <row r="4027" spans="2:5" ht="18.75">
      <c r="B4027">
        <v>47</v>
      </c>
      <c r="C4027" s="5">
        <v>45978</v>
      </c>
      <c r="D4027" t="s">
        <v>111</v>
      </c>
      <c r="E4027">
        <v>234.37</v>
      </c>
    </row>
    <row r="4028" spans="2:5" ht="18.75">
      <c r="B4028">
        <v>47</v>
      </c>
      <c r="C4028" s="5">
        <v>45978</v>
      </c>
      <c r="D4028" t="s">
        <v>112</v>
      </c>
      <c r="E4028">
        <v>125.13</v>
      </c>
    </row>
    <row r="4029" spans="2:5" ht="18.75">
      <c r="B4029">
        <v>47</v>
      </c>
      <c r="C4029" s="5">
        <v>45978</v>
      </c>
      <c r="D4029" t="s">
        <v>113</v>
      </c>
      <c r="E4029">
        <v>291.66000000000003</v>
      </c>
    </row>
    <row r="4030" spans="2:5" ht="18.75">
      <c r="B4030">
        <v>47</v>
      </c>
      <c r="C4030" s="5">
        <v>45978</v>
      </c>
      <c r="D4030" t="s">
        <v>114</v>
      </c>
      <c r="E4030">
        <v>267.33999999999997</v>
      </c>
    </row>
    <row r="4031" spans="2:5" ht="18.75">
      <c r="B4031">
        <v>47</v>
      </c>
      <c r="C4031" s="5">
        <v>45978</v>
      </c>
      <c r="D4031" t="s">
        <v>116</v>
      </c>
      <c r="E4031">
        <v>88.93</v>
      </c>
    </row>
    <row r="4032" spans="2:5" ht="18.75">
      <c r="B4032">
        <v>47</v>
      </c>
      <c r="C4032" s="5">
        <v>45978</v>
      </c>
      <c r="D4032" t="s">
        <v>117</v>
      </c>
      <c r="E4032">
        <v>288.08999999999997</v>
      </c>
    </row>
    <row r="4033" spans="2:5" ht="18.75">
      <c r="B4033">
        <v>47</v>
      </c>
      <c r="C4033" s="5">
        <v>45978</v>
      </c>
      <c r="D4033" t="s">
        <v>118</v>
      </c>
      <c r="E4033">
        <v>186.9</v>
      </c>
    </row>
    <row r="4034" spans="2:5" ht="18.75">
      <c r="B4034">
        <v>47</v>
      </c>
      <c r="C4034" s="5">
        <v>45978</v>
      </c>
      <c r="D4034" t="s">
        <v>119</v>
      </c>
      <c r="E4034">
        <v>469.62</v>
      </c>
    </row>
    <row r="4035" spans="2:5" ht="18.75">
      <c r="B4035">
        <v>47</v>
      </c>
      <c r="C4035" s="5">
        <v>45978</v>
      </c>
      <c r="D4035" t="s">
        <v>120</v>
      </c>
      <c r="E4035">
        <v>150.81</v>
      </c>
    </row>
    <row r="4036" spans="2:5" ht="18.75">
      <c r="B4036">
        <v>47</v>
      </c>
      <c r="C4036" s="5">
        <v>45978</v>
      </c>
      <c r="D4036" t="s">
        <v>121</v>
      </c>
      <c r="E4036">
        <v>158.30000000000001</v>
      </c>
    </row>
    <row r="4037" spans="2:5" ht="18.75">
      <c r="B4037">
        <v>47</v>
      </c>
      <c r="C4037" s="5">
        <v>45978</v>
      </c>
      <c r="D4037" t="s">
        <v>122</v>
      </c>
      <c r="E4037">
        <v>300.06</v>
      </c>
    </row>
    <row r="4038" spans="2:5" ht="18.75">
      <c r="B4038">
        <v>47</v>
      </c>
      <c r="C4038" s="5">
        <v>45978</v>
      </c>
      <c r="D4038" t="s">
        <v>123</v>
      </c>
      <c r="E4038">
        <v>520.33000000000004</v>
      </c>
    </row>
    <row r="4039" spans="2:5" ht="18.75">
      <c r="B4039">
        <v>47</v>
      </c>
      <c r="C4039" s="5">
        <v>45978</v>
      </c>
      <c r="D4039" t="s">
        <v>124</v>
      </c>
      <c r="E4039">
        <v>672.83</v>
      </c>
    </row>
    <row r="4040" spans="2:5" ht="18.75">
      <c r="B4040">
        <v>47</v>
      </c>
      <c r="C4040" s="5">
        <v>45978</v>
      </c>
      <c r="D4040" t="s">
        <v>125</v>
      </c>
      <c r="E4040">
        <v>58.65</v>
      </c>
    </row>
    <row r="4041" spans="2:5" ht="18.75">
      <c r="B4041">
        <v>47</v>
      </c>
      <c r="C4041" s="5">
        <v>45978</v>
      </c>
      <c r="D4041" t="s">
        <v>126</v>
      </c>
      <c r="E4041">
        <v>108.35</v>
      </c>
    </row>
    <row r="4042" spans="2:5" ht="18.75">
      <c r="B4042">
        <v>47</v>
      </c>
      <c r="C4042" s="5">
        <v>45978</v>
      </c>
      <c r="D4042" t="s">
        <v>128</v>
      </c>
      <c r="E4042">
        <v>179.22</v>
      </c>
    </row>
    <row r="4043" spans="2:5" ht="18.75">
      <c r="B4043">
        <v>47</v>
      </c>
      <c r="C4043" s="5">
        <v>45978</v>
      </c>
      <c r="D4043" t="s">
        <v>129</v>
      </c>
      <c r="E4043">
        <v>517.04</v>
      </c>
    </row>
    <row r="4044" spans="2:5" ht="18.75">
      <c r="B4044">
        <v>47</v>
      </c>
      <c r="C4044" s="5">
        <v>45978</v>
      </c>
      <c r="D4044" t="s">
        <v>132</v>
      </c>
      <c r="E4044">
        <v>170.4</v>
      </c>
    </row>
    <row r="4045" spans="2:5" ht="18.75">
      <c r="B4045">
        <v>47</v>
      </c>
      <c r="C4045" s="5">
        <v>45978</v>
      </c>
      <c r="D4045" t="s">
        <v>133</v>
      </c>
      <c r="E4045">
        <v>263.83</v>
      </c>
    </row>
    <row r="4046" spans="2:5" ht="18.75">
      <c r="B4046">
        <v>47</v>
      </c>
      <c r="C4046" s="5">
        <v>45978</v>
      </c>
      <c r="D4046" t="s">
        <v>134</v>
      </c>
      <c r="E4046">
        <v>294.99</v>
      </c>
    </row>
    <row r="4047" spans="2:5" ht="18.75">
      <c r="B4047">
        <v>47</v>
      </c>
      <c r="C4047" s="5">
        <v>45978</v>
      </c>
      <c r="D4047" t="s">
        <v>135</v>
      </c>
      <c r="E4047">
        <v>80.760000000000005</v>
      </c>
    </row>
    <row r="4048" spans="2:5" ht="18.75">
      <c r="B4048">
        <v>47</v>
      </c>
      <c r="C4048" s="5">
        <v>45978</v>
      </c>
      <c r="D4048" t="s">
        <v>136</v>
      </c>
      <c r="E4048">
        <v>120.14</v>
      </c>
    </row>
    <row r="4049" spans="2:5" ht="18.75">
      <c r="B4049">
        <v>47</v>
      </c>
      <c r="C4049" s="5">
        <v>45978</v>
      </c>
      <c r="D4049" t="s">
        <v>137</v>
      </c>
      <c r="E4049">
        <v>97.16</v>
      </c>
    </row>
    <row r="4050" spans="2:5" ht="18.75">
      <c r="B4050">
        <v>47</v>
      </c>
      <c r="C4050" s="5">
        <v>45978</v>
      </c>
      <c r="D4050" t="s">
        <v>138</v>
      </c>
      <c r="E4050">
        <v>431.91</v>
      </c>
    </row>
    <row r="4051" spans="2:5" ht="18.75">
      <c r="B4051">
        <v>47</v>
      </c>
      <c r="C4051" s="5">
        <v>45978</v>
      </c>
      <c r="D4051" t="s">
        <v>140</v>
      </c>
      <c r="E4051">
        <v>65.430000000000007</v>
      </c>
    </row>
    <row r="4052" spans="2:5" ht="18.75">
      <c r="B4052">
        <v>47</v>
      </c>
      <c r="C4052" s="5">
        <v>45978</v>
      </c>
      <c r="D4052" t="s">
        <v>141</v>
      </c>
      <c r="E4052">
        <v>602.11</v>
      </c>
    </row>
    <row r="4053" spans="2:5" ht="18.75">
      <c r="B4053">
        <v>47</v>
      </c>
      <c r="C4053" s="5">
        <v>45978</v>
      </c>
      <c r="D4053" t="s">
        <v>142</v>
      </c>
      <c r="E4053">
        <v>200.29</v>
      </c>
    </row>
    <row r="4054" spans="2:5" ht="18.75">
      <c r="B4054">
        <v>47</v>
      </c>
      <c r="C4054" s="5">
        <v>45978</v>
      </c>
      <c r="D4054" t="s">
        <v>139</v>
      </c>
      <c r="E4054">
        <v>293.94</v>
      </c>
    </row>
    <row r="4055" spans="2:5" ht="18.75">
      <c r="B4055">
        <v>47</v>
      </c>
      <c r="C4055" s="5">
        <v>45978</v>
      </c>
      <c r="D4055" t="s">
        <v>143</v>
      </c>
      <c r="E4055">
        <v>1727.71</v>
      </c>
    </row>
    <row r="4056" spans="2:5" ht="18.75">
      <c r="B4056">
        <v>47</v>
      </c>
      <c r="C4056" s="5">
        <v>45978</v>
      </c>
      <c r="D4056" t="s">
        <v>145</v>
      </c>
      <c r="E4056">
        <v>275.02999999999997</v>
      </c>
    </row>
    <row r="4057" spans="2:5" ht="18.75">
      <c r="B4057">
        <v>47</v>
      </c>
      <c r="C4057" s="5">
        <v>45978</v>
      </c>
      <c r="D4057" t="s">
        <v>146</v>
      </c>
      <c r="E4057">
        <v>602.39</v>
      </c>
    </row>
    <row r="4058" spans="2:5" ht="18.75">
      <c r="B4058">
        <v>47</v>
      </c>
      <c r="C4058" s="5">
        <v>45978</v>
      </c>
      <c r="D4058" t="s">
        <v>219</v>
      </c>
      <c r="E4058">
        <v>351.2</v>
      </c>
    </row>
    <row r="4059" spans="2:5" ht="18.75">
      <c r="B4059">
        <v>47</v>
      </c>
      <c r="C4059" s="5">
        <v>45978</v>
      </c>
      <c r="D4059" t="s">
        <v>149</v>
      </c>
      <c r="E4059">
        <v>144.5</v>
      </c>
    </row>
    <row r="4060" spans="2:5" ht="18.75">
      <c r="B4060">
        <v>47</v>
      </c>
      <c r="C4060" s="5">
        <v>45978</v>
      </c>
      <c r="D4060" t="s">
        <v>150</v>
      </c>
      <c r="E4060">
        <v>55.36</v>
      </c>
    </row>
    <row r="4061" spans="2:5" ht="18.75">
      <c r="B4061">
        <v>47</v>
      </c>
      <c r="C4061" s="5">
        <v>45978</v>
      </c>
      <c r="D4061" t="s">
        <v>127</v>
      </c>
      <c r="E4061">
        <v>298.23</v>
      </c>
    </row>
    <row r="4062" spans="2:5" ht="18.75">
      <c r="B4062">
        <v>48</v>
      </c>
      <c r="C4062" s="5">
        <v>45985</v>
      </c>
      <c r="D4062" t="s">
        <v>111</v>
      </c>
      <c r="E4062">
        <v>210.86</v>
      </c>
    </row>
    <row r="4063" spans="2:5" ht="18.75">
      <c r="B4063">
        <v>48</v>
      </c>
      <c r="C4063" s="5">
        <v>45985</v>
      </c>
      <c r="D4063" t="s">
        <v>114</v>
      </c>
      <c r="E4063">
        <v>268.06</v>
      </c>
    </row>
    <row r="4064" spans="2:5" ht="18.75">
      <c r="B4064">
        <v>48</v>
      </c>
      <c r="C4064" s="5">
        <v>45985</v>
      </c>
      <c r="D4064" t="s">
        <v>117</v>
      </c>
      <c r="E4064">
        <v>291.02999999999997</v>
      </c>
    </row>
    <row r="4065" spans="2:5" ht="18.75">
      <c r="B4065">
        <v>48</v>
      </c>
      <c r="C4065" s="5">
        <v>45985</v>
      </c>
      <c r="D4065" t="s">
        <v>119</v>
      </c>
      <c r="E4065">
        <v>355.04</v>
      </c>
    </row>
    <row r="4066" spans="2:5" ht="18.75">
      <c r="B4066">
        <v>48</v>
      </c>
      <c r="C4066" s="5">
        <v>45985</v>
      </c>
      <c r="D4066" t="s">
        <v>121</v>
      </c>
      <c r="E4066">
        <v>149.93</v>
      </c>
    </row>
    <row r="4067" spans="2:5" ht="18.75">
      <c r="B4067">
        <v>48</v>
      </c>
      <c r="C4067" s="5">
        <v>45985</v>
      </c>
      <c r="D4067" t="s">
        <v>122</v>
      </c>
      <c r="E4067">
        <v>192.53</v>
      </c>
    </row>
    <row r="4068" spans="2:5" ht="18.75">
      <c r="B4068">
        <v>48</v>
      </c>
      <c r="C4068" s="5">
        <v>45985</v>
      </c>
      <c r="D4068" t="s">
        <v>123</v>
      </c>
      <c r="E4068">
        <v>558.13</v>
      </c>
    </row>
    <row r="4069" spans="2:5" ht="18.75">
      <c r="B4069">
        <v>48</v>
      </c>
      <c r="C4069" s="5">
        <v>45985</v>
      </c>
      <c r="D4069" t="s">
        <v>124</v>
      </c>
      <c r="E4069">
        <v>471.45</v>
      </c>
    </row>
    <row r="4070" spans="2:5" ht="18.75">
      <c r="B4070">
        <v>48</v>
      </c>
      <c r="C4070" s="5">
        <v>45985</v>
      </c>
      <c r="D4070" t="s">
        <v>126</v>
      </c>
      <c r="E4070">
        <v>99.57</v>
      </c>
    </row>
    <row r="4071" spans="2:5" ht="18.75">
      <c r="B4071">
        <v>48</v>
      </c>
      <c r="C4071" s="5">
        <v>45985</v>
      </c>
      <c r="D4071" t="s">
        <v>128</v>
      </c>
      <c r="E4071">
        <v>124.01</v>
      </c>
    </row>
    <row r="4072" spans="2:5" ht="18.75">
      <c r="B4072">
        <v>48</v>
      </c>
      <c r="C4072" s="5">
        <v>45985</v>
      </c>
      <c r="D4072" t="s">
        <v>129</v>
      </c>
      <c r="E4072">
        <v>511.01</v>
      </c>
    </row>
    <row r="4073" spans="2:5" ht="18.75">
      <c r="B4073">
        <v>48</v>
      </c>
      <c r="C4073" s="5">
        <v>45985</v>
      </c>
      <c r="D4073" t="s">
        <v>133</v>
      </c>
      <c r="E4073">
        <v>291.68</v>
      </c>
    </row>
    <row r="4074" spans="2:5" ht="18.75">
      <c r="B4074">
        <v>48</v>
      </c>
      <c r="C4074" s="5">
        <v>45985</v>
      </c>
      <c r="D4074" t="s">
        <v>134</v>
      </c>
      <c r="E4074">
        <v>298.89999999999998</v>
      </c>
    </row>
    <row r="4075" spans="2:5" ht="18.75">
      <c r="B4075">
        <v>48</v>
      </c>
      <c r="C4075" s="5">
        <v>45985</v>
      </c>
      <c r="D4075" t="s">
        <v>138</v>
      </c>
      <c r="E4075">
        <v>462.4</v>
      </c>
    </row>
    <row r="4076" spans="2:5" ht="18.75">
      <c r="B4076">
        <v>48</v>
      </c>
      <c r="C4076" s="5">
        <v>45985</v>
      </c>
      <c r="D4076" t="s">
        <v>141</v>
      </c>
      <c r="E4076">
        <v>588.9</v>
      </c>
    </row>
    <row r="4077" spans="2:5" ht="18.75">
      <c r="B4077">
        <v>48</v>
      </c>
      <c r="C4077" s="5">
        <v>45985</v>
      </c>
      <c r="D4077" t="s">
        <v>142</v>
      </c>
      <c r="E4077">
        <v>158.19</v>
      </c>
    </row>
    <row r="4078" spans="2:5" ht="18.75">
      <c r="B4078">
        <v>48</v>
      </c>
      <c r="C4078" s="5">
        <v>45985</v>
      </c>
      <c r="D4078" t="s">
        <v>143</v>
      </c>
      <c r="E4078">
        <v>1799.12</v>
      </c>
    </row>
    <row r="4079" spans="2:5" ht="18.75">
      <c r="B4079">
        <v>48</v>
      </c>
      <c r="C4079" s="5">
        <v>45985</v>
      </c>
      <c r="D4079" t="s">
        <v>145</v>
      </c>
      <c r="E4079">
        <v>463.36</v>
      </c>
    </row>
    <row r="4080" spans="2:5" ht="18.75">
      <c r="B4080">
        <v>48</v>
      </c>
      <c r="C4080" s="5">
        <v>45985</v>
      </c>
      <c r="D4080" t="s">
        <v>146</v>
      </c>
      <c r="E4080">
        <v>588.47</v>
      </c>
    </row>
    <row r="4081" spans="2:5" ht="18.75">
      <c r="B4081">
        <v>48</v>
      </c>
      <c r="C4081" s="5">
        <v>45985</v>
      </c>
      <c r="D4081" t="s">
        <v>219</v>
      </c>
      <c r="E4081">
        <v>194.99</v>
      </c>
    </row>
    <row r="4082" spans="2:5" ht="18.75">
      <c r="B4082">
        <v>48</v>
      </c>
      <c r="C4082" s="5">
        <v>45985</v>
      </c>
      <c r="D4082" t="s">
        <v>112</v>
      </c>
      <c r="E4082">
        <v>45.53</v>
      </c>
    </row>
    <row r="4083" spans="2:5" ht="18.75">
      <c r="B4083">
        <v>48</v>
      </c>
      <c r="C4083" s="5">
        <v>45985</v>
      </c>
      <c r="D4083" t="s">
        <v>113</v>
      </c>
      <c r="E4083">
        <v>190.11</v>
      </c>
    </row>
    <row r="4084" spans="2:5" ht="18.75">
      <c r="B4084">
        <v>48</v>
      </c>
      <c r="C4084" s="5">
        <v>45985</v>
      </c>
      <c r="D4084" t="s">
        <v>116</v>
      </c>
      <c r="E4084">
        <v>80.42</v>
      </c>
    </row>
    <row r="4085" spans="2:5" ht="18.75">
      <c r="B4085">
        <v>48</v>
      </c>
      <c r="C4085" s="5">
        <v>45985</v>
      </c>
      <c r="D4085" t="s">
        <v>118</v>
      </c>
      <c r="E4085">
        <v>148.47</v>
      </c>
    </row>
    <row r="4086" spans="2:5" ht="18.75">
      <c r="B4086">
        <v>48</v>
      </c>
      <c r="C4086" s="5">
        <v>45985</v>
      </c>
      <c r="D4086" t="s">
        <v>132</v>
      </c>
      <c r="E4086">
        <v>188.73</v>
      </c>
    </row>
    <row r="4087" spans="2:5" ht="18.75">
      <c r="B4087">
        <v>48</v>
      </c>
      <c r="C4087" s="5">
        <v>45985</v>
      </c>
      <c r="D4087" t="s">
        <v>136</v>
      </c>
      <c r="E4087">
        <v>79.23</v>
      </c>
    </row>
    <row r="4088" spans="2:5" ht="18.75">
      <c r="B4088">
        <v>48</v>
      </c>
      <c r="C4088" s="5">
        <v>45985</v>
      </c>
      <c r="D4088" t="s">
        <v>139</v>
      </c>
      <c r="E4088">
        <v>247.59</v>
      </c>
    </row>
    <row r="4089" spans="2:5" ht="18.75">
      <c r="B4089">
        <v>48</v>
      </c>
      <c r="C4089" s="5">
        <v>45985</v>
      </c>
      <c r="D4089" t="s">
        <v>149</v>
      </c>
      <c r="E4089">
        <v>152.74</v>
      </c>
    </row>
    <row r="4090" spans="2:5" ht="18.75">
      <c r="B4090">
        <v>48</v>
      </c>
      <c r="C4090" s="5">
        <v>45985</v>
      </c>
      <c r="D4090" t="s">
        <v>120</v>
      </c>
      <c r="E4090">
        <v>88.17</v>
      </c>
    </row>
    <row r="4091" spans="2:5" ht="18.75">
      <c r="B4091">
        <v>48</v>
      </c>
      <c r="C4091" s="5">
        <v>45985</v>
      </c>
      <c r="D4091" t="s">
        <v>125</v>
      </c>
      <c r="E4091">
        <v>50.17</v>
      </c>
    </row>
    <row r="4092" spans="2:5" ht="18.75">
      <c r="B4092">
        <v>48</v>
      </c>
      <c r="C4092" s="5">
        <v>45985</v>
      </c>
      <c r="D4092" t="s">
        <v>135</v>
      </c>
      <c r="E4092">
        <v>56.64</v>
      </c>
    </row>
    <row r="4093" spans="2:5" ht="18.75">
      <c r="B4093">
        <v>48</v>
      </c>
      <c r="C4093" s="5">
        <v>45985</v>
      </c>
      <c r="D4093" t="s">
        <v>137</v>
      </c>
      <c r="E4093">
        <v>91.01</v>
      </c>
    </row>
    <row r="4094" spans="2:5" ht="18.75">
      <c r="B4094">
        <v>48</v>
      </c>
      <c r="C4094" s="5">
        <v>45985</v>
      </c>
      <c r="D4094" t="s">
        <v>140</v>
      </c>
      <c r="E4094">
        <v>82.21</v>
      </c>
    </row>
    <row r="4095" spans="2:5" ht="18.75">
      <c r="B4095">
        <v>48</v>
      </c>
      <c r="C4095" s="5">
        <v>45985</v>
      </c>
      <c r="D4095" t="s">
        <v>150</v>
      </c>
      <c r="E4095">
        <v>71.95</v>
      </c>
    </row>
    <row r="4096" spans="2:5" ht="18.75">
      <c r="B4096">
        <v>48</v>
      </c>
      <c r="C4096" s="5">
        <v>45985</v>
      </c>
      <c r="D4096" t="s">
        <v>127</v>
      </c>
      <c r="E4096">
        <v>195.52</v>
      </c>
    </row>
    <row r="4097" spans="2:5" ht="18.75">
      <c r="B4097">
        <v>48</v>
      </c>
      <c r="C4097" s="5">
        <v>45985</v>
      </c>
      <c r="D4097" t="s">
        <v>147</v>
      </c>
      <c r="E4097">
        <v>129.09</v>
      </c>
    </row>
    <row r="4098" spans="2:5" ht="18.75">
      <c r="B4098">
        <v>49</v>
      </c>
      <c r="C4098" s="5">
        <v>45992</v>
      </c>
      <c r="D4098" t="s">
        <v>113</v>
      </c>
      <c r="E4098">
        <v>246.21</v>
      </c>
    </row>
    <row r="4099" spans="2:5" ht="18.75">
      <c r="B4099">
        <v>49</v>
      </c>
      <c r="C4099" s="5">
        <v>45992</v>
      </c>
      <c r="D4099" t="s">
        <v>118</v>
      </c>
      <c r="E4099">
        <v>166.43</v>
      </c>
    </row>
    <row r="4100" spans="2:5" ht="18.75">
      <c r="B4100">
        <v>49</v>
      </c>
      <c r="C4100" s="5">
        <v>45992</v>
      </c>
      <c r="D4100" t="s">
        <v>123</v>
      </c>
      <c r="E4100">
        <v>534.82000000000005</v>
      </c>
    </row>
    <row r="4101" spans="2:5" ht="18.75">
      <c r="B4101">
        <v>49</v>
      </c>
      <c r="C4101" s="5">
        <v>45992</v>
      </c>
      <c r="D4101" t="s">
        <v>124</v>
      </c>
      <c r="E4101">
        <v>524.14</v>
      </c>
    </row>
    <row r="4102" spans="2:5" ht="18.75">
      <c r="B4102">
        <v>49</v>
      </c>
      <c r="C4102" s="5">
        <v>45992</v>
      </c>
      <c r="D4102" t="s">
        <v>139</v>
      </c>
      <c r="E4102">
        <v>319.35000000000002</v>
      </c>
    </row>
    <row r="4103" spans="2:5" ht="18.75">
      <c r="B4103">
        <v>49</v>
      </c>
      <c r="C4103" s="5">
        <v>45992</v>
      </c>
      <c r="D4103" t="s">
        <v>143</v>
      </c>
      <c r="E4103">
        <v>1222.96</v>
      </c>
    </row>
    <row r="4104" spans="2:5" ht="18.75">
      <c r="B4104">
        <v>49</v>
      </c>
      <c r="C4104" s="5">
        <v>45992</v>
      </c>
      <c r="D4104" t="s">
        <v>147</v>
      </c>
      <c r="E4104">
        <v>381.14</v>
      </c>
    </row>
    <row r="4105" spans="2:5" ht="18.75">
      <c r="B4105">
        <v>49</v>
      </c>
      <c r="C4105" s="5">
        <v>45992</v>
      </c>
      <c r="D4105" t="s">
        <v>127</v>
      </c>
      <c r="E4105">
        <v>200.85</v>
      </c>
    </row>
    <row r="4106" spans="2:5" ht="18.75">
      <c r="B4106">
        <v>49</v>
      </c>
      <c r="C4106" s="5">
        <v>45992</v>
      </c>
      <c r="D4106" t="s">
        <v>126</v>
      </c>
      <c r="E4106">
        <v>199.65</v>
      </c>
    </row>
    <row r="4107" spans="2:5" ht="18.75">
      <c r="B4107">
        <v>49</v>
      </c>
      <c r="C4107" s="5">
        <v>45992</v>
      </c>
      <c r="D4107" t="s">
        <v>141</v>
      </c>
      <c r="E4107">
        <v>709</v>
      </c>
    </row>
    <row r="4108" spans="2:5" ht="18.75">
      <c r="B4108">
        <v>49</v>
      </c>
      <c r="C4108" s="5">
        <v>45992</v>
      </c>
      <c r="D4108" t="s">
        <v>111</v>
      </c>
      <c r="E4108">
        <v>206.86</v>
      </c>
    </row>
    <row r="4109" spans="2:5" ht="18.75">
      <c r="B4109">
        <v>49</v>
      </c>
      <c r="C4109" s="5">
        <v>45992</v>
      </c>
      <c r="D4109" t="s">
        <v>114</v>
      </c>
      <c r="E4109">
        <v>288.68</v>
      </c>
    </row>
    <row r="4110" spans="2:5" ht="18.75">
      <c r="B4110">
        <v>49</v>
      </c>
      <c r="C4110" s="5">
        <v>45992</v>
      </c>
      <c r="D4110" t="s">
        <v>117</v>
      </c>
      <c r="E4110">
        <v>281.73</v>
      </c>
    </row>
    <row r="4111" spans="2:5" ht="18.75">
      <c r="B4111">
        <v>49</v>
      </c>
      <c r="C4111" s="5">
        <v>45992</v>
      </c>
      <c r="D4111" t="s">
        <v>119</v>
      </c>
      <c r="E4111">
        <v>455.92</v>
      </c>
    </row>
    <row r="4112" spans="2:5" ht="18.75">
      <c r="B4112">
        <v>49</v>
      </c>
      <c r="C4112" s="5">
        <v>45992</v>
      </c>
      <c r="D4112" t="s">
        <v>120</v>
      </c>
      <c r="E4112">
        <v>216.06</v>
      </c>
    </row>
    <row r="4113" spans="2:5" ht="18.75">
      <c r="B4113">
        <v>49</v>
      </c>
      <c r="C4113" s="5">
        <v>45992</v>
      </c>
      <c r="D4113" t="s">
        <v>129</v>
      </c>
      <c r="E4113">
        <v>527.17999999999995</v>
      </c>
    </row>
    <row r="4114" spans="2:5" ht="18.75">
      <c r="B4114">
        <v>49</v>
      </c>
      <c r="C4114" s="5">
        <v>45992</v>
      </c>
      <c r="D4114" t="s">
        <v>133</v>
      </c>
      <c r="E4114">
        <v>286.25</v>
      </c>
    </row>
    <row r="4115" spans="2:5" ht="18.75">
      <c r="B4115">
        <v>49</v>
      </c>
      <c r="C4115" s="5">
        <v>45992</v>
      </c>
      <c r="D4115" t="s">
        <v>134</v>
      </c>
      <c r="E4115">
        <v>312.12</v>
      </c>
    </row>
    <row r="4116" spans="2:5" ht="18.75">
      <c r="B4116">
        <v>49</v>
      </c>
      <c r="C4116" s="5">
        <v>45992</v>
      </c>
      <c r="D4116" t="s">
        <v>138</v>
      </c>
      <c r="E4116">
        <v>497.73</v>
      </c>
    </row>
    <row r="4117" spans="2:5" ht="18.75">
      <c r="B4117">
        <v>49</v>
      </c>
      <c r="C4117" s="5">
        <v>45992</v>
      </c>
      <c r="D4117" t="s">
        <v>145</v>
      </c>
      <c r="E4117">
        <v>342.12</v>
      </c>
    </row>
    <row r="4118" spans="2:5" ht="18.75">
      <c r="B4118">
        <v>49</v>
      </c>
      <c r="C4118" s="5">
        <v>45992</v>
      </c>
      <c r="D4118" t="s">
        <v>146</v>
      </c>
      <c r="E4118">
        <v>655.36</v>
      </c>
    </row>
    <row r="4119" spans="2:5" ht="18.75">
      <c r="B4119">
        <v>49</v>
      </c>
      <c r="C4119" s="5">
        <v>45992</v>
      </c>
      <c r="D4119" t="s">
        <v>148</v>
      </c>
      <c r="E4119">
        <v>268.27</v>
      </c>
    </row>
    <row r="4120" spans="2:5" ht="18.75">
      <c r="B4120">
        <v>49</v>
      </c>
      <c r="C4120" s="5">
        <v>45992</v>
      </c>
      <c r="D4120" t="s">
        <v>151</v>
      </c>
      <c r="E4120">
        <v>604.96</v>
      </c>
    </row>
    <row r="4121" spans="2:5" ht="18.75">
      <c r="B4121">
        <v>49</v>
      </c>
      <c r="C4121" s="5">
        <v>45992</v>
      </c>
      <c r="D4121" t="s">
        <v>112</v>
      </c>
      <c r="E4121">
        <v>56.44</v>
      </c>
    </row>
    <row r="4122" spans="2:5" ht="18.75">
      <c r="B4122">
        <v>49</v>
      </c>
      <c r="C4122" s="5">
        <v>45992</v>
      </c>
      <c r="D4122" t="s">
        <v>116</v>
      </c>
      <c r="E4122">
        <v>112.46</v>
      </c>
    </row>
    <row r="4123" spans="2:5" ht="18.75">
      <c r="B4123">
        <v>49</v>
      </c>
      <c r="C4123" s="5">
        <v>45992</v>
      </c>
      <c r="D4123" t="s">
        <v>121</v>
      </c>
      <c r="E4123">
        <v>184.96</v>
      </c>
    </row>
    <row r="4124" spans="2:5" ht="18.75">
      <c r="B4124">
        <v>49</v>
      </c>
      <c r="C4124" s="5">
        <v>45992</v>
      </c>
      <c r="D4124" t="s">
        <v>122</v>
      </c>
      <c r="E4124">
        <v>315.12</v>
      </c>
    </row>
    <row r="4125" spans="2:5" ht="18.75">
      <c r="B4125">
        <v>49</v>
      </c>
      <c r="C4125" s="5">
        <v>45992</v>
      </c>
      <c r="D4125" t="s">
        <v>125</v>
      </c>
      <c r="E4125">
        <v>84.02</v>
      </c>
    </row>
    <row r="4126" spans="2:5" ht="18.75">
      <c r="B4126">
        <v>49</v>
      </c>
      <c r="C4126" s="5">
        <v>45992</v>
      </c>
      <c r="D4126" t="s">
        <v>128</v>
      </c>
      <c r="E4126">
        <v>212.34</v>
      </c>
    </row>
    <row r="4127" spans="2:5" ht="18.75">
      <c r="B4127">
        <v>49</v>
      </c>
      <c r="C4127" s="5">
        <v>45992</v>
      </c>
      <c r="D4127" t="s">
        <v>132</v>
      </c>
      <c r="E4127">
        <v>233.82</v>
      </c>
    </row>
    <row r="4128" spans="2:5" ht="18.75">
      <c r="B4128">
        <v>49</v>
      </c>
      <c r="C4128" s="5">
        <v>45992</v>
      </c>
      <c r="D4128" t="s">
        <v>135</v>
      </c>
      <c r="E4128">
        <v>85.38</v>
      </c>
    </row>
    <row r="4129" spans="2:5" ht="18.75">
      <c r="B4129">
        <v>49</v>
      </c>
      <c r="C4129" s="5">
        <v>45992</v>
      </c>
      <c r="D4129" t="s">
        <v>136</v>
      </c>
      <c r="E4129">
        <v>116.11</v>
      </c>
    </row>
    <row r="4130" spans="2:5" ht="18.75">
      <c r="B4130">
        <v>49</v>
      </c>
      <c r="C4130" s="5">
        <v>45992</v>
      </c>
      <c r="D4130" t="s">
        <v>137</v>
      </c>
      <c r="E4130">
        <v>101.12</v>
      </c>
    </row>
    <row r="4131" spans="2:5" ht="18.75">
      <c r="B4131">
        <v>49</v>
      </c>
      <c r="C4131" s="5">
        <v>45992</v>
      </c>
      <c r="D4131" t="s">
        <v>140</v>
      </c>
      <c r="E4131">
        <v>101.66</v>
      </c>
    </row>
    <row r="4132" spans="2:5" ht="18.75">
      <c r="B4132">
        <v>49</v>
      </c>
      <c r="C4132" s="5">
        <v>45992</v>
      </c>
      <c r="D4132" t="s">
        <v>142</v>
      </c>
      <c r="E4132">
        <v>181.5</v>
      </c>
    </row>
    <row r="4133" spans="2:5" ht="18.75">
      <c r="B4133">
        <v>49</v>
      </c>
      <c r="C4133" s="5">
        <v>45992</v>
      </c>
      <c r="D4133" t="s">
        <v>149</v>
      </c>
      <c r="E4133">
        <v>196.25</v>
      </c>
    </row>
    <row r="4134" spans="2:5" ht="18.75">
      <c r="B4134">
        <v>49</v>
      </c>
      <c r="C4134" s="5">
        <v>45992</v>
      </c>
      <c r="D4134" t="s">
        <v>150</v>
      </c>
      <c r="E4134">
        <v>103.37</v>
      </c>
    </row>
    <row r="4135" spans="2:5" ht="18.75">
      <c r="B4135">
        <v>50</v>
      </c>
      <c r="C4135" s="5">
        <v>45999</v>
      </c>
      <c r="D4135" t="s">
        <v>111</v>
      </c>
      <c r="E4135">
        <v>203.99</v>
      </c>
    </row>
    <row r="4136" spans="2:5" ht="18.75">
      <c r="B4136">
        <v>50</v>
      </c>
      <c r="C4136" s="5">
        <v>45999</v>
      </c>
      <c r="D4136" t="s">
        <v>112</v>
      </c>
      <c r="E4136">
        <v>120.17</v>
      </c>
    </row>
    <row r="4137" spans="2:5" ht="18.75">
      <c r="B4137">
        <v>50</v>
      </c>
      <c r="C4137" s="5">
        <v>45999</v>
      </c>
      <c r="D4137" t="s">
        <v>113</v>
      </c>
      <c r="E4137">
        <v>281.27999999999997</v>
      </c>
    </row>
    <row r="4138" spans="2:5" ht="18.75">
      <c r="B4138">
        <v>50</v>
      </c>
      <c r="C4138" s="5">
        <v>45999</v>
      </c>
      <c r="D4138" t="s">
        <v>114</v>
      </c>
      <c r="E4138">
        <v>344.32</v>
      </c>
    </row>
    <row r="4139" spans="2:5" ht="18.75">
      <c r="B4139">
        <v>50</v>
      </c>
      <c r="C4139" s="5">
        <v>45999</v>
      </c>
      <c r="D4139" t="s">
        <v>116</v>
      </c>
      <c r="E4139">
        <v>124.7</v>
      </c>
    </row>
    <row r="4140" spans="2:5" ht="18.75">
      <c r="B4140">
        <v>50</v>
      </c>
      <c r="C4140" s="5">
        <v>45999</v>
      </c>
      <c r="D4140" t="s">
        <v>117</v>
      </c>
      <c r="E4140">
        <v>225.88</v>
      </c>
    </row>
    <row r="4141" spans="2:5" ht="18.75">
      <c r="B4141">
        <v>50</v>
      </c>
      <c r="C4141" s="5">
        <v>45999</v>
      </c>
      <c r="D4141" t="s">
        <v>118</v>
      </c>
      <c r="E4141">
        <v>144.29</v>
      </c>
    </row>
    <row r="4142" spans="2:5" ht="18.75">
      <c r="B4142">
        <v>50</v>
      </c>
      <c r="C4142" s="5">
        <v>45999</v>
      </c>
      <c r="D4142" t="s">
        <v>119</v>
      </c>
      <c r="E4142">
        <v>440.78</v>
      </c>
    </row>
    <row r="4143" spans="2:5" ht="18.75">
      <c r="B4143">
        <v>50</v>
      </c>
      <c r="C4143" s="5">
        <v>45999</v>
      </c>
      <c r="D4143" t="s">
        <v>120</v>
      </c>
      <c r="E4143">
        <v>155.35</v>
      </c>
    </row>
    <row r="4144" spans="2:5" ht="18.75">
      <c r="B4144">
        <v>50</v>
      </c>
      <c r="C4144" s="5">
        <v>45999</v>
      </c>
      <c r="D4144" t="s">
        <v>121</v>
      </c>
      <c r="E4144">
        <v>86.4</v>
      </c>
    </row>
    <row r="4145" spans="2:5" ht="18.75">
      <c r="B4145">
        <v>50</v>
      </c>
      <c r="C4145" s="5">
        <v>45999</v>
      </c>
      <c r="D4145" t="s">
        <v>122</v>
      </c>
      <c r="E4145">
        <v>292.07</v>
      </c>
    </row>
    <row r="4146" spans="2:5" ht="18.75">
      <c r="B4146">
        <v>50</v>
      </c>
      <c r="C4146" s="5">
        <v>45999</v>
      </c>
      <c r="D4146" t="s">
        <v>123</v>
      </c>
      <c r="E4146">
        <v>517.85</v>
      </c>
    </row>
    <row r="4147" spans="2:5" ht="18.75">
      <c r="B4147">
        <v>50</v>
      </c>
      <c r="C4147" s="5">
        <v>45999</v>
      </c>
      <c r="D4147" t="s">
        <v>124</v>
      </c>
      <c r="E4147">
        <v>490.49</v>
      </c>
    </row>
    <row r="4148" spans="2:5" ht="18.75">
      <c r="B4148">
        <v>50</v>
      </c>
      <c r="C4148" s="5">
        <v>45999</v>
      </c>
      <c r="D4148" t="s">
        <v>125</v>
      </c>
      <c r="E4148">
        <v>81.62</v>
      </c>
    </row>
    <row r="4149" spans="2:5" ht="18.75">
      <c r="B4149">
        <v>50</v>
      </c>
      <c r="C4149" s="5">
        <v>45999</v>
      </c>
      <c r="D4149" t="s">
        <v>126</v>
      </c>
      <c r="E4149">
        <v>123.52</v>
      </c>
    </row>
    <row r="4150" spans="2:5" ht="18.75">
      <c r="B4150">
        <v>50</v>
      </c>
      <c r="C4150" s="5">
        <v>45999</v>
      </c>
      <c r="D4150" t="s">
        <v>129</v>
      </c>
      <c r="E4150">
        <v>522.63</v>
      </c>
    </row>
    <row r="4151" spans="2:5" ht="18.75">
      <c r="B4151">
        <v>50</v>
      </c>
      <c r="C4151" s="5">
        <v>45999</v>
      </c>
      <c r="D4151" t="s">
        <v>132</v>
      </c>
      <c r="E4151">
        <v>255.82</v>
      </c>
    </row>
    <row r="4152" spans="2:5" ht="18.75">
      <c r="B4152">
        <v>50</v>
      </c>
      <c r="C4152" s="5">
        <v>45999</v>
      </c>
      <c r="D4152" t="s">
        <v>133</v>
      </c>
      <c r="E4152">
        <v>322.42</v>
      </c>
    </row>
    <row r="4153" spans="2:5" ht="18.75">
      <c r="B4153">
        <v>50</v>
      </c>
      <c r="C4153" s="5">
        <v>45999</v>
      </c>
      <c r="D4153" t="s">
        <v>134</v>
      </c>
      <c r="E4153">
        <v>332.54</v>
      </c>
    </row>
    <row r="4154" spans="2:5" ht="18.75">
      <c r="B4154">
        <v>50</v>
      </c>
      <c r="C4154" s="5">
        <v>45999</v>
      </c>
      <c r="D4154" t="s">
        <v>135</v>
      </c>
      <c r="E4154">
        <v>91.69</v>
      </c>
    </row>
    <row r="4155" spans="2:5" ht="18.75">
      <c r="B4155">
        <v>50</v>
      </c>
      <c r="C4155" s="5">
        <v>45999</v>
      </c>
      <c r="D4155" t="s">
        <v>136</v>
      </c>
      <c r="E4155">
        <v>136.58000000000001</v>
      </c>
    </row>
    <row r="4156" spans="2:5" ht="18.75">
      <c r="B4156">
        <v>50</v>
      </c>
      <c r="C4156" s="5">
        <v>45999</v>
      </c>
      <c r="D4156" t="s">
        <v>137</v>
      </c>
      <c r="E4156">
        <v>104.65</v>
      </c>
    </row>
    <row r="4157" spans="2:5" ht="18.75">
      <c r="B4157">
        <v>50</v>
      </c>
      <c r="C4157" s="5">
        <v>45999</v>
      </c>
      <c r="D4157" t="s">
        <v>138</v>
      </c>
      <c r="E4157">
        <v>559.69000000000005</v>
      </c>
    </row>
    <row r="4158" spans="2:5" ht="18.75">
      <c r="B4158">
        <v>50</v>
      </c>
      <c r="C4158" s="5">
        <v>45999</v>
      </c>
      <c r="D4158" t="s">
        <v>140</v>
      </c>
      <c r="E4158">
        <v>94.83</v>
      </c>
    </row>
    <row r="4159" spans="2:5" ht="18.75">
      <c r="B4159">
        <v>50</v>
      </c>
      <c r="C4159" s="5">
        <v>45999</v>
      </c>
      <c r="D4159" t="s">
        <v>141</v>
      </c>
      <c r="E4159">
        <v>759.15</v>
      </c>
    </row>
    <row r="4160" spans="2:5" ht="18.75">
      <c r="B4160">
        <v>50</v>
      </c>
      <c r="C4160" s="5">
        <v>45999</v>
      </c>
      <c r="D4160" t="s">
        <v>142</v>
      </c>
      <c r="E4160">
        <v>192.32</v>
      </c>
    </row>
    <row r="4161" spans="2:5" ht="18.75">
      <c r="B4161">
        <v>50</v>
      </c>
      <c r="C4161" s="5">
        <v>45999</v>
      </c>
      <c r="D4161" t="s">
        <v>139</v>
      </c>
      <c r="E4161">
        <v>345.8</v>
      </c>
    </row>
    <row r="4162" spans="2:5" ht="18.75">
      <c r="B4162">
        <v>50</v>
      </c>
      <c r="C4162" s="5">
        <v>45999</v>
      </c>
      <c r="D4162" t="s">
        <v>143</v>
      </c>
      <c r="E4162">
        <v>1651.15</v>
      </c>
    </row>
    <row r="4163" spans="2:5" ht="18.75">
      <c r="B4163">
        <v>50</v>
      </c>
      <c r="C4163" s="5">
        <v>45999</v>
      </c>
      <c r="D4163" t="s">
        <v>145</v>
      </c>
      <c r="E4163">
        <v>259.64999999999998</v>
      </c>
    </row>
    <row r="4164" spans="2:5" ht="18.75">
      <c r="B4164">
        <v>50</v>
      </c>
      <c r="C4164" s="5">
        <v>45999</v>
      </c>
      <c r="D4164" t="s">
        <v>146</v>
      </c>
      <c r="E4164">
        <v>651.41999999999996</v>
      </c>
    </row>
    <row r="4165" spans="2:5" ht="18.75">
      <c r="B4165">
        <v>50</v>
      </c>
      <c r="C4165" s="5">
        <v>45999</v>
      </c>
      <c r="D4165" t="s">
        <v>148</v>
      </c>
      <c r="E4165">
        <v>155.36000000000001</v>
      </c>
    </row>
    <row r="4166" spans="2:5" ht="18.75">
      <c r="B4166">
        <v>50</v>
      </c>
      <c r="C4166" s="5">
        <v>45999</v>
      </c>
      <c r="D4166" t="s">
        <v>147</v>
      </c>
      <c r="E4166">
        <v>403.34</v>
      </c>
    </row>
    <row r="4167" spans="2:5" ht="18.75">
      <c r="B4167">
        <v>50</v>
      </c>
      <c r="C4167" s="5">
        <v>45999</v>
      </c>
      <c r="D4167" t="s">
        <v>149</v>
      </c>
      <c r="E4167">
        <v>153.30000000000001</v>
      </c>
    </row>
    <row r="4168" spans="2:5" ht="18.75">
      <c r="B4168">
        <v>50</v>
      </c>
      <c r="C4168" s="5">
        <v>45999</v>
      </c>
      <c r="D4168" t="s">
        <v>150</v>
      </c>
      <c r="E4168">
        <v>105</v>
      </c>
    </row>
    <row r="4169" spans="2:5" ht="18.75">
      <c r="B4169">
        <v>50</v>
      </c>
      <c r="C4169" s="5">
        <v>45999</v>
      </c>
      <c r="D4169" t="s">
        <v>220</v>
      </c>
      <c r="E4169">
        <v>425.36</v>
      </c>
    </row>
    <row r="4170" spans="2:5" ht="18.75">
      <c r="B4170">
        <v>50</v>
      </c>
      <c r="C4170" s="5">
        <v>45999</v>
      </c>
      <c r="D4170" t="s">
        <v>127</v>
      </c>
      <c r="E4170">
        <v>326.38</v>
      </c>
    </row>
    <row r="4171" spans="2:5" ht="18.75">
      <c r="B4171">
        <v>50</v>
      </c>
      <c r="C4171" s="5">
        <v>45999</v>
      </c>
      <c r="D4171" t="s">
        <v>128</v>
      </c>
      <c r="E4171">
        <v>31.6</v>
      </c>
    </row>
    <row r="4172" spans="2:5" ht="18.75">
      <c r="B4172">
        <v>50</v>
      </c>
      <c r="C4172" s="5">
        <v>45999</v>
      </c>
      <c r="D4172" t="s">
        <v>151</v>
      </c>
      <c r="E4172">
        <v>276.39999999999998</v>
      </c>
    </row>
    <row r="4173" spans="2:5" ht="18.75">
      <c r="B4173">
        <v>51</v>
      </c>
      <c r="C4173" s="5">
        <v>46006</v>
      </c>
      <c r="D4173" t="s">
        <v>126</v>
      </c>
      <c r="E4173">
        <v>58.68</v>
      </c>
    </row>
    <row r="4174" spans="2:5" ht="18.75">
      <c r="B4174">
        <v>51</v>
      </c>
      <c r="C4174" s="5">
        <v>46006</v>
      </c>
      <c r="D4174" t="s">
        <v>143</v>
      </c>
      <c r="E4174">
        <v>1567.22</v>
      </c>
    </row>
    <row r="4175" spans="2:5" ht="18.75">
      <c r="B4175">
        <v>51</v>
      </c>
      <c r="C4175" s="5">
        <v>46006</v>
      </c>
      <c r="D4175" t="s">
        <v>127</v>
      </c>
      <c r="E4175">
        <v>213.45</v>
      </c>
    </row>
    <row r="4176" spans="2:5" ht="18.75">
      <c r="B4176">
        <v>51</v>
      </c>
      <c r="C4176" s="5">
        <v>46006</v>
      </c>
      <c r="D4176" t="s">
        <v>117</v>
      </c>
      <c r="E4176">
        <v>257.52999999999997</v>
      </c>
    </row>
    <row r="4177" spans="2:5" ht="18.75">
      <c r="B4177">
        <v>51</v>
      </c>
      <c r="C4177" s="5">
        <v>46006</v>
      </c>
      <c r="D4177" t="s">
        <v>134</v>
      </c>
      <c r="E4177">
        <v>330.69</v>
      </c>
    </row>
    <row r="4178" spans="2:5" ht="18.75">
      <c r="B4178">
        <v>51</v>
      </c>
      <c r="C4178" s="5">
        <v>46006</v>
      </c>
      <c r="D4178" t="s">
        <v>141</v>
      </c>
      <c r="E4178">
        <v>643.57000000000005</v>
      </c>
    </row>
    <row r="4179" spans="2:5" ht="18.75">
      <c r="B4179">
        <v>51</v>
      </c>
      <c r="C4179" s="5">
        <v>46006</v>
      </c>
      <c r="D4179" t="s">
        <v>146</v>
      </c>
      <c r="E4179">
        <v>671.12</v>
      </c>
    </row>
    <row r="4180" spans="2:5" ht="18.75">
      <c r="B4180">
        <v>51</v>
      </c>
      <c r="C4180" s="5">
        <v>46006</v>
      </c>
      <c r="D4180" t="s">
        <v>151</v>
      </c>
      <c r="E4180">
        <v>593.36</v>
      </c>
    </row>
    <row r="4181" spans="2:5" ht="18.75">
      <c r="B4181">
        <v>51</v>
      </c>
      <c r="C4181" s="5">
        <v>46006</v>
      </c>
      <c r="D4181" t="s">
        <v>114</v>
      </c>
      <c r="E4181">
        <v>311.73</v>
      </c>
    </row>
    <row r="4182" spans="2:5" ht="18.75">
      <c r="B4182">
        <v>51</v>
      </c>
      <c r="C4182" s="5">
        <v>46006</v>
      </c>
      <c r="D4182" t="s">
        <v>119</v>
      </c>
      <c r="E4182">
        <v>407.42</v>
      </c>
    </row>
    <row r="4183" spans="2:5" ht="18.75">
      <c r="B4183">
        <v>51</v>
      </c>
      <c r="C4183" s="5">
        <v>46006</v>
      </c>
      <c r="D4183" t="s">
        <v>133</v>
      </c>
      <c r="E4183">
        <v>307.45999999999998</v>
      </c>
    </row>
    <row r="4184" spans="2:5" ht="18.75">
      <c r="B4184">
        <v>51</v>
      </c>
      <c r="C4184" s="5">
        <v>46006</v>
      </c>
      <c r="D4184" t="s">
        <v>138</v>
      </c>
      <c r="E4184">
        <v>497.17</v>
      </c>
    </row>
    <row r="4185" spans="2:5" ht="18.75">
      <c r="B4185">
        <v>51</v>
      </c>
      <c r="C4185" s="5">
        <v>46006</v>
      </c>
      <c r="D4185" t="s">
        <v>145</v>
      </c>
      <c r="E4185">
        <v>342.92</v>
      </c>
    </row>
    <row r="4186" spans="2:5" ht="18.75">
      <c r="B4186">
        <v>51</v>
      </c>
      <c r="C4186" s="5">
        <v>46006</v>
      </c>
      <c r="D4186" t="s">
        <v>129</v>
      </c>
      <c r="E4186">
        <v>354.37</v>
      </c>
    </row>
    <row r="4187" spans="2:5" ht="18.75">
      <c r="B4187">
        <v>51</v>
      </c>
      <c r="C4187" s="5">
        <v>46006</v>
      </c>
      <c r="D4187" t="s">
        <v>111</v>
      </c>
      <c r="E4187">
        <v>182.24</v>
      </c>
    </row>
    <row r="4188" spans="2:5" ht="18.75">
      <c r="B4188">
        <v>51</v>
      </c>
      <c r="C4188" s="5">
        <v>46006</v>
      </c>
      <c r="D4188" t="s">
        <v>123</v>
      </c>
      <c r="E4188">
        <v>443.03</v>
      </c>
    </row>
    <row r="4189" spans="2:5" ht="18.75">
      <c r="B4189">
        <v>51</v>
      </c>
      <c r="C4189" s="5">
        <v>46006</v>
      </c>
      <c r="D4189" t="s">
        <v>124</v>
      </c>
      <c r="E4189">
        <v>367.7</v>
      </c>
    </row>
    <row r="4190" spans="2:5" ht="18.75">
      <c r="B4190">
        <v>51</v>
      </c>
      <c r="C4190" s="5">
        <v>46006</v>
      </c>
      <c r="D4190" t="s">
        <v>147</v>
      </c>
      <c r="E4190">
        <v>305.73</v>
      </c>
    </row>
    <row r="4191" spans="2:5" ht="18.75">
      <c r="B4191">
        <v>51</v>
      </c>
      <c r="C4191" s="5">
        <v>46006</v>
      </c>
      <c r="D4191" t="s">
        <v>113</v>
      </c>
      <c r="E4191">
        <v>237.11</v>
      </c>
    </row>
    <row r="4192" spans="2:5" ht="18.75">
      <c r="B4192">
        <v>51</v>
      </c>
      <c r="C4192" s="5">
        <v>46006</v>
      </c>
      <c r="D4192" t="s">
        <v>139</v>
      </c>
      <c r="E4192">
        <v>266.64</v>
      </c>
    </row>
    <row r="4193" spans="2:5" ht="18.75">
      <c r="B4193">
        <v>51</v>
      </c>
      <c r="C4193" s="5">
        <v>46006</v>
      </c>
      <c r="D4193" t="s">
        <v>112</v>
      </c>
      <c r="E4193">
        <v>85.51</v>
      </c>
    </row>
    <row r="4194" spans="2:5" ht="18.75">
      <c r="B4194">
        <v>51</v>
      </c>
      <c r="C4194" s="5">
        <v>46006</v>
      </c>
      <c r="D4194" t="s">
        <v>120</v>
      </c>
      <c r="E4194">
        <v>124.52</v>
      </c>
    </row>
    <row r="4195" spans="2:5" ht="18.75">
      <c r="B4195">
        <v>51</v>
      </c>
      <c r="C4195" s="5">
        <v>46006</v>
      </c>
      <c r="D4195" t="s">
        <v>122</v>
      </c>
      <c r="E4195">
        <v>267.27</v>
      </c>
    </row>
    <row r="4196" spans="2:5" ht="18.75">
      <c r="B4196">
        <v>51</v>
      </c>
      <c r="C4196" s="5">
        <v>46006</v>
      </c>
      <c r="D4196" t="s">
        <v>132</v>
      </c>
      <c r="E4196">
        <v>267.24</v>
      </c>
    </row>
    <row r="4197" spans="2:5" ht="18.75">
      <c r="B4197">
        <v>51</v>
      </c>
      <c r="C4197" s="5">
        <v>46006</v>
      </c>
      <c r="D4197" t="s">
        <v>148</v>
      </c>
      <c r="E4197">
        <v>111.92</v>
      </c>
    </row>
    <row r="4198" spans="2:5" ht="18.75">
      <c r="B4198">
        <v>51</v>
      </c>
      <c r="C4198" s="5">
        <v>46006</v>
      </c>
      <c r="D4198" t="s">
        <v>150</v>
      </c>
      <c r="E4198">
        <v>100.2</v>
      </c>
    </row>
    <row r="4199" spans="2:5" ht="18.75">
      <c r="B4199">
        <v>51</v>
      </c>
      <c r="C4199" s="5">
        <v>46006</v>
      </c>
      <c r="D4199" t="s">
        <v>116</v>
      </c>
      <c r="E4199">
        <v>97.55</v>
      </c>
    </row>
    <row r="4200" spans="2:5" ht="18.75">
      <c r="B4200">
        <v>51</v>
      </c>
      <c r="C4200" s="5">
        <v>46006</v>
      </c>
      <c r="D4200" t="s">
        <v>118</v>
      </c>
      <c r="E4200">
        <v>99.3</v>
      </c>
    </row>
    <row r="4201" spans="2:5" ht="18.75">
      <c r="B4201">
        <v>51</v>
      </c>
      <c r="C4201" s="5">
        <v>46006</v>
      </c>
      <c r="D4201" t="s">
        <v>121</v>
      </c>
      <c r="E4201">
        <v>108.88</v>
      </c>
    </row>
    <row r="4202" spans="2:5" ht="18.75">
      <c r="B4202">
        <v>51</v>
      </c>
      <c r="C4202" s="5">
        <v>46006</v>
      </c>
      <c r="D4202" t="s">
        <v>136</v>
      </c>
      <c r="E4202">
        <v>115.32</v>
      </c>
    </row>
    <row r="4203" spans="2:5" ht="18.75">
      <c r="B4203">
        <v>51</v>
      </c>
      <c r="C4203" s="5">
        <v>46006</v>
      </c>
      <c r="D4203" t="s">
        <v>125</v>
      </c>
      <c r="E4203">
        <v>73.180000000000007</v>
      </c>
    </row>
    <row r="4204" spans="2:5" ht="18.75">
      <c r="B4204">
        <v>51</v>
      </c>
      <c r="C4204" s="5">
        <v>46006</v>
      </c>
      <c r="D4204" t="s">
        <v>135</v>
      </c>
      <c r="E4204">
        <v>72.400000000000006</v>
      </c>
    </row>
    <row r="4205" spans="2:5" ht="18.75">
      <c r="B4205">
        <v>51</v>
      </c>
      <c r="C4205" s="5">
        <v>46006</v>
      </c>
      <c r="D4205" t="s">
        <v>137</v>
      </c>
      <c r="E4205">
        <v>58.71</v>
      </c>
    </row>
    <row r="4206" spans="2:5" ht="18.75">
      <c r="B4206">
        <v>51</v>
      </c>
      <c r="C4206" s="5">
        <v>46006</v>
      </c>
      <c r="D4206" t="s">
        <v>140</v>
      </c>
      <c r="E4206">
        <v>100.83</v>
      </c>
    </row>
    <row r="4207" spans="2:5" ht="18.75">
      <c r="B4207">
        <v>51</v>
      </c>
      <c r="C4207" s="5">
        <v>46006</v>
      </c>
      <c r="D4207" t="s">
        <v>149</v>
      </c>
      <c r="E4207">
        <v>160.16</v>
      </c>
    </row>
    <row r="4208" spans="2:5" ht="18.75">
      <c r="B4208">
        <v>51</v>
      </c>
      <c r="C4208" s="5">
        <v>46006</v>
      </c>
      <c r="D4208" t="s">
        <v>142</v>
      </c>
      <c r="E4208">
        <v>117.93</v>
      </c>
    </row>
    <row r="4209" spans="2:5" ht="18.75">
      <c r="B4209">
        <v>51</v>
      </c>
      <c r="C4209" s="5">
        <v>46006</v>
      </c>
      <c r="D4209" t="s">
        <v>128</v>
      </c>
      <c r="E4209">
        <v>5.73</v>
      </c>
    </row>
    <row r="4210" spans="2:5" ht="18.75">
      <c r="B4210">
        <v>52</v>
      </c>
      <c r="C4210" s="5">
        <v>46013</v>
      </c>
      <c r="D4210" t="s">
        <v>111</v>
      </c>
      <c r="E4210">
        <v>87.18</v>
      </c>
    </row>
    <row r="4211" spans="2:5" ht="18.75">
      <c r="B4211">
        <v>52</v>
      </c>
      <c r="C4211" s="5">
        <v>46013</v>
      </c>
      <c r="D4211" t="s">
        <v>112</v>
      </c>
      <c r="E4211">
        <v>29.67</v>
      </c>
    </row>
    <row r="4212" spans="2:5" ht="18.75">
      <c r="B4212">
        <v>52</v>
      </c>
      <c r="C4212" s="5">
        <v>46013</v>
      </c>
      <c r="D4212" t="s">
        <v>113</v>
      </c>
      <c r="E4212">
        <v>50.08</v>
      </c>
    </row>
    <row r="4213" spans="2:5" ht="18.75">
      <c r="B4213">
        <v>52</v>
      </c>
      <c r="C4213" s="5">
        <v>46013</v>
      </c>
      <c r="D4213" t="s">
        <v>114</v>
      </c>
      <c r="E4213">
        <v>156.47999999999999</v>
      </c>
    </row>
    <row r="4214" spans="2:5" ht="18.75">
      <c r="B4214">
        <v>52</v>
      </c>
      <c r="C4214" s="5">
        <v>46013</v>
      </c>
      <c r="D4214" t="s">
        <v>116</v>
      </c>
      <c r="E4214">
        <v>43.67</v>
      </c>
    </row>
    <row r="4215" spans="2:5" ht="18.75">
      <c r="B4215">
        <v>52</v>
      </c>
      <c r="C4215" s="5">
        <v>46013</v>
      </c>
      <c r="D4215" t="s">
        <v>117</v>
      </c>
      <c r="E4215">
        <v>95.3</v>
      </c>
    </row>
    <row r="4216" spans="2:5" ht="18.75">
      <c r="B4216">
        <v>52</v>
      </c>
      <c r="C4216" s="5">
        <v>46013</v>
      </c>
      <c r="D4216" t="s">
        <v>118</v>
      </c>
      <c r="E4216">
        <v>53.73</v>
      </c>
    </row>
    <row r="4217" spans="2:5" ht="18.75">
      <c r="B4217">
        <v>52</v>
      </c>
      <c r="C4217" s="5">
        <v>46013</v>
      </c>
      <c r="D4217" t="s">
        <v>119</v>
      </c>
      <c r="E4217">
        <v>178.25</v>
      </c>
    </row>
    <row r="4218" spans="2:5" ht="18.75">
      <c r="B4218">
        <v>52</v>
      </c>
      <c r="C4218" s="5">
        <v>46013</v>
      </c>
      <c r="D4218" t="s">
        <v>120</v>
      </c>
      <c r="E4218">
        <v>67.13</v>
      </c>
    </row>
    <row r="4219" spans="2:5" ht="18.75">
      <c r="B4219">
        <v>52</v>
      </c>
      <c r="C4219" s="5">
        <v>46013</v>
      </c>
      <c r="D4219" t="s">
        <v>121</v>
      </c>
      <c r="E4219">
        <v>76.36</v>
      </c>
    </row>
    <row r="4220" spans="2:5" ht="18.75">
      <c r="B4220">
        <v>52</v>
      </c>
      <c r="C4220" s="5">
        <v>46013</v>
      </c>
      <c r="D4220" t="s">
        <v>122</v>
      </c>
      <c r="E4220">
        <v>78.28</v>
      </c>
    </row>
    <row r="4221" spans="2:5" ht="18.75">
      <c r="B4221">
        <v>52</v>
      </c>
      <c r="C4221" s="5">
        <v>46013</v>
      </c>
      <c r="D4221" t="s">
        <v>123</v>
      </c>
      <c r="E4221">
        <v>357.06</v>
      </c>
    </row>
    <row r="4222" spans="2:5" ht="18.75">
      <c r="B4222">
        <v>52</v>
      </c>
      <c r="C4222" s="5">
        <v>46013</v>
      </c>
      <c r="D4222" t="s">
        <v>124</v>
      </c>
      <c r="E4222">
        <v>259.72000000000003</v>
      </c>
    </row>
    <row r="4223" spans="2:5" ht="18.75">
      <c r="B4223">
        <v>52</v>
      </c>
      <c r="C4223" s="5">
        <v>46013</v>
      </c>
      <c r="D4223" t="s">
        <v>127</v>
      </c>
      <c r="E4223">
        <v>128.37</v>
      </c>
    </row>
    <row r="4224" spans="2:5" ht="18.75">
      <c r="B4224">
        <v>52</v>
      </c>
      <c r="C4224" s="5">
        <v>46013</v>
      </c>
      <c r="D4224" t="s">
        <v>132</v>
      </c>
      <c r="E4224">
        <v>99.65</v>
      </c>
    </row>
    <row r="4225" spans="2:5" ht="18.75">
      <c r="B4225">
        <v>52</v>
      </c>
      <c r="C4225" s="5">
        <v>46013</v>
      </c>
      <c r="D4225" t="s">
        <v>133</v>
      </c>
      <c r="E4225">
        <v>122.9</v>
      </c>
    </row>
    <row r="4226" spans="2:5" ht="18.75">
      <c r="B4226">
        <v>52</v>
      </c>
      <c r="C4226" s="5">
        <v>46013</v>
      </c>
      <c r="D4226" t="s">
        <v>134</v>
      </c>
      <c r="E4226">
        <v>111.5</v>
      </c>
    </row>
    <row r="4227" spans="2:5" ht="18.75">
      <c r="B4227">
        <v>52</v>
      </c>
      <c r="C4227" s="5">
        <v>46013</v>
      </c>
      <c r="D4227" t="s">
        <v>136</v>
      </c>
      <c r="E4227">
        <v>48.72</v>
      </c>
    </row>
    <row r="4228" spans="2:5" ht="18.75">
      <c r="B4228">
        <v>52</v>
      </c>
      <c r="C4228" s="5">
        <v>46013</v>
      </c>
      <c r="D4228" t="s">
        <v>138</v>
      </c>
      <c r="E4228">
        <v>224.06</v>
      </c>
    </row>
    <row r="4229" spans="2:5" ht="18.75">
      <c r="B4229">
        <v>52</v>
      </c>
      <c r="C4229" s="5">
        <v>46013</v>
      </c>
      <c r="D4229" t="s">
        <v>142</v>
      </c>
      <c r="E4229">
        <v>63.79</v>
      </c>
    </row>
    <row r="4230" spans="2:5" ht="18.75">
      <c r="B4230">
        <v>52</v>
      </c>
      <c r="C4230" s="5">
        <v>46013</v>
      </c>
      <c r="D4230" t="s">
        <v>139</v>
      </c>
      <c r="E4230">
        <v>225.91</v>
      </c>
    </row>
    <row r="4231" spans="2:5" ht="18.75">
      <c r="B4231">
        <v>52</v>
      </c>
      <c r="C4231" s="5">
        <v>46013</v>
      </c>
      <c r="D4231" t="s">
        <v>143</v>
      </c>
      <c r="E4231">
        <v>890.63</v>
      </c>
    </row>
    <row r="4232" spans="2:5" ht="18.75">
      <c r="B4232">
        <v>52</v>
      </c>
      <c r="C4232" s="5">
        <v>46013</v>
      </c>
      <c r="D4232" t="s">
        <v>145</v>
      </c>
      <c r="E4232">
        <v>81.09</v>
      </c>
    </row>
    <row r="4233" spans="2:5" ht="18.75">
      <c r="B4233">
        <v>52</v>
      </c>
      <c r="C4233" s="5">
        <v>46013</v>
      </c>
      <c r="D4233" t="s">
        <v>146</v>
      </c>
      <c r="E4233">
        <v>185.73</v>
      </c>
    </row>
    <row r="4234" spans="2:5" ht="18.75">
      <c r="B4234">
        <v>52</v>
      </c>
      <c r="C4234" s="5">
        <v>46013</v>
      </c>
      <c r="D4234" t="s">
        <v>148</v>
      </c>
      <c r="E4234">
        <v>28.62</v>
      </c>
    </row>
    <row r="4235" spans="2:5" ht="18.75">
      <c r="B4235">
        <v>52</v>
      </c>
      <c r="C4235" s="5">
        <v>46013</v>
      </c>
      <c r="D4235" t="s">
        <v>147</v>
      </c>
      <c r="E4235">
        <v>147.28</v>
      </c>
    </row>
    <row r="4236" spans="2:5" ht="18.75">
      <c r="B4236">
        <v>52</v>
      </c>
      <c r="C4236" s="5">
        <v>46013</v>
      </c>
      <c r="D4236" t="s">
        <v>151</v>
      </c>
      <c r="E4236">
        <v>246.53</v>
      </c>
    </row>
    <row r="4237" spans="2:5" ht="18.75">
      <c r="B4237">
        <v>52</v>
      </c>
      <c r="C4237" s="5">
        <v>46013</v>
      </c>
      <c r="D4237" t="s">
        <v>129</v>
      </c>
      <c r="E4237">
        <v>282.56</v>
      </c>
    </row>
    <row r="4238" spans="2:5" ht="18.75">
      <c r="B4238">
        <v>52</v>
      </c>
      <c r="C4238" s="5">
        <v>46013</v>
      </c>
      <c r="D4238" t="s">
        <v>141</v>
      </c>
      <c r="E4238">
        <v>174.99</v>
      </c>
    </row>
    <row r="4239" spans="2:5" ht="18.75">
      <c r="B4239">
        <v>52</v>
      </c>
      <c r="C4239" s="5">
        <v>46013</v>
      </c>
      <c r="D4239" t="s">
        <v>125</v>
      </c>
      <c r="E4239">
        <v>21.82</v>
      </c>
    </row>
    <row r="4240" spans="2:5" ht="18.75">
      <c r="B4240">
        <v>52</v>
      </c>
      <c r="C4240" s="5">
        <v>46013</v>
      </c>
      <c r="D4240" t="s">
        <v>135</v>
      </c>
      <c r="E4240">
        <v>24.82</v>
      </c>
    </row>
    <row r="4241" spans="2:5" ht="18.75">
      <c r="B4241">
        <v>52</v>
      </c>
      <c r="C4241" s="5">
        <v>46013</v>
      </c>
      <c r="D4241" t="s">
        <v>137</v>
      </c>
      <c r="E4241">
        <v>26.52</v>
      </c>
    </row>
    <row r="4242" spans="2:5" ht="18.75">
      <c r="B4242">
        <v>52</v>
      </c>
      <c r="C4242" s="5">
        <v>46013</v>
      </c>
      <c r="D4242" t="s">
        <v>140</v>
      </c>
      <c r="E4242">
        <v>27.37</v>
      </c>
    </row>
    <row r="4243" spans="2:5" ht="18.75">
      <c r="B4243">
        <v>52</v>
      </c>
      <c r="C4243" s="5">
        <v>46013</v>
      </c>
      <c r="D4243" t="s">
        <v>149</v>
      </c>
      <c r="E4243">
        <v>66.489999999999995</v>
      </c>
    </row>
    <row r="4244" spans="2:5" ht="18.75">
      <c r="B4244">
        <v>52</v>
      </c>
      <c r="C4244" s="5">
        <v>46013</v>
      </c>
      <c r="D4244" t="s">
        <v>150</v>
      </c>
      <c r="E4244">
        <v>37.159999999999997</v>
      </c>
    </row>
    <row r="4245" spans="2:5" ht="18.75">
      <c r="B4245">
        <v>52</v>
      </c>
      <c r="C4245" s="5">
        <v>46013</v>
      </c>
      <c r="D4245" t="s">
        <v>126</v>
      </c>
      <c r="E4245">
        <v>20.91</v>
      </c>
    </row>
    <row r="4246" spans="2:5" ht="18.75">
      <c r="B4246">
        <v>1</v>
      </c>
      <c r="C4246" s="5">
        <v>46020</v>
      </c>
      <c r="D4246" t="s">
        <v>111</v>
      </c>
      <c r="E4246">
        <v>53.09</v>
      </c>
    </row>
    <row r="4247" spans="2:5" ht="18.75">
      <c r="B4247">
        <v>1</v>
      </c>
      <c r="C4247" s="5">
        <v>46020</v>
      </c>
      <c r="D4247" t="s">
        <v>112</v>
      </c>
      <c r="E4247">
        <v>36.44</v>
      </c>
    </row>
    <row r="4248" spans="2:5" ht="18.75">
      <c r="B4248">
        <v>1</v>
      </c>
      <c r="C4248" s="5">
        <v>46020</v>
      </c>
      <c r="D4248" t="s">
        <v>113</v>
      </c>
      <c r="E4248">
        <v>62.61</v>
      </c>
    </row>
    <row r="4249" spans="2:5" ht="18.75">
      <c r="B4249">
        <v>1</v>
      </c>
      <c r="C4249" s="5">
        <v>46020</v>
      </c>
      <c r="D4249" t="s">
        <v>114</v>
      </c>
      <c r="E4249">
        <v>68.709999999999994</v>
      </c>
    </row>
    <row r="4250" spans="2:5" ht="18.75">
      <c r="B4250">
        <v>1</v>
      </c>
      <c r="C4250" s="5">
        <v>46020</v>
      </c>
      <c r="D4250" t="s">
        <v>117</v>
      </c>
      <c r="E4250">
        <v>71.2</v>
      </c>
    </row>
    <row r="4251" spans="2:5" ht="18.75">
      <c r="B4251">
        <v>1</v>
      </c>
      <c r="C4251" s="5">
        <v>46020</v>
      </c>
      <c r="D4251" t="s">
        <v>118</v>
      </c>
      <c r="E4251">
        <v>51.86</v>
      </c>
    </row>
    <row r="4252" spans="2:5" ht="18.75">
      <c r="B4252">
        <v>1</v>
      </c>
      <c r="C4252" s="5">
        <v>46020</v>
      </c>
      <c r="D4252" t="s">
        <v>119</v>
      </c>
      <c r="E4252">
        <v>168.81</v>
      </c>
    </row>
    <row r="4253" spans="2:5" ht="18.75">
      <c r="B4253">
        <v>1</v>
      </c>
      <c r="C4253" s="5">
        <v>46020</v>
      </c>
      <c r="D4253" t="s">
        <v>120</v>
      </c>
      <c r="E4253">
        <v>49.46</v>
      </c>
    </row>
    <row r="4254" spans="2:5" ht="18.75">
      <c r="B4254">
        <v>1</v>
      </c>
      <c r="C4254" s="5">
        <v>46020</v>
      </c>
      <c r="D4254" t="s">
        <v>121</v>
      </c>
      <c r="E4254">
        <v>34.479999999999997</v>
      </c>
    </row>
    <row r="4255" spans="2:5" ht="18.75">
      <c r="B4255">
        <v>1</v>
      </c>
      <c r="C4255" s="5">
        <v>46020</v>
      </c>
      <c r="D4255" t="s">
        <v>122</v>
      </c>
      <c r="E4255">
        <v>114.3</v>
      </c>
    </row>
    <row r="4256" spans="2:5" ht="18.75">
      <c r="B4256">
        <v>1</v>
      </c>
      <c r="C4256" s="5">
        <v>46020</v>
      </c>
      <c r="D4256" t="s">
        <v>123</v>
      </c>
      <c r="E4256">
        <v>203.92</v>
      </c>
    </row>
    <row r="4257" spans="2:5" ht="18.75">
      <c r="B4257">
        <v>1</v>
      </c>
      <c r="C4257" s="5">
        <v>46020</v>
      </c>
      <c r="D4257" t="s">
        <v>124</v>
      </c>
      <c r="E4257">
        <v>149.02000000000001</v>
      </c>
    </row>
    <row r="4258" spans="2:5" ht="18.75">
      <c r="B4258">
        <v>1</v>
      </c>
      <c r="C4258" s="5">
        <v>46020</v>
      </c>
      <c r="D4258" t="s">
        <v>126</v>
      </c>
      <c r="E4258">
        <v>21.24</v>
      </c>
    </row>
    <row r="4259" spans="2:5" ht="18.75">
      <c r="B4259">
        <v>1</v>
      </c>
      <c r="C4259" s="5">
        <v>46020</v>
      </c>
      <c r="D4259" t="s">
        <v>132</v>
      </c>
      <c r="E4259">
        <v>66.760000000000005</v>
      </c>
    </row>
    <row r="4260" spans="2:5" ht="18.75">
      <c r="B4260">
        <v>1</v>
      </c>
      <c r="C4260" s="5">
        <v>46020</v>
      </c>
      <c r="D4260" t="s">
        <v>133</v>
      </c>
      <c r="E4260">
        <v>134.91</v>
      </c>
    </row>
    <row r="4261" spans="2:5" ht="18.75">
      <c r="B4261">
        <v>1</v>
      </c>
      <c r="C4261" s="5">
        <v>46020</v>
      </c>
      <c r="D4261" t="s">
        <v>134</v>
      </c>
      <c r="E4261">
        <v>125.65</v>
      </c>
    </row>
    <row r="4262" spans="2:5" ht="18.75">
      <c r="B4262">
        <v>1</v>
      </c>
      <c r="C4262" s="5">
        <v>46020</v>
      </c>
      <c r="D4262" t="s">
        <v>138</v>
      </c>
      <c r="E4262">
        <v>215.28</v>
      </c>
    </row>
    <row r="4263" spans="2:5" ht="18.75">
      <c r="B4263">
        <v>1</v>
      </c>
      <c r="C4263" s="5">
        <v>46020</v>
      </c>
      <c r="D4263" t="s">
        <v>139</v>
      </c>
      <c r="E4263">
        <v>215.1</v>
      </c>
    </row>
    <row r="4264" spans="2:5" ht="18.75">
      <c r="B4264">
        <v>1</v>
      </c>
      <c r="C4264" s="5">
        <v>46020</v>
      </c>
      <c r="D4264" t="s">
        <v>143</v>
      </c>
      <c r="E4264">
        <v>688.35</v>
      </c>
    </row>
    <row r="4265" spans="2:5" ht="18.75">
      <c r="B4265">
        <v>1</v>
      </c>
      <c r="C4265" s="5">
        <v>46020</v>
      </c>
      <c r="D4265" t="s">
        <v>145</v>
      </c>
      <c r="E4265">
        <v>65.239999999999995</v>
      </c>
    </row>
    <row r="4266" spans="2:5" ht="18.75">
      <c r="B4266">
        <v>1</v>
      </c>
      <c r="C4266" s="5">
        <v>46020</v>
      </c>
      <c r="D4266" t="s">
        <v>146</v>
      </c>
      <c r="E4266">
        <v>149.36000000000001</v>
      </c>
    </row>
    <row r="4267" spans="2:5" ht="18.75">
      <c r="B4267">
        <v>1</v>
      </c>
      <c r="C4267" s="5">
        <v>46020</v>
      </c>
      <c r="D4267" t="s">
        <v>148</v>
      </c>
      <c r="E4267">
        <v>27.92</v>
      </c>
    </row>
    <row r="4268" spans="2:5" ht="18.75">
      <c r="B4268">
        <v>1</v>
      </c>
      <c r="C4268" s="5">
        <v>46020</v>
      </c>
      <c r="D4268" t="s">
        <v>147</v>
      </c>
      <c r="E4268">
        <v>127.05</v>
      </c>
    </row>
    <row r="4269" spans="2:5" ht="18.75">
      <c r="B4269">
        <v>1</v>
      </c>
      <c r="C4269" s="5">
        <v>46020</v>
      </c>
      <c r="D4269" t="s">
        <v>149</v>
      </c>
      <c r="E4269">
        <v>92.19</v>
      </c>
    </row>
    <row r="4270" spans="2:5" ht="18.75">
      <c r="B4270">
        <v>1</v>
      </c>
      <c r="C4270" s="5">
        <v>46020</v>
      </c>
      <c r="D4270" t="s">
        <v>151</v>
      </c>
      <c r="E4270">
        <v>222.12</v>
      </c>
    </row>
    <row r="4271" spans="2:5" ht="18.75">
      <c r="B4271">
        <v>1</v>
      </c>
      <c r="C4271" s="5">
        <v>46020</v>
      </c>
      <c r="D4271" t="s">
        <v>116</v>
      </c>
      <c r="E4271">
        <v>20.100000000000001</v>
      </c>
    </row>
    <row r="4272" spans="2:5" ht="18.75">
      <c r="B4272">
        <v>1</v>
      </c>
      <c r="C4272" s="5">
        <v>46020</v>
      </c>
      <c r="D4272" t="s">
        <v>125</v>
      </c>
      <c r="E4272">
        <v>16.02</v>
      </c>
    </row>
    <row r="4273" spans="2:5" ht="18.75">
      <c r="B4273">
        <v>1</v>
      </c>
      <c r="C4273" s="5">
        <v>46020</v>
      </c>
      <c r="D4273" t="s">
        <v>127</v>
      </c>
      <c r="E4273">
        <v>53.95</v>
      </c>
    </row>
    <row r="4274" spans="2:5" ht="18.75">
      <c r="B4274">
        <v>1</v>
      </c>
      <c r="C4274" s="5">
        <v>46020</v>
      </c>
      <c r="D4274" t="s">
        <v>129</v>
      </c>
      <c r="E4274">
        <v>216.34</v>
      </c>
    </row>
    <row r="4275" spans="2:5" ht="18.75">
      <c r="B4275">
        <v>1</v>
      </c>
      <c r="C4275" s="5">
        <v>46020</v>
      </c>
      <c r="D4275" t="s">
        <v>135</v>
      </c>
      <c r="E4275">
        <v>16.02</v>
      </c>
    </row>
    <row r="4276" spans="2:5" ht="18.75">
      <c r="B4276">
        <v>1</v>
      </c>
      <c r="C4276" s="5">
        <v>46020</v>
      </c>
      <c r="D4276" t="s">
        <v>136</v>
      </c>
      <c r="E4276">
        <v>16.02</v>
      </c>
    </row>
    <row r="4277" spans="2:5" ht="18.75">
      <c r="B4277">
        <v>1</v>
      </c>
      <c r="C4277" s="5">
        <v>46020</v>
      </c>
      <c r="D4277" t="s">
        <v>137</v>
      </c>
      <c r="E4277">
        <v>16.02</v>
      </c>
    </row>
    <row r="4278" spans="2:5" ht="18.75">
      <c r="B4278">
        <v>2</v>
      </c>
      <c r="C4278" s="5">
        <v>46027</v>
      </c>
      <c r="D4278" t="s">
        <v>111</v>
      </c>
      <c r="E4278">
        <v>171.13</v>
      </c>
    </row>
    <row r="4279" spans="2:5" ht="18.75">
      <c r="B4279">
        <v>2</v>
      </c>
      <c r="C4279" s="5">
        <v>46027</v>
      </c>
      <c r="D4279" t="s">
        <v>112</v>
      </c>
      <c r="E4279">
        <v>84.76</v>
      </c>
    </row>
    <row r="4280" spans="2:5" ht="18.75">
      <c r="B4280">
        <v>2</v>
      </c>
      <c r="C4280" s="5">
        <v>46027</v>
      </c>
      <c r="D4280" t="s">
        <v>113</v>
      </c>
      <c r="E4280">
        <v>159.91999999999999</v>
      </c>
    </row>
    <row r="4281" spans="2:5" ht="18.75">
      <c r="B4281">
        <v>2</v>
      </c>
      <c r="C4281" s="5">
        <v>46027</v>
      </c>
      <c r="D4281" t="s">
        <v>114</v>
      </c>
      <c r="E4281">
        <v>298.45999999999998</v>
      </c>
    </row>
    <row r="4282" spans="2:5" ht="18.75">
      <c r="B4282">
        <v>2</v>
      </c>
      <c r="C4282" s="5">
        <v>46027</v>
      </c>
      <c r="D4282" t="s">
        <v>116</v>
      </c>
      <c r="E4282">
        <v>77.040000000000006</v>
      </c>
    </row>
    <row r="4283" spans="2:5" ht="18.75">
      <c r="B4283">
        <v>2</v>
      </c>
      <c r="C4283" s="5">
        <v>46027</v>
      </c>
      <c r="D4283" t="s">
        <v>117</v>
      </c>
      <c r="E4283">
        <v>228.55</v>
      </c>
    </row>
    <row r="4284" spans="2:5" ht="18.75">
      <c r="B4284">
        <v>2</v>
      </c>
      <c r="C4284" s="5">
        <v>46027</v>
      </c>
      <c r="D4284" t="s">
        <v>118</v>
      </c>
      <c r="E4284">
        <v>119.59</v>
      </c>
    </row>
    <row r="4285" spans="2:5" ht="18.75">
      <c r="B4285">
        <v>2</v>
      </c>
      <c r="C4285" s="5">
        <v>46027</v>
      </c>
      <c r="D4285" t="s">
        <v>119</v>
      </c>
      <c r="E4285">
        <v>434.75</v>
      </c>
    </row>
    <row r="4286" spans="2:5" ht="18.75">
      <c r="B4286">
        <v>2</v>
      </c>
      <c r="C4286" s="5">
        <v>46027</v>
      </c>
      <c r="D4286" t="s">
        <v>120</v>
      </c>
      <c r="E4286">
        <v>143.26</v>
      </c>
    </row>
    <row r="4287" spans="2:5" ht="18.75">
      <c r="B4287">
        <v>2</v>
      </c>
      <c r="C4287" s="5">
        <v>46027</v>
      </c>
      <c r="D4287" t="s">
        <v>121</v>
      </c>
      <c r="E4287">
        <v>77.45</v>
      </c>
    </row>
    <row r="4288" spans="2:5" ht="18.75">
      <c r="B4288">
        <v>2</v>
      </c>
      <c r="C4288" s="5">
        <v>46027</v>
      </c>
      <c r="D4288" t="s">
        <v>122</v>
      </c>
      <c r="E4288">
        <v>251.76</v>
      </c>
    </row>
    <row r="4289" spans="2:5" ht="18.75">
      <c r="B4289">
        <v>2</v>
      </c>
      <c r="C4289" s="5">
        <v>46027</v>
      </c>
      <c r="D4289" t="s">
        <v>123</v>
      </c>
      <c r="E4289">
        <v>399.47</v>
      </c>
    </row>
    <row r="4290" spans="2:5" ht="18.75">
      <c r="B4290">
        <v>2</v>
      </c>
      <c r="C4290" s="5">
        <v>46027</v>
      </c>
      <c r="D4290" t="s">
        <v>124</v>
      </c>
      <c r="E4290">
        <v>286.36</v>
      </c>
    </row>
    <row r="4291" spans="2:5" ht="18.75">
      <c r="B4291">
        <v>2</v>
      </c>
      <c r="C4291" s="5">
        <v>46027</v>
      </c>
      <c r="D4291" t="s">
        <v>126</v>
      </c>
      <c r="E4291">
        <v>100.05</v>
      </c>
    </row>
    <row r="4292" spans="2:5" ht="18.75">
      <c r="B4292">
        <v>2</v>
      </c>
      <c r="C4292" s="5">
        <v>46027</v>
      </c>
      <c r="D4292" t="s">
        <v>129</v>
      </c>
      <c r="E4292">
        <v>421.35</v>
      </c>
    </row>
    <row r="4293" spans="2:5" ht="18.75">
      <c r="B4293">
        <v>2</v>
      </c>
      <c r="C4293" s="5">
        <v>46027</v>
      </c>
      <c r="D4293" t="s">
        <v>132</v>
      </c>
      <c r="E4293">
        <v>179.52</v>
      </c>
    </row>
    <row r="4294" spans="2:5" ht="18.75">
      <c r="B4294">
        <v>2</v>
      </c>
      <c r="C4294" s="5">
        <v>46027</v>
      </c>
      <c r="D4294" t="s">
        <v>133</v>
      </c>
      <c r="E4294">
        <v>287.04000000000002</v>
      </c>
    </row>
    <row r="4295" spans="2:5" ht="18.75">
      <c r="B4295">
        <v>2</v>
      </c>
      <c r="C4295" s="5">
        <v>46027</v>
      </c>
      <c r="D4295" t="s">
        <v>134</v>
      </c>
      <c r="E4295">
        <v>334.77</v>
      </c>
    </row>
    <row r="4296" spans="2:5" ht="18.75">
      <c r="B4296">
        <v>2</v>
      </c>
      <c r="C4296" s="5">
        <v>46027</v>
      </c>
      <c r="D4296" t="s">
        <v>138</v>
      </c>
      <c r="E4296">
        <v>482.27</v>
      </c>
    </row>
    <row r="4297" spans="2:5" ht="18.75">
      <c r="B4297">
        <v>2</v>
      </c>
      <c r="C4297" s="5">
        <v>46027</v>
      </c>
      <c r="D4297" t="s">
        <v>140</v>
      </c>
      <c r="E4297">
        <v>85.7</v>
      </c>
    </row>
    <row r="4298" spans="2:5" ht="18.75">
      <c r="B4298">
        <v>2</v>
      </c>
      <c r="C4298" s="5">
        <v>46027</v>
      </c>
      <c r="D4298" t="s">
        <v>141</v>
      </c>
      <c r="E4298">
        <v>425.62</v>
      </c>
    </row>
    <row r="4299" spans="2:5" ht="18.75">
      <c r="B4299">
        <v>2</v>
      </c>
      <c r="C4299" s="5">
        <v>46027</v>
      </c>
      <c r="D4299" t="s">
        <v>142</v>
      </c>
      <c r="E4299">
        <v>151.94</v>
      </c>
    </row>
    <row r="4300" spans="2:5" ht="18.75">
      <c r="B4300">
        <v>2</v>
      </c>
      <c r="C4300" s="5">
        <v>46027</v>
      </c>
      <c r="D4300" t="s">
        <v>139</v>
      </c>
      <c r="E4300">
        <v>225.83</v>
      </c>
    </row>
    <row r="4301" spans="2:5" ht="18.75">
      <c r="B4301">
        <v>2</v>
      </c>
      <c r="C4301" s="5">
        <v>46027</v>
      </c>
      <c r="D4301" t="s">
        <v>143</v>
      </c>
      <c r="E4301">
        <v>1409.33</v>
      </c>
    </row>
    <row r="4302" spans="2:5" ht="18.75">
      <c r="B4302">
        <v>2</v>
      </c>
      <c r="C4302" s="5">
        <v>46027</v>
      </c>
      <c r="D4302" t="s">
        <v>145</v>
      </c>
      <c r="E4302">
        <v>320.94</v>
      </c>
    </row>
    <row r="4303" spans="2:5" ht="18.75">
      <c r="B4303">
        <v>2</v>
      </c>
      <c r="C4303" s="5">
        <v>46027</v>
      </c>
      <c r="D4303" t="s">
        <v>146</v>
      </c>
      <c r="E4303">
        <v>676.23</v>
      </c>
    </row>
    <row r="4304" spans="2:5" ht="18.75">
      <c r="B4304">
        <v>2</v>
      </c>
      <c r="C4304" s="5">
        <v>46027</v>
      </c>
      <c r="D4304" t="s">
        <v>148</v>
      </c>
      <c r="E4304">
        <v>101.26</v>
      </c>
    </row>
    <row r="4305" spans="2:5" ht="18.75">
      <c r="B4305">
        <v>2</v>
      </c>
      <c r="C4305" s="5">
        <v>46027</v>
      </c>
      <c r="D4305" t="s">
        <v>147</v>
      </c>
      <c r="E4305">
        <v>265.98</v>
      </c>
    </row>
    <row r="4306" spans="2:5" ht="18.75">
      <c r="B4306">
        <v>2</v>
      </c>
      <c r="C4306" s="5">
        <v>46027</v>
      </c>
      <c r="D4306" t="s">
        <v>150</v>
      </c>
      <c r="E4306">
        <v>83.55</v>
      </c>
    </row>
    <row r="4307" spans="2:5" ht="18.75">
      <c r="B4307">
        <v>2</v>
      </c>
      <c r="C4307" s="5">
        <v>46027</v>
      </c>
      <c r="D4307" t="s">
        <v>151</v>
      </c>
      <c r="E4307">
        <v>585.16</v>
      </c>
    </row>
    <row r="4308" spans="2:5" ht="18.75">
      <c r="B4308">
        <v>2</v>
      </c>
      <c r="C4308" s="5">
        <v>46027</v>
      </c>
      <c r="D4308" t="s">
        <v>125</v>
      </c>
      <c r="E4308">
        <v>54.96</v>
      </c>
    </row>
    <row r="4309" spans="2:5" ht="18.75">
      <c r="B4309">
        <v>2</v>
      </c>
      <c r="C4309" s="5">
        <v>46027</v>
      </c>
      <c r="D4309" t="s">
        <v>135</v>
      </c>
      <c r="E4309">
        <v>62.68</v>
      </c>
    </row>
    <row r="4310" spans="2:5" ht="18.75">
      <c r="B4310">
        <v>2</v>
      </c>
      <c r="C4310" s="5">
        <v>46027</v>
      </c>
      <c r="D4310" t="s">
        <v>136</v>
      </c>
      <c r="E4310">
        <v>66.17</v>
      </c>
    </row>
    <row r="4311" spans="2:5" ht="18.75">
      <c r="B4311">
        <v>2</v>
      </c>
      <c r="C4311" s="5">
        <v>46027</v>
      </c>
      <c r="D4311" t="s">
        <v>137</v>
      </c>
      <c r="E4311">
        <v>55.6</v>
      </c>
    </row>
    <row r="4312" spans="2:5" ht="18.75">
      <c r="B4312">
        <v>2</v>
      </c>
      <c r="C4312" s="5">
        <v>46027</v>
      </c>
      <c r="D4312" t="s">
        <v>149</v>
      </c>
      <c r="E4312">
        <v>177.61</v>
      </c>
    </row>
    <row r="4313" spans="2:5" ht="18.75">
      <c r="B4313">
        <v>2</v>
      </c>
      <c r="C4313" s="5">
        <v>46027</v>
      </c>
      <c r="D4313" t="s">
        <v>127</v>
      </c>
      <c r="E4313">
        <v>158.38999999999999</v>
      </c>
    </row>
    <row r="4314" spans="2:5" ht="18.75">
      <c r="B4314">
        <v>3</v>
      </c>
      <c r="C4314" s="5">
        <v>46034</v>
      </c>
      <c r="D4314" t="s">
        <v>111</v>
      </c>
      <c r="E4314">
        <v>116.8</v>
      </c>
    </row>
    <row r="4315" spans="2:5" ht="18.75">
      <c r="B4315">
        <v>3</v>
      </c>
      <c r="C4315" s="5">
        <v>46034</v>
      </c>
      <c r="D4315" t="s">
        <v>112</v>
      </c>
      <c r="E4315">
        <v>71.42</v>
      </c>
    </row>
    <row r="4316" spans="2:5" ht="18.75">
      <c r="B4316">
        <v>3</v>
      </c>
      <c r="C4316" s="5">
        <v>46034</v>
      </c>
      <c r="D4316" t="s">
        <v>114</v>
      </c>
      <c r="E4316">
        <v>164.37</v>
      </c>
    </row>
    <row r="4317" spans="2:5" ht="18.75">
      <c r="B4317">
        <v>3</v>
      </c>
      <c r="C4317" s="5">
        <v>46034</v>
      </c>
      <c r="D4317" t="s">
        <v>116</v>
      </c>
      <c r="E4317">
        <v>82.86</v>
      </c>
    </row>
    <row r="4318" spans="2:5" ht="18.75">
      <c r="B4318">
        <v>3</v>
      </c>
      <c r="C4318" s="5">
        <v>46034</v>
      </c>
      <c r="D4318" t="s">
        <v>117</v>
      </c>
      <c r="E4318">
        <v>145.71</v>
      </c>
    </row>
    <row r="4319" spans="2:5" ht="18.75">
      <c r="B4319">
        <v>3</v>
      </c>
      <c r="C4319" s="5">
        <v>46034</v>
      </c>
      <c r="D4319" t="s">
        <v>119</v>
      </c>
      <c r="E4319">
        <v>233.73</v>
      </c>
    </row>
    <row r="4320" spans="2:5" ht="18.75">
      <c r="B4320">
        <v>3</v>
      </c>
      <c r="C4320" s="5">
        <v>46034</v>
      </c>
      <c r="D4320" t="s">
        <v>120</v>
      </c>
      <c r="E4320">
        <v>122.14</v>
      </c>
    </row>
    <row r="4321" spans="2:5" ht="18.75">
      <c r="B4321">
        <v>3</v>
      </c>
      <c r="C4321" s="5">
        <v>46034</v>
      </c>
      <c r="D4321" t="s">
        <v>122</v>
      </c>
      <c r="E4321">
        <v>224.08</v>
      </c>
    </row>
    <row r="4322" spans="2:5" ht="18.75">
      <c r="B4322">
        <v>3</v>
      </c>
      <c r="C4322" s="5">
        <v>46034</v>
      </c>
      <c r="D4322" t="s">
        <v>123</v>
      </c>
      <c r="E4322">
        <v>473.42</v>
      </c>
    </row>
    <row r="4323" spans="2:5" ht="18.75">
      <c r="B4323">
        <v>3</v>
      </c>
      <c r="C4323" s="5">
        <v>46034</v>
      </c>
      <c r="D4323" t="s">
        <v>124</v>
      </c>
      <c r="E4323">
        <v>392.45</v>
      </c>
    </row>
    <row r="4324" spans="2:5" ht="18.75">
      <c r="B4324">
        <v>3</v>
      </c>
      <c r="C4324" s="5">
        <v>46034</v>
      </c>
      <c r="D4324" t="s">
        <v>126</v>
      </c>
      <c r="E4324">
        <v>157.22999999999999</v>
      </c>
    </row>
    <row r="4325" spans="2:5" ht="18.75">
      <c r="B4325">
        <v>3</v>
      </c>
      <c r="C4325" s="5">
        <v>46034</v>
      </c>
      <c r="D4325" t="s">
        <v>129</v>
      </c>
      <c r="E4325">
        <v>279.38</v>
      </c>
    </row>
    <row r="4326" spans="2:5" ht="18.75">
      <c r="B4326">
        <v>3</v>
      </c>
      <c r="C4326" s="5">
        <v>46034</v>
      </c>
      <c r="D4326" t="s">
        <v>132</v>
      </c>
      <c r="E4326">
        <v>221.51</v>
      </c>
    </row>
    <row r="4327" spans="2:5" ht="18.75">
      <c r="B4327">
        <v>3</v>
      </c>
      <c r="C4327" s="5">
        <v>46034</v>
      </c>
      <c r="D4327" t="s">
        <v>133</v>
      </c>
      <c r="E4327">
        <v>196.9</v>
      </c>
    </row>
    <row r="4328" spans="2:5" ht="18.75">
      <c r="B4328">
        <v>3</v>
      </c>
      <c r="C4328" s="5">
        <v>46034</v>
      </c>
      <c r="D4328" t="s">
        <v>134</v>
      </c>
      <c r="E4328">
        <v>208.68</v>
      </c>
    </row>
    <row r="4329" spans="2:5" ht="18.75">
      <c r="B4329">
        <v>3</v>
      </c>
      <c r="C4329" s="5">
        <v>46034</v>
      </c>
      <c r="D4329" t="s">
        <v>138</v>
      </c>
      <c r="E4329">
        <v>282.61</v>
      </c>
    </row>
    <row r="4330" spans="2:5" ht="18.75">
      <c r="B4330">
        <v>3</v>
      </c>
      <c r="C4330" s="5">
        <v>46034</v>
      </c>
      <c r="D4330" t="s">
        <v>140</v>
      </c>
      <c r="E4330">
        <v>70.069999999999993</v>
      </c>
    </row>
    <row r="4331" spans="2:5" ht="18.75">
      <c r="B4331">
        <v>3</v>
      </c>
      <c r="C4331" s="5">
        <v>46034</v>
      </c>
      <c r="D4331" t="s">
        <v>141</v>
      </c>
      <c r="E4331">
        <v>355.46</v>
      </c>
    </row>
    <row r="4332" spans="2:5" ht="18.75">
      <c r="B4332">
        <v>3</v>
      </c>
      <c r="C4332" s="5">
        <v>46034</v>
      </c>
      <c r="D4332" t="s">
        <v>142</v>
      </c>
      <c r="E4332">
        <v>164.77</v>
      </c>
    </row>
    <row r="4333" spans="2:5" ht="18.75">
      <c r="B4333">
        <v>3</v>
      </c>
      <c r="C4333" s="5">
        <v>46034</v>
      </c>
      <c r="D4333" t="s">
        <v>139</v>
      </c>
      <c r="E4333">
        <v>210.79</v>
      </c>
    </row>
    <row r="4334" spans="2:5" ht="18.75">
      <c r="B4334">
        <v>3</v>
      </c>
      <c r="C4334" s="5">
        <v>46034</v>
      </c>
      <c r="D4334" t="s">
        <v>143</v>
      </c>
      <c r="E4334">
        <v>1217.28</v>
      </c>
    </row>
    <row r="4335" spans="2:5" ht="18.75">
      <c r="B4335">
        <v>3</v>
      </c>
      <c r="C4335" s="5">
        <v>46034</v>
      </c>
      <c r="D4335" t="s">
        <v>145</v>
      </c>
      <c r="E4335">
        <v>181.44</v>
      </c>
    </row>
    <row r="4336" spans="2:5" ht="18.75">
      <c r="B4336">
        <v>3</v>
      </c>
      <c r="C4336" s="5">
        <v>46034</v>
      </c>
      <c r="D4336" t="s">
        <v>221</v>
      </c>
      <c r="E4336">
        <v>283.08999999999997</v>
      </c>
    </row>
    <row r="4337" spans="2:5" ht="18.75">
      <c r="B4337">
        <v>3</v>
      </c>
      <c r="C4337" s="5">
        <v>46034</v>
      </c>
      <c r="D4337" t="s">
        <v>146</v>
      </c>
      <c r="E4337">
        <v>337.22</v>
      </c>
    </row>
    <row r="4338" spans="2:5" ht="18.75">
      <c r="B4338">
        <v>3</v>
      </c>
      <c r="C4338" s="5">
        <v>46034</v>
      </c>
      <c r="D4338" t="s">
        <v>147</v>
      </c>
      <c r="E4338">
        <v>288.81</v>
      </c>
    </row>
    <row r="4339" spans="2:5" ht="18.75">
      <c r="B4339">
        <v>3</v>
      </c>
      <c r="C4339" s="5">
        <v>46034</v>
      </c>
      <c r="D4339" t="s">
        <v>151</v>
      </c>
      <c r="E4339">
        <v>330.79</v>
      </c>
    </row>
    <row r="4340" spans="2:5" ht="18.75">
      <c r="B4340">
        <v>3</v>
      </c>
      <c r="C4340" s="5">
        <v>46034</v>
      </c>
      <c r="D4340" t="s">
        <v>113</v>
      </c>
      <c r="E4340">
        <v>259.39</v>
      </c>
    </row>
    <row r="4341" spans="2:5" ht="18.75">
      <c r="B4341">
        <v>3</v>
      </c>
      <c r="C4341" s="5">
        <v>46034</v>
      </c>
      <c r="D4341" t="s">
        <v>118</v>
      </c>
      <c r="E4341">
        <v>127.74</v>
      </c>
    </row>
    <row r="4342" spans="2:5" ht="18.75">
      <c r="B4342">
        <v>3</v>
      </c>
      <c r="C4342" s="5">
        <v>46034</v>
      </c>
      <c r="D4342" t="s">
        <v>125</v>
      </c>
      <c r="E4342">
        <v>57.29</v>
      </c>
    </row>
    <row r="4343" spans="2:5" ht="18.75">
      <c r="B4343">
        <v>3</v>
      </c>
      <c r="C4343" s="5">
        <v>46034</v>
      </c>
      <c r="D4343" t="s">
        <v>135</v>
      </c>
      <c r="E4343">
        <v>62.38</v>
      </c>
    </row>
    <row r="4344" spans="2:5" ht="18.75">
      <c r="B4344">
        <v>3</v>
      </c>
      <c r="C4344" s="5">
        <v>46034</v>
      </c>
      <c r="D4344" t="s">
        <v>136</v>
      </c>
      <c r="E4344">
        <v>87.49</v>
      </c>
    </row>
    <row r="4345" spans="2:5" ht="18.75">
      <c r="B4345">
        <v>3</v>
      </c>
      <c r="C4345" s="5">
        <v>46034</v>
      </c>
      <c r="D4345" t="s">
        <v>137</v>
      </c>
      <c r="E4345">
        <v>53.73</v>
      </c>
    </row>
    <row r="4346" spans="2:5" ht="18.75">
      <c r="B4346">
        <v>3</v>
      </c>
      <c r="C4346" s="5">
        <v>46034</v>
      </c>
      <c r="D4346" t="s">
        <v>148</v>
      </c>
      <c r="E4346">
        <v>63.11</v>
      </c>
    </row>
    <row r="4347" spans="2:5" ht="18.75">
      <c r="B4347">
        <v>3</v>
      </c>
      <c r="C4347" s="5">
        <v>46034</v>
      </c>
      <c r="D4347" t="s">
        <v>150</v>
      </c>
      <c r="E4347">
        <v>64.87</v>
      </c>
    </row>
    <row r="4348" spans="2:5" ht="18.75">
      <c r="B4348">
        <v>3</v>
      </c>
      <c r="C4348" s="5">
        <v>46034</v>
      </c>
      <c r="D4348" t="s">
        <v>127</v>
      </c>
      <c r="E4348">
        <v>179.37</v>
      </c>
    </row>
    <row r="4349" spans="2:5" ht="18.75">
      <c r="B4349">
        <v>3</v>
      </c>
      <c r="C4349" s="5">
        <v>46034</v>
      </c>
      <c r="D4349" t="s">
        <v>149</v>
      </c>
      <c r="E4349">
        <v>149.27000000000001</v>
      </c>
    </row>
    <row r="4350" spans="2:5" ht="18.75">
      <c r="B4350">
        <v>4</v>
      </c>
      <c r="C4350" s="5">
        <v>46041</v>
      </c>
      <c r="D4350" t="s">
        <v>111</v>
      </c>
      <c r="E4350">
        <v>154.96</v>
      </c>
    </row>
    <row r="4351" spans="2:5" ht="18.75">
      <c r="B4351">
        <v>4</v>
      </c>
      <c r="C4351" s="5">
        <v>46041</v>
      </c>
      <c r="D4351" t="s">
        <v>112</v>
      </c>
      <c r="E4351">
        <v>108.87</v>
      </c>
    </row>
    <row r="4352" spans="2:5" ht="18.75">
      <c r="B4352">
        <v>4</v>
      </c>
      <c r="C4352" s="5">
        <v>46041</v>
      </c>
      <c r="D4352" t="s">
        <v>113</v>
      </c>
      <c r="E4352">
        <v>191.42</v>
      </c>
    </row>
    <row r="4353" spans="2:5" ht="18.75">
      <c r="B4353">
        <v>4</v>
      </c>
      <c r="C4353" s="5">
        <v>46041</v>
      </c>
      <c r="D4353" t="s">
        <v>114</v>
      </c>
      <c r="E4353">
        <v>207.75</v>
      </c>
    </row>
    <row r="4354" spans="2:5" ht="18.75">
      <c r="B4354">
        <v>4</v>
      </c>
      <c r="C4354" s="5">
        <v>46041</v>
      </c>
      <c r="D4354" t="s">
        <v>116</v>
      </c>
      <c r="E4354">
        <v>99.84</v>
      </c>
    </row>
    <row r="4355" spans="2:5" ht="18.75">
      <c r="B4355">
        <v>4</v>
      </c>
      <c r="C4355" s="5">
        <v>46041</v>
      </c>
      <c r="D4355" t="s">
        <v>117</v>
      </c>
      <c r="E4355">
        <v>151.32</v>
      </c>
    </row>
    <row r="4356" spans="2:5" ht="18.75">
      <c r="B4356">
        <v>4</v>
      </c>
      <c r="C4356" s="5">
        <v>46041</v>
      </c>
      <c r="D4356" t="s">
        <v>118</v>
      </c>
      <c r="E4356">
        <v>160.84</v>
      </c>
    </row>
    <row r="4357" spans="2:5" ht="18.75">
      <c r="B4357">
        <v>4</v>
      </c>
      <c r="C4357" s="5">
        <v>46041</v>
      </c>
      <c r="D4357" t="s">
        <v>119</v>
      </c>
      <c r="E4357">
        <v>271.33</v>
      </c>
    </row>
    <row r="4358" spans="2:5" ht="18.75">
      <c r="B4358">
        <v>4</v>
      </c>
      <c r="C4358" s="5">
        <v>46041</v>
      </c>
      <c r="D4358" t="s">
        <v>120</v>
      </c>
      <c r="E4358">
        <v>138.51</v>
      </c>
    </row>
    <row r="4359" spans="2:5" ht="18.75">
      <c r="B4359">
        <v>4</v>
      </c>
      <c r="C4359" s="5">
        <v>46041</v>
      </c>
      <c r="D4359" t="s">
        <v>121</v>
      </c>
      <c r="E4359">
        <v>147.24</v>
      </c>
    </row>
    <row r="4360" spans="2:5" ht="18.75">
      <c r="B4360">
        <v>4</v>
      </c>
      <c r="C4360" s="5">
        <v>46041</v>
      </c>
      <c r="D4360" t="s">
        <v>122</v>
      </c>
      <c r="E4360">
        <v>245.6</v>
      </c>
    </row>
    <row r="4361" spans="2:5" ht="18.75">
      <c r="B4361">
        <v>4</v>
      </c>
      <c r="C4361" s="5">
        <v>46041</v>
      </c>
      <c r="D4361" t="s">
        <v>123</v>
      </c>
      <c r="E4361">
        <v>423.28</v>
      </c>
    </row>
    <row r="4362" spans="2:5" ht="18.75">
      <c r="B4362">
        <v>4</v>
      </c>
      <c r="C4362" s="5">
        <v>46041</v>
      </c>
      <c r="D4362" t="s">
        <v>124</v>
      </c>
      <c r="E4362">
        <v>381.03</v>
      </c>
    </row>
    <row r="4363" spans="2:5" ht="18.75">
      <c r="B4363">
        <v>4</v>
      </c>
      <c r="C4363" s="5">
        <v>46041</v>
      </c>
      <c r="D4363" t="s">
        <v>125</v>
      </c>
      <c r="E4363">
        <v>77.55</v>
      </c>
    </row>
    <row r="4364" spans="2:5" ht="18.75">
      <c r="B4364">
        <v>4</v>
      </c>
      <c r="C4364" s="5">
        <v>46041</v>
      </c>
      <c r="D4364" t="s">
        <v>126</v>
      </c>
      <c r="E4364">
        <v>155.13</v>
      </c>
    </row>
    <row r="4365" spans="2:5" ht="18.75">
      <c r="B4365">
        <v>4</v>
      </c>
      <c r="C4365" s="5">
        <v>46041</v>
      </c>
      <c r="D4365" t="s">
        <v>130</v>
      </c>
      <c r="E4365">
        <v>258.01</v>
      </c>
    </row>
    <row r="4366" spans="2:5" ht="18.75">
      <c r="B4366">
        <v>4</v>
      </c>
      <c r="C4366" s="5">
        <v>46041</v>
      </c>
      <c r="D4366" t="s">
        <v>132</v>
      </c>
      <c r="E4366">
        <v>227.96</v>
      </c>
    </row>
    <row r="4367" spans="2:5" ht="18.75">
      <c r="B4367">
        <v>4</v>
      </c>
      <c r="C4367" s="5">
        <v>46041</v>
      </c>
      <c r="D4367" t="s">
        <v>133</v>
      </c>
      <c r="E4367">
        <v>213.49</v>
      </c>
    </row>
    <row r="4368" spans="2:5" ht="18.75">
      <c r="B4368">
        <v>4</v>
      </c>
      <c r="C4368" s="5">
        <v>46041</v>
      </c>
      <c r="D4368" t="s">
        <v>134</v>
      </c>
      <c r="E4368">
        <v>222.56</v>
      </c>
    </row>
    <row r="4369" spans="2:5" ht="18.75">
      <c r="B4369">
        <v>4</v>
      </c>
      <c r="C4369" s="5">
        <v>46041</v>
      </c>
      <c r="D4369" t="s">
        <v>135</v>
      </c>
      <c r="E4369">
        <v>70.61</v>
      </c>
    </row>
    <row r="4370" spans="2:5" ht="18.75">
      <c r="B4370">
        <v>4</v>
      </c>
      <c r="C4370" s="5">
        <v>46041</v>
      </c>
      <c r="D4370" t="s">
        <v>136</v>
      </c>
      <c r="E4370">
        <v>152.79</v>
      </c>
    </row>
    <row r="4371" spans="2:5" ht="18.75">
      <c r="B4371">
        <v>4</v>
      </c>
      <c r="C4371" s="5">
        <v>46041</v>
      </c>
      <c r="D4371" t="s">
        <v>137</v>
      </c>
      <c r="E4371">
        <v>57.38</v>
      </c>
    </row>
    <row r="4372" spans="2:5" ht="18.75">
      <c r="B4372">
        <v>4</v>
      </c>
      <c r="C4372" s="5">
        <v>46041</v>
      </c>
      <c r="D4372" t="s">
        <v>138</v>
      </c>
      <c r="E4372">
        <v>318.99</v>
      </c>
    </row>
    <row r="4373" spans="2:5" ht="18.75">
      <c r="B4373">
        <v>4</v>
      </c>
      <c r="C4373" s="5">
        <v>46041</v>
      </c>
      <c r="D4373" t="s">
        <v>140</v>
      </c>
      <c r="E4373">
        <v>102.53</v>
      </c>
    </row>
    <row r="4374" spans="2:5" ht="18.75">
      <c r="B4374">
        <v>4</v>
      </c>
      <c r="C4374" s="5">
        <v>46041</v>
      </c>
      <c r="D4374" t="s">
        <v>141</v>
      </c>
      <c r="E4374">
        <v>332.39</v>
      </c>
    </row>
    <row r="4375" spans="2:5" ht="18.75">
      <c r="B4375">
        <v>4</v>
      </c>
      <c r="C4375" s="5">
        <v>46041</v>
      </c>
      <c r="D4375" t="s">
        <v>142</v>
      </c>
      <c r="E4375">
        <v>204.09</v>
      </c>
    </row>
    <row r="4376" spans="2:5" ht="18.75">
      <c r="B4376">
        <v>4</v>
      </c>
      <c r="C4376" s="5">
        <v>46041</v>
      </c>
      <c r="D4376" t="s">
        <v>139</v>
      </c>
      <c r="E4376">
        <v>237.18</v>
      </c>
    </row>
    <row r="4377" spans="2:5" ht="18.75">
      <c r="B4377">
        <v>4</v>
      </c>
      <c r="C4377" s="5">
        <v>46041</v>
      </c>
      <c r="D4377" t="s">
        <v>143</v>
      </c>
      <c r="E4377">
        <v>1139.99</v>
      </c>
    </row>
    <row r="4378" spans="2:5" ht="18.75">
      <c r="B4378">
        <v>4</v>
      </c>
      <c r="C4378" s="5">
        <v>46041</v>
      </c>
      <c r="D4378" t="s">
        <v>145</v>
      </c>
      <c r="E4378">
        <v>201.04</v>
      </c>
    </row>
    <row r="4379" spans="2:5" ht="18.75">
      <c r="B4379">
        <v>4</v>
      </c>
      <c r="C4379" s="5">
        <v>46041</v>
      </c>
      <c r="D4379" t="s">
        <v>146</v>
      </c>
      <c r="E4379">
        <v>390.24</v>
      </c>
    </row>
    <row r="4380" spans="2:5" ht="18.75">
      <c r="B4380">
        <v>4</v>
      </c>
      <c r="C4380" s="5">
        <v>46041</v>
      </c>
      <c r="D4380" t="s">
        <v>148</v>
      </c>
      <c r="E4380">
        <v>100.58</v>
      </c>
    </row>
    <row r="4381" spans="2:5" ht="18.75">
      <c r="B4381">
        <v>4</v>
      </c>
      <c r="C4381" s="5">
        <v>46041</v>
      </c>
      <c r="D4381" t="s">
        <v>147</v>
      </c>
      <c r="E4381">
        <v>286.42</v>
      </c>
    </row>
    <row r="4382" spans="2:5" ht="18.75">
      <c r="B4382">
        <v>4</v>
      </c>
      <c r="C4382" s="5">
        <v>46041</v>
      </c>
      <c r="D4382" t="s">
        <v>150</v>
      </c>
      <c r="E4382">
        <v>85.73</v>
      </c>
    </row>
    <row r="4383" spans="2:5" ht="18.75">
      <c r="B4383">
        <v>4</v>
      </c>
      <c r="C4383" s="5">
        <v>46041</v>
      </c>
      <c r="D4383" t="s">
        <v>151</v>
      </c>
      <c r="E4383">
        <v>316.2</v>
      </c>
    </row>
    <row r="4384" spans="2:5" ht="18.75">
      <c r="B4384">
        <v>4</v>
      </c>
      <c r="C4384" s="5">
        <v>46041</v>
      </c>
      <c r="D4384" t="s">
        <v>127</v>
      </c>
      <c r="E4384">
        <v>276.81</v>
      </c>
    </row>
    <row r="4385" spans="2:5" ht="18.75">
      <c r="B4385">
        <v>4</v>
      </c>
      <c r="C4385" s="5">
        <v>46041</v>
      </c>
      <c r="D4385" t="s">
        <v>129</v>
      </c>
      <c r="E4385">
        <v>275.26</v>
      </c>
    </row>
    <row r="4386" spans="2:5" ht="18.75">
      <c r="B4386">
        <v>4</v>
      </c>
      <c r="C4386" s="5">
        <v>46041</v>
      </c>
      <c r="D4386" t="s">
        <v>149</v>
      </c>
      <c r="E4386">
        <v>127.33</v>
      </c>
    </row>
    <row r="4387" spans="2:5" ht="18.75">
      <c r="B4387">
        <v>5</v>
      </c>
      <c r="C4387" s="5">
        <v>46048</v>
      </c>
      <c r="D4387" t="s">
        <v>111</v>
      </c>
      <c r="E4387">
        <v>228.56</v>
      </c>
    </row>
    <row r="4388" spans="2:5" ht="18.75">
      <c r="B4388">
        <v>5</v>
      </c>
      <c r="C4388" s="5">
        <v>46048</v>
      </c>
      <c r="D4388" t="s">
        <v>113</v>
      </c>
      <c r="E4388">
        <v>278.56</v>
      </c>
    </row>
    <row r="4389" spans="2:5" ht="18.75">
      <c r="B4389">
        <v>5</v>
      </c>
      <c r="C4389" s="5">
        <v>46048</v>
      </c>
      <c r="D4389" t="s">
        <v>114</v>
      </c>
      <c r="E4389">
        <v>302.69</v>
      </c>
    </row>
    <row r="4390" spans="2:5" ht="18.75">
      <c r="B4390">
        <v>5</v>
      </c>
      <c r="C4390" s="5">
        <v>46048</v>
      </c>
      <c r="D4390" t="s">
        <v>116</v>
      </c>
      <c r="E4390">
        <v>108.59</v>
      </c>
    </row>
    <row r="4391" spans="2:5" ht="18.75">
      <c r="B4391">
        <v>5</v>
      </c>
      <c r="C4391" s="5">
        <v>46048</v>
      </c>
      <c r="D4391" t="s">
        <v>117</v>
      </c>
      <c r="E4391">
        <v>259.72000000000003</v>
      </c>
    </row>
    <row r="4392" spans="2:5" ht="18.75">
      <c r="B4392">
        <v>5</v>
      </c>
      <c r="C4392" s="5">
        <v>46048</v>
      </c>
      <c r="D4392" t="s">
        <v>118</v>
      </c>
      <c r="E4392">
        <v>201.66</v>
      </c>
    </row>
    <row r="4393" spans="2:5" ht="18.75">
      <c r="B4393">
        <v>5</v>
      </c>
      <c r="C4393" s="5">
        <v>46048</v>
      </c>
      <c r="D4393" t="s">
        <v>119</v>
      </c>
      <c r="E4393">
        <v>485.16</v>
      </c>
    </row>
    <row r="4394" spans="2:5" ht="18.75">
      <c r="B4394">
        <v>5</v>
      </c>
      <c r="C4394" s="5">
        <v>46048</v>
      </c>
      <c r="D4394" t="s">
        <v>121</v>
      </c>
      <c r="E4394">
        <v>134.29</v>
      </c>
    </row>
    <row r="4395" spans="2:5" ht="18.75">
      <c r="B4395">
        <v>5</v>
      </c>
      <c r="C4395" s="5">
        <v>46048</v>
      </c>
      <c r="D4395" t="s">
        <v>122</v>
      </c>
      <c r="E4395">
        <v>237.69</v>
      </c>
    </row>
    <row r="4396" spans="2:5" ht="18.75">
      <c r="B4396">
        <v>5</v>
      </c>
      <c r="C4396" s="5">
        <v>46048</v>
      </c>
      <c r="D4396" t="s">
        <v>123</v>
      </c>
      <c r="E4396">
        <v>490.74</v>
      </c>
    </row>
    <row r="4397" spans="2:5" ht="18.75">
      <c r="B4397">
        <v>5</v>
      </c>
      <c r="C4397" s="5">
        <v>46048</v>
      </c>
      <c r="D4397" t="s">
        <v>124</v>
      </c>
      <c r="E4397">
        <v>487.88</v>
      </c>
    </row>
    <row r="4398" spans="2:5" ht="18.75">
      <c r="B4398">
        <v>5</v>
      </c>
      <c r="C4398" s="5">
        <v>46048</v>
      </c>
      <c r="D4398" t="s">
        <v>125</v>
      </c>
      <c r="E4398">
        <v>84.45</v>
      </c>
    </row>
    <row r="4399" spans="2:5" ht="18.75">
      <c r="B4399">
        <v>5</v>
      </c>
      <c r="C4399" s="5">
        <v>46048</v>
      </c>
      <c r="D4399" t="s">
        <v>126</v>
      </c>
      <c r="E4399">
        <v>256.67</v>
      </c>
    </row>
    <row r="4400" spans="2:5" ht="18.75">
      <c r="B4400">
        <v>5</v>
      </c>
      <c r="C4400" s="5">
        <v>46048</v>
      </c>
      <c r="D4400" t="s">
        <v>130</v>
      </c>
      <c r="E4400">
        <v>394.43</v>
      </c>
    </row>
    <row r="4401" spans="2:5" ht="18.75">
      <c r="B4401">
        <v>5</v>
      </c>
      <c r="C4401" s="5">
        <v>46048</v>
      </c>
      <c r="D4401" t="s">
        <v>132</v>
      </c>
      <c r="E4401">
        <v>171.64</v>
      </c>
    </row>
    <row r="4402" spans="2:5" ht="18.75">
      <c r="B4402">
        <v>5</v>
      </c>
      <c r="C4402" s="5">
        <v>46048</v>
      </c>
      <c r="D4402" t="s">
        <v>133</v>
      </c>
      <c r="E4402">
        <v>354.51</v>
      </c>
    </row>
    <row r="4403" spans="2:5" ht="18.75">
      <c r="B4403">
        <v>5</v>
      </c>
      <c r="C4403" s="5">
        <v>46048</v>
      </c>
      <c r="D4403" t="s">
        <v>134</v>
      </c>
      <c r="E4403">
        <v>362.67</v>
      </c>
    </row>
    <row r="4404" spans="2:5" ht="18.75">
      <c r="B4404">
        <v>5</v>
      </c>
      <c r="C4404" s="5">
        <v>46048</v>
      </c>
      <c r="D4404" t="s">
        <v>136</v>
      </c>
      <c r="E4404">
        <v>123.08</v>
      </c>
    </row>
    <row r="4405" spans="2:5" ht="18.75">
      <c r="B4405">
        <v>5</v>
      </c>
      <c r="C4405" s="5">
        <v>46048</v>
      </c>
      <c r="D4405" t="s">
        <v>138</v>
      </c>
      <c r="E4405">
        <v>612.94000000000005</v>
      </c>
    </row>
    <row r="4406" spans="2:5" ht="18.75">
      <c r="B4406">
        <v>5</v>
      </c>
      <c r="C4406" s="5">
        <v>46048</v>
      </c>
      <c r="D4406" t="s">
        <v>140</v>
      </c>
      <c r="E4406">
        <v>111.24</v>
      </c>
    </row>
    <row r="4407" spans="2:5" ht="18.75">
      <c r="B4407">
        <v>5</v>
      </c>
      <c r="C4407" s="5">
        <v>46048</v>
      </c>
      <c r="D4407" t="s">
        <v>141</v>
      </c>
      <c r="E4407">
        <v>659.8</v>
      </c>
    </row>
    <row r="4408" spans="2:5" ht="18.75">
      <c r="B4408">
        <v>5</v>
      </c>
      <c r="C4408" s="5">
        <v>46048</v>
      </c>
      <c r="D4408" t="s">
        <v>142</v>
      </c>
      <c r="E4408">
        <v>192.68</v>
      </c>
    </row>
    <row r="4409" spans="2:5" ht="18.75">
      <c r="B4409">
        <v>5</v>
      </c>
      <c r="C4409" s="5">
        <v>46048</v>
      </c>
      <c r="D4409" t="s">
        <v>139</v>
      </c>
      <c r="E4409">
        <v>313.52999999999997</v>
      </c>
    </row>
    <row r="4410" spans="2:5" ht="18.75">
      <c r="B4410">
        <v>5</v>
      </c>
      <c r="C4410" s="5">
        <v>46048</v>
      </c>
      <c r="D4410" t="s">
        <v>143</v>
      </c>
      <c r="E4410">
        <v>1998.88</v>
      </c>
    </row>
    <row r="4411" spans="2:5" ht="18.75">
      <c r="B4411">
        <v>5</v>
      </c>
      <c r="C4411" s="5">
        <v>46048</v>
      </c>
      <c r="D4411" t="s">
        <v>145</v>
      </c>
      <c r="E4411">
        <v>332.34</v>
      </c>
    </row>
    <row r="4412" spans="2:5" ht="18.75">
      <c r="B4412">
        <v>5</v>
      </c>
      <c r="C4412" s="5">
        <v>46048</v>
      </c>
      <c r="D4412" t="s">
        <v>146</v>
      </c>
      <c r="E4412">
        <v>696.2</v>
      </c>
    </row>
    <row r="4413" spans="2:5" ht="18.75">
      <c r="B4413">
        <v>5</v>
      </c>
      <c r="C4413" s="5">
        <v>46048</v>
      </c>
      <c r="D4413" t="s">
        <v>147</v>
      </c>
      <c r="E4413">
        <v>405.98</v>
      </c>
    </row>
    <row r="4414" spans="2:5" ht="18.75">
      <c r="B4414">
        <v>5</v>
      </c>
      <c r="C4414" s="5">
        <v>46048</v>
      </c>
      <c r="D4414" t="s">
        <v>150</v>
      </c>
      <c r="E4414">
        <v>74.08</v>
      </c>
    </row>
    <row r="4415" spans="2:5" ht="18.75">
      <c r="B4415">
        <v>5</v>
      </c>
      <c r="C4415" s="5">
        <v>46048</v>
      </c>
      <c r="D4415" t="s">
        <v>151</v>
      </c>
      <c r="E4415">
        <v>649.84</v>
      </c>
    </row>
    <row r="4416" spans="2:5" ht="18.75">
      <c r="B4416">
        <v>5</v>
      </c>
      <c r="C4416" s="5">
        <v>46048</v>
      </c>
      <c r="D4416" t="s">
        <v>112</v>
      </c>
      <c r="E4416">
        <v>71.150000000000006</v>
      </c>
    </row>
    <row r="4417" spans="2:5" ht="18.75">
      <c r="B4417">
        <v>5</v>
      </c>
      <c r="C4417" s="5">
        <v>46048</v>
      </c>
      <c r="D4417" t="s">
        <v>120</v>
      </c>
      <c r="E4417">
        <v>138.13</v>
      </c>
    </row>
    <row r="4418" spans="2:5" ht="18.75">
      <c r="B4418">
        <v>5</v>
      </c>
      <c r="C4418" s="5">
        <v>46048</v>
      </c>
      <c r="D4418" t="s">
        <v>135</v>
      </c>
      <c r="E4418">
        <v>71.739999999999995</v>
      </c>
    </row>
    <row r="4419" spans="2:5" ht="18.75">
      <c r="B4419">
        <v>5</v>
      </c>
      <c r="C4419" s="5">
        <v>46048</v>
      </c>
      <c r="D4419" t="s">
        <v>137</v>
      </c>
      <c r="E4419">
        <v>59.3</v>
      </c>
    </row>
    <row r="4420" spans="2:5" ht="18.75">
      <c r="B4420">
        <v>5</v>
      </c>
      <c r="C4420" s="5">
        <v>46048</v>
      </c>
      <c r="D4420" t="s">
        <v>148</v>
      </c>
      <c r="E4420">
        <v>75.930000000000007</v>
      </c>
    </row>
    <row r="4421" spans="2:5" ht="18.75">
      <c r="B4421">
        <v>5</v>
      </c>
      <c r="C4421" s="5">
        <v>46048</v>
      </c>
      <c r="D4421" t="s">
        <v>127</v>
      </c>
      <c r="E4421">
        <v>305.63</v>
      </c>
    </row>
    <row r="4422" spans="2:5" ht="18.75">
      <c r="B4422">
        <v>5</v>
      </c>
      <c r="C4422" s="5">
        <v>46048</v>
      </c>
      <c r="D4422" t="s">
        <v>129</v>
      </c>
      <c r="E4422">
        <v>502.12</v>
      </c>
    </row>
    <row r="4423" spans="2:5" ht="18.75">
      <c r="B4423">
        <v>5</v>
      </c>
      <c r="C4423" s="5">
        <v>46048</v>
      </c>
      <c r="D4423" t="s">
        <v>149</v>
      </c>
      <c r="E4423">
        <v>170</v>
      </c>
    </row>
    <row r="4424" spans="2:5" ht="18.75">
      <c r="B4424">
        <v>5</v>
      </c>
      <c r="C4424" s="5">
        <v>46048</v>
      </c>
      <c r="D4424" t="s">
        <v>128</v>
      </c>
      <c r="E4424">
        <v>189.23</v>
      </c>
    </row>
    <row r="4425" spans="2:5" ht="18.75">
      <c r="B4425">
        <v>6</v>
      </c>
      <c r="C4425" s="5">
        <v>46055</v>
      </c>
      <c r="D4425" t="s">
        <v>143</v>
      </c>
      <c r="E4425">
        <v>890.06</v>
      </c>
    </row>
    <row r="4426" spans="2:5" ht="18.75">
      <c r="B4426">
        <v>6</v>
      </c>
      <c r="C4426" s="5">
        <v>46055</v>
      </c>
      <c r="D4426" t="s">
        <v>127</v>
      </c>
      <c r="E4426">
        <v>158.37</v>
      </c>
    </row>
    <row r="4427" spans="2:5" ht="18.75">
      <c r="B4427">
        <v>6</v>
      </c>
      <c r="C4427" s="5">
        <v>46055</v>
      </c>
      <c r="D4427" t="s">
        <v>126</v>
      </c>
      <c r="E4427">
        <v>30.53</v>
      </c>
    </row>
    <row r="4428" spans="2:5" ht="18.75">
      <c r="B4428">
        <v>6</v>
      </c>
      <c r="C4428" s="5">
        <v>46055</v>
      </c>
      <c r="D4428" t="s">
        <v>111</v>
      </c>
      <c r="E4428">
        <v>75.400000000000006</v>
      </c>
    </row>
    <row r="4429" spans="2:5" ht="18.75">
      <c r="B4429">
        <v>6</v>
      </c>
      <c r="C4429" s="5">
        <v>46055</v>
      </c>
      <c r="D4429" t="s">
        <v>121</v>
      </c>
      <c r="E4429">
        <v>78.78</v>
      </c>
    </row>
    <row r="4430" spans="2:5" ht="18.75">
      <c r="B4430">
        <v>6</v>
      </c>
      <c r="C4430" s="5">
        <v>46055</v>
      </c>
      <c r="D4430" t="s">
        <v>122</v>
      </c>
      <c r="E4430">
        <v>143.57</v>
      </c>
    </row>
    <row r="4431" spans="2:5" ht="18.75">
      <c r="B4431">
        <v>6</v>
      </c>
      <c r="C4431" s="5">
        <v>46055</v>
      </c>
      <c r="D4431" t="s">
        <v>130</v>
      </c>
      <c r="E4431">
        <v>232.92</v>
      </c>
    </row>
    <row r="4432" spans="2:5" ht="18.75">
      <c r="B4432">
        <v>6</v>
      </c>
      <c r="C4432" s="5">
        <v>46055</v>
      </c>
      <c r="D4432" t="s">
        <v>133</v>
      </c>
      <c r="E4432">
        <v>117.55</v>
      </c>
    </row>
    <row r="4433" spans="2:5" ht="18.75">
      <c r="B4433">
        <v>6</v>
      </c>
      <c r="C4433" s="5">
        <v>46055</v>
      </c>
      <c r="D4433" t="s">
        <v>134</v>
      </c>
      <c r="E4433">
        <v>144.96</v>
      </c>
    </row>
    <row r="4434" spans="2:5" ht="18.75">
      <c r="B4434">
        <v>6</v>
      </c>
      <c r="C4434" s="5">
        <v>46055</v>
      </c>
      <c r="D4434" t="s">
        <v>138</v>
      </c>
      <c r="E4434">
        <v>198.53</v>
      </c>
    </row>
    <row r="4435" spans="2:5" ht="18.75">
      <c r="B4435">
        <v>6</v>
      </c>
      <c r="C4435" s="5">
        <v>46055</v>
      </c>
      <c r="D4435" t="s">
        <v>141</v>
      </c>
      <c r="E4435">
        <v>204.8</v>
      </c>
    </row>
    <row r="4436" spans="2:5" ht="18.75">
      <c r="B4436">
        <v>6</v>
      </c>
      <c r="C4436" s="5">
        <v>46055</v>
      </c>
      <c r="D4436" t="s">
        <v>145</v>
      </c>
      <c r="E4436">
        <v>134.66999999999999</v>
      </c>
    </row>
    <row r="4437" spans="2:5" ht="18.75">
      <c r="B4437">
        <v>6</v>
      </c>
      <c r="C4437" s="5">
        <v>46055</v>
      </c>
      <c r="D4437" t="s">
        <v>146</v>
      </c>
      <c r="E4437">
        <v>255.19</v>
      </c>
    </row>
    <row r="4438" spans="2:5" ht="18.75">
      <c r="B4438">
        <v>6</v>
      </c>
      <c r="C4438" s="5">
        <v>46055</v>
      </c>
      <c r="D4438" t="s">
        <v>151</v>
      </c>
      <c r="E4438">
        <v>301.45999999999998</v>
      </c>
    </row>
    <row r="4439" spans="2:5" ht="18.75">
      <c r="B4439">
        <v>6</v>
      </c>
      <c r="C4439" s="5">
        <v>46055</v>
      </c>
      <c r="D4439" t="s">
        <v>114</v>
      </c>
      <c r="E4439">
        <v>85.92</v>
      </c>
    </row>
    <row r="4440" spans="2:5" ht="18.75">
      <c r="B4440">
        <v>6</v>
      </c>
      <c r="C4440" s="5">
        <v>46055</v>
      </c>
      <c r="D4440" t="s">
        <v>117</v>
      </c>
      <c r="E4440">
        <v>127.35</v>
      </c>
    </row>
    <row r="4441" spans="2:5" ht="18.75">
      <c r="B4441">
        <v>6</v>
      </c>
      <c r="C4441" s="5">
        <v>46055</v>
      </c>
      <c r="D4441" t="s">
        <v>119</v>
      </c>
      <c r="E4441">
        <v>143.08000000000001</v>
      </c>
    </row>
    <row r="4442" spans="2:5" ht="18.75">
      <c r="B4442">
        <v>6</v>
      </c>
      <c r="C4442" s="5">
        <v>46055</v>
      </c>
      <c r="D4442" t="s">
        <v>129</v>
      </c>
      <c r="E4442">
        <v>191.19</v>
      </c>
    </row>
    <row r="4443" spans="2:5" ht="18.75">
      <c r="B4443">
        <v>6</v>
      </c>
      <c r="C4443" s="5">
        <v>46055</v>
      </c>
      <c r="D4443" t="s">
        <v>148</v>
      </c>
      <c r="E4443">
        <v>37.5</v>
      </c>
    </row>
    <row r="4444" spans="2:5" ht="18.75">
      <c r="B4444">
        <v>6</v>
      </c>
      <c r="C4444" s="5">
        <v>46055</v>
      </c>
      <c r="D4444" t="s">
        <v>128</v>
      </c>
      <c r="E4444">
        <v>3.24</v>
      </c>
    </row>
    <row r="4445" spans="2:5" ht="18.75">
      <c r="B4445">
        <v>7</v>
      </c>
      <c r="C4445" s="5">
        <v>46062</v>
      </c>
      <c r="D4445" t="s">
        <v>123</v>
      </c>
      <c r="E4445">
        <v>143.41999999999999</v>
      </c>
    </row>
    <row r="4446" spans="2:5" ht="18.75">
      <c r="B4446">
        <v>7</v>
      </c>
      <c r="C4446" s="5">
        <v>46062</v>
      </c>
      <c r="D4446" t="s">
        <v>139</v>
      </c>
      <c r="E4446">
        <v>87.17</v>
      </c>
    </row>
    <row r="4447" spans="2:5" ht="18.75">
      <c r="B4447">
        <v>7</v>
      </c>
      <c r="C4447" s="5">
        <v>46062</v>
      </c>
      <c r="D4447" t="s">
        <v>143</v>
      </c>
      <c r="E4447">
        <v>318.89</v>
      </c>
    </row>
    <row r="4448" spans="2:5" ht="18.75">
      <c r="B4448">
        <v>7</v>
      </c>
      <c r="C4448" s="5">
        <v>46062</v>
      </c>
      <c r="D4448" t="s">
        <v>147</v>
      </c>
      <c r="E4448">
        <v>124.31</v>
      </c>
    </row>
    <row r="4449" spans="2:5" ht="18.75">
      <c r="B4449">
        <v>7</v>
      </c>
      <c r="C4449" s="5">
        <v>46062</v>
      </c>
      <c r="D4449" t="s">
        <v>126</v>
      </c>
      <c r="E4449">
        <v>14.39</v>
      </c>
    </row>
    <row r="4450" spans="2:5" ht="18.75">
      <c r="B4450">
        <v>7</v>
      </c>
      <c r="C4450" s="5">
        <v>46062</v>
      </c>
      <c r="D4450" t="s">
        <v>113</v>
      </c>
      <c r="E4450">
        <v>90.46</v>
      </c>
    </row>
    <row r="4451" spans="2:5" ht="18.75">
      <c r="B4451">
        <v>7</v>
      </c>
      <c r="C4451" s="5">
        <v>46062</v>
      </c>
      <c r="D4451" t="s">
        <v>118</v>
      </c>
      <c r="E4451">
        <v>62.79</v>
      </c>
    </row>
    <row r="4452" spans="2:5" ht="18.75">
      <c r="B4452">
        <v>7</v>
      </c>
      <c r="C4452" s="5">
        <v>46062</v>
      </c>
      <c r="D4452" t="s">
        <v>121</v>
      </c>
      <c r="E4452">
        <v>76.569999999999993</v>
      </c>
    </row>
    <row r="4453" spans="2:5" ht="18.75">
      <c r="B4453">
        <v>7</v>
      </c>
      <c r="C4453" s="5">
        <v>46062</v>
      </c>
      <c r="D4453" t="s">
        <v>124</v>
      </c>
      <c r="E4453">
        <v>87.11</v>
      </c>
    </row>
    <row r="4454" spans="2:5" ht="18.75">
      <c r="B4454">
        <v>7</v>
      </c>
      <c r="C4454" s="5">
        <v>46062</v>
      </c>
      <c r="D4454" t="s">
        <v>127</v>
      </c>
      <c r="E4454">
        <v>80.88</v>
      </c>
    </row>
    <row r="4455" spans="2:5" ht="18.75">
      <c r="B4455">
        <v>8</v>
      </c>
      <c r="C4455" s="5">
        <v>46069</v>
      </c>
      <c r="D4455" t="s">
        <v>111</v>
      </c>
      <c r="E4455">
        <v>219.53</v>
      </c>
    </row>
    <row r="4456" spans="2:5" ht="18.75">
      <c r="B4456">
        <v>8</v>
      </c>
      <c r="C4456" s="5">
        <v>46069</v>
      </c>
      <c r="D4456" t="s">
        <v>113</v>
      </c>
      <c r="E4456">
        <v>193.2</v>
      </c>
    </row>
    <row r="4457" spans="2:5" ht="18.75">
      <c r="B4457">
        <v>8</v>
      </c>
      <c r="C4457" s="5">
        <v>46069</v>
      </c>
      <c r="D4457" t="s">
        <v>139</v>
      </c>
      <c r="E4457">
        <v>308.79000000000002</v>
      </c>
    </row>
    <row r="4458" spans="2:5" ht="18.75">
      <c r="B4458">
        <v>8</v>
      </c>
      <c r="C4458" s="5">
        <v>46069</v>
      </c>
      <c r="D4458" t="s">
        <v>143</v>
      </c>
      <c r="E4458">
        <v>1739.31</v>
      </c>
    </row>
    <row r="4459" spans="2:5" ht="18.75">
      <c r="B4459">
        <v>8</v>
      </c>
      <c r="C4459" s="5">
        <v>46069</v>
      </c>
      <c r="D4459" t="s">
        <v>147</v>
      </c>
      <c r="E4459">
        <v>287.67</v>
      </c>
    </row>
    <row r="4460" spans="2:5" ht="18.75">
      <c r="B4460">
        <v>8</v>
      </c>
      <c r="C4460" s="5">
        <v>46069</v>
      </c>
      <c r="D4460" t="s">
        <v>121</v>
      </c>
      <c r="E4460">
        <v>177.64</v>
      </c>
    </row>
    <row r="4461" spans="2:5" ht="18.75">
      <c r="B4461">
        <v>8</v>
      </c>
      <c r="C4461" s="5">
        <v>46069</v>
      </c>
      <c r="D4461" t="s">
        <v>123</v>
      </c>
      <c r="E4461">
        <v>345.1</v>
      </c>
    </row>
    <row r="4462" spans="2:5" ht="18.75">
      <c r="B4462">
        <v>8</v>
      </c>
      <c r="C4462" s="5">
        <v>46069</v>
      </c>
      <c r="D4462" t="s">
        <v>124</v>
      </c>
      <c r="E4462">
        <v>345.46</v>
      </c>
    </row>
    <row r="4463" spans="2:5" ht="18.75">
      <c r="B4463">
        <v>8</v>
      </c>
      <c r="C4463" s="5">
        <v>46069</v>
      </c>
      <c r="D4463" t="s">
        <v>118</v>
      </c>
      <c r="E4463">
        <v>137.37</v>
      </c>
    </row>
    <row r="4464" spans="2:5" ht="18.75">
      <c r="B4464">
        <v>8</v>
      </c>
      <c r="C4464" s="5">
        <v>46069</v>
      </c>
      <c r="D4464" t="s">
        <v>127</v>
      </c>
      <c r="E4464">
        <v>191.34</v>
      </c>
    </row>
    <row r="4465" spans="2:5" ht="18.75">
      <c r="B4465">
        <v>8</v>
      </c>
      <c r="C4465" s="5">
        <v>46069</v>
      </c>
      <c r="D4465" t="s">
        <v>126</v>
      </c>
      <c r="E4465">
        <v>234.8</v>
      </c>
    </row>
    <row r="4466" spans="2:5" ht="18.75">
      <c r="B4466">
        <v>8</v>
      </c>
      <c r="C4466" s="5">
        <v>46069</v>
      </c>
      <c r="D4466" t="s">
        <v>129</v>
      </c>
      <c r="E4466">
        <v>397.19</v>
      </c>
    </row>
    <row r="4467" spans="2:5" ht="18.75">
      <c r="B4467">
        <v>8</v>
      </c>
      <c r="C4467" s="5">
        <v>46069</v>
      </c>
      <c r="D4467" t="s">
        <v>130</v>
      </c>
      <c r="E4467">
        <v>429.31</v>
      </c>
    </row>
    <row r="4468" spans="2:5" ht="18.75">
      <c r="B4468">
        <v>8</v>
      </c>
      <c r="C4468" s="5">
        <v>46069</v>
      </c>
      <c r="D4468" t="s">
        <v>138</v>
      </c>
      <c r="E4468">
        <v>401.54</v>
      </c>
    </row>
    <row r="4469" spans="2:5" ht="18.75">
      <c r="B4469">
        <v>8</v>
      </c>
      <c r="C4469" s="5">
        <v>46069</v>
      </c>
      <c r="D4469" t="s">
        <v>114</v>
      </c>
      <c r="E4469">
        <v>268.58</v>
      </c>
    </row>
    <row r="4470" spans="2:5" ht="18.75">
      <c r="B4470">
        <v>8</v>
      </c>
      <c r="C4470" s="5">
        <v>46069</v>
      </c>
      <c r="D4470" t="s">
        <v>119</v>
      </c>
      <c r="E4470">
        <v>396.63</v>
      </c>
    </row>
    <row r="4471" spans="2:5" ht="18.75">
      <c r="B4471">
        <v>8</v>
      </c>
      <c r="C4471" s="5">
        <v>46069</v>
      </c>
      <c r="D4471" t="s">
        <v>151</v>
      </c>
      <c r="E4471">
        <v>658.9</v>
      </c>
    </row>
    <row r="4472" spans="2:5" ht="18.75">
      <c r="B4472">
        <v>8</v>
      </c>
      <c r="C4472" s="5">
        <v>46069</v>
      </c>
      <c r="D4472" t="s">
        <v>141</v>
      </c>
      <c r="E4472">
        <v>512.85</v>
      </c>
    </row>
    <row r="4473" spans="2:5" ht="18.75">
      <c r="B4473">
        <v>8</v>
      </c>
      <c r="C4473" s="5">
        <v>46069</v>
      </c>
      <c r="D4473" t="s">
        <v>134</v>
      </c>
      <c r="E4473">
        <v>237.01</v>
      </c>
    </row>
    <row r="4474" spans="2:5" ht="18.75">
      <c r="B4474">
        <v>8</v>
      </c>
      <c r="C4474" s="5">
        <v>46069</v>
      </c>
      <c r="D4474" t="s">
        <v>133</v>
      </c>
      <c r="E4474">
        <v>234.45</v>
      </c>
    </row>
    <row r="4475" spans="2:5" ht="18.75">
      <c r="B4475">
        <v>8</v>
      </c>
      <c r="C4475" s="5">
        <v>46069</v>
      </c>
      <c r="D4475" t="s">
        <v>146</v>
      </c>
      <c r="E4475">
        <v>424.8</v>
      </c>
    </row>
    <row r="4476" spans="2:5" ht="18.75">
      <c r="B4476">
        <v>8</v>
      </c>
      <c r="C4476" s="5">
        <v>46069</v>
      </c>
      <c r="D4476" t="s">
        <v>132</v>
      </c>
      <c r="E4476">
        <v>208.28</v>
      </c>
    </row>
    <row r="4477" spans="2:5" ht="18.75">
      <c r="B4477">
        <v>9</v>
      </c>
      <c r="C4477" s="5">
        <v>46076</v>
      </c>
      <c r="D4477" t="s">
        <v>143</v>
      </c>
      <c r="E4477">
        <v>1603.2</v>
      </c>
    </row>
    <row r="4478" spans="2:5" ht="18.75">
      <c r="B4478">
        <v>9</v>
      </c>
      <c r="C4478" s="5">
        <v>46076</v>
      </c>
      <c r="D4478" t="s">
        <v>126</v>
      </c>
      <c r="E4478">
        <v>166.26</v>
      </c>
    </row>
    <row r="4479" spans="2:5" ht="18.75">
      <c r="B4479">
        <v>9</v>
      </c>
      <c r="C4479" s="5">
        <v>46076</v>
      </c>
      <c r="D4479" t="s">
        <v>127</v>
      </c>
      <c r="E4479">
        <v>292.33</v>
      </c>
    </row>
    <row r="4480" spans="2:5" ht="18.75">
      <c r="B4480">
        <v>8</v>
      </c>
      <c r="C4480" s="5">
        <v>46069</v>
      </c>
      <c r="D4480" t="s">
        <v>112</v>
      </c>
      <c r="E4480">
        <v>69.84</v>
      </c>
    </row>
    <row r="4481" spans="2:5" ht="18.75">
      <c r="B4481">
        <v>8</v>
      </c>
      <c r="C4481" s="5">
        <v>46069</v>
      </c>
      <c r="D4481" t="s">
        <v>116</v>
      </c>
      <c r="E4481">
        <v>96.73</v>
      </c>
    </row>
    <row r="4482" spans="2:5" ht="18.75">
      <c r="B4482">
        <v>8</v>
      </c>
      <c r="C4482" s="5">
        <v>46069</v>
      </c>
      <c r="D4482" t="s">
        <v>117</v>
      </c>
      <c r="E4482">
        <v>197.64</v>
      </c>
    </row>
    <row r="4483" spans="2:5" ht="18.75">
      <c r="B4483">
        <v>8</v>
      </c>
      <c r="C4483" s="5">
        <v>46069</v>
      </c>
      <c r="D4483" t="s">
        <v>120</v>
      </c>
      <c r="E4483">
        <v>116.39</v>
      </c>
    </row>
    <row r="4484" spans="2:5" ht="18.75">
      <c r="B4484">
        <v>8</v>
      </c>
      <c r="C4484" s="5">
        <v>46069</v>
      </c>
      <c r="D4484" t="s">
        <v>122</v>
      </c>
      <c r="E4484">
        <v>183.65</v>
      </c>
    </row>
    <row r="4485" spans="2:5" ht="18.75">
      <c r="B4485">
        <v>8</v>
      </c>
      <c r="C4485" s="5">
        <v>46069</v>
      </c>
      <c r="D4485" t="s">
        <v>125</v>
      </c>
      <c r="E4485">
        <v>72.760000000000005</v>
      </c>
    </row>
    <row r="4486" spans="2:5" ht="18.75">
      <c r="B4486">
        <v>8</v>
      </c>
      <c r="C4486" s="5">
        <v>46069</v>
      </c>
      <c r="D4486" t="s">
        <v>128</v>
      </c>
      <c r="E4486">
        <v>136.04</v>
      </c>
    </row>
    <row r="4487" spans="2:5" ht="18.75">
      <c r="B4487">
        <v>8</v>
      </c>
      <c r="C4487" s="5">
        <v>46069</v>
      </c>
      <c r="D4487" t="s">
        <v>135</v>
      </c>
      <c r="E4487">
        <v>73.89</v>
      </c>
    </row>
    <row r="4488" spans="2:5" ht="18.75">
      <c r="B4488">
        <v>8</v>
      </c>
      <c r="C4488" s="5">
        <v>46069</v>
      </c>
      <c r="D4488" t="s">
        <v>136</v>
      </c>
      <c r="E4488">
        <v>102.34</v>
      </c>
    </row>
    <row r="4489" spans="2:5" ht="18.75">
      <c r="B4489">
        <v>8</v>
      </c>
      <c r="C4489" s="5">
        <v>46069</v>
      </c>
      <c r="D4489" t="s">
        <v>137</v>
      </c>
      <c r="E4489">
        <v>67.930000000000007</v>
      </c>
    </row>
    <row r="4490" spans="2:5" ht="18.75">
      <c r="B4490">
        <v>8</v>
      </c>
      <c r="C4490" s="5">
        <v>46069</v>
      </c>
      <c r="D4490" t="s">
        <v>140</v>
      </c>
      <c r="E4490">
        <v>104.64</v>
      </c>
    </row>
    <row r="4491" spans="2:5" ht="18.75">
      <c r="B4491">
        <v>8</v>
      </c>
      <c r="C4491" s="5">
        <v>46069</v>
      </c>
      <c r="D4491" t="s">
        <v>142</v>
      </c>
      <c r="E4491">
        <v>127.31</v>
      </c>
    </row>
    <row r="4492" spans="2:5" ht="18.75">
      <c r="B4492">
        <v>8</v>
      </c>
      <c r="C4492" s="5">
        <v>46069</v>
      </c>
      <c r="D4492" t="s">
        <v>145</v>
      </c>
      <c r="E4492">
        <v>222.85</v>
      </c>
    </row>
    <row r="4493" spans="2:5" ht="18.75">
      <c r="B4493">
        <v>8</v>
      </c>
      <c r="C4493" s="5">
        <v>46069</v>
      </c>
      <c r="D4493" t="s">
        <v>148</v>
      </c>
      <c r="E4493">
        <v>87.18</v>
      </c>
    </row>
    <row r="4494" spans="2:5" ht="18.75">
      <c r="B4494">
        <v>8</v>
      </c>
      <c r="C4494" s="5">
        <v>46069</v>
      </c>
      <c r="D4494" t="s">
        <v>150</v>
      </c>
      <c r="E4494">
        <v>67.91</v>
      </c>
    </row>
    <row r="4495" spans="2:5" ht="18.75">
      <c r="B4495">
        <v>8</v>
      </c>
      <c r="C4495" s="5">
        <v>46069</v>
      </c>
      <c r="D4495" t="s">
        <v>149</v>
      </c>
      <c r="E4495">
        <v>113.09</v>
      </c>
    </row>
    <row r="4496" spans="2:5" ht="18.75">
      <c r="B4496">
        <v>9</v>
      </c>
      <c r="C4496" s="5">
        <v>46076</v>
      </c>
      <c r="D4496" t="s">
        <v>114</v>
      </c>
      <c r="E4496">
        <v>281.12</v>
      </c>
    </row>
    <row r="4497" spans="2:5" ht="18.75">
      <c r="B4497">
        <v>9</v>
      </c>
      <c r="C4497" s="5">
        <v>46076</v>
      </c>
      <c r="D4497" t="s">
        <v>133</v>
      </c>
      <c r="E4497">
        <v>281.68</v>
      </c>
    </row>
    <row r="4498" spans="2:5" ht="18.75">
      <c r="B4498">
        <v>9</v>
      </c>
      <c r="C4498" s="5">
        <v>46076</v>
      </c>
      <c r="D4498" t="s">
        <v>134</v>
      </c>
      <c r="E4498">
        <v>311.32</v>
      </c>
    </row>
    <row r="4499" spans="2:5" ht="18.75">
      <c r="B4499">
        <v>9</v>
      </c>
      <c r="C4499" s="5">
        <v>46076</v>
      </c>
      <c r="D4499" t="s">
        <v>138</v>
      </c>
      <c r="E4499">
        <v>486.61</v>
      </c>
    </row>
    <row r="4500" spans="2:5" ht="18.75">
      <c r="B4500">
        <v>9</v>
      </c>
      <c r="C4500" s="5">
        <v>46076</v>
      </c>
      <c r="D4500" t="s">
        <v>141</v>
      </c>
      <c r="E4500">
        <v>579.47</v>
      </c>
    </row>
    <row r="4501" spans="2:5" ht="18.75">
      <c r="B4501">
        <v>9</v>
      </c>
      <c r="C4501" s="5">
        <v>46076</v>
      </c>
      <c r="D4501" t="s">
        <v>139</v>
      </c>
      <c r="E4501">
        <v>228.32</v>
      </c>
    </row>
    <row r="4502" spans="2:5" ht="18.75">
      <c r="B4502">
        <v>9</v>
      </c>
      <c r="C4502" s="5">
        <v>46076</v>
      </c>
      <c r="D4502" t="s">
        <v>145</v>
      </c>
      <c r="E4502">
        <v>293.76</v>
      </c>
    </row>
    <row r="4503" spans="2:5" ht="18.75">
      <c r="B4503">
        <v>9</v>
      </c>
      <c r="C4503" s="5">
        <v>46076</v>
      </c>
      <c r="D4503" t="s">
        <v>146</v>
      </c>
      <c r="E4503">
        <v>516.65</v>
      </c>
    </row>
    <row r="4504" spans="2:5" ht="18.75">
      <c r="B4504">
        <v>9</v>
      </c>
      <c r="C4504" s="5">
        <v>46076</v>
      </c>
      <c r="D4504" t="s">
        <v>151</v>
      </c>
      <c r="E4504">
        <v>659.75</v>
      </c>
    </row>
    <row r="4505" spans="2:5" ht="18.75">
      <c r="B4505">
        <v>9</v>
      </c>
      <c r="C4505" s="5">
        <v>46076</v>
      </c>
      <c r="D4505" t="s">
        <v>111</v>
      </c>
      <c r="E4505">
        <v>188.18</v>
      </c>
    </row>
    <row r="4506" spans="2:5" ht="18.75">
      <c r="B4506">
        <v>9</v>
      </c>
      <c r="C4506" s="5">
        <v>46076</v>
      </c>
      <c r="D4506" t="s">
        <v>117</v>
      </c>
      <c r="E4506">
        <v>243.46</v>
      </c>
    </row>
    <row r="4507" spans="2:5" ht="18.75">
      <c r="B4507">
        <v>9</v>
      </c>
      <c r="C4507" s="5">
        <v>46076</v>
      </c>
      <c r="D4507" t="s">
        <v>119</v>
      </c>
      <c r="E4507">
        <v>396.68</v>
      </c>
    </row>
    <row r="4508" spans="2:5" ht="18.75">
      <c r="B4508">
        <v>9</v>
      </c>
      <c r="C4508" s="5">
        <v>46076</v>
      </c>
      <c r="D4508" t="s">
        <v>130</v>
      </c>
      <c r="E4508">
        <v>500.83</v>
      </c>
    </row>
    <row r="4509" spans="2:5" ht="18.75">
      <c r="B4509">
        <v>9</v>
      </c>
      <c r="C4509" s="5">
        <v>46076</v>
      </c>
      <c r="D4509" t="s">
        <v>129</v>
      </c>
      <c r="E4509">
        <v>375.94</v>
      </c>
    </row>
    <row r="4510" spans="2:5" ht="18.75">
      <c r="B4510">
        <v>9</v>
      </c>
      <c r="C4510" s="5">
        <v>46076</v>
      </c>
      <c r="D4510" t="s">
        <v>123</v>
      </c>
      <c r="E4510">
        <v>316.72000000000003</v>
      </c>
    </row>
    <row r="4511" spans="2:5" ht="18.75">
      <c r="B4511">
        <v>9</v>
      </c>
      <c r="C4511" s="5">
        <v>46076</v>
      </c>
      <c r="D4511" t="s">
        <v>124</v>
      </c>
      <c r="E4511">
        <v>438.22</v>
      </c>
    </row>
    <row r="4512" spans="2:5" ht="18.75">
      <c r="B4512">
        <v>9</v>
      </c>
      <c r="C4512" s="5">
        <v>46076</v>
      </c>
      <c r="D4512" t="s">
        <v>113</v>
      </c>
      <c r="E4512">
        <v>139.46</v>
      </c>
    </row>
    <row r="4513" spans="2:5" ht="18.75">
      <c r="B4513">
        <v>9</v>
      </c>
      <c r="C4513" s="5">
        <v>46076</v>
      </c>
      <c r="D4513" t="s">
        <v>118</v>
      </c>
      <c r="E4513">
        <v>133.54</v>
      </c>
    </row>
    <row r="4514" spans="2:5" ht="18.75">
      <c r="B4514">
        <v>9</v>
      </c>
      <c r="C4514" s="5">
        <v>46076</v>
      </c>
      <c r="D4514" t="s">
        <v>121</v>
      </c>
      <c r="E4514">
        <v>133.9</v>
      </c>
    </row>
    <row r="4515" spans="2:5" ht="18.75">
      <c r="B4515">
        <v>9</v>
      </c>
      <c r="C4515" s="5">
        <v>46076</v>
      </c>
      <c r="D4515" t="s">
        <v>147</v>
      </c>
      <c r="E4515">
        <v>267.22000000000003</v>
      </c>
    </row>
    <row r="4516" spans="2:5" ht="18.75">
      <c r="B4516">
        <v>9</v>
      </c>
      <c r="C4516" s="5">
        <v>46076</v>
      </c>
      <c r="D4516" t="s">
        <v>112</v>
      </c>
      <c r="E4516">
        <v>47.81</v>
      </c>
    </row>
    <row r="4517" spans="2:5" ht="18.75">
      <c r="B4517">
        <v>9</v>
      </c>
      <c r="C4517" s="5">
        <v>46076</v>
      </c>
      <c r="D4517" t="s">
        <v>116</v>
      </c>
      <c r="E4517">
        <v>66.260000000000005</v>
      </c>
    </row>
    <row r="4518" spans="2:5" ht="18.75">
      <c r="B4518">
        <v>9</v>
      </c>
      <c r="C4518" s="5">
        <v>46076</v>
      </c>
      <c r="D4518" t="s">
        <v>120</v>
      </c>
      <c r="E4518">
        <v>87.29</v>
      </c>
    </row>
    <row r="4519" spans="2:5" ht="18.75">
      <c r="B4519">
        <v>9</v>
      </c>
      <c r="C4519" s="5">
        <v>46076</v>
      </c>
      <c r="D4519" t="s">
        <v>122</v>
      </c>
      <c r="E4519">
        <v>242.84</v>
      </c>
    </row>
    <row r="4520" spans="2:5" ht="18.75">
      <c r="B4520">
        <v>9</v>
      </c>
      <c r="C4520" s="5">
        <v>46076</v>
      </c>
      <c r="D4520" t="s">
        <v>125</v>
      </c>
      <c r="E4520">
        <v>77.38</v>
      </c>
    </row>
    <row r="4521" spans="2:5" ht="18.75">
      <c r="B4521">
        <v>9</v>
      </c>
      <c r="C4521" s="5">
        <v>46076</v>
      </c>
      <c r="D4521" t="s">
        <v>128</v>
      </c>
      <c r="E4521">
        <v>78.569999999999993</v>
      </c>
    </row>
    <row r="4522" spans="2:5" ht="18.75">
      <c r="B4522">
        <v>9</v>
      </c>
      <c r="C4522" s="5">
        <v>46076</v>
      </c>
      <c r="D4522" t="s">
        <v>132</v>
      </c>
      <c r="E4522">
        <v>124.06</v>
      </c>
    </row>
    <row r="4523" spans="2:5" ht="18.75">
      <c r="B4523">
        <v>9</v>
      </c>
      <c r="C4523" s="5">
        <v>46076</v>
      </c>
      <c r="D4523" t="s">
        <v>135</v>
      </c>
      <c r="E4523">
        <v>58.74</v>
      </c>
    </row>
    <row r="4524" spans="2:5" ht="18.75">
      <c r="B4524">
        <v>9</v>
      </c>
      <c r="C4524" s="5">
        <v>46076</v>
      </c>
      <c r="D4524" t="s">
        <v>136</v>
      </c>
      <c r="E4524">
        <v>178.4</v>
      </c>
    </row>
    <row r="4525" spans="2:5" ht="18.75">
      <c r="B4525">
        <v>9</v>
      </c>
      <c r="C4525" s="5">
        <v>46076</v>
      </c>
      <c r="D4525" t="s">
        <v>137</v>
      </c>
      <c r="E4525">
        <v>74.28</v>
      </c>
    </row>
    <row r="4526" spans="2:5" ht="18.75">
      <c r="B4526">
        <v>9</v>
      </c>
      <c r="C4526" s="5">
        <v>46076</v>
      </c>
      <c r="D4526" t="s">
        <v>140</v>
      </c>
      <c r="E4526">
        <v>75.27</v>
      </c>
    </row>
    <row r="4527" spans="2:5" ht="18.75">
      <c r="B4527">
        <v>9</v>
      </c>
      <c r="C4527" s="5">
        <v>46076</v>
      </c>
      <c r="D4527" t="s">
        <v>142</v>
      </c>
      <c r="E4527">
        <v>185.7</v>
      </c>
    </row>
    <row r="4528" spans="2:5" ht="18.75">
      <c r="B4528">
        <v>9</v>
      </c>
      <c r="C4528" s="5">
        <v>46076</v>
      </c>
      <c r="D4528" t="s">
        <v>148</v>
      </c>
      <c r="E4528">
        <v>97.7</v>
      </c>
    </row>
    <row r="4529" spans="2:5" ht="18.75">
      <c r="B4529">
        <v>9</v>
      </c>
      <c r="C4529" s="5">
        <v>46076</v>
      </c>
      <c r="D4529" t="s">
        <v>150</v>
      </c>
      <c r="E4529">
        <v>71.73</v>
      </c>
    </row>
    <row r="4530" spans="2:5" ht="18.75">
      <c r="B4530">
        <v>9</v>
      </c>
      <c r="C4530" s="5">
        <v>46076</v>
      </c>
      <c r="D4530" t="s">
        <v>149</v>
      </c>
      <c r="E4530">
        <v>134.1</v>
      </c>
    </row>
    <row r="4531" spans="2:5" ht="18.75">
      <c r="B4531">
        <v>10</v>
      </c>
      <c r="C4531" s="5">
        <v>46083</v>
      </c>
      <c r="D4531" t="s">
        <v>111</v>
      </c>
      <c r="E4531">
        <v>203.76</v>
      </c>
    </row>
    <row r="4532" spans="2:5" ht="18.75">
      <c r="B4532">
        <v>10</v>
      </c>
      <c r="C4532" s="5">
        <v>46083</v>
      </c>
      <c r="D4532" t="s">
        <v>112</v>
      </c>
      <c r="E4532">
        <v>71.66</v>
      </c>
    </row>
    <row r="4533" spans="2:5" ht="18.75">
      <c r="B4533">
        <v>10</v>
      </c>
      <c r="C4533" s="5">
        <v>46083</v>
      </c>
      <c r="D4533" t="s">
        <v>113</v>
      </c>
      <c r="E4533">
        <v>204.79</v>
      </c>
    </row>
    <row r="4534" spans="2:5" ht="18.75">
      <c r="B4534">
        <v>10</v>
      </c>
      <c r="C4534" s="5">
        <v>46083</v>
      </c>
      <c r="D4534" t="s">
        <v>114</v>
      </c>
      <c r="E4534">
        <v>285.01</v>
      </c>
    </row>
    <row r="4535" spans="2:5" ht="18.75">
      <c r="B4535">
        <v>10</v>
      </c>
      <c r="C4535" s="5">
        <v>46083</v>
      </c>
      <c r="D4535" t="s">
        <v>116</v>
      </c>
      <c r="E4535">
        <v>123.85</v>
      </c>
    </row>
    <row r="4536" spans="2:5" ht="18.75">
      <c r="B4536">
        <v>10</v>
      </c>
      <c r="C4536" s="5">
        <v>46083</v>
      </c>
      <c r="D4536" t="s">
        <v>117</v>
      </c>
      <c r="E4536">
        <v>231.01</v>
      </c>
    </row>
    <row r="4537" spans="2:5" ht="18.75">
      <c r="B4537">
        <v>10</v>
      </c>
      <c r="C4537" s="5">
        <v>46083</v>
      </c>
      <c r="D4537" t="s">
        <v>118</v>
      </c>
      <c r="E4537">
        <v>158.91</v>
      </c>
    </row>
    <row r="4538" spans="2:5" ht="18.75">
      <c r="B4538">
        <v>10</v>
      </c>
      <c r="C4538" s="5">
        <v>46083</v>
      </c>
      <c r="D4538" t="s">
        <v>119</v>
      </c>
      <c r="E4538">
        <v>407.17</v>
      </c>
    </row>
    <row r="4539" spans="2:5" ht="18.75">
      <c r="B4539">
        <v>10</v>
      </c>
      <c r="C4539" s="5">
        <v>46083</v>
      </c>
      <c r="D4539" t="s">
        <v>120</v>
      </c>
      <c r="E4539">
        <v>167.24</v>
      </c>
    </row>
    <row r="4540" spans="2:5" ht="18.75">
      <c r="B4540">
        <v>10</v>
      </c>
      <c r="C4540" s="5">
        <v>46083</v>
      </c>
      <c r="D4540" t="s">
        <v>121</v>
      </c>
      <c r="E4540">
        <v>169.03</v>
      </c>
    </row>
    <row r="4541" spans="2:5" ht="18.75">
      <c r="B4541">
        <v>10</v>
      </c>
      <c r="C4541" s="5">
        <v>46083</v>
      </c>
      <c r="D4541" t="s">
        <v>122</v>
      </c>
      <c r="E4541">
        <v>233.76</v>
      </c>
    </row>
    <row r="4542" spans="2:5" ht="18.75">
      <c r="B4542">
        <v>10</v>
      </c>
      <c r="C4542" s="5">
        <v>46083</v>
      </c>
      <c r="D4542" t="s">
        <v>123</v>
      </c>
      <c r="E4542">
        <v>408.43</v>
      </c>
    </row>
    <row r="4543" spans="2:5" ht="18.75">
      <c r="B4543">
        <v>10</v>
      </c>
      <c r="C4543" s="5">
        <v>46083</v>
      </c>
      <c r="D4543" t="s">
        <v>124</v>
      </c>
      <c r="E4543">
        <v>435.19</v>
      </c>
    </row>
    <row r="4544" spans="2:5" ht="18.75">
      <c r="B4544">
        <v>10</v>
      </c>
      <c r="C4544" s="5">
        <v>46083</v>
      </c>
      <c r="D4544" t="s">
        <v>125</v>
      </c>
      <c r="E4544">
        <v>51.91</v>
      </c>
    </row>
    <row r="4545" spans="2:5" ht="18.75">
      <c r="B4545">
        <v>10</v>
      </c>
      <c r="C4545" s="5">
        <v>46083</v>
      </c>
      <c r="D4545" t="s">
        <v>126</v>
      </c>
      <c r="E4545">
        <v>137.81</v>
      </c>
    </row>
    <row r="4546" spans="2:5" ht="18.75">
      <c r="B4546">
        <v>10</v>
      </c>
      <c r="C4546" s="5">
        <v>46083</v>
      </c>
      <c r="D4546" t="s">
        <v>129</v>
      </c>
      <c r="E4546">
        <v>388.51</v>
      </c>
    </row>
    <row r="4547" spans="2:5" ht="18.75">
      <c r="B4547">
        <v>10</v>
      </c>
      <c r="C4547" s="5">
        <v>46083</v>
      </c>
      <c r="D4547" t="s">
        <v>130</v>
      </c>
      <c r="E4547">
        <v>461.1</v>
      </c>
    </row>
    <row r="4548" spans="2:5" ht="18.75">
      <c r="B4548">
        <v>10</v>
      </c>
      <c r="C4548" s="5">
        <v>46083</v>
      </c>
      <c r="D4548" t="s">
        <v>132</v>
      </c>
      <c r="E4548">
        <v>195.79</v>
      </c>
    </row>
    <row r="4549" spans="2:5" ht="18.75">
      <c r="B4549">
        <v>10</v>
      </c>
      <c r="C4549" s="5">
        <v>46083</v>
      </c>
      <c r="D4549" t="s">
        <v>133</v>
      </c>
      <c r="E4549">
        <v>224.52</v>
      </c>
    </row>
    <row r="4550" spans="2:5" ht="18.75">
      <c r="B4550">
        <v>10</v>
      </c>
      <c r="C4550" s="5">
        <v>46083</v>
      </c>
      <c r="D4550" t="s">
        <v>134</v>
      </c>
      <c r="E4550">
        <v>262.47000000000003</v>
      </c>
    </row>
    <row r="4551" spans="2:5" ht="18.75">
      <c r="B4551">
        <v>10</v>
      </c>
      <c r="C4551" s="5">
        <v>46083</v>
      </c>
      <c r="D4551" t="s">
        <v>136</v>
      </c>
      <c r="E4551">
        <v>203.86</v>
      </c>
    </row>
    <row r="4552" spans="2:5" ht="18.75">
      <c r="B4552">
        <v>10</v>
      </c>
      <c r="C4552" s="5">
        <v>46083</v>
      </c>
      <c r="D4552" t="s">
        <v>137</v>
      </c>
      <c r="E4552">
        <v>72.66</v>
      </c>
    </row>
    <row r="4553" spans="2:5" ht="18.75">
      <c r="B4553">
        <v>10</v>
      </c>
      <c r="C4553" s="5">
        <v>46083</v>
      </c>
      <c r="D4553" t="s">
        <v>138</v>
      </c>
      <c r="E4553">
        <v>450.26</v>
      </c>
    </row>
    <row r="4554" spans="2:5" ht="18.75">
      <c r="B4554">
        <v>10</v>
      </c>
      <c r="C4554" s="5">
        <v>46083</v>
      </c>
      <c r="D4554" t="s">
        <v>140</v>
      </c>
      <c r="E4554">
        <v>72.459999999999994</v>
      </c>
    </row>
    <row r="4555" spans="2:5" ht="18.75">
      <c r="B4555">
        <v>10</v>
      </c>
      <c r="C4555" s="5">
        <v>46083</v>
      </c>
      <c r="D4555" t="s">
        <v>141</v>
      </c>
      <c r="E4555">
        <v>585.86</v>
      </c>
    </row>
    <row r="4556" spans="2:5" ht="18.75">
      <c r="B4556">
        <v>10</v>
      </c>
      <c r="C4556" s="5">
        <v>46083</v>
      </c>
      <c r="D4556" t="s">
        <v>142</v>
      </c>
      <c r="E4556">
        <v>197.13</v>
      </c>
    </row>
    <row r="4557" spans="2:5" ht="18.75">
      <c r="B4557">
        <v>10</v>
      </c>
      <c r="C4557" s="5">
        <v>46083</v>
      </c>
      <c r="D4557" t="s">
        <v>139</v>
      </c>
      <c r="E4557">
        <v>291.17</v>
      </c>
    </row>
    <row r="4558" spans="2:5" ht="18.75">
      <c r="B4558">
        <v>10</v>
      </c>
      <c r="C4558" s="5">
        <v>46083</v>
      </c>
      <c r="D4558" t="s">
        <v>143</v>
      </c>
      <c r="E4558">
        <v>2055.5100000000002</v>
      </c>
    </row>
    <row r="4559" spans="2:5" ht="18.75">
      <c r="B4559">
        <v>10</v>
      </c>
      <c r="C4559" s="5">
        <v>46083</v>
      </c>
      <c r="D4559" t="s">
        <v>145</v>
      </c>
      <c r="E4559">
        <v>262.19</v>
      </c>
    </row>
    <row r="4560" spans="2:5" ht="18.75">
      <c r="B4560">
        <v>10</v>
      </c>
      <c r="C4560" s="5">
        <v>46083</v>
      </c>
      <c r="D4560" t="s">
        <v>146</v>
      </c>
      <c r="E4560">
        <v>555.66</v>
      </c>
    </row>
    <row r="4561" spans="2:5" ht="18.75">
      <c r="B4561">
        <v>10</v>
      </c>
      <c r="C4561" s="5">
        <v>46083</v>
      </c>
      <c r="D4561" t="s">
        <v>148</v>
      </c>
      <c r="E4561">
        <v>123.83</v>
      </c>
    </row>
    <row r="4562" spans="2:5" ht="18.75">
      <c r="B4562">
        <v>10</v>
      </c>
      <c r="C4562" s="5">
        <v>46083</v>
      </c>
      <c r="D4562" t="s">
        <v>147</v>
      </c>
      <c r="E4562">
        <v>330.55</v>
      </c>
    </row>
    <row r="4563" spans="2:5" ht="18.75">
      <c r="B4563">
        <v>10</v>
      </c>
      <c r="C4563" s="5">
        <v>46083</v>
      </c>
      <c r="D4563" t="s">
        <v>150</v>
      </c>
      <c r="E4563">
        <v>68.739999999999995</v>
      </c>
    </row>
    <row r="4564" spans="2:5" ht="18.75">
      <c r="B4564">
        <v>10</v>
      </c>
      <c r="C4564" s="5">
        <v>46083</v>
      </c>
      <c r="D4564" t="s">
        <v>151</v>
      </c>
      <c r="E4564">
        <v>726.81</v>
      </c>
    </row>
    <row r="4565" spans="2:5" ht="18.75">
      <c r="B4565">
        <v>10</v>
      </c>
      <c r="C4565" s="5">
        <v>46083</v>
      </c>
      <c r="D4565" t="s">
        <v>128</v>
      </c>
      <c r="E4565">
        <v>139.63</v>
      </c>
    </row>
    <row r="4566" spans="2:5" ht="18.75">
      <c r="B4566">
        <v>10</v>
      </c>
      <c r="C4566" s="5">
        <v>46083</v>
      </c>
      <c r="D4566" t="s">
        <v>135</v>
      </c>
      <c r="E4566">
        <v>85.21</v>
      </c>
    </row>
    <row r="4567" spans="2:5" ht="18.75">
      <c r="B4567">
        <v>10</v>
      </c>
      <c r="C4567" s="5">
        <v>46083</v>
      </c>
      <c r="D4567" t="s">
        <v>127</v>
      </c>
      <c r="E4567">
        <v>265.91000000000003</v>
      </c>
    </row>
    <row r="4568" spans="2:5" ht="18.75">
      <c r="B4568">
        <v>10</v>
      </c>
      <c r="C4568" s="5">
        <v>46083</v>
      </c>
      <c r="D4568" t="s">
        <v>149</v>
      </c>
      <c r="E4568">
        <v>161.25</v>
      </c>
    </row>
    <row r="4569" spans="2:5" ht="18.75">
      <c r="B4569">
        <v>11</v>
      </c>
      <c r="C4569" s="5">
        <v>46090</v>
      </c>
      <c r="D4569" t="s">
        <v>111</v>
      </c>
      <c r="E4569">
        <v>135.41</v>
      </c>
    </row>
    <row r="4570" spans="2:5" ht="18.75">
      <c r="B4570">
        <v>11</v>
      </c>
      <c r="C4570" s="5">
        <v>46090</v>
      </c>
      <c r="D4570" t="s">
        <v>112</v>
      </c>
      <c r="E4570">
        <v>65.069999999999993</v>
      </c>
    </row>
    <row r="4571" spans="2:5" ht="18.75">
      <c r="B4571">
        <v>11</v>
      </c>
      <c r="C4571" s="5">
        <v>46090</v>
      </c>
      <c r="D4571" t="s">
        <v>113</v>
      </c>
      <c r="E4571">
        <v>120.31</v>
      </c>
    </row>
    <row r="4572" spans="2:5" ht="18.75">
      <c r="B4572">
        <v>11</v>
      </c>
      <c r="C4572" s="5">
        <v>46090</v>
      </c>
      <c r="D4572" t="s">
        <v>114</v>
      </c>
      <c r="E4572">
        <v>207</v>
      </c>
    </row>
    <row r="4573" spans="2:5" ht="18.75">
      <c r="B4573">
        <v>11</v>
      </c>
      <c r="C4573" s="5">
        <v>46090</v>
      </c>
      <c r="D4573" t="s">
        <v>116</v>
      </c>
      <c r="E4573">
        <v>80.489999999999995</v>
      </c>
    </row>
    <row r="4574" spans="2:5" ht="18.75">
      <c r="B4574">
        <v>11</v>
      </c>
      <c r="C4574" s="5">
        <v>46090</v>
      </c>
      <c r="D4574" t="s">
        <v>117</v>
      </c>
      <c r="E4574">
        <v>152.71</v>
      </c>
    </row>
    <row r="4575" spans="2:5" ht="18.75">
      <c r="B4575">
        <v>11</v>
      </c>
      <c r="C4575" s="5">
        <v>46090</v>
      </c>
      <c r="D4575" t="s">
        <v>118</v>
      </c>
      <c r="E4575">
        <v>104.6</v>
      </c>
    </row>
    <row r="4576" spans="2:5" ht="18.75">
      <c r="B4576">
        <v>11</v>
      </c>
      <c r="C4576" s="5">
        <v>46090</v>
      </c>
      <c r="D4576" t="s">
        <v>119</v>
      </c>
      <c r="E4576">
        <v>223.05</v>
      </c>
    </row>
    <row r="4577" spans="2:5" ht="18.75">
      <c r="B4577">
        <v>11</v>
      </c>
      <c r="C4577" s="5">
        <v>46090</v>
      </c>
      <c r="D4577" t="s">
        <v>120</v>
      </c>
      <c r="E4577">
        <v>102.31</v>
      </c>
    </row>
    <row r="4578" spans="2:5" ht="18.75">
      <c r="B4578">
        <v>11</v>
      </c>
      <c r="C4578" s="5">
        <v>46090</v>
      </c>
      <c r="D4578" t="s">
        <v>121</v>
      </c>
      <c r="E4578">
        <v>97.29</v>
      </c>
    </row>
    <row r="4579" spans="2:5" ht="18.75">
      <c r="B4579">
        <v>11</v>
      </c>
      <c r="C4579" s="5">
        <v>46090</v>
      </c>
      <c r="D4579" t="s">
        <v>122</v>
      </c>
      <c r="E4579">
        <v>279.95999999999998</v>
      </c>
    </row>
    <row r="4580" spans="2:5" ht="18.75">
      <c r="B4580">
        <v>11</v>
      </c>
      <c r="C4580" s="5">
        <v>46090</v>
      </c>
      <c r="D4580" t="s">
        <v>123</v>
      </c>
      <c r="E4580">
        <v>265.77</v>
      </c>
    </row>
    <row r="4581" spans="2:5" ht="18.75">
      <c r="B4581">
        <v>11</v>
      </c>
      <c r="C4581" s="5">
        <v>46090</v>
      </c>
      <c r="D4581" t="s">
        <v>124</v>
      </c>
      <c r="E4581">
        <v>281.02999999999997</v>
      </c>
    </row>
    <row r="4582" spans="2:5" ht="18.75">
      <c r="B4582">
        <v>11</v>
      </c>
      <c r="C4582" s="5">
        <v>46090</v>
      </c>
      <c r="D4582" t="s">
        <v>125</v>
      </c>
      <c r="E4582">
        <v>60.12</v>
      </c>
    </row>
    <row r="4583" spans="2:5" ht="18.75">
      <c r="B4583">
        <v>11</v>
      </c>
      <c r="C4583" s="5">
        <v>46090</v>
      </c>
      <c r="D4583" t="s">
        <v>126</v>
      </c>
      <c r="E4583">
        <v>89.63</v>
      </c>
    </row>
    <row r="4584" spans="2:5" ht="18.75">
      <c r="B4584">
        <v>11</v>
      </c>
      <c r="C4584" s="5">
        <v>46090</v>
      </c>
      <c r="D4584" t="s">
        <v>128</v>
      </c>
      <c r="E4584">
        <v>185.05</v>
      </c>
    </row>
    <row r="4585" spans="2:5" ht="18.75">
      <c r="B4585">
        <v>11</v>
      </c>
      <c r="C4585" s="5">
        <v>46090</v>
      </c>
      <c r="D4585" t="s">
        <v>129</v>
      </c>
      <c r="E4585">
        <v>266.73</v>
      </c>
    </row>
    <row r="4586" spans="2:5" ht="18.75">
      <c r="B4586">
        <v>11</v>
      </c>
      <c r="C4586" s="5">
        <v>46090</v>
      </c>
      <c r="D4586" t="s">
        <v>130</v>
      </c>
      <c r="E4586">
        <v>313.66000000000003</v>
      </c>
    </row>
    <row r="4587" spans="2:5" ht="18.75">
      <c r="B4587">
        <v>11</v>
      </c>
      <c r="C4587" s="5">
        <v>46090</v>
      </c>
      <c r="D4587" t="s">
        <v>132</v>
      </c>
      <c r="E4587">
        <v>181.52</v>
      </c>
    </row>
    <row r="4588" spans="2:5" ht="18.75">
      <c r="B4588">
        <v>11</v>
      </c>
      <c r="C4588" s="5">
        <v>46090</v>
      </c>
      <c r="D4588" t="s">
        <v>133</v>
      </c>
      <c r="E4588">
        <v>173.02</v>
      </c>
    </row>
    <row r="4589" spans="2:5" ht="18.75">
      <c r="B4589">
        <v>11</v>
      </c>
      <c r="C4589" s="5">
        <v>46090</v>
      </c>
      <c r="D4589" t="s">
        <v>134</v>
      </c>
      <c r="E4589">
        <v>178.78</v>
      </c>
    </row>
    <row r="4590" spans="2:5" ht="18.75">
      <c r="B4590">
        <v>11</v>
      </c>
      <c r="C4590" s="5">
        <v>46090</v>
      </c>
      <c r="D4590" t="s">
        <v>135</v>
      </c>
      <c r="E4590">
        <v>75.33</v>
      </c>
    </row>
    <row r="4591" spans="2:5" ht="18.75">
      <c r="B4591">
        <v>11</v>
      </c>
      <c r="C4591" s="5">
        <v>46090</v>
      </c>
      <c r="D4591" t="s">
        <v>136</v>
      </c>
      <c r="E4591">
        <v>193.94</v>
      </c>
    </row>
    <row r="4592" spans="2:5" ht="18.75">
      <c r="B4592">
        <v>11</v>
      </c>
      <c r="C4592" s="5">
        <v>46090</v>
      </c>
      <c r="D4592" t="s">
        <v>137</v>
      </c>
      <c r="E4592">
        <v>71.63</v>
      </c>
    </row>
    <row r="4593" spans="2:5" ht="18.75">
      <c r="B4593">
        <v>11</v>
      </c>
      <c r="C4593" s="5">
        <v>46090</v>
      </c>
      <c r="D4593" t="s">
        <v>138</v>
      </c>
      <c r="E4593">
        <v>285.67</v>
      </c>
    </row>
    <row r="4594" spans="2:5" ht="18.75">
      <c r="B4594">
        <v>11</v>
      </c>
      <c r="C4594" s="5">
        <v>46090</v>
      </c>
      <c r="D4594" t="s">
        <v>140</v>
      </c>
      <c r="E4594">
        <v>64.78</v>
      </c>
    </row>
    <row r="4595" spans="2:5" ht="18.75">
      <c r="B4595">
        <v>11</v>
      </c>
      <c r="C4595" s="5">
        <v>46090</v>
      </c>
      <c r="D4595" t="s">
        <v>141</v>
      </c>
      <c r="E4595">
        <v>364.72</v>
      </c>
    </row>
    <row r="4596" spans="2:5" ht="18.75">
      <c r="B4596">
        <v>11</v>
      </c>
      <c r="C4596" s="5">
        <v>46090</v>
      </c>
      <c r="D4596" t="s">
        <v>142</v>
      </c>
      <c r="E4596">
        <v>221.64</v>
      </c>
    </row>
    <row r="4597" spans="2:5" ht="18.75">
      <c r="B4597">
        <v>11</v>
      </c>
      <c r="C4597" s="5">
        <v>46090</v>
      </c>
      <c r="D4597" t="s">
        <v>139</v>
      </c>
      <c r="E4597">
        <v>169.69</v>
      </c>
    </row>
    <row r="4598" spans="2:5" ht="18.75">
      <c r="B4598">
        <v>11</v>
      </c>
      <c r="C4598" s="5">
        <v>46090</v>
      </c>
      <c r="D4598" t="s">
        <v>143</v>
      </c>
      <c r="E4598">
        <v>441.51</v>
      </c>
    </row>
    <row r="4599" spans="2:5" ht="18.75">
      <c r="B4599">
        <v>11</v>
      </c>
      <c r="C4599" s="5">
        <v>46090</v>
      </c>
      <c r="D4599" t="s">
        <v>145</v>
      </c>
      <c r="E4599">
        <v>162.13999999999999</v>
      </c>
    </row>
    <row r="4600" spans="2:5" ht="18.75">
      <c r="B4600">
        <v>11</v>
      </c>
      <c r="C4600" s="5">
        <v>46090</v>
      </c>
      <c r="D4600" t="s">
        <v>146</v>
      </c>
      <c r="E4600">
        <v>327.08</v>
      </c>
    </row>
    <row r="4601" spans="2:5" ht="18.75">
      <c r="B4601">
        <v>11</v>
      </c>
      <c r="C4601" s="5">
        <v>46090</v>
      </c>
      <c r="D4601" t="s">
        <v>148</v>
      </c>
      <c r="E4601">
        <v>89.49</v>
      </c>
    </row>
    <row r="4602" spans="2:5" ht="18.75">
      <c r="B4602">
        <v>11</v>
      </c>
      <c r="C4602" s="5">
        <v>46090</v>
      </c>
      <c r="D4602" t="s">
        <v>147</v>
      </c>
      <c r="E4602">
        <v>172.92</v>
      </c>
    </row>
    <row r="4603" spans="2:5" ht="18.75">
      <c r="B4603">
        <v>11</v>
      </c>
      <c r="C4603" s="5">
        <v>46090</v>
      </c>
      <c r="D4603" t="s">
        <v>150</v>
      </c>
      <c r="E4603">
        <v>86.27</v>
      </c>
    </row>
    <row r="4604" spans="2:5" ht="18.75">
      <c r="B4604">
        <v>11</v>
      </c>
      <c r="C4604" s="5">
        <v>46090</v>
      </c>
      <c r="D4604" t="s">
        <v>151</v>
      </c>
      <c r="E4604">
        <v>358.48</v>
      </c>
    </row>
    <row r="4605" spans="2:5" ht="18.75">
      <c r="B4605">
        <v>11</v>
      </c>
      <c r="C4605" s="5">
        <v>46090</v>
      </c>
      <c r="D4605" t="s">
        <v>127</v>
      </c>
      <c r="E4605">
        <v>90.48</v>
      </c>
    </row>
    <row r="4606" spans="2:5" ht="18.75">
      <c r="B4606">
        <v>11</v>
      </c>
      <c r="C4606" s="5">
        <v>46090</v>
      </c>
      <c r="D4606" t="s">
        <v>149</v>
      </c>
      <c r="E4606">
        <v>168.83</v>
      </c>
    </row>
    <row r="4607" spans="2:5" ht="18.75">
      <c r="B4607">
        <v>43</v>
      </c>
      <c r="D4607" t="s">
        <v>138</v>
      </c>
      <c r="E4607">
        <v>391.9</v>
      </c>
    </row>
    <row r="4608" spans="2:5" ht="18.75">
      <c r="B4608">
        <v>43</v>
      </c>
      <c r="D4608" t="s">
        <v>141</v>
      </c>
      <c r="E4608">
        <v>585.19000000000005</v>
      </c>
    </row>
    <row r="4609" spans="2:5" ht="18.75">
      <c r="B4609">
        <v>43</v>
      </c>
      <c r="D4609" t="s">
        <v>143</v>
      </c>
      <c r="E4609">
        <v>1339.33</v>
      </c>
    </row>
    <row r="4610" spans="2:5" ht="18.75">
      <c r="B4610">
        <v>43</v>
      </c>
      <c r="D4610" t="s">
        <v>145</v>
      </c>
      <c r="E4610">
        <v>328.41</v>
      </c>
    </row>
    <row r="4611" spans="2:5" ht="18.75">
      <c r="B4611">
        <v>43</v>
      </c>
      <c r="D4611" t="s">
        <v>146</v>
      </c>
      <c r="E4611">
        <v>532.25</v>
      </c>
    </row>
    <row r="4612" spans="2:5" ht="18.75">
      <c r="B4612">
        <v>43</v>
      </c>
      <c r="D4612" t="s">
        <v>111</v>
      </c>
      <c r="E4612">
        <v>295.25</v>
      </c>
    </row>
    <row r="4613" spans="2:5" ht="18.75">
      <c r="B4613">
        <v>43</v>
      </c>
      <c r="D4613" t="s">
        <v>117</v>
      </c>
      <c r="E4613">
        <v>251.05</v>
      </c>
    </row>
    <row r="4614" spans="2:5" ht="18.75">
      <c r="B4614">
        <v>43</v>
      </c>
      <c r="D4614" t="s">
        <v>120</v>
      </c>
      <c r="E4614">
        <v>197.87</v>
      </c>
    </row>
    <row r="4615" spans="2:5" ht="18.75">
      <c r="B4615">
        <v>43</v>
      </c>
      <c r="D4615" t="s">
        <v>127</v>
      </c>
      <c r="E4615">
        <v>216.32</v>
      </c>
    </row>
    <row r="4616" spans="2:5" ht="18.75">
      <c r="B4616">
        <v>43</v>
      </c>
      <c r="D4616" t="s">
        <v>129</v>
      </c>
      <c r="E4616">
        <v>390.39</v>
      </c>
    </row>
    <row r="4617" spans="2:5" ht="18.75">
      <c r="B4617">
        <v>43</v>
      </c>
      <c r="D4617" t="s">
        <v>133</v>
      </c>
      <c r="E4617">
        <v>299.18</v>
      </c>
    </row>
    <row r="4618" spans="2:5" ht="18.75">
      <c r="B4618">
        <v>43</v>
      </c>
      <c r="D4618" t="s">
        <v>134</v>
      </c>
      <c r="E4618">
        <v>308.51</v>
      </c>
    </row>
    <row r="4619" spans="2:5" ht="18.75">
      <c r="B4619">
        <v>43</v>
      </c>
      <c r="D4619" t="s">
        <v>114</v>
      </c>
      <c r="E4619">
        <v>243.99</v>
      </c>
    </row>
    <row r="4620" spans="2:5" ht="18.75">
      <c r="B4620">
        <v>43</v>
      </c>
      <c r="D4620" t="s">
        <v>119</v>
      </c>
      <c r="E4620">
        <v>396.97</v>
      </c>
    </row>
    <row r="4621" spans="2:5" ht="18.75">
      <c r="B4621">
        <v>43</v>
      </c>
      <c r="D4621" t="s">
        <v>118</v>
      </c>
      <c r="E4621">
        <v>159.97999999999999</v>
      </c>
    </row>
    <row r="4622" spans="2:5" ht="18.75">
      <c r="B4622">
        <v>43</v>
      </c>
      <c r="D4622" t="s">
        <v>123</v>
      </c>
      <c r="E4622">
        <v>405.34</v>
      </c>
    </row>
    <row r="4623" spans="2:5" ht="18.75">
      <c r="B4623">
        <v>43</v>
      </c>
      <c r="D4623" t="s">
        <v>124</v>
      </c>
      <c r="E4623">
        <v>407.15</v>
      </c>
    </row>
    <row r="4624" spans="2:5" ht="18.75">
      <c r="B4624">
        <v>43</v>
      </c>
      <c r="D4624" t="s">
        <v>126</v>
      </c>
      <c r="E4624">
        <v>102.95</v>
      </c>
    </row>
    <row r="4625" spans="2:5" ht="18.75">
      <c r="B4625">
        <v>43</v>
      </c>
      <c r="D4625" t="s">
        <v>139</v>
      </c>
      <c r="E4625">
        <v>219.06</v>
      </c>
    </row>
    <row r="4626" spans="2:5" ht="18.75">
      <c r="B4626">
        <v>43</v>
      </c>
      <c r="D4626" t="s">
        <v>219</v>
      </c>
      <c r="E4626">
        <v>261.79000000000002</v>
      </c>
    </row>
    <row r="4627" spans="2:5" ht="18.75">
      <c r="B4627">
        <v>43</v>
      </c>
      <c r="D4627" t="s">
        <v>113</v>
      </c>
      <c r="E4627">
        <v>174.57</v>
      </c>
    </row>
    <row r="4628" spans="2:5" ht="18.75">
      <c r="B4628">
        <v>43</v>
      </c>
      <c r="D4628" t="s">
        <v>112</v>
      </c>
      <c r="E4628">
        <v>71.28</v>
      </c>
    </row>
    <row r="4629" spans="2:5" ht="18.75">
      <c r="B4629">
        <v>43</v>
      </c>
      <c r="D4629" t="s">
        <v>116</v>
      </c>
      <c r="E4629">
        <v>81.64</v>
      </c>
    </row>
    <row r="4630" spans="2:5" ht="18.75">
      <c r="B4630">
        <v>43</v>
      </c>
      <c r="D4630" t="s">
        <v>121</v>
      </c>
      <c r="E4630">
        <v>135.29</v>
      </c>
    </row>
    <row r="4631" spans="2:5" ht="18.75">
      <c r="B4631">
        <v>43</v>
      </c>
      <c r="D4631" t="s">
        <v>122</v>
      </c>
      <c r="E4631">
        <v>250.67</v>
      </c>
    </row>
    <row r="4632" spans="2:5" ht="18.75">
      <c r="B4632">
        <v>43</v>
      </c>
      <c r="D4632" t="s">
        <v>125</v>
      </c>
      <c r="E4632">
        <v>46.7</v>
      </c>
    </row>
    <row r="4633" spans="2:5" ht="18.75">
      <c r="B4633">
        <v>43</v>
      </c>
      <c r="D4633" t="s">
        <v>128</v>
      </c>
      <c r="E4633">
        <v>144.75</v>
      </c>
    </row>
    <row r="4634" spans="2:5" ht="18.75">
      <c r="B4634">
        <v>43</v>
      </c>
      <c r="D4634" t="s">
        <v>132</v>
      </c>
      <c r="E4634">
        <v>143.69999999999999</v>
      </c>
    </row>
    <row r="4635" spans="2:5" ht="18.75">
      <c r="B4635">
        <v>43</v>
      </c>
      <c r="D4635" t="s">
        <v>135</v>
      </c>
      <c r="E4635">
        <v>57.31</v>
      </c>
    </row>
    <row r="4636" spans="2:5" ht="18.75">
      <c r="B4636">
        <v>43</v>
      </c>
      <c r="D4636" t="s">
        <v>136</v>
      </c>
      <c r="E4636">
        <v>87.03</v>
      </c>
    </row>
    <row r="4637" spans="2:5" ht="18.75">
      <c r="B4637">
        <v>43</v>
      </c>
      <c r="D4637" t="s">
        <v>137</v>
      </c>
      <c r="E4637">
        <v>96.93</v>
      </c>
    </row>
    <row r="4638" spans="2:5" ht="18.75">
      <c r="B4638">
        <v>43</v>
      </c>
      <c r="D4638" t="s">
        <v>140</v>
      </c>
      <c r="E4638">
        <v>64.319999999999993</v>
      </c>
    </row>
    <row r="4639" spans="2:5" ht="18.75">
      <c r="B4639">
        <v>43</v>
      </c>
      <c r="D4639" t="s">
        <v>142</v>
      </c>
      <c r="E4639">
        <v>129.11000000000001</v>
      </c>
    </row>
    <row r="4640" spans="2:5" ht="18.75">
      <c r="B4640">
        <v>43</v>
      </c>
      <c r="D4640" t="s">
        <v>149</v>
      </c>
      <c r="E4640">
        <v>105.23</v>
      </c>
    </row>
    <row r="4641" spans="2:5" ht="18.75">
      <c r="B4641">
        <v>43</v>
      </c>
      <c r="D4641" t="s">
        <v>150</v>
      </c>
      <c r="E4641">
        <v>62.82</v>
      </c>
    </row>
    <row r="4642" spans="2:5" ht="18.75">
      <c r="B4642">
        <v>44</v>
      </c>
      <c r="D4642" t="s">
        <v>111</v>
      </c>
      <c r="E4642">
        <v>274.2</v>
      </c>
    </row>
    <row r="4643" spans="2:5" ht="18.75">
      <c r="B4643">
        <v>44</v>
      </c>
      <c r="D4643" t="s">
        <v>143</v>
      </c>
      <c r="E4643">
        <v>1319.3</v>
      </c>
    </row>
    <row r="4644" spans="2:5" ht="18.75">
      <c r="B4644">
        <v>44</v>
      </c>
      <c r="D4644" t="s">
        <v>127</v>
      </c>
      <c r="E4644">
        <v>233.8</v>
      </c>
    </row>
    <row r="4645" spans="2:5" ht="18.75">
      <c r="B4645">
        <v>44</v>
      </c>
      <c r="D4645" t="s">
        <v>117</v>
      </c>
      <c r="E4645">
        <v>261.33</v>
      </c>
    </row>
    <row r="4646" spans="2:5" ht="18.75">
      <c r="B4646">
        <v>44</v>
      </c>
      <c r="D4646" t="s">
        <v>119</v>
      </c>
      <c r="E4646">
        <v>397.19</v>
      </c>
    </row>
    <row r="4647" spans="2:5" ht="18.75">
      <c r="B4647">
        <v>44</v>
      </c>
      <c r="D4647" t="s">
        <v>120</v>
      </c>
      <c r="E4647">
        <v>239.92</v>
      </c>
    </row>
    <row r="4648" spans="2:5" ht="18.75">
      <c r="B4648">
        <v>44</v>
      </c>
      <c r="D4648" t="s">
        <v>121</v>
      </c>
      <c r="E4648">
        <v>323.07</v>
      </c>
    </row>
    <row r="4649" spans="2:5" ht="18.75">
      <c r="B4649">
        <v>44</v>
      </c>
      <c r="D4649" t="s">
        <v>133</v>
      </c>
      <c r="E4649">
        <v>337.37</v>
      </c>
    </row>
    <row r="4650" spans="2:5" ht="18.75">
      <c r="B4650">
        <v>44</v>
      </c>
      <c r="D4650" t="s">
        <v>134</v>
      </c>
      <c r="E4650">
        <v>345.33</v>
      </c>
    </row>
    <row r="4651" spans="2:5" ht="18.75">
      <c r="B4651">
        <v>44</v>
      </c>
      <c r="D4651" t="s">
        <v>141</v>
      </c>
      <c r="E4651">
        <v>607.1</v>
      </c>
    </row>
    <row r="4652" spans="2:5" ht="18.75">
      <c r="B4652">
        <v>44</v>
      </c>
      <c r="D4652" t="s">
        <v>145</v>
      </c>
      <c r="E4652">
        <v>449.08</v>
      </c>
    </row>
    <row r="4653" spans="2:5" ht="18.75">
      <c r="B4653">
        <v>44</v>
      </c>
      <c r="D4653" t="s">
        <v>146</v>
      </c>
      <c r="E4653">
        <v>628.41</v>
      </c>
    </row>
    <row r="4654" spans="2:5" ht="18.75">
      <c r="B4654">
        <v>44</v>
      </c>
      <c r="D4654" t="s">
        <v>114</v>
      </c>
      <c r="E4654">
        <v>262.79000000000002</v>
      </c>
    </row>
    <row r="4655" spans="2:5" ht="18.75">
      <c r="B4655">
        <v>44</v>
      </c>
      <c r="D4655" t="s">
        <v>138</v>
      </c>
      <c r="E4655">
        <v>450.36</v>
      </c>
    </row>
    <row r="4656" spans="2:5" ht="18.75">
      <c r="B4656">
        <v>44</v>
      </c>
      <c r="D4656" t="s">
        <v>129</v>
      </c>
      <c r="E4656">
        <v>453.62</v>
      </c>
    </row>
    <row r="4657" spans="2:5" ht="18.75">
      <c r="B4657">
        <v>44</v>
      </c>
      <c r="D4657" t="s">
        <v>122</v>
      </c>
      <c r="E4657">
        <v>231.96</v>
      </c>
    </row>
    <row r="4658" spans="2:5" ht="18.75">
      <c r="B4658">
        <v>44</v>
      </c>
      <c r="D4658" t="s">
        <v>123</v>
      </c>
      <c r="E4658">
        <v>516.76</v>
      </c>
    </row>
    <row r="4659" spans="2:5" ht="18.75">
      <c r="B4659">
        <v>44</v>
      </c>
      <c r="D4659" t="s">
        <v>124</v>
      </c>
      <c r="E4659">
        <v>485.83</v>
      </c>
    </row>
    <row r="4660" spans="2:5" ht="18.75">
      <c r="B4660">
        <v>44</v>
      </c>
      <c r="D4660" t="s">
        <v>128</v>
      </c>
      <c r="E4660">
        <v>158.88</v>
      </c>
    </row>
    <row r="4661" spans="2:5" ht="18.75">
      <c r="B4661">
        <v>44</v>
      </c>
      <c r="D4661" t="s">
        <v>132</v>
      </c>
      <c r="E4661">
        <v>300.44</v>
      </c>
    </row>
    <row r="4662" spans="2:5" ht="18.75">
      <c r="B4662">
        <v>44</v>
      </c>
      <c r="D4662" t="s">
        <v>142</v>
      </c>
      <c r="E4662">
        <v>284.43</v>
      </c>
    </row>
    <row r="4663" spans="2:5" ht="18.75">
      <c r="B4663">
        <v>44</v>
      </c>
      <c r="D4663" t="s">
        <v>219</v>
      </c>
      <c r="E4663">
        <v>334.47</v>
      </c>
    </row>
    <row r="4664" spans="2:5" ht="18.75">
      <c r="B4664">
        <v>44</v>
      </c>
      <c r="D4664" t="s">
        <v>112</v>
      </c>
      <c r="E4664">
        <v>81.36</v>
      </c>
    </row>
    <row r="4665" spans="2:5" ht="18.75">
      <c r="B4665">
        <v>44</v>
      </c>
      <c r="D4665" t="s">
        <v>113</v>
      </c>
      <c r="E4665">
        <v>233.28</v>
      </c>
    </row>
    <row r="4666" spans="2:5" ht="18.75">
      <c r="B4666">
        <v>44</v>
      </c>
      <c r="D4666" t="s">
        <v>116</v>
      </c>
      <c r="E4666">
        <v>92.8</v>
      </c>
    </row>
    <row r="4667" spans="2:5" ht="18.75">
      <c r="B4667">
        <v>44</v>
      </c>
      <c r="D4667" t="s">
        <v>118</v>
      </c>
      <c r="E4667">
        <v>178.58</v>
      </c>
    </row>
    <row r="4668" spans="2:5" ht="18.75">
      <c r="B4668">
        <v>44</v>
      </c>
      <c r="D4668" t="s">
        <v>125</v>
      </c>
      <c r="E4668">
        <v>65.88</v>
      </c>
    </row>
    <row r="4669" spans="2:5" ht="18.75">
      <c r="B4669">
        <v>44</v>
      </c>
      <c r="D4669" t="s">
        <v>126</v>
      </c>
      <c r="E4669">
        <v>119.11</v>
      </c>
    </row>
    <row r="4670" spans="2:5" ht="18.75">
      <c r="B4670">
        <v>44</v>
      </c>
      <c r="D4670" t="s">
        <v>136</v>
      </c>
      <c r="E4670">
        <v>77.069999999999993</v>
      </c>
    </row>
    <row r="4671" spans="2:5" ht="18.75">
      <c r="B4671">
        <v>44</v>
      </c>
      <c r="D4671" t="s">
        <v>137</v>
      </c>
      <c r="E4671">
        <v>78.56</v>
      </c>
    </row>
    <row r="4672" spans="2:5" ht="18.75">
      <c r="B4672">
        <v>44</v>
      </c>
      <c r="D4672" t="s">
        <v>140</v>
      </c>
      <c r="E4672">
        <v>77.23</v>
      </c>
    </row>
    <row r="4673" ht="18.75"/>
    <row r="4674" ht="18.75"/>
    <row r="4675" ht="18.75"/>
    <row r="4676" ht="18.75"/>
    <row r="4677" ht="18.75"/>
    <row r="4678" ht="18.75"/>
    <row r="4679" ht="18.75"/>
    <row r="4680" ht="18.75"/>
    <row r="4681" ht="18.75"/>
    <row r="4682" ht="18.75"/>
    <row r="4683" ht="18.75"/>
    <row r="4684" ht="18.75"/>
    <row r="4685" ht="18.75"/>
    <row r="4686" ht="18.75"/>
    <row r="4687" ht="18.75"/>
    <row r="4688" ht="18.75"/>
    <row r="4689" ht="18.75"/>
    <row r="4690" ht="18.75"/>
    <row r="4691" ht="18.75"/>
    <row r="4692" ht="18.75"/>
    <row r="4693" ht="18.75"/>
    <row r="4694" ht="18.75"/>
    <row r="4695" ht="18.75"/>
    <row r="4696" ht="18.75"/>
    <row r="4697" ht="18.75"/>
    <row r="4698" ht="18.75"/>
    <row r="4699" ht="18.75"/>
    <row r="4700" ht="18.75"/>
    <row r="4701" ht="18.75"/>
    <row r="4702" ht="18.75"/>
    <row r="4703" ht="18.75"/>
    <row r="4704" ht="18.75"/>
    <row r="4705" ht="18.75"/>
    <row r="4706" ht="18.75"/>
    <row r="4707" ht="18.75"/>
    <row r="4708" ht="18.75"/>
    <row r="4709" ht="18.75"/>
    <row r="4710" ht="18.75"/>
    <row r="4711" ht="18.75"/>
    <row r="4712" ht="18.75"/>
    <row r="4713" ht="18.75"/>
    <row r="4714" ht="18.75"/>
    <row r="4715" ht="18.75"/>
    <row r="4716" ht="18.75"/>
    <row r="4717" ht="18.75"/>
    <row r="4718" ht="18.75"/>
    <row r="4719" ht="18.75"/>
    <row r="4720" ht="18.75"/>
    <row r="4721" ht="18.75"/>
    <row r="4722" ht="18.75"/>
    <row r="4723" ht="18.75"/>
    <row r="4724" ht="18.75"/>
    <row r="4725" ht="18.75"/>
    <row r="4726" ht="18.75"/>
    <row r="4727" ht="18.75"/>
    <row r="4728" ht="18.75"/>
    <row r="4729" ht="18.75"/>
    <row r="4730" ht="18.75"/>
    <row r="4731" ht="18.75"/>
    <row r="4732" ht="18.75"/>
    <row r="4733" ht="18.75"/>
    <row r="4734" ht="18.75"/>
    <row r="4735" ht="18.75"/>
    <row r="4736" ht="18.75"/>
    <row r="4737" ht="18.75"/>
    <row r="4738" ht="18.75"/>
    <row r="4739" ht="18.75"/>
    <row r="4740" ht="18.75"/>
    <row r="4741" ht="18.75"/>
    <row r="4742" ht="18.75"/>
    <row r="4743" ht="18.75"/>
    <row r="4744" ht="18.75"/>
    <row r="4745" ht="18.75"/>
    <row r="4746" ht="18.75"/>
    <row r="4747" ht="18.75"/>
    <row r="4748" ht="18.75"/>
    <row r="4749" ht="18.75"/>
    <row r="4750" ht="18.75"/>
    <row r="4751" ht="18.75"/>
    <row r="4752" ht="18.75"/>
    <row r="4753" ht="18.75"/>
    <row r="4754" ht="18.75"/>
    <row r="4755" ht="18.75"/>
    <row r="4756" ht="18.75"/>
    <row r="4757" ht="18.75"/>
    <row r="4758" ht="18.75"/>
    <row r="4759" ht="18.75"/>
    <row r="4760" ht="18.75"/>
    <row r="4761" ht="18.75"/>
    <row r="4762" ht="18.75"/>
    <row r="4763" ht="18.75"/>
    <row r="4764" ht="18.75"/>
    <row r="4765" ht="18.75"/>
    <row r="4766" ht="18.75"/>
    <row r="4767" ht="18.75"/>
    <row r="4768" ht="18.75"/>
    <row r="4769" ht="18.75"/>
    <row r="4770" ht="18.75"/>
    <row r="4771" ht="18.75"/>
    <row r="4772" ht="18.75"/>
    <row r="4773" ht="18.75"/>
    <row r="4774" ht="18.75"/>
    <row r="4775" ht="18.75"/>
    <row r="4776" ht="18.75"/>
    <row r="4777" ht="18.75"/>
    <row r="4778" ht="18.75"/>
    <row r="4779" ht="18.75"/>
    <row r="4780" ht="18.75"/>
    <row r="4781" ht="18.75"/>
    <row r="4782" ht="18.75"/>
    <row r="4783" ht="18.75"/>
    <row r="4784" ht="18.75"/>
    <row r="4785" ht="18.75"/>
    <row r="4786" ht="18.75"/>
    <row r="4787" ht="18.75"/>
    <row r="4788" ht="18.75"/>
    <row r="4789" ht="18.75"/>
    <row r="4790" ht="18.75"/>
    <row r="4791" ht="18.75"/>
    <row r="4792" ht="18.75"/>
    <row r="4793" ht="18.75"/>
    <row r="4794" ht="18.75"/>
    <row r="4795" ht="18.75"/>
    <row r="4796" ht="18.75"/>
    <row r="4797" ht="18.75"/>
    <row r="4798" ht="18.75"/>
    <row r="4799" ht="18.75"/>
    <row r="4800" ht="18.75"/>
    <row r="4801" ht="18.75"/>
    <row r="4802" ht="18.75"/>
    <row r="4803" ht="18.75"/>
    <row r="4804" ht="18.75"/>
    <row r="4805" ht="18.75"/>
    <row r="4806" ht="18.75"/>
    <row r="4807" ht="18.75"/>
    <row r="4808" ht="18.75"/>
    <row r="4809" ht="18.75"/>
    <row r="4810" ht="18.75"/>
    <row r="4811" ht="18.75"/>
    <row r="4812" ht="18.75"/>
    <row r="4813" ht="18.75"/>
    <row r="4814" ht="18.75"/>
    <row r="4815" ht="18.75"/>
    <row r="4816" ht="18.75"/>
    <row r="4817" ht="18.75"/>
    <row r="4818" ht="18.75"/>
    <row r="4819" ht="18.75"/>
    <row r="4820" ht="18.75"/>
    <row r="4821" ht="18.75"/>
    <row r="4822" ht="18.75"/>
    <row r="4823" ht="18.75"/>
    <row r="4824" ht="18.75"/>
    <row r="4825" ht="18.75"/>
    <row r="4826" ht="18.75"/>
    <row r="4827" ht="18.75"/>
    <row r="4828" ht="18.75"/>
    <row r="4829" ht="18.75"/>
    <row r="4830" ht="18.75"/>
    <row r="4831" ht="18.75"/>
    <row r="4832" ht="18.75"/>
    <row r="4833" ht="18.75"/>
    <row r="4834" ht="18.75"/>
    <row r="4835" ht="18.75"/>
    <row r="4836" ht="18.75"/>
    <row r="4837" ht="18.75"/>
    <row r="4838" ht="18.75"/>
    <row r="4839" ht="18.75"/>
    <row r="4840" ht="18.75"/>
    <row r="4841" ht="18.75"/>
    <row r="4842" ht="18.75"/>
    <row r="4843" ht="18.75"/>
    <row r="4844" ht="18.75"/>
    <row r="4845" ht="18.75"/>
    <row r="4846" ht="18.75"/>
    <row r="4847" ht="18.75"/>
    <row r="4848" ht="18.75"/>
    <row r="4849" ht="18.75"/>
    <row r="4850" ht="18.75"/>
    <row r="4851" ht="18.75"/>
    <row r="4852" ht="18.75"/>
    <row r="4853" ht="18.75"/>
    <row r="4854" ht="18.75"/>
    <row r="4855" ht="18.75"/>
    <row r="4856" ht="18.75"/>
    <row r="4857" ht="18.75"/>
    <row r="4858" ht="18.75"/>
    <row r="4859" ht="18.75"/>
    <row r="4860" ht="18.75"/>
    <row r="4861" ht="18.75"/>
    <row r="4862" ht="18.75"/>
    <row r="4863" ht="18.75"/>
    <row r="4864" ht="18.75"/>
    <row r="4865" ht="18.75"/>
    <row r="4866" ht="18.75"/>
    <row r="4867" ht="18.75"/>
    <row r="4868" ht="18.75"/>
    <row r="4869" ht="18.75"/>
    <row r="4870" ht="18.75"/>
    <row r="4871" ht="18.75"/>
    <row r="4872" ht="18.75"/>
    <row r="4873" ht="18.75"/>
    <row r="4874" ht="18.75"/>
    <row r="4875" ht="18.75"/>
    <row r="4876" ht="18.75"/>
    <row r="4877" ht="18.75"/>
    <row r="4878" ht="18.75"/>
    <row r="4879" ht="18.75"/>
    <row r="4880" ht="18.75"/>
    <row r="4881" spans="2:5" ht="18.75"/>
    <row r="4882" spans="2:5" ht="18.75"/>
    <row r="4883" spans="2:5" ht="18.75"/>
    <row r="4884" spans="2:5" ht="18.75"/>
    <row r="4885" spans="2:5" ht="18.75"/>
    <row r="4886" spans="2:5" ht="18.75"/>
    <row r="4887" spans="2:5" ht="18.75"/>
    <row r="4888" spans="2:5" ht="18.75"/>
    <row r="4889" spans="2:5" ht="18.75">
      <c r="B4889">
        <v>50</v>
      </c>
      <c r="D4889" t="s">
        <v>220</v>
      </c>
      <c r="E4889">
        <v>425.36</v>
      </c>
    </row>
    <row r="4890" spans="2:5" ht="18.75">
      <c r="B4890">
        <v>50</v>
      </c>
      <c r="D4890" t="s">
        <v>127</v>
      </c>
      <c r="E4890">
        <v>247.24</v>
      </c>
    </row>
    <row r="4891" spans="2:5" ht="18.75">
      <c r="B4891">
        <v>50</v>
      </c>
      <c r="D4891" t="s">
        <v>128</v>
      </c>
      <c r="E4891">
        <v>31.6</v>
      </c>
    </row>
    <row r="4892" spans="2:5" ht="18.75">
      <c r="B4892">
        <v>50</v>
      </c>
      <c r="D4892" t="s">
        <v>151</v>
      </c>
      <c r="E4892">
        <v>107.43</v>
      </c>
    </row>
    <row r="4893" spans="2:5" ht="18.75">
      <c r="B4893">
        <v>51</v>
      </c>
      <c r="D4893" t="s">
        <v>111</v>
      </c>
      <c r="E4893">
        <v>149.6</v>
      </c>
    </row>
    <row r="4894" spans="2:5" ht="18.75">
      <c r="B4894">
        <v>51</v>
      </c>
      <c r="D4894" t="s">
        <v>112</v>
      </c>
      <c r="E4894">
        <v>85.51</v>
      </c>
    </row>
    <row r="4895" spans="2:5" ht="18.75">
      <c r="B4895">
        <v>51</v>
      </c>
      <c r="D4895" t="s">
        <v>114</v>
      </c>
      <c r="E4895">
        <v>183.57</v>
      </c>
    </row>
    <row r="4896" spans="2:5" ht="18.75">
      <c r="B4896">
        <v>51</v>
      </c>
      <c r="D4896" t="s">
        <v>120</v>
      </c>
      <c r="E4896">
        <v>124.52</v>
      </c>
    </row>
    <row r="4897" spans="2:5" ht="18.75">
      <c r="B4897">
        <v>51</v>
      </c>
      <c r="D4897" t="s">
        <v>122</v>
      </c>
      <c r="E4897">
        <v>267.27</v>
      </c>
    </row>
    <row r="4898" spans="2:5" ht="18.75">
      <c r="B4898">
        <v>51</v>
      </c>
      <c r="D4898" t="s">
        <v>124</v>
      </c>
      <c r="E4898">
        <v>238.36</v>
      </c>
    </row>
    <row r="4899" spans="2:5" ht="18.75">
      <c r="B4899">
        <v>51</v>
      </c>
      <c r="D4899" t="s">
        <v>126</v>
      </c>
      <c r="E4899">
        <v>45.1</v>
      </c>
    </row>
    <row r="4900" spans="2:5" ht="18.75">
      <c r="B4900">
        <v>51</v>
      </c>
      <c r="D4900" t="s">
        <v>132</v>
      </c>
      <c r="E4900">
        <v>267.24</v>
      </c>
    </row>
    <row r="4901" spans="2:5" ht="18.75">
      <c r="B4901">
        <v>51</v>
      </c>
      <c r="D4901" t="s">
        <v>133</v>
      </c>
      <c r="E4901">
        <v>227.4</v>
      </c>
    </row>
    <row r="4902" spans="2:5" ht="18.75">
      <c r="B4902">
        <v>51</v>
      </c>
      <c r="D4902" t="s">
        <v>134</v>
      </c>
      <c r="E4902">
        <v>234.26</v>
      </c>
    </row>
    <row r="4903" spans="2:5" ht="18.75">
      <c r="B4903">
        <v>51</v>
      </c>
      <c r="D4903" t="s">
        <v>138</v>
      </c>
      <c r="E4903">
        <v>310.17</v>
      </c>
    </row>
    <row r="4904" spans="2:5" ht="18.75">
      <c r="B4904">
        <v>51</v>
      </c>
      <c r="D4904" t="s">
        <v>143</v>
      </c>
      <c r="E4904">
        <v>411.99</v>
      </c>
    </row>
    <row r="4905" spans="2:5" ht="18.75">
      <c r="B4905">
        <v>51</v>
      </c>
      <c r="D4905" t="s">
        <v>145</v>
      </c>
      <c r="E4905">
        <v>234.56</v>
      </c>
    </row>
    <row r="4906" spans="2:5" ht="18.75">
      <c r="B4906">
        <v>51</v>
      </c>
      <c r="D4906" t="s">
        <v>146</v>
      </c>
      <c r="E4906">
        <v>367.93</v>
      </c>
    </row>
    <row r="4907" spans="2:5" ht="18.75">
      <c r="B4907">
        <v>51</v>
      </c>
      <c r="D4907" t="s">
        <v>148</v>
      </c>
      <c r="E4907">
        <v>111.92</v>
      </c>
    </row>
    <row r="4908" spans="2:5" ht="18.75">
      <c r="B4908">
        <v>51</v>
      </c>
      <c r="D4908" t="s">
        <v>147</v>
      </c>
      <c r="E4908">
        <v>199.9</v>
      </c>
    </row>
    <row r="4909" spans="2:5" ht="18.75">
      <c r="B4909">
        <v>51</v>
      </c>
      <c r="D4909" t="s">
        <v>150</v>
      </c>
      <c r="E4909">
        <v>100.2</v>
      </c>
    </row>
    <row r="4910" spans="2:5" ht="18.75">
      <c r="B4910">
        <v>51</v>
      </c>
      <c r="D4910" t="s">
        <v>151</v>
      </c>
      <c r="E4910">
        <v>276.98</v>
      </c>
    </row>
    <row r="4911" spans="2:5" ht="18.75">
      <c r="B4911">
        <v>51</v>
      </c>
      <c r="D4911" t="s">
        <v>113</v>
      </c>
      <c r="E4911">
        <v>177.97</v>
      </c>
    </row>
    <row r="4912" spans="2:5" ht="18.75">
      <c r="B4912">
        <v>51</v>
      </c>
      <c r="D4912" t="s">
        <v>116</v>
      </c>
      <c r="E4912">
        <v>97.55</v>
      </c>
    </row>
    <row r="4913" spans="2:5" ht="18.75">
      <c r="B4913">
        <v>51</v>
      </c>
      <c r="D4913" t="s">
        <v>117</v>
      </c>
      <c r="E4913">
        <v>179.88</v>
      </c>
    </row>
    <row r="4914" spans="2:5" ht="18.75">
      <c r="B4914">
        <v>51</v>
      </c>
      <c r="D4914" t="s">
        <v>118</v>
      </c>
      <c r="E4914">
        <v>99.3</v>
      </c>
    </row>
    <row r="4915" spans="2:5" ht="18.75">
      <c r="B4915">
        <v>51</v>
      </c>
      <c r="D4915" t="s">
        <v>119</v>
      </c>
      <c r="E4915">
        <v>275.43</v>
      </c>
    </row>
    <row r="4916" spans="2:5" ht="18.75">
      <c r="B4916">
        <v>51</v>
      </c>
      <c r="D4916" t="s">
        <v>121</v>
      </c>
      <c r="E4916">
        <v>108.88</v>
      </c>
    </row>
    <row r="4917" spans="2:5" ht="18.75">
      <c r="B4917">
        <v>51</v>
      </c>
      <c r="D4917" t="s">
        <v>123</v>
      </c>
      <c r="E4917">
        <v>301.74</v>
      </c>
    </row>
    <row r="4918" spans="2:5" ht="18.75">
      <c r="B4918">
        <v>51</v>
      </c>
      <c r="D4918" t="s">
        <v>136</v>
      </c>
      <c r="E4918">
        <v>115.32</v>
      </c>
    </row>
    <row r="4919" spans="2:5" ht="18.75">
      <c r="B4919">
        <v>51</v>
      </c>
      <c r="D4919" t="s">
        <v>125</v>
      </c>
      <c r="E4919">
        <v>73.180000000000007</v>
      </c>
    </row>
    <row r="4920" spans="2:5" ht="18.75">
      <c r="B4920">
        <v>51</v>
      </c>
      <c r="D4920" t="s">
        <v>135</v>
      </c>
      <c r="E4920">
        <v>72.400000000000006</v>
      </c>
    </row>
    <row r="4921" spans="2:5" ht="18.75">
      <c r="B4921">
        <v>51</v>
      </c>
      <c r="D4921" t="s">
        <v>137</v>
      </c>
      <c r="E4921">
        <v>58.71</v>
      </c>
    </row>
    <row r="4922" spans="2:5" ht="18.75">
      <c r="B4922">
        <v>51</v>
      </c>
      <c r="D4922" t="s">
        <v>140</v>
      </c>
      <c r="E4922">
        <v>100.83</v>
      </c>
    </row>
    <row r="4923" spans="2:5" ht="18.75">
      <c r="B4923">
        <v>51</v>
      </c>
      <c r="D4923" t="s">
        <v>141</v>
      </c>
      <c r="E4923">
        <v>364.17</v>
      </c>
    </row>
    <row r="4924" spans="2:5" ht="18.75">
      <c r="B4924">
        <v>51</v>
      </c>
      <c r="D4924" t="s">
        <v>139</v>
      </c>
      <c r="E4924">
        <v>181.98</v>
      </c>
    </row>
    <row r="4925" spans="2:5" ht="18.75">
      <c r="B4925">
        <v>51</v>
      </c>
      <c r="D4925" t="s">
        <v>149</v>
      </c>
      <c r="E4925">
        <v>160.16</v>
      </c>
    </row>
    <row r="4926" spans="2:5" ht="18.75">
      <c r="B4926">
        <v>51</v>
      </c>
      <c r="D4926" t="s">
        <v>129</v>
      </c>
      <c r="E4926">
        <v>220.44</v>
      </c>
    </row>
    <row r="4927" spans="2:5" ht="18.75">
      <c r="B4927">
        <v>51</v>
      </c>
      <c r="D4927" t="s">
        <v>127</v>
      </c>
      <c r="E4927">
        <v>156.38999999999999</v>
      </c>
    </row>
    <row r="4928" spans="2:5" ht="18.75">
      <c r="B4928">
        <v>51</v>
      </c>
      <c r="D4928" t="s">
        <v>142</v>
      </c>
      <c r="E4928">
        <v>126.51</v>
      </c>
    </row>
    <row r="4929" spans="2:5" ht="18.75">
      <c r="B4929">
        <v>51</v>
      </c>
      <c r="D4929" t="s">
        <v>128</v>
      </c>
      <c r="E4929">
        <v>5.73</v>
      </c>
    </row>
    <row r="4930" spans="2:5" ht="18.75"/>
    <row r="4931" spans="2:5" ht="18.75"/>
    <row r="4932" spans="2:5" ht="18.75"/>
    <row r="4933" spans="2:5" ht="18.75"/>
    <row r="4934" spans="2:5" ht="18.75"/>
    <row r="4935" spans="2:5" ht="18.75"/>
    <row r="4936" spans="2:5" ht="18.75"/>
    <row r="4937" spans="2:5" ht="18.75"/>
    <row r="4938" spans="2:5" ht="18.75"/>
    <row r="4939" spans="2:5" ht="18.75"/>
    <row r="4940" spans="2:5" ht="18.75"/>
    <row r="4941" spans="2:5" ht="18.75"/>
    <row r="4942" spans="2:5" ht="18.75"/>
    <row r="4943" spans="2:5" ht="18.75"/>
    <row r="4944" spans="2:5" ht="18.75"/>
    <row r="4945" ht="18.75"/>
    <row r="4946" ht="18.75"/>
    <row r="4947" ht="18.75"/>
    <row r="4948" ht="18.75"/>
    <row r="4949" ht="18.75"/>
    <row r="4950" ht="18.75"/>
    <row r="4951" ht="18.75"/>
    <row r="4952" ht="18.75"/>
    <row r="4953" ht="18.75"/>
    <row r="4954" ht="18.75"/>
    <row r="4955" ht="18.75"/>
    <row r="4956" ht="18.75"/>
    <row r="4957" ht="18.75"/>
    <row r="4958" ht="18.75"/>
    <row r="4959" ht="18.75"/>
    <row r="4960" ht="18.75"/>
    <row r="4961" ht="18.75"/>
    <row r="4962" ht="18.75"/>
    <row r="4963" ht="18.75"/>
    <row r="4964" ht="18.75"/>
    <row r="4965" ht="18.75"/>
    <row r="4966" ht="18.75"/>
    <row r="4967" ht="18.75"/>
    <row r="4968" ht="18.75"/>
    <row r="4969" ht="18.75"/>
    <row r="4970" ht="18.75"/>
    <row r="4971" ht="18.75"/>
    <row r="4972" ht="18.75"/>
    <row r="4973" ht="18.75"/>
    <row r="4974" ht="18.75"/>
    <row r="4975" ht="18.75"/>
    <row r="4976" ht="18.75"/>
    <row r="4977" ht="18.75"/>
    <row r="4978" ht="18.75"/>
    <row r="4979" ht="18.75"/>
    <row r="4980" ht="18.75"/>
    <row r="4981" ht="18.75"/>
    <row r="4982" ht="18.75"/>
    <row r="4983" ht="18.75"/>
    <row r="4984" ht="18.75"/>
    <row r="4985" ht="18.75"/>
    <row r="4986" ht="18.75"/>
    <row r="4987" ht="18.75"/>
    <row r="4988" ht="18.75"/>
    <row r="4989" ht="18.75"/>
    <row r="4990" ht="18.75"/>
    <row r="4991" ht="18.75"/>
    <row r="4992" ht="18.75"/>
    <row r="4993" ht="18.75"/>
    <row r="4994" ht="18.75"/>
    <row r="4995" ht="18.75"/>
    <row r="4996" ht="18.75"/>
    <row r="4997" ht="18.75"/>
    <row r="4998" ht="18.75"/>
    <row r="4999" ht="18.75"/>
    <row r="5000" ht="18.75"/>
    <row r="5001" ht="18.75"/>
    <row r="5002" ht="18.75"/>
    <row r="5003" ht="18.75"/>
    <row r="5004" ht="18.75"/>
    <row r="5005" ht="18.75"/>
    <row r="5006" ht="18.75"/>
    <row r="5007" ht="18.75"/>
    <row r="5008" ht="18.75"/>
    <row r="5009" ht="18.75"/>
    <row r="5010" ht="18.75"/>
    <row r="5011" ht="18.75"/>
    <row r="5012" ht="18.75"/>
    <row r="5013" ht="18.75"/>
    <row r="5014" ht="18.75"/>
    <row r="5015" ht="18.75"/>
    <row r="5016" ht="18.75"/>
    <row r="5017" ht="18.75"/>
    <row r="5018" ht="18.75"/>
    <row r="5019" ht="18.75"/>
    <row r="5020" ht="18.75"/>
    <row r="5021" ht="18.75"/>
    <row r="5022" ht="18.75"/>
    <row r="5023" ht="18.75"/>
    <row r="5024" ht="18.75"/>
    <row r="5025" ht="18.75"/>
    <row r="5026" ht="18.75"/>
    <row r="5027" ht="18.75"/>
    <row r="5028" ht="18.75"/>
    <row r="5029" ht="18.75"/>
    <row r="5030" ht="18.75"/>
    <row r="5031" ht="18.75"/>
    <row r="5032" ht="18.75"/>
    <row r="5033" ht="18.75"/>
    <row r="5034" ht="18.75"/>
    <row r="5035" ht="18.75"/>
    <row r="5036" ht="18.75"/>
    <row r="5037" ht="18.75"/>
    <row r="5038" ht="18.75"/>
    <row r="5039" ht="18.75"/>
    <row r="5040" ht="18.75"/>
    <row r="5041" ht="18.75"/>
    <row r="5042" ht="18.75"/>
    <row r="5043" ht="18.75"/>
    <row r="5044" ht="18.75"/>
    <row r="5045" ht="18.75"/>
    <row r="5046" ht="18.75"/>
    <row r="5047" ht="18.75"/>
    <row r="5048" ht="18.75"/>
    <row r="5049" ht="18.75"/>
    <row r="5050" ht="18.75"/>
    <row r="5051" ht="18.75"/>
    <row r="5052" ht="18.75"/>
    <row r="5053" ht="18.75"/>
    <row r="5054" ht="18.75"/>
    <row r="5055" ht="18.75"/>
    <row r="5056" ht="18.75"/>
    <row r="5057" ht="18.75"/>
    <row r="5058" ht="18.75"/>
    <row r="5059" ht="18.75"/>
    <row r="5060" ht="18.75"/>
    <row r="5061" ht="18.75"/>
    <row r="5062" ht="18.75"/>
    <row r="5063" ht="18.75"/>
    <row r="5064" ht="18.75"/>
    <row r="5065" ht="18.75"/>
    <row r="5066" ht="18.75"/>
    <row r="5067" ht="18.75"/>
    <row r="5068" ht="18.75"/>
    <row r="5069" ht="18.75"/>
    <row r="5070" ht="18.75"/>
    <row r="5071" ht="18.75"/>
    <row r="5072" ht="18.75"/>
    <row r="5073" ht="18.75"/>
    <row r="5074" ht="18.75"/>
    <row r="5075" ht="18.75"/>
    <row r="5076" ht="18.75"/>
    <row r="5077" ht="18.75"/>
    <row r="5078" ht="18.75"/>
    <row r="5079" ht="18.75"/>
    <row r="5080" ht="18.75"/>
    <row r="5081" ht="18.75"/>
    <row r="5082" ht="18.75"/>
    <row r="5083" ht="18.75"/>
    <row r="5084" ht="18.75"/>
    <row r="5085" ht="18.75"/>
    <row r="5086" ht="18.75"/>
    <row r="5087" ht="18.75"/>
    <row r="5088" ht="18.75"/>
    <row r="5089" ht="18.75"/>
    <row r="5090" ht="18.75"/>
    <row r="5091" ht="18.75"/>
    <row r="5092" ht="18.75"/>
    <row r="5093" ht="18.75"/>
    <row r="5094" ht="18.75"/>
    <row r="5095" ht="18.75"/>
    <row r="5096" ht="18.75"/>
    <row r="5097" ht="18.75"/>
    <row r="5098" ht="18.75"/>
    <row r="5099" ht="18.75"/>
    <row r="5100" ht="18.75"/>
    <row r="5101" ht="18.75"/>
    <row r="5102" ht="18.75"/>
    <row r="5103" ht="18.75"/>
    <row r="5104" ht="18.75"/>
    <row r="5105" ht="18.75"/>
    <row r="5106" ht="18.75"/>
    <row r="5107" ht="18.75"/>
    <row r="5108" ht="18.75"/>
    <row r="5109" ht="18.75"/>
    <row r="5110" ht="18.75"/>
    <row r="5111" ht="18.75"/>
    <row r="5112" ht="18.75"/>
    <row r="5113" ht="18.75"/>
    <row r="5114" ht="18.75"/>
    <row r="5115" ht="18.75"/>
    <row r="5116" ht="18.75"/>
    <row r="5117" ht="18.75"/>
    <row r="5118" ht="18.75"/>
    <row r="5119" ht="18.75"/>
    <row r="5120" ht="18.75"/>
    <row r="5121" ht="18.75"/>
    <row r="5122" ht="18.75"/>
    <row r="5123" ht="18.75"/>
    <row r="5124" ht="18.75"/>
    <row r="5125" ht="18.75"/>
    <row r="5126" ht="18.75"/>
    <row r="5127" ht="18.75"/>
    <row r="5128" ht="18.75"/>
    <row r="5129" ht="18.75"/>
    <row r="5130" ht="18.75"/>
    <row r="5131" ht="18.75"/>
    <row r="5132" ht="18.75"/>
    <row r="5133" ht="18.75"/>
    <row r="5134" ht="18.75"/>
    <row r="5135" ht="18.75"/>
    <row r="5136" ht="18.75"/>
    <row r="5137" ht="18.75"/>
    <row r="5138" ht="18.75"/>
    <row r="5139" ht="18.75"/>
    <row r="5140" ht="18.75"/>
    <row r="5141" ht="18.75"/>
    <row r="5142" ht="18.75"/>
    <row r="5143" ht="18.75"/>
    <row r="5144" ht="18.75"/>
    <row r="5145" ht="18.75"/>
    <row r="5146" ht="18.75"/>
    <row r="5147" ht="18.75"/>
    <row r="5148" ht="18.75"/>
    <row r="5149" ht="18.75"/>
    <row r="5150" ht="18.75"/>
    <row r="5151" ht="18.75"/>
    <row r="5152" ht="18.75"/>
    <row r="5153" ht="18.75"/>
    <row r="5154" ht="18.75"/>
    <row r="5155" ht="18.75"/>
    <row r="5156" ht="18.75"/>
    <row r="5157" ht="18.75"/>
    <row r="5158" ht="18.75"/>
    <row r="5159" ht="18.75"/>
    <row r="5160" ht="18.75"/>
    <row r="5161" ht="18.75"/>
    <row r="5162" ht="18.75"/>
    <row r="5163" ht="18.75"/>
    <row r="5164" ht="18.75"/>
    <row r="5165" ht="18.75"/>
    <row r="5166" ht="18.75"/>
    <row r="5167" ht="18.75"/>
    <row r="5168" ht="18.75"/>
    <row r="5169" ht="18.75"/>
    <row r="5170" ht="18.75"/>
    <row r="5171" ht="18.75"/>
    <row r="5172" ht="18.75"/>
    <row r="5173" ht="18.75"/>
    <row r="5174" ht="18.75"/>
    <row r="5175" ht="18.75"/>
    <row r="5176" ht="18.75"/>
    <row r="5177" ht="18.75"/>
    <row r="5178" ht="18.75"/>
    <row r="5179" ht="18.75"/>
    <row r="5180" ht="18.75"/>
    <row r="5181" ht="18.75"/>
    <row r="5182" ht="18.75"/>
    <row r="5183" ht="18.75"/>
    <row r="5184" ht="18.75"/>
    <row r="5185" ht="18.75"/>
    <row r="5186" ht="18.75"/>
    <row r="5187" ht="18.75"/>
    <row r="5188" ht="18.75"/>
    <row r="5189" ht="18.75"/>
    <row r="5190" ht="18.75"/>
    <row r="5191" ht="18.75"/>
    <row r="5192" ht="18.75"/>
    <row r="5193" ht="18.75"/>
    <row r="5194" ht="18.75"/>
    <row r="5195" ht="18.75"/>
    <row r="5196" ht="18.75"/>
    <row r="5197" ht="18.75"/>
    <row r="5198" ht="18.75"/>
    <row r="5199" ht="18.75"/>
    <row r="5200" ht="18.75"/>
    <row r="5201" ht="18.75"/>
    <row r="5202" ht="18.75"/>
    <row r="5203" ht="18.75"/>
    <row r="5204" ht="18.75"/>
    <row r="5205" ht="18.75"/>
    <row r="5206" ht="18.75"/>
    <row r="5207" ht="18.75"/>
    <row r="5208" ht="18.75"/>
    <row r="5209" ht="18.75"/>
    <row r="5210" ht="18.75"/>
    <row r="5211" ht="18.75"/>
    <row r="5212" ht="18.75"/>
    <row r="5213" ht="18.75"/>
    <row r="5214" ht="18.75"/>
    <row r="5215" ht="18.75"/>
    <row r="5216" ht="18.75"/>
    <row r="5217" ht="18.75"/>
    <row r="5218" ht="18.75"/>
    <row r="5219" ht="18.75"/>
    <row r="5220" ht="18.75"/>
    <row r="5221" ht="18.75"/>
    <row r="5222" ht="18.75"/>
    <row r="5223" ht="18.75"/>
    <row r="5224" ht="18.75"/>
    <row r="5225" ht="18.75"/>
    <row r="5226" ht="18.75"/>
    <row r="5227" ht="18.75"/>
    <row r="5228" ht="18.75"/>
    <row r="5229" ht="18.75"/>
    <row r="5230" ht="18.75"/>
    <row r="5231" ht="18.75"/>
    <row r="5232" ht="18.75"/>
    <row r="5233" ht="18.75"/>
    <row r="5234" ht="18.75"/>
    <row r="5235" ht="18.75"/>
    <row r="5236" ht="18.75"/>
    <row r="5237" ht="18.75"/>
    <row r="5238" ht="18.75"/>
    <row r="5239" ht="18.75"/>
    <row r="5240" ht="18.75"/>
    <row r="5241" ht="18.75"/>
    <row r="5242" ht="18.75"/>
    <row r="5243" ht="18.75"/>
    <row r="5244" ht="18.75"/>
    <row r="5245" ht="18.75"/>
    <row r="5246" ht="18.75"/>
    <row r="5247" ht="18.75"/>
    <row r="5248" ht="18.75"/>
    <row r="5249" ht="18.75"/>
    <row r="5250" ht="18.75"/>
    <row r="5251" ht="18.75"/>
    <row r="5252" ht="18.75"/>
    <row r="5253" ht="18.75"/>
    <row r="5254" ht="18.75"/>
    <row r="5255" ht="18.75"/>
    <row r="5256" ht="18.75"/>
    <row r="5257" ht="18.75"/>
    <row r="5258" ht="18.75"/>
    <row r="5259" ht="18.75"/>
    <row r="5260" ht="18.75"/>
    <row r="5261" ht="18.75"/>
    <row r="5262" ht="18.75"/>
    <row r="5263" ht="18.75"/>
    <row r="5264" ht="18.75"/>
    <row r="5265" ht="18.75"/>
    <row r="5266" ht="18.75"/>
    <row r="5267" ht="18.75"/>
    <row r="5268" ht="18.75"/>
    <row r="5269" ht="18.75"/>
    <row r="5270" ht="18.75"/>
    <row r="5271" ht="18.75"/>
    <row r="5272" ht="18.75"/>
    <row r="5273" ht="18.75"/>
    <row r="5274" ht="18.75"/>
    <row r="5275" ht="18.75"/>
    <row r="5276" ht="18.75"/>
    <row r="5277" ht="18.75"/>
    <row r="5278" ht="18.75"/>
    <row r="5279" ht="18.75"/>
    <row r="5280" ht="18.75"/>
    <row r="5281" ht="18.75"/>
    <row r="5282" ht="18.75"/>
    <row r="5283" ht="18.75"/>
    <row r="5284" ht="18.75"/>
    <row r="5285" ht="18.75"/>
    <row r="5286" ht="18.75"/>
    <row r="5287" ht="18.75"/>
    <row r="5288" ht="18.75"/>
    <row r="5289" ht="18.75"/>
    <row r="5290" ht="18.75"/>
    <row r="5291" ht="18.75"/>
    <row r="5292" ht="18.75"/>
    <row r="5293" ht="18.75"/>
    <row r="5294" ht="18.75"/>
    <row r="5295" ht="18.75"/>
    <row r="5296" ht="18.75"/>
    <row r="5297" ht="18.75"/>
    <row r="5298" ht="18.75"/>
    <row r="5299" ht="18.75"/>
    <row r="5300" ht="18.75"/>
    <row r="5301" ht="18.75"/>
    <row r="5302" ht="18.75"/>
    <row r="5303" ht="18.75"/>
    <row r="5304" ht="18.75"/>
    <row r="5305" ht="18.75"/>
    <row r="5306" ht="18.75"/>
    <row r="5307" ht="18.75"/>
    <row r="5308" ht="18.75"/>
    <row r="5309" ht="18.75"/>
    <row r="5310" ht="18.75"/>
    <row r="5311" ht="18.75"/>
    <row r="5312" ht="18.75"/>
    <row r="5313" ht="18.75"/>
    <row r="5314" ht="18.75"/>
    <row r="5315" ht="18.75"/>
    <row r="5316" ht="18.75"/>
    <row r="5317" ht="18.75"/>
    <row r="5318" ht="18.75"/>
    <row r="5319" ht="18.75"/>
    <row r="5320" ht="18.75"/>
    <row r="5321" ht="18.75"/>
    <row r="5322" ht="18.75"/>
    <row r="5323" ht="18.75"/>
    <row r="5324" ht="18.75"/>
    <row r="5325" ht="18.75"/>
    <row r="5326" ht="18.75"/>
    <row r="5327" ht="18.75"/>
    <row r="5328" ht="18.75"/>
    <row r="5329" ht="18.75"/>
    <row r="5330" ht="18.75"/>
    <row r="5331" ht="18.75"/>
    <row r="5332" ht="18.75"/>
    <row r="5333" ht="18.75"/>
    <row r="5334" ht="18.75"/>
    <row r="5335" ht="18.75"/>
    <row r="5336" ht="18.75"/>
    <row r="5337" ht="18.75"/>
    <row r="5338" ht="18.75"/>
    <row r="5339" ht="18.75"/>
    <row r="5340" ht="18.75"/>
    <row r="5341" ht="18.75"/>
    <row r="5342" ht="18.75"/>
    <row r="5343" ht="18.75"/>
    <row r="5344" ht="18.75"/>
    <row r="5345" ht="18.75"/>
    <row r="5346" ht="18.75"/>
    <row r="5347" ht="18.75"/>
    <row r="5348" ht="18.75"/>
    <row r="5349" ht="18.75"/>
    <row r="5350" ht="18.75"/>
    <row r="5351" ht="18.75"/>
    <row r="5352" ht="18.75"/>
    <row r="5353" ht="18.75"/>
    <row r="5354" ht="18.75"/>
    <row r="5355" ht="18.75"/>
    <row r="5356" ht="18.75"/>
    <row r="5357" ht="18.75"/>
    <row r="5358" ht="18.75"/>
    <row r="5359" ht="18.75"/>
    <row r="5360" ht="18.75"/>
    <row r="5361" ht="18.75"/>
    <row r="5362" ht="18.75"/>
    <row r="5363" ht="18.75"/>
    <row r="5364" ht="18.75"/>
    <row r="5365" ht="18.75"/>
    <row r="5366" ht="18.75"/>
    <row r="5367" ht="18.75"/>
    <row r="5368" ht="18.75"/>
    <row r="5369" ht="18.75"/>
    <row r="5370" ht="18.75"/>
    <row r="5371" ht="18.75"/>
    <row r="5372" ht="18.75"/>
    <row r="5373" ht="18.75"/>
    <row r="5374" ht="18.75"/>
    <row r="5375" ht="18.75"/>
    <row r="5376" ht="18.75"/>
    <row r="5377" ht="18.75"/>
    <row r="5378" ht="18.75"/>
    <row r="5379" ht="18.75"/>
    <row r="5380" ht="18.75"/>
    <row r="5381" ht="18.75"/>
    <row r="5382" ht="18.75"/>
    <row r="5383" ht="18.75"/>
    <row r="5384" ht="18.75"/>
    <row r="5385" ht="18.75"/>
    <row r="5386" ht="18.75"/>
    <row r="5387" ht="18.75"/>
    <row r="5388" ht="18.75"/>
    <row r="5389" ht="18.75"/>
    <row r="5390" ht="18.75"/>
    <row r="5391" ht="18.75"/>
    <row r="5392" ht="18.75"/>
    <row r="5393" ht="18.75"/>
    <row r="5394" ht="18.75"/>
    <row r="5395" ht="18.75"/>
    <row r="5396" ht="18.75"/>
    <row r="5397" ht="18.75"/>
    <row r="5398" ht="18.75"/>
    <row r="5399" ht="18.75"/>
    <row r="5400" ht="18.75"/>
    <row r="5401" ht="18.75"/>
    <row r="5402" ht="18.75"/>
    <row r="5403" ht="18.75"/>
    <row r="5404" ht="18.75"/>
    <row r="5405" ht="18.75"/>
    <row r="5406" ht="18.75"/>
    <row r="5407" ht="18.75"/>
    <row r="5408" ht="18.75"/>
    <row r="5409" ht="18.75"/>
    <row r="5410" ht="18.75"/>
    <row r="5411" ht="18.75"/>
    <row r="5412" ht="18.75"/>
    <row r="5413" ht="18.75"/>
    <row r="5414" ht="18.75"/>
    <row r="5415" ht="18.75"/>
    <row r="5416" ht="18.75"/>
    <row r="5417" ht="18.75"/>
    <row r="5418" ht="18.75"/>
    <row r="5419" ht="18.75"/>
    <row r="5420" ht="18.75"/>
    <row r="5421" ht="18.75"/>
    <row r="5422" ht="18.75"/>
    <row r="5423" ht="18.75"/>
    <row r="5424" ht="18.75"/>
    <row r="5425" ht="18.75"/>
    <row r="5426" ht="18.75"/>
    <row r="5427" ht="18.75"/>
    <row r="5428" ht="18.75"/>
    <row r="5429" ht="18.75"/>
    <row r="5430" ht="18.75"/>
    <row r="5431" ht="18.75"/>
    <row r="5432" ht="18.75"/>
    <row r="5433" ht="18.75"/>
    <row r="5434" ht="18.75"/>
    <row r="5435" ht="18.75"/>
    <row r="5436" ht="18.75"/>
    <row r="5437" ht="18.75"/>
    <row r="5438" ht="18.75"/>
    <row r="5439" ht="18.75"/>
    <row r="5440" ht="18.75"/>
    <row r="5441" ht="18.75"/>
    <row r="5442" ht="18.75"/>
    <row r="5443" ht="18.75"/>
    <row r="5444" ht="18.75"/>
    <row r="5445" ht="18.75"/>
    <row r="5446" ht="18.75"/>
    <row r="5447" ht="18.75"/>
    <row r="5448" ht="18.75"/>
    <row r="5449" ht="18.75"/>
    <row r="5450" ht="18.75"/>
    <row r="5451" ht="18.75"/>
    <row r="5452" ht="18.75"/>
    <row r="5453" ht="18.75"/>
    <row r="5454" ht="18.75"/>
    <row r="5455" ht="18.75"/>
    <row r="5456" ht="18.75"/>
    <row r="5457" ht="18.75"/>
    <row r="5458" ht="18.75"/>
    <row r="5459" ht="18.75"/>
    <row r="5460" ht="18.75"/>
    <row r="5461" ht="18.75"/>
    <row r="5462" ht="18.75"/>
    <row r="5463" ht="18.75"/>
    <row r="5464" ht="18.75"/>
    <row r="5465" ht="18.75"/>
    <row r="5466" ht="18.75"/>
    <row r="5467" ht="18.75"/>
    <row r="5468" ht="18.75"/>
    <row r="5469" ht="18.75"/>
    <row r="5470" ht="18.75"/>
    <row r="5471" ht="18.75"/>
    <row r="5472" ht="18.75"/>
    <row r="5473" ht="18.75"/>
    <row r="5474" ht="18.75"/>
    <row r="5475" ht="18.75"/>
    <row r="5476" ht="18.75"/>
    <row r="5477" ht="18.75"/>
    <row r="5478" ht="18.75"/>
    <row r="5479" ht="18.75"/>
    <row r="5480" ht="18.75"/>
    <row r="5481" ht="18.75"/>
    <row r="5482" ht="18.75"/>
    <row r="5483" ht="18.75"/>
    <row r="5484" ht="18.75"/>
    <row r="5485" ht="18.75"/>
    <row r="5486" ht="18.75"/>
    <row r="5487" ht="18.75"/>
    <row r="5488" ht="18.75"/>
    <row r="5489" ht="18.75"/>
    <row r="5490" ht="18.75"/>
    <row r="5491" ht="18.75"/>
    <row r="5492" ht="18.75"/>
    <row r="5493" ht="18.75"/>
    <row r="5494" ht="18.75"/>
    <row r="5495" ht="18.75"/>
    <row r="5496" ht="18.75"/>
    <row r="5497" ht="18.75"/>
    <row r="5498" ht="18.75"/>
    <row r="5499" ht="18.75"/>
    <row r="5500" ht="18.75"/>
    <row r="5501" ht="18.75"/>
    <row r="5502" ht="18.75"/>
    <row r="5503" ht="18.75"/>
    <row r="5504" ht="18.75"/>
    <row r="5505" ht="18.75"/>
    <row r="5506" ht="18.75"/>
    <row r="5507" ht="18.75"/>
    <row r="5508" ht="18.75"/>
    <row r="5509" ht="18.75"/>
    <row r="5510" ht="18.75"/>
    <row r="5511" ht="18.75"/>
    <row r="5512" ht="18.75"/>
    <row r="5513" ht="18.75"/>
    <row r="5514" ht="18.75"/>
    <row r="5515" ht="18.75"/>
    <row r="5516" ht="18.75"/>
    <row r="5517" ht="18.75"/>
    <row r="5518" ht="18.75"/>
    <row r="5519" ht="18.75"/>
    <row r="5520" ht="18.75"/>
    <row r="5521" ht="18.75"/>
    <row r="5522" ht="18.75"/>
    <row r="5523" ht="18.75"/>
    <row r="5524" ht="18.75"/>
    <row r="5525" ht="18.75"/>
    <row r="5526" ht="18.75"/>
    <row r="5527" ht="18.75"/>
    <row r="5528" ht="18.75"/>
    <row r="5529" ht="18.75"/>
    <row r="5530" ht="18.75"/>
    <row r="5531" ht="18.75"/>
    <row r="5532" ht="18.75"/>
    <row r="5533" ht="18.75"/>
    <row r="5534" ht="18.75"/>
    <row r="5535" ht="18.75"/>
    <row r="5536" ht="18.75"/>
    <row r="5537" ht="18.75"/>
    <row r="5538" ht="18.75"/>
    <row r="5539" ht="18.75"/>
    <row r="5540" ht="18.75"/>
    <row r="5541" ht="18.75"/>
    <row r="5542" ht="18.75"/>
    <row r="5543" ht="18.75"/>
    <row r="5544" ht="18.75"/>
    <row r="5545" ht="18.75"/>
    <row r="5546" ht="18.75"/>
    <row r="5547" ht="18.75"/>
    <row r="5548" ht="18.75"/>
    <row r="5549" ht="18.75"/>
    <row r="5550" ht="18.75"/>
    <row r="5551" ht="18.75"/>
    <row r="5552" ht="18.75"/>
    <row r="5553" ht="18.75"/>
    <row r="5554" ht="18.75"/>
    <row r="5555" ht="18.75"/>
    <row r="5556" ht="18.75"/>
    <row r="5557" ht="18.75"/>
    <row r="5558" ht="18.75"/>
    <row r="5559" ht="18.75"/>
    <row r="5560" ht="18.75"/>
    <row r="5561" ht="18.75"/>
    <row r="5562" ht="18.75"/>
    <row r="5563" ht="18.75"/>
    <row r="5564" ht="18.75"/>
    <row r="5565" ht="18.75"/>
    <row r="5566" ht="18.75"/>
    <row r="5567" ht="18.75"/>
    <row r="5568" ht="18.75"/>
    <row r="5569" ht="18.75"/>
    <row r="5570" ht="18.75"/>
    <row r="5571" ht="18.75"/>
    <row r="5572" ht="18.75"/>
    <row r="5573" ht="18.75"/>
    <row r="5574" ht="18.75"/>
    <row r="5575" ht="18.75"/>
    <row r="5576" ht="18.75"/>
    <row r="5577" ht="18.75"/>
    <row r="5578" ht="18.75"/>
    <row r="5579" ht="18.75"/>
    <row r="5580" ht="18.75"/>
    <row r="5581" ht="18.75"/>
    <row r="5582" ht="18.75"/>
    <row r="5583" ht="18.75"/>
    <row r="5584" ht="18.75"/>
    <row r="5585" ht="18.75"/>
    <row r="5586" ht="18.75"/>
    <row r="5587" ht="18.75"/>
    <row r="5588" ht="18.75"/>
    <row r="5589" ht="18.75"/>
    <row r="5590" ht="18.75"/>
    <row r="5591" ht="18.75"/>
    <row r="5592" ht="18.75"/>
    <row r="5593" ht="18.75"/>
    <row r="5594" ht="18.75"/>
    <row r="5595" ht="18.75"/>
    <row r="5596" ht="18.75"/>
    <row r="5597" ht="18.75"/>
    <row r="5598" ht="18.75"/>
    <row r="5599" ht="18.75"/>
    <row r="5600" ht="18.75"/>
    <row r="5601" ht="18.75"/>
    <row r="5602" ht="18.75"/>
    <row r="5603" ht="18.75"/>
    <row r="5604" ht="18.75"/>
    <row r="5605" ht="18.75"/>
    <row r="5606" ht="18.75"/>
    <row r="5607" ht="18.75"/>
    <row r="5608" ht="18.75"/>
    <row r="5609" ht="18.75"/>
    <row r="5610" ht="18.75"/>
    <row r="5611" ht="18.75"/>
    <row r="5612" ht="18.75"/>
    <row r="5613" ht="18.75"/>
    <row r="5614" ht="18.75"/>
    <row r="5615" ht="18.75"/>
    <row r="5616" ht="18.75"/>
    <row r="5617" ht="18.75"/>
    <row r="5618" ht="18.75"/>
    <row r="5619" ht="18.75"/>
    <row r="5620" ht="18.75"/>
    <row r="5621" ht="18.75"/>
    <row r="5622" ht="18.75"/>
    <row r="5623" ht="18.75"/>
    <row r="5624" ht="18.75"/>
    <row r="5625" ht="18.75"/>
    <row r="5626" ht="18.75"/>
    <row r="5627" ht="18.75"/>
    <row r="5628" ht="18.75"/>
    <row r="5629" ht="18.75"/>
    <row r="5630" ht="18.75"/>
    <row r="5631" ht="18.75"/>
    <row r="5632" ht="18.75"/>
    <row r="5633" ht="18.75"/>
    <row r="5634" ht="18.75"/>
    <row r="5635" ht="18.75"/>
    <row r="5636" ht="18.75"/>
    <row r="5637" ht="18.75"/>
    <row r="5638" ht="18.75"/>
    <row r="5639" ht="18.75"/>
    <row r="5640" ht="18.75"/>
    <row r="5641" ht="18.75"/>
    <row r="5642" ht="18.75"/>
    <row r="5643" ht="18.75"/>
    <row r="5644" ht="18.75"/>
    <row r="5645" ht="18.75"/>
    <row r="5646" ht="18.75"/>
    <row r="5647" ht="18.75"/>
    <row r="5648" ht="18.75"/>
    <row r="5649" ht="18.75"/>
    <row r="5650" ht="18.75"/>
    <row r="5651" ht="18.75"/>
    <row r="5652" ht="18.75"/>
    <row r="5653" ht="18.75"/>
    <row r="5654" ht="18.75"/>
    <row r="5655" ht="18.75"/>
    <row r="5656" ht="18.75"/>
    <row r="5657" ht="18.75"/>
    <row r="5658" ht="18.75"/>
    <row r="5659" ht="18.75"/>
    <row r="5660" ht="18.75"/>
    <row r="5661" ht="18.75"/>
    <row r="5662" ht="18.75"/>
    <row r="5663" ht="18.75"/>
    <row r="5664" ht="18.75"/>
    <row r="5665" ht="18.75"/>
    <row r="5666" ht="18.75"/>
    <row r="5667" ht="18.75"/>
    <row r="5668" ht="18.75"/>
    <row r="5669" ht="18.75"/>
    <row r="5670" ht="18.75"/>
    <row r="5671" ht="18.75"/>
    <row r="5672" ht="18.75"/>
    <row r="5673" ht="18.75"/>
    <row r="5674" ht="18.75"/>
    <row r="5675" ht="18.75"/>
    <row r="5676" ht="18.75"/>
    <row r="5677" ht="18.75"/>
    <row r="5678" ht="18.75"/>
    <row r="5679" ht="18.75"/>
    <row r="5680" ht="18.75"/>
    <row r="5681" ht="18.75"/>
    <row r="5682" ht="18.75"/>
    <row r="5683" ht="18.75"/>
    <row r="5684" ht="18.75"/>
    <row r="5685" ht="18.75"/>
    <row r="5686" ht="18.75"/>
    <row r="5687" ht="18.75"/>
    <row r="5688" ht="18.75"/>
    <row r="5689" ht="18.75"/>
    <row r="5690" ht="18.75"/>
    <row r="5691" ht="18.75"/>
    <row r="5692" ht="18.75"/>
    <row r="5693" ht="18.75"/>
    <row r="5694" ht="18.75"/>
    <row r="5695" ht="18.75"/>
    <row r="5696" ht="18.75"/>
    <row r="5697" ht="18.75"/>
    <row r="5698" ht="18.75"/>
    <row r="5699" ht="18.75"/>
    <row r="5700" ht="18.75"/>
    <row r="5701" ht="18.75"/>
    <row r="5702" ht="18.75"/>
    <row r="5703" ht="18.75"/>
    <row r="5704" ht="18.75"/>
    <row r="5705" ht="18.75"/>
    <row r="5706" ht="18.75"/>
    <row r="5707" ht="18.75"/>
    <row r="5708" ht="18.75"/>
    <row r="5709" ht="18.75"/>
    <row r="5710" ht="18.75"/>
    <row r="5711" ht="18.75"/>
    <row r="5712" ht="18.75"/>
    <row r="5713" ht="18.75"/>
    <row r="5714" ht="18.75"/>
    <row r="5715" ht="18.75"/>
    <row r="5716" ht="18.75"/>
    <row r="5717" ht="18.75"/>
    <row r="5718" ht="18.75"/>
    <row r="5719" ht="18.75"/>
    <row r="5720" ht="18.75"/>
    <row r="5721" ht="18.75"/>
    <row r="5722" ht="18.75"/>
    <row r="5723" ht="18.75"/>
    <row r="5724" ht="18.75"/>
    <row r="5725" ht="18.75"/>
    <row r="5726" ht="18.75"/>
    <row r="5727" ht="18.75"/>
    <row r="5728" ht="18.75"/>
    <row r="5729" ht="18.75"/>
    <row r="5730" ht="18.75"/>
    <row r="5731" ht="18.75"/>
    <row r="5732" ht="18.75"/>
    <row r="5733" ht="18.75"/>
    <row r="5734" ht="18.75"/>
    <row r="5735" ht="18.75"/>
    <row r="5736" ht="18.75"/>
    <row r="5737" ht="18.75"/>
    <row r="5738" ht="18.75"/>
    <row r="5739" ht="18.75"/>
    <row r="5740" ht="18.75"/>
    <row r="5741" ht="18.75"/>
    <row r="5742" ht="18.75"/>
    <row r="5743" ht="18.75"/>
    <row r="5744" ht="18.75"/>
    <row r="5745" ht="18.75"/>
    <row r="5746" ht="18.75"/>
    <row r="5747" ht="18.75"/>
    <row r="5748" ht="18.75"/>
    <row r="5749" ht="18.75"/>
    <row r="5750" ht="18.75"/>
    <row r="5751" ht="18.75"/>
    <row r="5752" ht="18.75"/>
    <row r="5753" ht="18.75"/>
    <row r="5754" ht="18.75"/>
    <row r="5755" ht="18.75"/>
    <row r="5756" ht="18.75"/>
    <row r="5757" ht="18.75"/>
    <row r="5758" ht="18.75"/>
    <row r="5759" ht="18.75"/>
    <row r="5760" ht="18.75"/>
    <row r="5761" ht="18.75"/>
    <row r="5762" ht="18.75"/>
    <row r="5763" ht="18.75"/>
    <row r="5764" ht="18.75"/>
    <row r="5765" ht="18.75"/>
    <row r="5766" ht="18.75"/>
    <row r="5767" ht="18.75"/>
    <row r="5768" ht="18.75"/>
    <row r="5769" ht="18.75"/>
    <row r="5770" ht="18.75"/>
    <row r="5771" ht="18.75"/>
    <row r="5772" ht="18.75"/>
    <row r="5773" ht="18.75"/>
    <row r="5774" ht="18.75"/>
    <row r="5775" ht="18.75"/>
    <row r="5776" ht="18.75"/>
    <row r="5777" ht="18.75"/>
    <row r="5778" ht="18.75"/>
    <row r="5779" ht="18.75"/>
    <row r="5780" ht="18.75"/>
    <row r="5781" ht="18.75"/>
    <row r="5782" ht="18.75"/>
    <row r="5783" ht="18.75"/>
    <row r="5784" ht="18.75"/>
    <row r="5785" ht="18.75"/>
    <row r="5786" ht="18.75"/>
    <row r="5787" ht="18.75"/>
    <row r="5788" ht="18.75"/>
    <row r="5789" ht="18.75"/>
    <row r="5790" ht="18.75"/>
    <row r="5791" ht="18.75"/>
    <row r="5792" ht="18.75"/>
    <row r="5793" ht="18.75"/>
    <row r="5794" ht="18.75"/>
    <row r="5795" ht="18.75"/>
    <row r="5796" ht="18.75"/>
    <row r="5797" ht="18.75"/>
    <row r="5798" ht="18.75"/>
    <row r="5799" ht="18.75"/>
    <row r="5800" ht="18.75"/>
    <row r="5801" ht="18.75"/>
    <row r="5802" ht="18.75"/>
    <row r="5803" ht="18.75"/>
    <row r="5804" ht="18.75"/>
    <row r="5805" ht="18.75"/>
    <row r="5806" ht="18.75"/>
    <row r="5807" ht="18.75"/>
    <row r="5808" ht="18.75"/>
    <row r="5809" ht="18.75"/>
    <row r="5810" ht="18.75"/>
    <row r="5811" ht="18.75"/>
    <row r="5812" ht="18.75"/>
    <row r="5813" ht="18.75"/>
    <row r="5814" ht="18.75"/>
    <row r="5815" ht="18.75"/>
    <row r="5816" ht="18.75"/>
    <row r="5817" ht="18.75"/>
    <row r="5818" ht="18.75"/>
    <row r="5819" ht="18.75"/>
    <row r="5820" ht="18.75"/>
    <row r="5821" ht="18.75"/>
    <row r="5822" ht="18.75"/>
    <row r="5823" ht="18.75"/>
    <row r="5824" ht="18.75"/>
    <row r="5825" ht="18.75"/>
    <row r="5826" ht="18.75"/>
    <row r="5827" ht="18.75"/>
    <row r="5828" ht="18.75"/>
    <row r="5829" ht="18.75"/>
    <row r="5830" ht="18.75"/>
    <row r="5831" ht="18.75"/>
    <row r="5832" ht="18.75"/>
    <row r="5833" ht="18.75"/>
    <row r="5834" ht="18.75"/>
    <row r="5835" ht="18.75"/>
    <row r="5836" ht="18.75"/>
    <row r="5837" ht="18.75"/>
    <row r="5838" ht="18.75"/>
    <row r="5839" ht="18.75"/>
    <row r="5840" ht="18.75"/>
    <row r="5841" ht="18.75"/>
    <row r="5842" ht="18.75"/>
    <row r="5843" ht="18.75"/>
    <row r="5844" ht="18.75"/>
    <row r="5845" ht="18.75"/>
    <row r="5846" ht="18.75"/>
    <row r="5847" ht="18.75"/>
    <row r="5848" ht="18.75"/>
    <row r="5849" ht="18.75"/>
    <row r="5850" ht="18.75"/>
    <row r="5851" ht="18.75"/>
    <row r="5852" ht="18.75"/>
    <row r="5853" ht="18.75"/>
    <row r="5854" ht="18.75"/>
    <row r="5855" ht="18.75"/>
    <row r="5856" ht="18.75"/>
    <row r="5857" ht="18.75"/>
    <row r="5858" ht="18.75"/>
    <row r="5859" ht="18.75"/>
    <row r="5860" ht="18.75"/>
    <row r="5861" ht="18.75"/>
    <row r="5862" ht="18.75"/>
    <row r="5863" ht="18.75"/>
    <row r="5864" ht="18.75"/>
    <row r="5865" ht="18.75"/>
    <row r="5866" ht="18.75"/>
    <row r="5867" ht="18.75"/>
    <row r="5868" ht="18.75"/>
    <row r="5869" ht="18.75"/>
    <row r="5870" ht="18.75"/>
    <row r="5871" ht="18.75"/>
    <row r="5872" ht="18.75"/>
    <row r="5873" ht="18.75"/>
    <row r="5874" ht="18.75"/>
    <row r="5875" ht="18.75"/>
    <row r="5876" ht="18.75"/>
    <row r="5877" ht="18.75"/>
    <row r="5878" ht="18.75"/>
    <row r="5879" ht="18.75"/>
    <row r="5880" ht="18.75"/>
    <row r="5881" ht="18.75"/>
    <row r="5882" ht="18.75"/>
    <row r="5883" ht="18.75"/>
    <row r="5884" ht="18.75"/>
    <row r="5885" ht="18.75"/>
    <row r="5886" ht="18.75"/>
    <row r="5887" ht="18.75"/>
    <row r="5888" ht="18.75"/>
    <row r="5889" ht="18.75"/>
    <row r="5890" ht="18.75"/>
    <row r="5891" ht="18.75"/>
    <row r="5892" ht="18.75"/>
    <row r="5893" ht="18.75"/>
    <row r="5894" ht="18.75"/>
    <row r="5895" ht="18.75"/>
    <row r="5896" ht="18.75"/>
    <row r="5897" ht="18.75"/>
    <row r="5898" ht="18.75"/>
    <row r="5899" ht="18.75"/>
    <row r="5900" ht="18.75"/>
    <row r="5901" ht="18.75"/>
    <row r="5902" ht="18.75"/>
    <row r="5903" ht="18.75"/>
    <row r="5904" ht="18.75"/>
    <row r="5905" ht="18.75"/>
    <row r="5906" ht="18.75"/>
    <row r="5907" ht="18.75"/>
    <row r="5908" ht="18.75"/>
    <row r="5909" ht="18.75"/>
    <row r="5910" ht="18.75"/>
    <row r="5911" ht="18.75"/>
    <row r="5912" ht="18.75"/>
    <row r="5913" ht="18.75"/>
    <row r="5914" ht="18.75"/>
    <row r="5915" ht="18.75"/>
    <row r="5916" ht="18.75"/>
    <row r="5917" ht="18.75"/>
    <row r="5918" ht="18.75"/>
    <row r="5919" ht="18.75"/>
    <row r="5920" ht="18.75"/>
    <row r="5921" ht="18.75"/>
    <row r="5922" ht="18.75"/>
    <row r="5923" ht="18.75"/>
    <row r="5924" ht="18.75"/>
    <row r="5925" ht="18.75"/>
    <row r="5926" ht="18.75"/>
    <row r="5927" ht="18.75"/>
    <row r="5928" ht="18.75"/>
    <row r="5929" ht="18.75"/>
    <row r="5930" ht="18.75"/>
    <row r="5931" ht="18.75"/>
    <row r="5932" ht="18.75"/>
    <row r="5933" ht="18.75"/>
    <row r="5934" ht="18.75"/>
    <row r="5935" ht="18.75"/>
    <row r="5936" ht="18.75"/>
    <row r="5937" ht="18.75"/>
    <row r="5938" ht="18.75"/>
    <row r="5939" ht="18.75"/>
    <row r="5940" ht="18.75"/>
    <row r="5941" ht="18.75"/>
    <row r="5942" ht="18.75"/>
    <row r="5943" ht="18.75"/>
    <row r="5944" ht="18.75"/>
    <row r="5945" ht="18.75"/>
    <row r="5946" ht="18.75"/>
    <row r="5947" ht="18.75"/>
    <row r="5948" ht="18.75"/>
    <row r="5949" ht="18.75"/>
    <row r="5950" ht="18.75"/>
    <row r="5951" ht="18.75"/>
    <row r="5952" ht="18.75"/>
    <row r="5953" ht="18.75"/>
    <row r="5954" ht="18.75"/>
    <row r="5955" ht="18.75"/>
    <row r="5956" ht="18.75"/>
    <row r="5957" ht="18.75"/>
    <row r="5958" ht="18.75"/>
    <row r="5959" ht="18.75"/>
    <row r="5960" ht="18.75"/>
    <row r="5961" ht="18.75"/>
    <row r="5962" ht="18.75"/>
    <row r="5963" ht="18.75"/>
    <row r="5964" ht="18.75"/>
    <row r="5965" ht="18.75"/>
    <row r="5966" ht="18.75"/>
    <row r="5967" ht="18.75"/>
    <row r="5968" ht="18.75"/>
    <row r="5969" ht="18.75"/>
    <row r="5970" ht="18.75"/>
    <row r="5971" ht="18.75"/>
    <row r="5972" ht="18.75"/>
    <row r="5973" ht="18.75"/>
    <row r="5974" ht="18.75"/>
    <row r="5975" ht="18.75"/>
    <row r="5976" ht="18.75"/>
    <row r="5977" ht="18.75"/>
    <row r="5978" ht="18.75"/>
    <row r="5979" ht="18.75"/>
    <row r="5980" ht="18.75"/>
    <row r="5981" ht="18.75"/>
    <row r="5982" ht="18.75"/>
    <row r="5983" ht="18.75"/>
    <row r="5984" ht="18.75"/>
    <row r="5985" ht="18.75"/>
    <row r="5986" ht="18.75"/>
    <row r="5987" ht="18.75"/>
    <row r="5988" ht="18.75"/>
    <row r="5989" ht="18.75"/>
    <row r="5990" ht="18.75"/>
    <row r="5991" ht="18.75"/>
    <row r="5992" ht="18.75"/>
    <row r="5993" ht="18.75"/>
    <row r="5994" ht="18.75"/>
    <row r="5995" ht="18.75"/>
    <row r="5996" ht="18.75"/>
    <row r="5997" ht="18.75"/>
    <row r="5998" ht="18.75"/>
    <row r="5999" ht="18.75"/>
    <row r="6000" ht="18.75"/>
    <row r="6001" ht="18.75"/>
    <row r="6002" ht="18.75"/>
    <row r="6003" ht="18.75"/>
    <row r="6004" ht="18.75"/>
    <row r="6005" ht="18.75"/>
    <row r="6006" ht="18.75"/>
    <row r="6007" ht="18.75"/>
    <row r="6008" ht="18.75"/>
    <row r="6009" ht="18.75"/>
    <row r="6010" ht="18.75"/>
    <row r="6011" ht="18.75"/>
    <row r="6012" ht="18.75"/>
    <row r="6013" ht="18.75"/>
    <row r="6014" ht="18.75"/>
    <row r="6015" ht="18.75"/>
    <row r="6016" ht="18.75"/>
    <row r="6017" ht="18.75"/>
    <row r="6018" ht="18.75"/>
    <row r="6019" ht="18.75"/>
    <row r="6020" ht="18.75"/>
    <row r="6021" ht="18.75"/>
    <row r="6022" ht="18.75"/>
    <row r="6023" ht="18.75"/>
    <row r="6024" ht="18.75"/>
    <row r="6025" ht="18.75"/>
    <row r="6026" ht="18.75"/>
    <row r="6027" ht="18.75"/>
    <row r="6028" ht="18.75"/>
    <row r="6029" ht="18.75"/>
    <row r="6030" ht="18.75"/>
    <row r="6031" ht="18.75"/>
    <row r="6032" ht="18.75"/>
    <row r="6033" ht="18.75"/>
    <row r="6034" ht="18.75"/>
    <row r="6035" ht="18.75"/>
    <row r="6036" ht="18.75"/>
    <row r="6037" ht="18.75"/>
    <row r="6038" ht="18.75"/>
    <row r="6039" ht="18.75"/>
    <row r="6040" ht="18.75"/>
    <row r="6041" ht="18.75"/>
    <row r="6042" ht="18.75"/>
    <row r="6043" ht="18.75"/>
    <row r="6044" ht="18.75"/>
    <row r="6045" ht="18.75"/>
    <row r="6046" ht="18.75"/>
    <row r="6047" ht="18.75"/>
    <row r="6048" ht="18.75"/>
    <row r="6049" ht="18.75"/>
    <row r="6050" ht="18.75"/>
    <row r="6051" ht="18.75"/>
    <row r="6052" ht="18.75"/>
    <row r="6053" ht="18.75"/>
    <row r="6054" ht="18.75"/>
    <row r="6055" ht="18.75"/>
    <row r="6056" ht="18.75"/>
    <row r="6057" ht="18.75"/>
    <row r="6058" ht="18.75"/>
    <row r="6059" ht="18.75"/>
    <row r="6060" ht="18.75"/>
    <row r="6061" ht="18.75"/>
    <row r="6062" ht="18.75"/>
    <row r="6063" ht="18.75"/>
    <row r="6064" ht="18.75"/>
    <row r="6065" ht="18.75"/>
    <row r="6066" ht="18.75"/>
    <row r="6067" ht="18.75"/>
    <row r="6068" ht="18.75"/>
    <row r="6069" ht="18.75"/>
    <row r="6070" ht="18.75"/>
    <row r="6071" ht="18.75"/>
    <row r="6072" ht="18.75"/>
    <row r="6073" ht="18.75"/>
    <row r="6074" ht="18.75"/>
    <row r="6075" ht="18.75"/>
    <row r="6076" ht="18.75"/>
    <row r="6077" ht="18.75"/>
    <row r="6078" ht="18.75"/>
    <row r="6079" ht="18.75"/>
    <row r="6080" ht="18.75"/>
    <row r="6081" ht="18.75"/>
    <row r="6082" ht="18.75"/>
    <row r="6083" ht="18.75"/>
    <row r="6084" ht="18.75"/>
    <row r="6085" ht="18.75"/>
    <row r="6086" ht="18.75"/>
    <row r="6087" ht="18.75"/>
    <row r="6088" ht="18.75"/>
    <row r="6089" ht="18.75"/>
    <row r="6090" ht="18.75"/>
    <row r="6091" ht="18.75"/>
    <row r="6092" ht="18.75"/>
    <row r="6093" ht="18.75"/>
    <row r="6094" ht="18.75"/>
    <row r="6095" ht="18.75"/>
    <row r="6096" ht="18.75"/>
    <row r="6097" ht="18.75"/>
    <row r="6098" ht="18.75"/>
    <row r="6099" ht="18.75"/>
    <row r="6100" ht="18.75"/>
    <row r="6101" ht="18.75"/>
    <row r="6102" ht="18.75"/>
    <row r="6103" ht="18.75"/>
    <row r="6104" ht="18.75"/>
    <row r="6105" ht="18.75"/>
    <row r="6106" ht="18.75"/>
    <row r="6107" ht="18.75"/>
    <row r="6108" ht="18.75"/>
    <row r="6109" ht="18.75"/>
    <row r="6110" ht="18.75"/>
    <row r="6111" ht="18.75"/>
    <row r="6112" ht="18.75"/>
    <row r="6113" ht="18.75"/>
    <row r="6114" ht="18.75"/>
    <row r="6115" ht="18.75"/>
    <row r="6116" ht="18.75"/>
    <row r="6117" ht="18.75"/>
    <row r="6118" ht="18.75"/>
    <row r="6119" ht="18.75"/>
    <row r="6120" ht="18.75"/>
    <row r="6121" ht="18.75"/>
    <row r="6122" ht="18.75"/>
    <row r="6123" ht="18.75"/>
    <row r="6124" ht="18.75"/>
    <row r="6125" ht="18.75"/>
    <row r="6126" ht="18.75"/>
    <row r="6127" ht="18.75"/>
    <row r="6128" ht="18.75"/>
    <row r="6129" ht="18.75"/>
    <row r="6130" ht="18.75"/>
    <row r="6131" ht="18.75"/>
    <row r="6132" ht="18.75"/>
    <row r="6133" ht="18.75"/>
    <row r="6134" ht="18.75"/>
    <row r="6135" ht="18.75"/>
    <row r="6136" ht="18.75"/>
    <row r="6137" ht="18.75"/>
    <row r="6138" ht="18.75"/>
    <row r="6139" ht="18.75"/>
    <row r="6140" ht="18.75"/>
    <row r="6141" ht="18.75"/>
    <row r="6142" ht="18.75"/>
    <row r="6143" ht="18.75"/>
    <row r="6144" ht="18.75"/>
    <row r="6145" ht="18.75"/>
    <row r="6146" ht="18.75"/>
    <row r="6147" ht="18.75"/>
    <row r="6148" ht="18.75"/>
    <row r="6149" ht="18.75"/>
    <row r="6150" ht="18.75"/>
    <row r="6151" ht="18.75"/>
    <row r="6152" ht="18.75"/>
    <row r="6153" ht="18.75"/>
    <row r="6154" ht="18.75"/>
    <row r="6155" ht="18.75"/>
    <row r="6156" ht="18.75"/>
    <row r="6157" ht="18.75"/>
    <row r="6158" ht="18.75"/>
    <row r="6159" ht="18.75"/>
    <row r="6160" ht="18.75"/>
    <row r="6161" ht="18.75"/>
    <row r="6162" ht="18.75"/>
    <row r="6163" ht="18.75"/>
    <row r="6164" ht="18.75"/>
    <row r="6165" ht="18.75"/>
    <row r="6166" ht="18.75"/>
    <row r="6167" ht="18.75"/>
    <row r="6168" ht="18.75"/>
    <row r="6169" ht="18.75"/>
    <row r="6170" ht="18.75"/>
    <row r="6171" ht="18.75"/>
    <row r="6172" ht="18.75"/>
    <row r="6173" ht="18.75"/>
    <row r="6174" ht="18.75"/>
    <row r="6175" ht="18.75"/>
    <row r="6176" ht="18.75"/>
    <row r="6177" ht="18.75"/>
    <row r="6178" ht="18.75"/>
    <row r="6179" ht="18.75"/>
    <row r="6180" ht="18.75"/>
    <row r="6181" ht="18.75"/>
    <row r="6182" ht="18.75"/>
    <row r="6183" ht="18.75"/>
    <row r="6184" ht="18.75"/>
    <row r="6185" ht="18.75"/>
    <row r="6186" ht="18.75"/>
    <row r="6187" ht="18.75"/>
    <row r="6188" ht="18.75"/>
    <row r="6189" ht="18.75"/>
    <row r="6190" ht="18.75"/>
    <row r="6191" ht="18.75"/>
    <row r="6192" ht="18.75"/>
    <row r="6193" ht="18.75"/>
    <row r="6194" ht="18.75"/>
    <row r="6195" ht="18.75"/>
    <row r="6196" ht="18.75"/>
    <row r="6197" ht="18.75"/>
    <row r="6198" ht="18.75"/>
    <row r="6199" ht="18.75"/>
    <row r="6200" ht="18.75"/>
    <row r="6201" ht="18.75"/>
    <row r="6202" ht="18.75"/>
    <row r="6203" ht="18.75"/>
    <row r="6204" ht="18.75"/>
    <row r="6205" ht="18.75"/>
    <row r="6206" ht="18.75"/>
    <row r="6207" ht="18.75"/>
    <row r="6208" ht="18.75"/>
    <row r="6209" ht="18.75"/>
    <row r="6210" ht="18.75"/>
    <row r="6211" ht="18.75"/>
    <row r="6212" ht="18.75"/>
    <row r="6213" ht="18.75"/>
    <row r="6214" ht="18.75"/>
    <row r="6215" ht="18.75"/>
    <row r="6216" ht="18.75"/>
    <row r="6217" ht="18.75"/>
    <row r="6218" ht="18.75"/>
    <row r="6219" ht="18.75"/>
    <row r="6220" ht="18.75"/>
    <row r="6221" ht="18.75"/>
    <row r="6222" ht="18.75"/>
    <row r="6223" ht="18.75"/>
    <row r="6224" ht="18.75"/>
    <row r="6225" ht="18.75"/>
    <row r="6226" ht="18.75"/>
    <row r="6227" ht="18.75"/>
    <row r="6228" ht="18.75"/>
    <row r="6229" ht="18.75"/>
    <row r="6230" ht="18.75"/>
    <row r="6231" ht="18.75"/>
    <row r="6232" ht="18.75"/>
    <row r="6233" ht="18.75"/>
    <row r="6234" ht="18.75"/>
    <row r="6235" ht="18.75"/>
    <row r="6236" ht="18.75"/>
    <row r="6237" ht="18.75"/>
    <row r="6238" ht="18.75"/>
    <row r="6239" ht="18.75"/>
    <row r="6240" ht="18.75"/>
    <row r="6241" ht="18.75"/>
    <row r="6242" ht="18.75"/>
    <row r="6243" ht="18.75"/>
    <row r="6244" ht="18.75"/>
    <row r="6245" ht="18.75"/>
    <row r="6246" ht="18.75"/>
    <row r="6247" ht="18.75"/>
    <row r="6248" ht="18.75"/>
    <row r="6249" ht="18.75"/>
    <row r="6250" ht="18.75"/>
    <row r="6251" ht="18.75"/>
    <row r="6252" ht="18.75"/>
    <row r="6253" ht="18.75"/>
    <row r="6254" ht="18.75"/>
    <row r="6255" ht="18.75"/>
    <row r="6256" ht="18.75"/>
    <row r="6257" ht="18.75"/>
    <row r="6258" ht="18.75"/>
    <row r="6259" ht="18.75"/>
    <row r="6260" ht="18.75"/>
    <row r="6261" ht="18.75"/>
    <row r="6262" ht="18.75"/>
    <row r="6263" ht="18.75"/>
    <row r="6264" ht="18.75"/>
    <row r="6265" ht="18.75"/>
    <row r="6266" ht="18.75"/>
    <row r="6267" ht="18.75"/>
    <row r="6268" ht="18.75"/>
    <row r="6269" ht="18.75"/>
    <row r="6270" ht="18.75"/>
    <row r="6271" ht="18.75"/>
    <row r="6272" ht="18.75"/>
    <row r="6273" ht="18.75"/>
    <row r="6274" ht="18.75"/>
    <row r="6275" ht="18.75"/>
    <row r="6276" ht="18.75"/>
    <row r="6277" ht="18.75"/>
    <row r="6278" ht="18.75"/>
    <row r="6279" ht="18.75"/>
    <row r="6280" ht="18.75"/>
    <row r="6281" ht="18.75"/>
    <row r="6282" ht="18.75"/>
    <row r="6283" ht="18.75"/>
    <row r="6284" ht="18.75"/>
    <row r="6285" ht="18.75"/>
    <row r="6286" ht="18.75"/>
    <row r="6287" ht="18.75"/>
    <row r="6288" ht="18.75"/>
    <row r="6289" ht="18.75"/>
    <row r="6290" ht="18.75"/>
    <row r="6291" ht="18.75"/>
    <row r="6292" ht="18.75"/>
    <row r="6293" ht="18.75"/>
    <row r="6294" ht="18.75"/>
    <row r="6295" ht="18.75"/>
    <row r="6296" ht="18.75"/>
    <row r="6297" ht="18.75"/>
    <row r="6298" ht="18.75"/>
    <row r="6299" ht="18.75"/>
    <row r="6300" ht="18.75"/>
    <row r="6301" ht="18.75"/>
    <row r="6302" ht="18.75"/>
    <row r="6303" ht="18.75"/>
    <row r="6304" ht="18.75"/>
    <row r="6305" ht="18.75"/>
    <row r="6306" ht="18.75"/>
    <row r="6307" ht="18.75"/>
    <row r="6308" ht="18.75"/>
    <row r="6309" ht="18.75"/>
    <row r="6310" ht="18.75"/>
    <row r="6311" ht="18.75"/>
    <row r="6312" ht="18.75"/>
    <row r="6313" ht="18.75"/>
    <row r="6314" ht="18.75"/>
    <row r="6315" ht="18.75"/>
    <row r="6316" ht="18.75"/>
    <row r="6317" ht="18.75"/>
    <row r="6318" ht="18.75"/>
    <row r="6319" ht="18.75"/>
    <row r="6320" ht="18.75"/>
    <row r="6321" ht="18.75"/>
    <row r="6322" ht="18.75"/>
    <row r="6323" ht="18.75"/>
    <row r="6324" ht="18.75"/>
    <row r="6325" ht="18.75"/>
    <row r="6326" ht="18.75"/>
    <row r="6327" ht="18.75"/>
    <row r="6328" ht="18.75"/>
    <row r="6329" ht="18.75"/>
    <row r="6330" ht="18.75"/>
    <row r="6331" ht="18.75"/>
    <row r="6332" ht="18.75"/>
    <row r="6333" ht="18.75"/>
    <row r="6334" ht="18.75"/>
    <row r="6335" ht="18.75"/>
    <row r="6336" ht="18.75"/>
    <row r="6337" ht="18.75"/>
    <row r="6338" ht="18.75"/>
    <row r="6339" ht="18.75"/>
    <row r="6340" ht="18.75"/>
    <row r="6341" ht="18.75"/>
    <row r="6342" ht="18.75"/>
    <row r="6343" ht="18.75"/>
    <row r="6344" ht="18.75"/>
    <row r="6345" ht="18.75"/>
    <row r="6346" ht="18.75"/>
    <row r="6347" ht="18.75"/>
    <row r="6348" ht="18.75"/>
    <row r="6349" ht="18.75"/>
    <row r="6350" ht="18.75"/>
    <row r="6351" ht="18.75"/>
    <row r="6352" ht="18.75"/>
    <row r="6353" ht="18.75"/>
    <row r="6354" ht="18.75"/>
    <row r="6355" ht="18.75"/>
    <row r="6356" ht="18.75"/>
    <row r="6357" ht="18.75"/>
    <row r="6358" ht="18.75"/>
    <row r="6359" ht="18.75"/>
    <row r="6360" ht="18.75"/>
    <row r="6361" ht="18.75"/>
    <row r="6362" ht="18.75"/>
    <row r="6363" ht="18.75"/>
    <row r="6364" ht="18.75"/>
    <row r="6365" ht="18.75"/>
    <row r="6366" ht="18.75"/>
    <row r="6367" ht="18.75"/>
    <row r="6368" ht="18.75"/>
    <row r="6369" ht="18.75"/>
    <row r="6370" ht="18.75"/>
    <row r="6371" ht="18.75"/>
    <row r="6372" ht="18.75"/>
    <row r="6373" ht="18.75"/>
    <row r="6374" ht="18.75"/>
    <row r="6375" ht="18.75"/>
    <row r="6376" ht="18.75"/>
    <row r="6377" ht="18.75"/>
    <row r="6378" ht="18.75"/>
    <row r="6379" ht="18.75"/>
    <row r="6380" ht="18.75"/>
    <row r="6381" ht="18.75"/>
    <row r="6382" ht="18.75"/>
    <row r="6383" ht="18.75"/>
    <row r="6384" ht="18.75"/>
    <row r="6385" ht="18.75"/>
    <row r="6386" ht="18.75"/>
    <row r="6387" ht="18.75"/>
    <row r="6388" ht="18.75"/>
    <row r="6389" ht="18.75"/>
    <row r="6390" ht="18.75"/>
    <row r="6391" ht="18.75"/>
    <row r="6392" ht="18.75"/>
    <row r="6393" ht="18.75"/>
    <row r="6394" ht="18.75"/>
    <row r="6395" ht="18.75"/>
    <row r="6396" ht="18.75"/>
    <row r="6397" ht="18.75"/>
    <row r="6398" ht="18.75"/>
    <row r="6399" ht="18.75"/>
    <row r="6400" ht="18.75"/>
    <row r="6401" ht="18.75"/>
    <row r="6402" ht="18.75"/>
    <row r="6403" ht="18.75"/>
    <row r="6404" ht="18.75"/>
    <row r="6405" ht="18.75"/>
    <row r="6406" ht="18.75"/>
    <row r="6407" ht="18.75"/>
    <row r="6408" ht="18.75"/>
    <row r="6409" ht="18.75"/>
    <row r="6410" ht="18.75"/>
    <row r="6411" ht="18.75"/>
    <row r="6412" ht="18.75"/>
    <row r="6413" ht="18.75"/>
    <row r="6414" ht="18.75"/>
    <row r="6415" ht="18.75"/>
    <row r="6416" ht="18.75"/>
    <row r="6417" ht="18.75"/>
    <row r="6418" ht="18.75"/>
    <row r="6419" ht="18.75"/>
    <row r="6420" ht="18.75"/>
    <row r="6421" ht="18.75"/>
    <row r="6422" ht="18.75"/>
    <row r="6423" ht="18.75"/>
    <row r="6424" ht="18.75"/>
    <row r="6425" ht="18.75"/>
    <row r="6426" ht="18.75"/>
    <row r="6427" ht="18.75"/>
    <row r="6428" ht="18.75"/>
    <row r="6429" ht="18.75"/>
    <row r="6430" ht="18.75"/>
    <row r="6431" ht="18.75"/>
    <row r="6432" ht="18.75"/>
    <row r="6433" ht="18.75"/>
    <row r="6434" ht="18.75"/>
    <row r="6435" ht="18.75"/>
    <row r="6436" ht="18.75"/>
    <row r="6437" ht="18.75"/>
    <row r="6438" ht="18.75"/>
    <row r="6439" ht="18.75"/>
    <row r="6440" ht="18.75"/>
    <row r="6441" ht="18.75"/>
    <row r="6442" ht="18.75"/>
    <row r="6443" ht="18.75"/>
    <row r="6444" ht="18.75"/>
    <row r="6445" ht="18.75"/>
    <row r="6446" ht="18.75"/>
    <row r="6447" ht="18.75"/>
    <row r="6448" ht="18.75"/>
    <row r="6449" ht="18.75"/>
    <row r="6450" ht="18.75"/>
    <row r="6451" ht="18.75"/>
    <row r="6452" ht="18.75"/>
    <row r="6453" ht="18.75"/>
    <row r="6454" ht="18.75"/>
    <row r="6455" ht="18.75"/>
    <row r="6456" ht="18.75"/>
    <row r="6457" ht="18.75"/>
    <row r="6458" ht="18.75"/>
    <row r="6459" ht="18.75"/>
    <row r="6460" ht="18.75"/>
    <row r="6461" ht="18.75"/>
    <row r="6462" ht="18.75"/>
    <row r="6463" ht="18.75"/>
    <row r="6464" ht="18.75"/>
    <row r="6465" ht="18.75"/>
    <row r="6466" ht="18.75"/>
    <row r="6467" ht="18.75"/>
    <row r="6468" ht="18.75"/>
    <row r="6469" ht="18.75"/>
    <row r="6470" ht="18.75"/>
    <row r="6471" ht="18.75"/>
    <row r="6472" ht="18.75"/>
    <row r="6473" ht="18.75"/>
    <row r="6474" ht="18.75"/>
    <row r="6475" ht="18.75"/>
    <row r="6476" ht="18.75"/>
    <row r="6477" ht="18.75"/>
    <row r="6478" ht="18.75"/>
    <row r="6479" ht="18.75"/>
    <row r="6480" ht="18.75"/>
    <row r="6481" ht="18.75"/>
    <row r="6482" ht="18.75"/>
    <row r="6483" ht="18.75"/>
    <row r="6484" ht="18.75"/>
    <row r="6485" ht="18.75"/>
    <row r="6486" ht="18.75"/>
    <row r="6487" ht="18.75"/>
    <row r="6488" ht="18.75"/>
    <row r="6489" ht="18.75"/>
    <row r="6490" ht="18.75"/>
    <row r="6491" ht="18.75"/>
    <row r="6492" ht="18.75"/>
    <row r="6493" ht="18.75"/>
    <row r="6494" ht="18.75"/>
    <row r="6495" ht="18.75"/>
    <row r="6496" ht="18.75"/>
    <row r="6497" ht="18.75"/>
    <row r="6498" ht="18.75"/>
    <row r="6499" ht="18.75"/>
    <row r="6500" ht="18.75"/>
    <row r="6501" ht="18.75"/>
    <row r="6502" ht="18.75"/>
    <row r="6503" ht="18.75"/>
    <row r="6504" ht="18.75"/>
    <row r="6505" ht="18.75"/>
    <row r="6506" ht="18.75"/>
    <row r="6507" ht="18.75"/>
    <row r="6508" ht="18.75"/>
    <row r="6509" ht="18.75"/>
    <row r="6510" ht="18.75"/>
    <row r="6511" ht="18.75"/>
    <row r="6512" ht="18.75"/>
    <row r="6513" ht="18.75"/>
    <row r="6514" ht="18.75"/>
    <row r="6515" ht="18.75"/>
    <row r="6516" ht="18.75"/>
    <row r="6517" ht="18.75"/>
    <row r="6518" ht="18.75"/>
    <row r="6519" ht="18.75"/>
    <row r="6520" ht="18.75"/>
    <row r="6521" ht="18.75"/>
    <row r="6522" ht="18.75"/>
    <row r="6523" ht="18.75"/>
    <row r="6524" ht="18.75"/>
    <row r="6525" ht="18.75"/>
    <row r="6526" ht="18.75"/>
    <row r="6527" ht="18.75"/>
    <row r="6528" ht="18.75"/>
    <row r="6529" ht="18.75"/>
    <row r="6530" ht="18.75"/>
    <row r="6531" ht="18.75"/>
    <row r="6532" ht="18.75"/>
    <row r="6533" ht="18.75"/>
    <row r="6534" ht="18.75"/>
    <row r="6535" ht="18.75"/>
    <row r="6536" ht="18.75"/>
    <row r="6537" ht="18.75"/>
    <row r="6538" ht="18.75"/>
    <row r="6539" ht="18.75"/>
    <row r="6540" ht="18.75"/>
    <row r="6541" ht="18.75"/>
    <row r="6542" ht="18.75"/>
    <row r="6543" ht="18.75"/>
    <row r="6544" ht="18.75"/>
    <row r="6545" ht="18.75"/>
    <row r="6546" ht="18.75"/>
    <row r="6547" ht="18.75"/>
    <row r="6548" ht="18.75"/>
    <row r="6549" ht="18.75"/>
    <row r="6550" ht="18.75"/>
    <row r="6551" ht="18.75"/>
    <row r="6552" ht="18.75"/>
    <row r="6553" ht="18.75"/>
    <row r="6554" ht="18.75"/>
    <row r="6555" ht="18.75"/>
    <row r="6556" ht="18.75"/>
    <row r="6557" ht="18.75"/>
    <row r="6558" ht="18.75"/>
    <row r="6559" ht="18.75"/>
    <row r="6560" ht="18.75"/>
    <row r="6561" ht="18.75"/>
    <row r="6562" ht="18.75"/>
    <row r="6563" ht="18.75"/>
    <row r="6564" ht="18.75"/>
    <row r="6565" ht="18.75"/>
    <row r="6566" ht="18.75"/>
    <row r="6567" ht="18.75"/>
    <row r="6568" ht="18.75"/>
    <row r="6569" ht="18.75"/>
    <row r="6570" ht="18.75"/>
    <row r="6571" ht="18.75"/>
    <row r="6572" ht="18.75"/>
    <row r="6573" ht="18.75"/>
    <row r="6574" ht="18.75"/>
    <row r="6575" ht="18.75"/>
    <row r="6576" ht="18.75"/>
    <row r="6577" ht="18.75"/>
    <row r="6578" ht="18.75"/>
    <row r="6579" ht="18.75"/>
    <row r="6580" ht="18.75"/>
    <row r="6581" ht="18.75"/>
    <row r="6582" ht="18.75"/>
    <row r="6583" ht="18.75"/>
    <row r="6584" ht="18.75"/>
    <row r="6585" ht="18.75"/>
    <row r="6586" ht="18.75"/>
    <row r="6587" ht="18.75"/>
    <row r="6588" ht="18.75"/>
    <row r="6589" ht="18.75"/>
    <row r="6590" ht="18.75"/>
    <row r="6591" ht="18.75"/>
    <row r="6592" ht="18.75"/>
    <row r="6593" ht="18.75"/>
    <row r="6594" ht="18.75"/>
    <row r="6595" ht="18.75"/>
    <row r="6596" ht="18.75"/>
    <row r="6597" ht="18.75"/>
    <row r="6598" ht="18.75"/>
    <row r="6599" ht="18.75"/>
    <row r="6600" ht="18.75"/>
    <row r="6601" ht="18.75"/>
    <row r="6602" ht="18.75"/>
    <row r="6603" ht="18.75"/>
    <row r="6604" ht="18.75"/>
    <row r="6605" ht="18.75"/>
    <row r="6606" ht="18.75"/>
    <row r="6607" ht="18.75"/>
    <row r="6608" ht="18.75"/>
    <row r="6609" ht="18.75"/>
    <row r="6610" ht="18.75"/>
    <row r="6611" ht="18.75"/>
    <row r="6612" ht="18.75"/>
    <row r="6613" ht="18.75"/>
    <row r="6614" ht="18.75"/>
    <row r="6615" ht="18.75"/>
    <row r="6616" ht="18.75"/>
    <row r="6617" ht="18.75"/>
    <row r="6618" ht="18.75"/>
    <row r="6619" ht="18.75"/>
    <row r="6620" ht="18.75"/>
    <row r="6621" ht="18.75"/>
    <row r="6622" ht="18.75"/>
    <row r="6623" ht="18.75"/>
    <row r="6624" ht="18.75"/>
    <row r="6625" ht="18.75"/>
    <row r="6626" ht="18.75"/>
    <row r="6627" ht="18.75"/>
    <row r="6628" ht="18.75"/>
    <row r="6629" ht="18.75"/>
    <row r="6630" ht="18.75"/>
    <row r="6631" ht="18.75"/>
    <row r="6632" ht="18.75"/>
    <row r="6633" ht="18.75"/>
    <row r="6634" ht="18.75"/>
    <row r="6635" ht="18.75"/>
    <row r="6636" ht="18.75"/>
    <row r="6637" ht="18.75"/>
    <row r="6638" ht="18.75"/>
    <row r="6639" ht="18.75"/>
    <row r="6640" ht="18.75"/>
    <row r="6641" ht="18.75"/>
    <row r="6642" ht="18.75"/>
    <row r="6643" ht="18.75"/>
    <row r="6644" ht="18.75"/>
    <row r="6645" ht="18.75"/>
    <row r="6646" ht="18.75"/>
    <row r="6647" ht="18.75"/>
    <row r="6648" ht="18.75"/>
    <row r="6649" ht="18.75"/>
    <row r="6650" ht="18.75"/>
    <row r="6651" ht="18.75"/>
    <row r="6652" ht="18.75"/>
    <row r="6653" ht="18.75"/>
    <row r="6654" ht="18.75"/>
    <row r="6655" ht="18.75"/>
    <row r="6656" ht="18.75"/>
    <row r="6657" ht="18.75"/>
    <row r="6658" ht="18.75"/>
    <row r="6659" ht="18.75"/>
    <row r="6660" ht="18.75"/>
    <row r="6661" ht="18.75"/>
    <row r="6662" ht="18.75"/>
    <row r="6663" ht="18.75"/>
    <row r="6664" ht="18.75"/>
    <row r="6665" ht="18.75"/>
    <row r="6666" ht="18.75"/>
    <row r="6667" ht="18.75"/>
    <row r="6668" ht="18.75"/>
    <row r="6669" ht="18.75"/>
    <row r="6670" ht="18.75"/>
    <row r="6671" ht="18.75"/>
    <row r="6672" ht="18.75"/>
    <row r="6673" ht="18.75"/>
    <row r="6674" ht="18.75"/>
    <row r="6675" ht="18.75"/>
    <row r="6676" ht="18.75"/>
    <row r="6677" ht="18.75"/>
    <row r="6678" ht="18.75"/>
    <row r="6679" ht="18.75"/>
    <row r="6680" ht="18.75"/>
    <row r="6681" ht="18.75"/>
    <row r="6682" ht="18.75"/>
    <row r="6683" ht="18.75"/>
    <row r="6684" ht="18.75"/>
    <row r="6685" ht="18.75"/>
    <row r="6686" ht="18.75"/>
    <row r="6687" ht="18.75"/>
    <row r="6688" ht="18.75"/>
    <row r="6689" ht="18.75"/>
    <row r="6690" ht="18.75"/>
    <row r="6691" ht="18.75"/>
    <row r="6692" ht="18.75"/>
    <row r="6693" ht="18.75"/>
    <row r="6694" ht="18.75"/>
    <row r="6695" ht="18.75"/>
    <row r="6696" ht="18.75"/>
    <row r="6697" ht="18.75"/>
    <row r="6698" ht="18.75"/>
    <row r="6699" ht="18.75"/>
    <row r="6700" ht="18.75"/>
    <row r="6701" ht="18.75"/>
    <row r="6702" ht="18.75"/>
    <row r="6703" ht="18.75"/>
    <row r="6704" ht="18.75"/>
    <row r="6705" ht="18.75"/>
    <row r="6706" ht="18.75"/>
    <row r="6707" ht="18.75"/>
    <row r="6708" ht="18.75"/>
    <row r="6709" ht="18.75"/>
    <row r="6710" ht="18.75"/>
    <row r="6711" ht="18.75"/>
    <row r="6712" ht="18.75"/>
    <row r="6713" ht="18.75"/>
    <row r="6714" ht="18.75"/>
    <row r="6715" ht="18.75"/>
    <row r="6716" ht="18.75"/>
    <row r="6717" ht="18.75"/>
    <row r="6718" ht="18.75"/>
    <row r="6719" ht="18.75"/>
    <row r="6720" ht="18.75"/>
    <row r="6721" ht="18.75"/>
    <row r="6722" ht="18.75"/>
    <row r="6723" ht="18.75"/>
    <row r="6724" ht="18.75"/>
    <row r="6725" ht="18.75"/>
    <row r="6726" ht="18.75"/>
    <row r="6727" ht="18.75"/>
    <row r="6728" ht="18.75"/>
    <row r="6729" ht="18.75"/>
    <row r="6730" ht="18.75"/>
    <row r="6731" ht="18.75"/>
    <row r="6732" ht="18.75"/>
    <row r="6733" ht="18.75"/>
    <row r="6734" ht="18.75"/>
    <row r="6735" ht="18.75"/>
    <row r="6736" ht="18.75"/>
    <row r="6737" ht="18.75"/>
    <row r="6738" ht="18.75"/>
    <row r="6739" ht="18.75"/>
    <row r="6740" ht="18.75"/>
    <row r="6741" ht="18.75"/>
    <row r="6742" ht="18.75"/>
    <row r="6743" ht="18.75"/>
    <row r="6744" ht="18.75"/>
    <row r="6745" ht="18.75"/>
    <row r="6746" ht="18.75"/>
    <row r="6747" ht="18.75"/>
    <row r="6748" ht="18.75"/>
    <row r="6749" ht="18.75"/>
    <row r="6750" ht="18.75"/>
    <row r="6751" ht="18.75"/>
    <row r="6752" ht="18.75"/>
    <row r="6753" ht="18.75"/>
    <row r="6754" ht="18.75"/>
    <row r="6755" ht="18.75"/>
    <row r="6756" ht="18.75"/>
    <row r="6757" ht="18.75"/>
    <row r="6758" ht="18.75"/>
    <row r="6759" ht="18.75"/>
    <row r="6760" ht="18.75"/>
    <row r="6761" ht="18.75"/>
    <row r="6762" ht="18.75"/>
    <row r="6763" ht="18.75"/>
    <row r="6764" ht="18.75"/>
    <row r="6765" ht="18.75"/>
    <row r="6766" ht="18.75"/>
    <row r="6767" ht="18.75"/>
    <row r="6768" ht="18.75"/>
    <row r="6769" ht="18.75"/>
    <row r="6770" ht="18.75"/>
    <row r="6771" ht="18.75"/>
    <row r="6772" ht="18.75"/>
    <row r="6773" ht="18.75"/>
    <row r="6774" ht="18.75"/>
    <row r="6775" ht="18.75"/>
    <row r="6776" ht="18.75"/>
    <row r="6777" ht="18.75"/>
    <row r="6778" ht="18.75"/>
    <row r="6779" ht="18.75"/>
    <row r="6780" ht="18.75"/>
    <row r="6781" ht="18.75"/>
    <row r="6782" ht="18.75"/>
    <row r="6783" ht="18.75"/>
    <row r="6784" ht="18.75"/>
    <row r="6785" ht="18.75"/>
    <row r="6786" ht="18.75"/>
    <row r="6787" ht="18.75"/>
    <row r="6788" ht="18.75"/>
    <row r="6789" ht="18.75"/>
    <row r="6790" ht="18.75"/>
    <row r="6791" ht="18.75"/>
    <row r="6792" ht="18.75"/>
    <row r="6793" ht="18.75"/>
    <row r="6794" ht="18.75"/>
    <row r="6795" ht="18.75"/>
    <row r="6796" ht="18.75"/>
    <row r="6797" ht="18.75"/>
    <row r="6798" ht="18.75"/>
    <row r="6799" ht="18.75"/>
    <row r="6800" ht="18.75"/>
    <row r="6801" ht="18.75"/>
    <row r="6802" ht="18.75"/>
    <row r="6803" ht="18.75"/>
    <row r="6804" ht="18.75"/>
    <row r="6805" ht="18.75"/>
    <row r="6806" ht="18.75"/>
    <row r="6807" ht="18.75"/>
    <row r="6808" ht="18.75"/>
    <row r="6809" ht="18.75"/>
    <row r="6810" ht="18.75"/>
    <row r="6811" ht="18.75"/>
    <row r="6812" ht="18.75"/>
    <row r="6813" ht="18.75"/>
    <row r="6814" ht="18.75"/>
    <row r="6815" ht="18.75"/>
    <row r="6816" ht="18.75"/>
    <row r="6817" ht="18.75"/>
    <row r="6818" ht="18.75"/>
    <row r="6819" ht="18.75"/>
    <row r="6820" ht="18.75"/>
    <row r="6821" ht="18.75"/>
    <row r="6822" ht="18.75"/>
    <row r="6823" ht="18.75"/>
    <row r="6824" ht="18.75"/>
    <row r="6825" ht="18.75"/>
    <row r="6826" ht="18.75"/>
    <row r="6827" ht="18.75"/>
    <row r="6828" ht="18.75"/>
    <row r="6829" ht="18.75"/>
    <row r="6830" ht="18.75"/>
    <row r="6831" ht="18.75"/>
    <row r="6832" ht="18.75"/>
    <row r="6833" ht="18.75"/>
    <row r="6834" ht="18.75"/>
    <row r="6835" ht="18.75"/>
    <row r="6836" ht="18.75"/>
    <row r="6837" ht="18.75"/>
    <row r="6838" ht="18.75"/>
    <row r="6839" ht="18.75"/>
    <row r="6840" ht="18.75"/>
    <row r="6841" ht="18.75"/>
    <row r="6842" ht="18.75"/>
    <row r="6843" ht="18.75"/>
    <row r="6844" ht="18.75"/>
    <row r="6845" ht="18.75"/>
    <row r="6846" ht="18.75"/>
    <row r="6847" ht="18.75"/>
    <row r="6848" ht="18.75"/>
    <row r="6849" ht="18.75"/>
    <row r="6850" ht="18.75"/>
    <row r="6851" ht="18.75"/>
    <row r="6852" ht="18.75"/>
    <row r="6853" ht="18.75"/>
    <row r="6854" ht="18.75"/>
    <row r="6855" ht="18.75"/>
    <row r="6856" ht="18.75"/>
    <row r="6857" ht="18.75"/>
    <row r="6858" ht="18.75"/>
    <row r="6859" ht="18.75"/>
    <row r="6860" ht="18.75"/>
    <row r="6861" ht="18.75"/>
    <row r="6862" ht="18.75"/>
    <row r="6863" ht="18.75"/>
    <row r="6864" ht="18.75"/>
    <row r="6865" ht="18.75"/>
    <row r="6866" ht="18.75"/>
    <row r="6867" ht="18.75"/>
    <row r="6868" ht="18.75"/>
    <row r="6869" ht="18.75"/>
    <row r="6870" ht="18.75"/>
    <row r="6871" ht="18.75"/>
    <row r="6872" ht="18.75"/>
    <row r="6873" ht="18.75"/>
    <row r="6874" ht="18.75"/>
    <row r="6875" ht="18.75"/>
    <row r="6876" ht="18.75"/>
    <row r="6877" ht="18.75"/>
    <row r="6878" ht="18.75"/>
    <row r="6879" ht="18.75"/>
    <row r="6880" ht="18.75"/>
    <row r="6881" ht="18.75"/>
    <row r="6882" ht="18.75"/>
    <row r="6883" ht="18.75"/>
    <row r="6884" ht="18.75"/>
    <row r="6885" ht="18.75"/>
    <row r="6886" ht="18.75"/>
    <row r="6887" ht="18.75"/>
    <row r="6888" ht="18.75"/>
    <row r="6889" ht="18.75"/>
    <row r="6890" ht="18.75"/>
    <row r="6891" ht="18.75"/>
    <row r="6892" ht="18.75"/>
    <row r="6893" ht="18.75"/>
    <row r="6894" ht="18.75"/>
    <row r="6895" ht="18.75"/>
    <row r="6896" ht="18.75"/>
    <row r="6897" ht="18.75"/>
    <row r="6898" ht="18.75"/>
    <row r="6899" ht="18.75"/>
    <row r="6900" ht="18.75"/>
    <row r="6901" ht="18.75"/>
    <row r="6902" ht="18.75"/>
    <row r="6903" ht="18.75"/>
    <row r="6904" ht="18.75"/>
    <row r="6905" ht="18.75"/>
    <row r="6906" ht="18.75"/>
    <row r="6907" ht="18.75"/>
    <row r="6908" ht="18.75"/>
    <row r="6909" ht="18.75"/>
    <row r="6910" ht="18.75"/>
    <row r="6911" ht="18.75"/>
    <row r="6912" ht="18.75"/>
    <row r="6913" ht="18.75"/>
    <row r="6914" ht="18.75"/>
    <row r="6915" ht="18.75"/>
    <row r="6916" ht="18.75"/>
    <row r="6917" ht="18.75"/>
    <row r="6918" ht="18.75"/>
    <row r="6919" ht="18.75"/>
    <row r="6920" ht="18.75"/>
    <row r="6921" ht="18.75"/>
    <row r="6922" ht="18.75"/>
    <row r="6923" ht="18.75"/>
    <row r="6924" ht="18.75"/>
    <row r="6925" ht="18.75"/>
    <row r="6926" ht="18.75"/>
    <row r="6927" ht="18.75"/>
    <row r="6928" ht="18.75"/>
    <row r="6929" ht="18.75"/>
    <row r="6930" ht="18.75"/>
    <row r="6931" ht="18.75"/>
    <row r="6932" ht="18.75"/>
    <row r="6933" ht="18.75"/>
    <row r="6934" ht="18.75"/>
    <row r="6935" ht="18.75"/>
    <row r="6936" ht="18.75"/>
    <row r="6937" ht="18.75"/>
    <row r="6938" ht="18.75"/>
    <row r="6939" ht="18.75"/>
    <row r="6940" ht="18.75"/>
    <row r="6941" ht="18.75"/>
    <row r="6942" ht="18.75"/>
    <row r="6943" ht="18.75"/>
    <row r="6944" ht="18.75"/>
    <row r="6945" ht="18.75"/>
    <row r="6946" ht="18.75"/>
    <row r="6947" ht="18.75"/>
    <row r="6948" ht="18.75"/>
    <row r="6949" ht="18.75"/>
    <row r="6950" ht="18.75"/>
    <row r="6951" ht="18.75"/>
    <row r="6952" ht="18.75"/>
    <row r="6953" ht="18.75"/>
    <row r="6954" ht="18.75"/>
    <row r="6955" ht="18.75"/>
    <row r="6956" ht="18.75"/>
    <row r="6957" ht="18.75"/>
    <row r="6958" ht="18.75"/>
    <row r="6959" ht="18.75"/>
    <row r="6960" ht="18.75"/>
    <row r="6961" ht="18.75"/>
    <row r="6962" ht="18.75"/>
    <row r="6963" ht="18.75"/>
    <row r="6964" ht="18.75"/>
    <row r="6965" ht="18.75"/>
    <row r="6966" ht="18.75"/>
    <row r="6967" ht="18.75"/>
    <row r="6968" ht="18.75"/>
    <row r="6969" ht="18.75"/>
    <row r="6970" ht="18.75"/>
    <row r="6971" ht="18.75"/>
    <row r="6972" ht="18.75"/>
    <row r="6973" ht="18.75"/>
    <row r="6974" ht="18.75"/>
    <row r="6975" ht="18.75"/>
    <row r="6976" ht="18.75"/>
    <row r="6977" ht="18.75"/>
    <row r="6978" ht="18.75"/>
    <row r="6979" ht="18.75"/>
    <row r="6980" ht="18.75"/>
    <row r="6981" ht="18.75"/>
    <row r="6982" ht="18.75"/>
    <row r="6983" ht="18.75"/>
    <row r="6984" ht="18.75"/>
    <row r="6985" ht="18.75"/>
    <row r="6986" ht="18.75"/>
    <row r="6987" ht="18.75"/>
    <row r="6988" ht="18.75"/>
    <row r="6989" ht="18.75"/>
    <row r="6990" ht="18.75"/>
    <row r="6991" ht="18.75"/>
    <row r="6992" ht="18.75"/>
    <row r="6993" ht="18.75"/>
    <row r="6994" ht="18.75"/>
    <row r="6995" ht="18.75"/>
    <row r="6996" ht="18.75"/>
    <row r="6997" ht="18.75"/>
    <row r="6998" ht="18.75"/>
    <row r="6999" ht="18.75"/>
    <row r="7000" ht="18.75"/>
    <row r="7001" ht="18.75"/>
    <row r="7002" ht="18.75"/>
    <row r="7003" ht="18.75"/>
    <row r="7004" ht="18.75"/>
    <row r="7005" ht="18.75"/>
    <row r="7006" ht="18.75"/>
    <row r="7007" ht="18.75"/>
    <row r="7008" ht="18.75"/>
    <row r="7009" ht="18.75"/>
    <row r="7010" ht="18.75"/>
    <row r="7011" ht="18.75"/>
    <row r="7012" ht="18.75"/>
    <row r="7013" ht="18.75"/>
    <row r="7014" ht="18.75"/>
    <row r="7015" ht="18.75"/>
    <row r="7016" ht="18.75"/>
    <row r="7017" ht="18.75"/>
    <row r="7018" ht="18.75"/>
    <row r="7019" ht="18.75"/>
    <row r="7020" ht="18.75"/>
    <row r="7021" ht="18.75"/>
    <row r="7022" ht="18.75"/>
    <row r="7023" ht="18.75"/>
    <row r="7024" ht="18.75"/>
    <row r="7025" ht="18.75"/>
    <row r="7026" ht="18.75"/>
    <row r="7027" ht="18.75"/>
    <row r="7028" ht="18.75"/>
    <row r="7029" ht="18.75"/>
    <row r="7030" ht="18.75"/>
    <row r="7031" ht="18.75"/>
    <row r="7032" ht="18.75"/>
    <row r="7033" ht="18.75"/>
    <row r="7034" ht="18.75"/>
    <row r="7035" ht="18.75"/>
    <row r="7036" ht="18.75"/>
    <row r="7037" ht="18.75"/>
    <row r="7038" ht="18.75"/>
    <row r="7039" ht="18.75"/>
    <row r="7040" ht="18.75"/>
    <row r="7041" ht="18.75"/>
    <row r="7042" ht="18.75"/>
    <row r="7043" ht="18.75"/>
    <row r="7044" ht="18.75"/>
    <row r="7045" ht="18.75"/>
    <row r="7046" ht="18.75"/>
    <row r="7047" ht="18.75"/>
    <row r="7048" ht="18.75"/>
    <row r="7049" ht="18.75"/>
    <row r="7050" ht="18.75"/>
    <row r="7051" ht="18.75"/>
    <row r="7052" ht="18.75"/>
    <row r="7053" ht="18.75"/>
    <row r="7054" ht="18.75"/>
    <row r="7055" ht="18.75"/>
    <row r="7056" ht="18.75"/>
    <row r="7057" ht="18.75"/>
    <row r="7058" ht="18.75"/>
    <row r="7059" ht="18.75"/>
    <row r="7060" ht="18.75"/>
    <row r="7061" ht="18.75"/>
    <row r="7062" ht="18.75"/>
    <row r="7063" ht="18.75"/>
    <row r="7064" ht="18.75"/>
    <row r="7065" ht="18.75"/>
    <row r="7066" ht="18.75"/>
    <row r="7067" ht="18.75"/>
    <row r="7068" ht="18.75"/>
    <row r="7069" ht="18.75"/>
    <row r="7070" ht="18.75"/>
    <row r="7071" ht="18.75"/>
    <row r="7072" ht="18.75"/>
    <row r="7073" ht="18.75"/>
    <row r="7074" ht="18.75"/>
    <row r="7075" ht="18.75"/>
    <row r="7076" ht="18.75"/>
    <row r="7077" ht="18.75"/>
    <row r="7078" ht="18.75"/>
    <row r="7079" ht="18.75"/>
    <row r="7080" ht="18.75"/>
    <row r="7081" ht="18.75"/>
    <row r="7082" ht="18.75"/>
    <row r="7083" ht="18.75"/>
    <row r="7084" ht="18.75"/>
    <row r="7085" ht="18.75"/>
    <row r="7086" ht="18.75"/>
    <row r="7087" ht="18.75"/>
    <row r="7088" ht="18.75"/>
    <row r="7089" ht="18.75"/>
    <row r="7090" ht="18.75"/>
    <row r="7091" ht="18.75"/>
    <row r="7092" ht="18.75"/>
    <row r="7093" ht="18.75"/>
    <row r="7094" ht="18.75"/>
    <row r="7095" ht="18.75"/>
    <row r="7096" ht="18.75"/>
    <row r="7097" ht="18.75"/>
    <row r="7098" ht="18.75"/>
    <row r="7099" ht="18.75"/>
    <row r="7100" ht="18.75"/>
    <row r="7101" ht="18.75"/>
    <row r="7102" ht="18.75"/>
    <row r="7103" ht="18.75"/>
    <row r="7104" ht="18.75"/>
    <row r="7105" ht="18.75"/>
    <row r="7106" ht="18.75"/>
    <row r="7107" ht="18.75"/>
    <row r="7108" ht="18.75"/>
    <row r="7109" ht="18.75"/>
    <row r="7110" ht="18.75"/>
    <row r="7111" ht="18.75"/>
    <row r="7112" ht="18.75"/>
    <row r="7113" ht="18.75"/>
    <row r="7114" ht="18.75"/>
    <row r="7115" ht="18.75"/>
    <row r="7116" ht="18.75"/>
    <row r="7117" ht="18.75"/>
    <row r="7118" ht="18.75"/>
    <row r="7119" ht="18.75"/>
    <row r="7120" ht="18.75"/>
    <row r="7121" ht="18.75"/>
    <row r="7122" ht="18.75"/>
    <row r="7123" ht="18.75"/>
    <row r="7124" ht="18.75"/>
    <row r="7125" ht="18.75"/>
    <row r="7126" ht="18.75"/>
    <row r="7127" ht="18.75"/>
    <row r="7128" ht="18.75"/>
    <row r="7129" ht="18.75"/>
    <row r="7130" ht="18.75"/>
    <row r="7131" ht="18.75"/>
    <row r="7132" ht="18.75"/>
    <row r="7133" ht="18.75"/>
    <row r="7134" ht="18.75"/>
    <row r="7135" ht="18.75"/>
    <row r="7136" ht="18.75"/>
    <row r="7137" ht="18.75"/>
    <row r="7138" ht="18.75"/>
    <row r="7139" ht="18.75"/>
    <row r="7140" ht="18.75"/>
    <row r="7141" ht="18.75"/>
    <row r="7142" ht="18.75"/>
    <row r="7143" ht="18.75"/>
    <row r="7144" ht="18.75"/>
    <row r="7145" ht="18.75"/>
    <row r="7146" ht="18.75"/>
    <row r="7147" ht="18.75"/>
    <row r="7148" ht="18.75"/>
    <row r="7149" ht="18.75"/>
    <row r="7150" ht="18.75"/>
    <row r="7151" ht="18.75"/>
    <row r="7152" ht="18.75"/>
    <row r="7153" ht="18.75"/>
    <row r="7154" ht="18.75"/>
    <row r="7155" ht="18.75"/>
    <row r="7156" ht="18.75"/>
    <row r="7157" ht="18.75"/>
    <row r="7158" ht="18.75"/>
    <row r="7159" ht="18.75"/>
    <row r="7160" ht="18.75"/>
    <row r="7161" ht="18.75"/>
    <row r="7162" ht="18.75"/>
    <row r="7163" ht="18.75"/>
    <row r="7164" ht="18.75"/>
    <row r="7165" ht="18.75"/>
    <row r="7166" ht="18.75"/>
    <row r="7167" ht="18.75"/>
    <row r="7168" ht="18.75"/>
    <row r="7169" ht="18.75"/>
    <row r="7170" ht="18.75"/>
    <row r="7171" ht="18.75"/>
    <row r="7172" ht="18.75"/>
    <row r="7173" ht="18.75"/>
    <row r="7174" ht="18.75"/>
    <row r="7175" ht="18.75"/>
    <row r="7176" ht="18.75"/>
    <row r="7177" ht="18.75"/>
    <row r="7178" ht="18.75"/>
    <row r="7179" ht="18.75"/>
    <row r="7180" ht="18.75"/>
    <row r="7181" ht="18.75"/>
    <row r="7182" ht="18.75"/>
    <row r="7183" ht="18.75"/>
    <row r="7184" ht="18.75"/>
    <row r="7185" ht="18.75"/>
    <row r="7186" ht="18.75"/>
    <row r="7187" ht="18.75"/>
    <row r="7188" ht="18.75"/>
    <row r="7189" ht="18.75"/>
    <row r="7190" ht="18.75"/>
    <row r="7191" ht="18.75"/>
    <row r="7192" ht="18.75"/>
    <row r="7193" ht="18.75"/>
    <row r="7194" ht="18.75"/>
    <row r="7195" ht="18.75"/>
    <row r="7196" ht="18.75"/>
    <row r="7197" ht="18.75"/>
    <row r="7198" ht="18.75"/>
    <row r="7199" ht="18.75"/>
    <row r="7200" ht="18.75"/>
    <row r="7201" ht="18.75"/>
    <row r="7202" ht="18.75"/>
    <row r="7203" ht="18.75"/>
    <row r="7204" ht="18.75"/>
    <row r="7205" ht="18.75"/>
    <row r="7206" ht="18.75"/>
    <row r="7207" ht="18.75"/>
    <row r="7208" ht="18.75"/>
    <row r="7209" ht="18.75"/>
    <row r="7210" ht="18.75"/>
    <row r="7211" ht="18.75"/>
    <row r="7212" ht="18.75"/>
    <row r="7213" ht="18.75"/>
    <row r="7214" ht="18.75"/>
    <row r="7215" ht="18.75"/>
    <row r="7216" ht="18.75"/>
    <row r="7217" ht="18.75"/>
    <row r="7218" ht="18.75"/>
    <row r="7219" ht="18.75"/>
    <row r="7220" ht="18.75"/>
    <row r="7221" ht="18.75"/>
    <row r="7222" ht="18.75"/>
    <row r="7223" ht="18.75"/>
    <row r="7224" ht="18.75"/>
    <row r="7225" ht="18.75"/>
    <row r="7226" ht="18.75"/>
    <row r="7227" ht="18.75"/>
    <row r="7228" ht="18.75"/>
    <row r="7229" ht="18.75"/>
    <row r="7230" ht="18.75"/>
    <row r="7231" ht="18.75"/>
    <row r="7232" ht="18.75"/>
    <row r="7233" ht="18.75"/>
    <row r="7234" ht="18.75"/>
    <row r="7235" ht="18.75"/>
    <row r="7236" ht="18.75"/>
    <row r="7237" ht="18.75"/>
    <row r="7238" ht="18.75"/>
    <row r="7239" ht="18.75"/>
    <row r="7240" ht="18.75"/>
    <row r="7241" ht="18.75"/>
    <row r="7242" ht="18.75"/>
    <row r="7243" ht="18.75"/>
    <row r="7244" ht="18.75"/>
    <row r="7245" ht="18.75"/>
    <row r="7246" ht="18.75"/>
    <row r="7247" ht="18.75"/>
    <row r="7248" ht="18.75"/>
    <row r="7249" ht="18.75"/>
    <row r="7250" ht="18.75"/>
    <row r="7251" ht="18.75"/>
    <row r="7252" ht="18.75"/>
    <row r="7253" ht="18.75"/>
    <row r="7254" ht="18.75"/>
    <row r="7255" ht="18.75"/>
    <row r="7256" ht="18.75"/>
    <row r="7257" ht="18.75"/>
    <row r="7258" ht="18.75"/>
    <row r="7259" ht="18.75"/>
    <row r="7260" ht="18.75"/>
    <row r="7261" ht="18.75"/>
    <row r="7262" ht="18.75"/>
    <row r="7263" ht="18.75"/>
    <row r="7264" ht="18.75"/>
    <row r="7265" ht="18.75"/>
    <row r="7266" ht="18.75"/>
    <row r="7267" ht="18.75"/>
    <row r="7268" ht="18.75"/>
    <row r="7269" ht="18.75"/>
    <row r="7270" ht="18.75"/>
    <row r="7271" ht="18.75"/>
    <row r="7272" ht="18.75"/>
    <row r="7273" ht="18.75"/>
    <row r="7274" ht="18.75"/>
    <row r="7275" ht="18.75"/>
    <row r="7276" ht="18.75"/>
    <row r="7277" ht="18.75"/>
    <row r="7278" ht="18.75"/>
    <row r="7279" ht="18.75"/>
    <row r="7280" ht="18.75"/>
    <row r="7281" ht="18.75"/>
    <row r="7282" ht="18.75"/>
    <row r="7283" ht="18.75"/>
    <row r="7284" ht="18.75"/>
    <row r="7285" ht="18.75"/>
    <row r="7286" ht="18.75"/>
    <row r="7287" ht="18.75"/>
    <row r="7288" ht="18.75"/>
    <row r="7289" ht="18.75"/>
    <row r="7290" ht="18.75"/>
    <row r="7291" ht="18.75"/>
    <row r="7292" ht="18.75"/>
    <row r="7293" ht="18.75"/>
    <row r="7294" ht="18.75"/>
    <row r="7295" ht="18.75"/>
    <row r="7296" ht="18.75"/>
    <row r="7297" ht="18.75"/>
    <row r="7298" ht="18.75"/>
    <row r="7299" ht="18.75"/>
    <row r="7300" ht="18.75"/>
    <row r="7301" ht="18.75"/>
    <row r="7302" ht="18.75"/>
    <row r="7303" ht="18.75"/>
    <row r="7304" ht="18.75"/>
    <row r="7305" ht="18.75"/>
    <row r="7306" ht="18.75"/>
    <row r="7307" ht="18.75"/>
    <row r="7308" ht="18.75"/>
    <row r="7309" ht="18.75"/>
    <row r="7310" ht="18.75"/>
    <row r="7311" ht="18.75"/>
    <row r="7312" ht="18.75"/>
    <row r="7313" ht="18.75"/>
    <row r="7314" ht="18.75"/>
    <row r="7315" ht="18.75"/>
    <row r="7316" ht="18.75"/>
    <row r="7317" ht="18.75"/>
    <row r="7318" ht="18.75"/>
    <row r="7319" ht="18.75"/>
    <row r="7320" ht="18.75"/>
    <row r="7321" ht="18.75"/>
    <row r="7322" ht="18.75"/>
    <row r="7323" ht="18.75"/>
    <row r="7324" ht="18.75"/>
    <row r="7325" ht="18.75"/>
    <row r="7326" ht="18.75"/>
    <row r="7327" ht="18.75"/>
    <row r="7328" ht="18.75"/>
    <row r="7329" ht="18.75"/>
    <row r="7330" ht="18.75"/>
    <row r="7331" ht="18.75"/>
    <row r="7332" ht="18.75"/>
    <row r="7333" ht="18.75"/>
    <row r="7334" ht="18.75"/>
    <row r="7335" ht="18.75"/>
    <row r="7336" ht="18.75"/>
    <row r="7337" ht="18.75"/>
    <row r="7338" ht="18.75"/>
    <row r="7339" ht="18.75"/>
    <row r="7340" ht="18.75"/>
    <row r="7341" ht="18.75"/>
    <row r="7342" ht="18.75"/>
    <row r="7343" ht="18.75"/>
    <row r="7344" ht="18.75"/>
    <row r="7345" ht="18.75"/>
    <row r="7346" ht="18.75"/>
    <row r="7347" ht="18.75"/>
    <row r="7348" ht="18.75"/>
    <row r="7349" ht="18.75"/>
    <row r="7350" ht="18.75"/>
    <row r="7351" ht="18.75"/>
    <row r="7352" ht="18.75"/>
    <row r="7353" ht="18.75"/>
    <row r="7354" ht="18.75"/>
    <row r="7355" ht="18.75"/>
    <row r="7356" ht="18.75"/>
    <row r="7357" ht="18.75"/>
    <row r="7358" ht="18.75"/>
    <row r="7359" ht="18.75"/>
    <row r="7360" ht="18.75"/>
    <row r="7361" ht="18.75"/>
    <row r="7362" ht="18.75"/>
    <row r="7363" ht="18.75"/>
    <row r="7364" ht="18.75"/>
    <row r="7365" ht="18.75"/>
    <row r="7366" ht="18.75"/>
    <row r="7367" ht="18.75"/>
    <row r="7368" ht="18.75"/>
    <row r="7369" ht="18.75"/>
    <row r="7370" ht="18.75"/>
    <row r="7371" ht="18.75"/>
    <row r="7372" ht="18.75"/>
    <row r="7373" ht="18.75"/>
    <row r="7374" ht="18.75"/>
    <row r="7375" ht="18.75"/>
    <row r="7376" ht="18.75"/>
    <row r="7377" ht="18.75"/>
    <row r="7378" ht="18.75"/>
    <row r="7379" ht="18.75"/>
    <row r="7380" ht="18.75"/>
    <row r="7381" ht="18.75"/>
    <row r="7382" ht="18.75"/>
    <row r="7383" ht="18.75"/>
    <row r="7384" ht="18.75"/>
    <row r="7385" ht="18.75"/>
    <row r="7386" ht="18.75"/>
    <row r="7387" ht="18.75"/>
    <row r="7388" ht="18.75"/>
    <row r="7389" ht="18.75"/>
    <row r="7390" ht="18.75"/>
    <row r="7391" ht="18.75"/>
    <row r="7392" ht="18.75"/>
    <row r="7393" ht="18.75"/>
    <row r="7394" ht="18.75"/>
    <row r="7395" ht="18.75"/>
    <row r="7396" ht="18.75"/>
    <row r="7397" ht="18.75"/>
    <row r="7398" ht="18.75"/>
    <row r="7399" ht="18.75"/>
    <row r="7400" ht="18.75"/>
    <row r="7401" ht="18.75"/>
    <row r="7402" ht="18.75"/>
    <row r="7403" ht="18.75"/>
    <row r="7404" ht="18.75"/>
    <row r="7405" ht="18.75"/>
    <row r="7406" ht="18.75"/>
    <row r="7407" ht="18.75"/>
    <row r="7408" ht="18.75"/>
    <row r="7409" ht="18.75"/>
    <row r="7410" ht="18.75"/>
    <row r="7411" ht="18.75"/>
    <row r="7412" ht="18.75"/>
    <row r="7413" ht="18.75"/>
    <row r="7414" ht="18.75"/>
    <row r="7415" ht="18.75"/>
    <row r="7416" ht="18.75"/>
    <row r="7417" ht="18.75"/>
    <row r="7418" ht="18.75"/>
    <row r="7419" ht="18.75"/>
    <row r="7420" ht="18.75"/>
    <row r="7421" ht="18.75"/>
    <row r="7422" ht="18.75"/>
    <row r="7423" ht="18.75"/>
    <row r="7424" ht="18.75"/>
    <row r="7425" ht="18.75"/>
    <row r="7426" ht="18.75"/>
    <row r="7427" ht="18.75"/>
    <row r="7428" ht="18.75"/>
    <row r="7429" ht="18.75"/>
    <row r="7430" ht="18.75"/>
    <row r="7431" ht="18.75"/>
    <row r="7432" ht="18.75"/>
    <row r="7433" ht="18.75"/>
    <row r="7434" ht="18.75"/>
    <row r="7435" ht="18.75"/>
    <row r="7436" ht="18.75"/>
    <row r="7437" ht="18.75"/>
    <row r="7438" ht="18.75"/>
    <row r="7439" ht="18.75"/>
    <row r="7440" ht="18.75"/>
    <row r="7441" ht="18.75"/>
    <row r="7442" ht="18.75"/>
    <row r="7443" ht="18.75"/>
    <row r="7444" ht="18.75"/>
    <row r="7445" ht="18.75"/>
    <row r="7446" ht="18.75"/>
    <row r="7447" ht="18.75"/>
    <row r="7448" ht="18.75"/>
    <row r="7449" ht="18.75"/>
    <row r="7450" ht="18.75"/>
    <row r="7451" ht="18.75"/>
    <row r="7452" ht="18.75"/>
    <row r="7453" ht="18.75"/>
    <row r="7454" ht="18.75"/>
    <row r="7455" ht="18.75"/>
    <row r="7456" ht="18.75"/>
    <row r="7457" ht="18.75"/>
    <row r="7458" ht="18.75"/>
    <row r="7459" ht="18.75"/>
    <row r="7460" ht="18.75"/>
    <row r="7461" ht="18.75"/>
    <row r="7462" ht="18.75"/>
    <row r="7463" ht="18.75"/>
    <row r="7464" ht="18.75"/>
    <row r="7465" ht="18.75"/>
    <row r="7466" ht="18.75"/>
    <row r="7467" ht="18.75"/>
    <row r="7468" ht="18.75"/>
    <row r="7469" ht="18.75"/>
    <row r="7470" ht="18.75"/>
    <row r="7471" ht="18.75"/>
    <row r="7472" ht="18.75"/>
    <row r="7473" ht="18.75"/>
    <row r="7474" ht="18.75"/>
    <row r="7475" ht="18.75"/>
    <row r="7476" ht="18.75"/>
    <row r="7477" ht="18.75"/>
    <row r="7478" ht="18.75"/>
    <row r="7479" ht="18.75"/>
    <row r="7480" ht="18.75"/>
    <row r="7481" ht="18.75"/>
    <row r="7482" ht="18.75"/>
    <row r="7483" ht="18.75"/>
    <row r="7484" ht="18.75"/>
    <row r="7485" ht="18.75"/>
    <row r="7486" ht="18.75"/>
    <row r="7487" ht="18.75"/>
    <row r="7488" ht="18.75"/>
    <row r="7489" ht="18.75"/>
    <row r="7490" ht="18.75"/>
    <row r="7491" ht="18.75"/>
    <row r="7492" ht="18.75"/>
    <row r="7493" ht="18.75"/>
    <row r="7494" ht="18.75"/>
    <row r="7495" ht="18.75"/>
    <row r="7496" ht="18.75"/>
    <row r="7497" ht="18.75"/>
    <row r="7498" ht="18.75"/>
    <row r="7499" ht="18.75"/>
    <row r="7500" ht="18.75"/>
    <row r="7501" ht="18.75"/>
    <row r="7502" ht="18.75"/>
    <row r="7503" ht="18.75"/>
    <row r="7504" ht="18.75"/>
    <row r="7505" ht="18.75"/>
    <row r="7506" ht="18.75"/>
    <row r="7507" ht="18.75"/>
    <row r="7508" ht="18.75"/>
    <row r="7509" ht="18.75"/>
    <row r="7510" ht="18.75"/>
    <row r="7511" ht="18.75"/>
    <row r="7512" ht="18.75"/>
    <row r="7513" ht="18.75"/>
    <row r="7514" ht="18.75"/>
    <row r="7515" ht="18.75"/>
    <row r="7516" ht="18.75"/>
    <row r="7517" ht="18.75"/>
    <row r="7518" ht="18.75"/>
    <row r="7519" ht="18.75"/>
    <row r="7520" ht="18.75"/>
    <row r="7521" ht="18.75"/>
    <row r="7522" ht="18.75"/>
    <row r="7523" ht="18.75"/>
    <row r="7524" ht="18.75"/>
    <row r="7525" ht="18.75"/>
    <row r="7526" ht="18.75"/>
    <row r="7527" ht="18.75"/>
    <row r="7528" ht="18.75"/>
    <row r="7529" ht="18.75"/>
    <row r="7530" ht="18.75"/>
    <row r="7531" ht="18.75"/>
    <row r="7532" ht="18.75"/>
    <row r="7533" ht="18.75"/>
    <row r="7534" ht="18.75"/>
    <row r="7535" ht="18.75"/>
    <row r="7536" ht="18.75"/>
    <row r="7537" ht="18.75"/>
    <row r="7538" ht="18.75"/>
    <row r="7539" ht="18.75"/>
    <row r="7540" ht="18.75"/>
    <row r="7541" ht="18.75"/>
    <row r="7542" ht="18.75"/>
    <row r="7543" ht="18.75"/>
    <row r="7544" ht="18.75"/>
    <row r="7545" ht="18.75"/>
    <row r="7546" ht="18.75"/>
    <row r="7547" ht="18.75"/>
    <row r="7548" ht="18.75"/>
    <row r="7549" ht="18.75"/>
    <row r="7550" ht="18.75"/>
    <row r="7551" ht="18.75"/>
    <row r="7552" ht="18.75"/>
    <row r="7553" ht="18.75"/>
    <row r="7554" ht="18.75"/>
    <row r="7555" ht="18.75"/>
    <row r="7556" ht="18.75"/>
    <row r="7557" ht="18.75"/>
    <row r="7558" ht="18.75"/>
    <row r="7559" ht="18.75"/>
    <row r="7560" ht="18.75"/>
    <row r="7561" ht="18.75"/>
    <row r="7562" ht="18.75"/>
    <row r="7563" ht="18.75"/>
    <row r="7564" ht="18.75"/>
    <row r="7565" ht="18.75"/>
    <row r="7566" ht="18.75"/>
    <row r="7567" ht="18.75"/>
    <row r="7568" ht="18.75"/>
    <row r="7569" ht="18.75"/>
    <row r="7570" ht="18.75"/>
    <row r="7571" ht="18.75"/>
    <row r="7572" ht="18.75"/>
    <row r="7573" ht="18.75"/>
    <row r="7574" ht="18.75"/>
    <row r="7575" ht="18.75"/>
    <row r="7576" ht="18.75"/>
    <row r="7577" ht="18.75"/>
    <row r="7578" ht="18.75"/>
    <row r="7579" ht="18.75"/>
    <row r="7580" ht="18.75"/>
    <row r="7581" ht="18.75"/>
    <row r="7582" ht="18.75"/>
    <row r="7583" ht="18.75"/>
    <row r="7584" ht="18.75"/>
    <row r="7585" ht="18.75"/>
    <row r="7586" ht="18.75"/>
    <row r="7587" ht="18.75"/>
    <row r="7588" ht="18.75"/>
    <row r="7589" ht="18.75"/>
    <row r="7590" ht="18.75"/>
    <row r="7591" ht="18.75"/>
    <row r="7592" ht="18.75"/>
    <row r="7593" ht="18.75"/>
    <row r="7594" ht="18.75"/>
    <row r="7595" ht="18.75"/>
    <row r="7596" ht="18.75"/>
    <row r="7597" ht="18.75"/>
    <row r="7598" ht="18.75"/>
    <row r="7599" ht="18.75"/>
    <row r="7600" ht="18.75"/>
    <row r="7601" ht="18.75"/>
    <row r="7602" ht="18.75"/>
    <row r="7603" ht="18.75"/>
    <row r="7604" ht="18.75"/>
    <row r="7605" ht="18.75"/>
    <row r="7606" ht="18.75"/>
    <row r="7607" ht="18.75"/>
    <row r="7608" ht="18.75"/>
    <row r="7609" ht="18.75"/>
    <row r="7610" ht="18.75"/>
    <row r="7611" ht="18.75"/>
    <row r="7612" ht="18.75"/>
    <row r="7613" ht="18.75"/>
    <row r="7614" ht="18.75"/>
    <row r="7615" ht="18.75"/>
    <row r="7616" ht="18.75"/>
    <row r="7617" ht="18.75"/>
    <row r="7618" ht="18.75"/>
    <row r="7619" ht="18.75"/>
    <row r="7620" ht="18.75"/>
    <row r="7621" ht="18.75"/>
    <row r="7622" ht="18.75"/>
    <row r="7623" ht="18.75"/>
    <row r="7624" ht="18.75"/>
    <row r="7625" ht="18.75"/>
    <row r="7626" ht="18.75"/>
    <row r="7627" ht="18.75"/>
    <row r="7628" ht="18.75"/>
    <row r="7629" ht="18.75"/>
    <row r="7630" ht="18.75"/>
    <row r="7631" ht="18.75"/>
    <row r="7632" ht="18.75"/>
    <row r="7633" ht="18.75"/>
    <row r="7634" ht="18.75"/>
    <row r="7635" ht="18.75"/>
    <row r="7636" ht="18.75"/>
    <row r="7637" ht="18.75"/>
    <row r="7638" ht="18.75"/>
    <row r="7639" ht="18.75"/>
    <row r="7640" ht="18.75"/>
    <row r="7641" ht="18.75"/>
    <row r="7642" ht="18.75"/>
    <row r="7643" ht="18.75"/>
    <row r="7644" ht="18.75"/>
    <row r="7645" ht="18.75"/>
    <row r="7646" ht="18.75"/>
    <row r="7647" ht="18.75"/>
    <row r="7648" ht="18.75"/>
    <row r="7649" ht="18.75"/>
    <row r="7650" ht="18.75"/>
    <row r="7651" ht="18.75"/>
    <row r="7652" ht="18.75"/>
    <row r="7653" ht="18.75"/>
    <row r="7654" ht="18.75"/>
    <row r="7655" ht="18.75"/>
    <row r="7656" ht="18.75"/>
    <row r="7657" ht="18.75"/>
    <row r="7658" ht="18.75"/>
    <row r="7659" ht="18.75"/>
    <row r="7660" ht="18.75"/>
    <row r="7661" ht="18.75"/>
    <row r="7662" ht="18.75"/>
    <row r="7663" ht="18.75"/>
    <row r="7664" ht="18.75"/>
    <row r="7665" ht="18.75"/>
    <row r="7666" ht="18.75"/>
    <row r="7667" ht="18.75"/>
    <row r="7668" ht="18.75"/>
    <row r="7669" ht="18.75"/>
    <row r="7670" ht="18.75"/>
    <row r="7671" ht="18.75"/>
    <row r="7672" ht="18.75"/>
    <row r="7673" ht="18.75"/>
    <row r="7674" ht="18.75"/>
    <row r="7675" ht="18.75"/>
    <row r="7676" ht="18.75"/>
    <row r="7677" ht="18.75"/>
    <row r="7678" ht="18.75"/>
    <row r="7679" ht="18.75"/>
    <row r="7680" ht="18.75"/>
    <row r="7681" ht="18.75"/>
    <row r="7682" ht="18.75"/>
    <row r="7683" ht="18.75"/>
    <row r="7684" ht="18.75"/>
    <row r="7685" ht="18.75"/>
    <row r="7686" ht="18.75"/>
    <row r="7687" ht="18.75"/>
    <row r="7688" ht="18.75"/>
    <row r="7689" ht="18.75"/>
    <row r="7690" ht="18.75"/>
    <row r="7691" ht="18.75"/>
    <row r="7692" ht="18.75"/>
    <row r="7693" ht="18.75"/>
    <row r="7694" ht="18.75"/>
    <row r="7695" ht="18.75"/>
    <row r="7696" ht="18.75"/>
    <row r="7697" ht="18.75"/>
    <row r="7698" ht="18.75"/>
    <row r="7699" ht="18.75"/>
    <row r="7700" ht="18.75"/>
    <row r="7701" ht="18.75"/>
    <row r="7702" ht="18.75"/>
    <row r="7703" ht="18.75"/>
    <row r="7704" ht="18.75"/>
    <row r="7705" ht="18.75"/>
    <row r="7706" ht="18.75"/>
    <row r="7707" ht="18.75"/>
    <row r="7708" ht="18.75"/>
    <row r="7709" ht="18.75"/>
    <row r="7710" ht="18.75"/>
    <row r="7711" ht="18.75"/>
    <row r="7712" ht="18.75"/>
    <row r="7713" ht="18.75"/>
    <row r="7714" ht="18.75"/>
    <row r="7715" ht="18.75"/>
    <row r="7716" ht="18.75"/>
    <row r="7717" ht="18.75"/>
    <row r="7718" ht="18.75"/>
    <row r="7719" ht="18.75"/>
    <row r="7720" ht="18.75"/>
    <row r="7721" ht="18.75"/>
    <row r="7722" ht="18.75"/>
    <row r="7723" ht="18.75"/>
    <row r="7724" ht="18.75"/>
    <row r="7725" ht="18.75"/>
    <row r="7726" ht="18.75"/>
    <row r="7727" ht="18.75"/>
    <row r="7728" ht="18.75"/>
    <row r="7729" ht="18.75"/>
    <row r="7730" ht="18.75"/>
    <row r="7731" ht="18.75"/>
    <row r="7732" ht="18.75"/>
    <row r="7733" ht="18.75"/>
    <row r="7734" ht="18.75"/>
    <row r="7735" ht="18.75"/>
    <row r="7736" ht="18.75"/>
    <row r="7737" ht="18.75"/>
    <row r="7738" ht="18.75"/>
    <row r="7739" ht="18.75"/>
    <row r="7740" ht="18.75"/>
    <row r="7741" ht="18.75"/>
    <row r="7742" ht="18.75"/>
    <row r="7743" ht="18.75"/>
    <row r="7744" ht="18.75"/>
    <row r="7745" ht="18.75"/>
    <row r="7746" ht="18.75"/>
    <row r="7747" ht="18.75"/>
    <row r="7748" ht="18.75"/>
    <row r="7749" ht="18.75"/>
    <row r="7750" ht="18.75"/>
    <row r="7751" ht="18.75"/>
    <row r="7752" ht="18.75"/>
    <row r="7753" ht="18.75"/>
    <row r="7754" ht="18.75"/>
    <row r="7755" ht="18.75"/>
    <row r="7756" ht="18.75"/>
    <row r="7757" ht="18.75"/>
    <row r="7758" ht="18.75"/>
    <row r="7759" ht="18.75"/>
    <row r="7760" ht="18.75"/>
    <row r="7761" ht="18.75"/>
    <row r="7762" ht="18.75"/>
    <row r="7763" ht="18.75"/>
    <row r="7764" ht="18.75"/>
    <row r="7765" ht="18.75"/>
    <row r="7766" ht="18.75"/>
    <row r="7767" ht="18.75"/>
    <row r="7768" ht="18.75"/>
    <row r="7769" ht="18.75"/>
    <row r="7770" ht="18.75"/>
    <row r="7771" ht="18.75"/>
    <row r="7772" ht="18.75"/>
    <row r="7773" ht="18.75"/>
    <row r="7774" ht="18.75"/>
    <row r="7775" ht="18.75"/>
    <row r="7776" ht="18.75"/>
    <row r="7777" ht="18.75"/>
    <row r="7778" ht="18.75"/>
    <row r="7779" ht="18.75"/>
    <row r="7780" ht="18.75"/>
    <row r="7781" ht="18.75"/>
    <row r="7782" ht="18.75"/>
    <row r="7783" ht="18.75"/>
    <row r="7784" ht="18.75"/>
    <row r="7785" ht="18.75"/>
    <row r="7786" ht="18.75"/>
    <row r="7787" ht="18.75"/>
    <row r="7788" ht="18.75"/>
    <row r="7789" ht="18.75"/>
    <row r="7790" ht="18.75"/>
    <row r="7791" ht="18.75"/>
    <row r="7792" ht="18.75"/>
    <row r="7793" ht="18.75"/>
    <row r="7794" ht="18.75"/>
    <row r="7795" ht="18.75"/>
    <row r="7796" ht="18.75"/>
    <row r="7797" ht="18.75"/>
    <row r="7798" ht="18.75"/>
    <row r="7799" ht="18.75"/>
    <row r="7800" ht="18.75"/>
    <row r="7801" ht="18.75"/>
    <row r="7802" ht="18.75"/>
    <row r="7803" ht="18.75"/>
    <row r="7804" ht="18.75"/>
    <row r="7805" ht="18.75"/>
    <row r="7806" ht="18.75"/>
    <row r="7807" ht="18.75"/>
    <row r="7808" ht="18.75"/>
    <row r="7809" ht="18.75"/>
    <row r="7810" ht="18.75"/>
    <row r="7811" ht="18.75"/>
    <row r="7812" ht="18.75"/>
    <row r="7813" ht="18.75"/>
    <row r="7814" ht="18.75"/>
    <row r="7815" ht="18.75"/>
    <row r="7816" ht="18.75"/>
    <row r="7817" ht="18.75"/>
    <row r="7818" ht="18.75"/>
    <row r="7819" ht="18.75"/>
    <row r="7820" ht="18.75"/>
    <row r="7821" ht="18.75"/>
    <row r="7822" ht="18.75"/>
    <row r="7823" ht="18.75"/>
    <row r="7824" ht="18.75"/>
    <row r="7825" ht="18.75"/>
    <row r="7826" ht="18.75"/>
    <row r="7827" ht="18.75"/>
    <row r="7828" ht="18.75"/>
    <row r="7829" ht="18.75"/>
    <row r="7830" ht="18.75"/>
    <row r="7831" ht="18.75"/>
    <row r="7832" ht="18.75"/>
    <row r="7833" ht="18.75"/>
    <row r="7834" ht="18.75"/>
    <row r="7835" ht="18.75"/>
    <row r="7836" ht="18.75"/>
    <row r="7837" ht="18.75"/>
    <row r="7838" ht="18.75"/>
    <row r="7839" ht="18.75"/>
    <row r="7840" ht="18.75"/>
    <row r="7841" ht="18.75"/>
    <row r="7842" ht="18.75"/>
    <row r="7843" ht="18.75"/>
    <row r="7844" ht="18.75"/>
    <row r="7845" ht="18.75"/>
    <row r="7846" ht="18.75"/>
    <row r="7847" ht="18.75"/>
    <row r="7848" ht="18.75"/>
    <row r="7849" ht="18.75"/>
    <row r="7850" ht="18.75"/>
    <row r="7851" ht="18.75"/>
    <row r="7852" ht="18.75"/>
    <row r="7853" ht="18.75"/>
    <row r="7854" ht="18.75"/>
    <row r="7855" ht="18.75"/>
    <row r="7856" ht="18.75"/>
    <row r="7857" ht="18.75"/>
    <row r="7858" ht="18.75"/>
    <row r="7859" ht="18.75"/>
    <row r="7860" ht="18.75"/>
    <row r="7861" ht="18.75"/>
    <row r="7862" ht="18.75"/>
    <row r="7863" ht="18.75"/>
    <row r="7864" ht="18.75"/>
    <row r="7865" ht="18.75"/>
    <row r="7866" ht="18.75"/>
    <row r="7867" ht="18.75"/>
    <row r="7868" ht="18.75"/>
    <row r="7869" ht="18.75"/>
    <row r="7870" ht="18.75"/>
    <row r="7871" ht="18.75"/>
    <row r="7872" ht="18.75"/>
    <row r="7873" ht="18.75"/>
    <row r="7874" ht="18.75"/>
    <row r="7875" ht="18.75"/>
    <row r="7876" ht="18.75"/>
    <row r="7877" ht="18.75"/>
    <row r="7878" ht="18.75"/>
    <row r="7879" ht="18.75"/>
    <row r="7880" ht="18.75"/>
    <row r="7881" ht="18.75"/>
    <row r="7882" ht="18.75"/>
    <row r="7883" ht="18.75"/>
    <row r="7884" ht="18.75"/>
    <row r="7885" ht="18.75"/>
    <row r="7886" ht="18.75"/>
    <row r="7887" ht="18.75"/>
    <row r="7888" ht="18.75"/>
    <row r="7889" ht="18.75"/>
    <row r="7890" ht="18.75"/>
    <row r="7891" ht="18.75"/>
    <row r="7892" ht="18.75"/>
    <row r="7893" ht="18.75"/>
    <row r="7894" ht="18.75"/>
    <row r="7895" ht="18.75"/>
    <row r="7896" ht="18.75"/>
    <row r="7897" ht="18.75"/>
    <row r="7898" ht="18.75"/>
    <row r="7899" ht="18.75"/>
    <row r="7900" ht="18.75"/>
    <row r="7901" ht="18.75"/>
    <row r="7902" ht="18.75"/>
    <row r="7903" ht="18.75"/>
    <row r="7904" ht="18.75"/>
    <row r="7905" ht="18.75"/>
    <row r="7906" ht="18.75"/>
    <row r="7907" ht="18.75"/>
    <row r="7908" ht="18.75"/>
    <row r="7909" ht="18.75"/>
    <row r="7910" ht="18.75"/>
    <row r="7911" ht="18.75"/>
    <row r="7912" ht="18.75"/>
    <row r="7913" ht="18.75"/>
    <row r="7914" ht="18.75"/>
    <row r="7915" ht="18.75"/>
    <row r="7916" ht="18.75"/>
    <row r="7917" ht="18.75"/>
    <row r="7918" ht="18.75"/>
    <row r="7919" ht="18.75"/>
    <row r="7920" ht="18.75"/>
    <row r="7921" ht="18.75"/>
    <row r="7922" ht="18.75"/>
    <row r="7923" ht="18.75"/>
    <row r="7924" ht="18.75"/>
    <row r="7925" ht="18.75"/>
    <row r="7926" ht="18.75"/>
    <row r="7927" ht="18.75"/>
    <row r="7928" ht="18.75"/>
    <row r="7929" ht="18.75"/>
    <row r="7930" ht="18.75"/>
    <row r="7931" ht="18.75"/>
    <row r="7932" ht="18.75"/>
    <row r="7933" ht="18.75"/>
    <row r="7934" ht="18.75"/>
    <row r="7935" ht="18.75"/>
    <row r="7936" ht="18.75"/>
    <row r="7937" ht="18.75"/>
    <row r="7938" ht="18.75"/>
    <row r="7939" ht="18.75"/>
    <row r="7940" ht="18.75"/>
    <row r="7941" ht="18.75"/>
    <row r="7942" ht="18.75"/>
    <row r="7943" ht="18.75"/>
    <row r="7944" ht="18.75"/>
    <row r="7945" ht="18.75"/>
    <row r="7946" ht="18.75"/>
    <row r="7947" ht="18.75"/>
    <row r="7948" ht="18.75"/>
    <row r="7949" ht="18.75"/>
    <row r="7950" ht="18.75"/>
    <row r="7951" ht="18.75"/>
    <row r="7952" ht="18.75"/>
    <row r="7953" ht="18.75"/>
    <row r="7954" ht="18.75"/>
    <row r="7955" ht="18.75"/>
    <row r="7956" ht="18.75"/>
    <row r="7957" ht="18.75"/>
    <row r="7958" ht="18.75"/>
    <row r="7959" ht="18.75"/>
    <row r="7960" ht="18.75"/>
    <row r="7961" ht="18.75"/>
    <row r="7962" ht="18.75"/>
    <row r="7963" ht="18.75"/>
    <row r="7964" ht="18.75"/>
    <row r="7965" ht="18.75"/>
    <row r="7966" ht="18.75"/>
    <row r="7967" ht="18.75"/>
    <row r="7968" ht="18.75"/>
    <row r="7969" ht="18.75"/>
    <row r="7970" ht="18.75"/>
    <row r="7971" ht="18.75"/>
    <row r="7972" ht="18.75"/>
    <row r="7973" ht="18.75"/>
    <row r="7974" ht="18.75"/>
    <row r="7975" ht="18.75"/>
    <row r="7976" ht="18.75"/>
    <row r="7977" ht="18.75"/>
    <row r="7978" ht="18.75"/>
    <row r="7979" ht="18.75"/>
    <row r="7980" ht="18.75"/>
    <row r="7981" ht="18.75"/>
    <row r="7982" ht="18.75"/>
    <row r="7983" ht="18.75"/>
    <row r="7984" ht="18.75"/>
    <row r="7985" ht="18.75"/>
    <row r="7986" ht="18.75"/>
    <row r="7987" ht="18.75"/>
    <row r="7988" ht="18.75"/>
    <row r="7989" ht="18.75"/>
    <row r="7990" ht="18.75"/>
    <row r="7991" ht="18.75"/>
    <row r="7992" ht="18.75"/>
    <row r="7993" ht="18.75"/>
    <row r="7994" ht="18.75"/>
    <row r="7995" ht="18.75"/>
    <row r="7996" ht="18.75"/>
    <row r="7997" ht="18.75"/>
    <row r="7998" ht="18.75"/>
    <row r="7999" ht="18.75"/>
    <row r="8000" ht="18.75"/>
    <row r="8001" ht="18.75"/>
    <row r="8002" ht="18.75"/>
    <row r="8003" ht="18.75"/>
    <row r="8004" ht="18.75"/>
    <row r="8005" ht="18.75"/>
    <row r="8006" ht="18.75"/>
    <row r="8007" ht="18.75"/>
    <row r="8008" ht="18.75"/>
    <row r="8009" ht="18.75"/>
    <row r="8010" ht="18.75"/>
    <row r="8011" ht="18.75"/>
    <row r="8012" ht="18.75"/>
    <row r="8013" ht="18.75"/>
    <row r="8014" ht="18.75"/>
    <row r="8015" ht="18.75"/>
    <row r="8016" ht="18.75"/>
    <row r="8017" ht="18.75"/>
    <row r="8018" ht="18.75"/>
    <row r="8019" ht="18.75"/>
    <row r="8020" ht="18.75"/>
    <row r="8021" ht="18.75"/>
    <row r="8022" ht="18.75"/>
    <row r="8023" ht="18.75"/>
    <row r="8024" ht="18.75"/>
    <row r="8025" ht="18.75"/>
    <row r="8026" ht="18.75"/>
    <row r="8027" ht="18.75"/>
    <row r="8028" ht="18.75"/>
    <row r="8029" ht="18.75"/>
    <row r="8030" ht="18.75"/>
    <row r="8031" ht="18.75"/>
    <row r="8032" ht="18.75"/>
    <row r="8033" ht="18.75"/>
    <row r="8034" ht="18.75"/>
    <row r="8035" ht="18.75"/>
    <row r="8036" ht="18.75"/>
    <row r="8037" ht="18.75"/>
    <row r="8038" ht="18.75"/>
    <row r="8039" ht="18.75"/>
    <row r="8040" ht="18.75"/>
    <row r="8041" ht="18.75"/>
    <row r="8042" ht="18.75"/>
    <row r="8043" ht="18.75"/>
    <row r="8044" ht="18.75"/>
    <row r="8045" ht="18.75"/>
    <row r="8046" ht="18.75"/>
    <row r="8047" ht="18.75"/>
    <row r="8048" ht="18.75"/>
    <row r="8049" ht="18.75"/>
    <row r="8050" ht="18.75"/>
    <row r="8051" ht="18.75"/>
    <row r="8052" ht="18.75"/>
    <row r="8053" ht="18.75"/>
    <row r="8054" ht="18.75"/>
    <row r="8055" ht="18.75"/>
    <row r="8056" ht="18.75"/>
    <row r="8057" ht="18.75"/>
    <row r="8058" ht="18.75"/>
    <row r="8059" ht="18.75"/>
    <row r="8060" ht="18.75"/>
    <row r="8061" ht="18.75"/>
    <row r="8062" ht="18.75"/>
    <row r="8063" ht="18.75"/>
    <row r="8064" ht="18.75"/>
    <row r="8065" ht="18.75"/>
    <row r="8066" ht="18.75"/>
    <row r="8067" ht="18.75"/>
    <row r="8068" ht="18.75"/>
    <row r="8069" ht="18.75"/>
    <row r="8070" ht="18.75"/>
    <row r="8071" ht="18.75"/>
    <row r="8072" ht="18.75"/>
    <row r="8073" ht="18.75"/>
    <row r="8074" ht="18.75"/>
    <row r="8075" ht="18.75"/>
    <row r="8076" ht="18.75"/>
    <row r="8077" ht="18.75"/>
    <row r="8078" ht="18.75"/>
    <row r="8079" ht="18.75"/>
    <row r="8080" ht="18.75"/>
    <row r="8081" ht="18.75"/>
    <row r="8082" ht="18.75"/>
    <row r="8083" ht="18.75"/>
    <row r="8084" ht="18.75"/>
    <row r="8085" ht="18.75"/>
    <row r="8086" ht="18.75"/>
    <row r="8087" ht="18.75"/>
    <row r="8088" ht="18.75"/>
    <row r="8089" ht="18.75"/>
    <row r="8090" ht="18.75"/>
    <row r="8091" ht="18.75"/>
    <row r="8092" ht="18.75"/>
    <row r="8093" ht="18.75"/>
    <row r="8094" ht="18.75"/>
    <row r="8095" ht="18.75"/>
    <row r="8096" ht="18.75"/>
    <row r="8097" ht="18.75"/>
    <row r="8098" ht="18.75"/>
    <row r="8099" ht="18.75"/>
    <row r="8100" ht="18.75"/>
    <row r="8101" ht="18.75"/>
    <row r="8102" ht="18.75"/>
    <row r="8103" ht="18.75"/>
    <row r="8104" ht="18.75"/>
    <row r="8105" ht="18.75"/>
    <row r="8106" ht="18.75"/>
    <row r="8107" ht="18.75"/>
    <row r="8108" ht="18.75"/>
    <row r="8109" ht="18.75"/>
    <row r="8110" ht="18.75"/>
    <row r="8111" ht="18.75"/>
    <row r="8112" ht="18.75"/>
    <row r="8113" ht="18.75"/>
    <row r="8114" ht="18.75"/>
    <row r="8115" ht="18.75"/>
    <row r="8116" ht="18.75"/>
    <row r="8117" ht="18.75"/>
    <row r="8118" ht="18.75"/>
    <row r="8119" ht="18.75"/>
    <row r="8120" ht="18.75"/>
    <row r="8121" ht="18.75"/>
    <row r="8122" ht="18.75"/>
    <row r="8123" ht="18.75"/>
    <row r="8124" ht="18.75"/>
    <row r="8125" ht="18.75"/>
    <row r="8126" ht="18.75"/>
    <row r="8127" ht="18.75"/>
    <row r="8128" ht="18.75"/>
    <row r="8129" ht="18.75"/>
    <row r="8130" ht="18.75"/>
    <row r="8131" ht="18.75"/>
    <row r="8132" ht="18.75"/>
    <row r="8133" ht="18.75"/>
    <row r="8134" ht="18.75"/>
    <row r="8135" ht="18.75"/>
    <row r="8136" ht="18.75"/>
    <row r="8137" ht="18.75"/>
    <row r="8138" ht="18.75"/>
    <row r="8139" ht="18.75"/>
    <row r="8140" ht="18.75"/>
    <row r="8141" ht="18.75"/>
    <row r="8142" ht="18.75"/>
    <row r="8143" ht="18.75"/>
    <row r="8144" ht="18.75"/>
    <row r="8145" ht="18.75"/>
    <row r="8146" ht="18.75"/>
    <row r="8147" ht="18.75"/>
    <row r="8148" ht="18.75"/>
    <row r="8149" ht="18.75"/>
    <row r="8150" ht="18.75"/>
    <row r="8151" ht="18.75"/>
    <row r="8152" ht="18.75"/>
    <row r="8153" ht="18.75"/>
    <row r="8154" ht="18.75"/>
    <row r="8155" ht="18.75"/>
    <row r="8156" ht="18.75"/>
    <row r="8157" ht="18.75"/>
    <row r="8158" ht="18.75"/>
    <row r="8159" ht="18.75"/>
    <row r="8160" ht="18.75"/>
    <row r="8161" ht="18.75"/>
    <row r="8162" ht="18.75"/>
    <row r="8163" ht="18.75"/>
    <row r="8164" ht="18.75"/>
    <row r="8165" ht="18.75"/>
    <row r="8166" ht="18.75"/>
    <row r="8167" ht="18.75"/>
    <row r="8168" ht="18.75"/>
    <row r="8169" ht="18.75"/>
    <row r="8170" ht="18.75"/>
    <row r="8171" ht="18.75"/>
    <row r="8172" ht="18.75"/>
    <row r="8173" ht="18.75"/>
    <row r="8174" ht="18.75"/>
    <row r="8175" ht="18.75"/>
    <row r="8176" ht="18.75"/>
    <row r="8177" ht="18.75"/>
    <row r="8178" ht="18.75"/>
    <row r="8179" ht="18.75"/>
    <row r="8180" ht="18.75"/>
    <row r="8181" ht="18.75"/>
    <row r="8182" ht="18.75"/>
    <row r="8183" ht="18.75"/>
    <row r="8184" ht="18.75"/>
    <row r="8185" ht="18.75"/>
    <row r="8186" ht="18.75"/>
    <row r="8187" ht="18.75"/>
    <row r="8188" ht="18.75"/>
    <row r="8189" ht="18.75"/>
    <row r="8190" ht="18.75"/>
    <row r="8191" ht="18.75"/>
    <row r="8192" ht="18.75"/>
    <row r="8193" ht="18.75"/>
    <row r="8194" ht="18.75"/>
    <row r="8195" ht="18.75"/>
    <row r="8196" ht="18.75"/>
    <row r="8197" ht="18.75"/>
    <row r="8198" ht="18.75"/>
    <row r="8199" ht="18.75"/>
    <row r="8200" ht="18.75"/>
    <row r="8201" ht="18.75"/>
    <row r="8202" ht="18.75"/>
    <row r="8203" ht="18.75"/>
    <row r="8204" ht="18.75"/>
    <row r="8205" ht="18.75"/>
    <row r="8206" ht="18.75"/>
    <row r="8207" ht="18.75"/>
    <row r="8208" ht="18.75"/>
    <row r="8209" ht="18.75"/>
    <row r="8210" ht="18.75"/>
    <row r="8211" ht="18.75"/>
    <row r="8212" ht="18.75"/>
    <row r="8213" ht="18.75"/>
    <row r="8214" ht="18.75"/>
    <row r="8215" ht="18.75"/>
    <row r="8216" ht="18.75"/>
    <row r="8217" ht="18.75"/>
    <row r="8218" ht="18.75"/>
    <row r="8219" ht="18.75"/>
    <row r="8220" ht="18.75"/>
    <row r="8221" ht="18.75"/>
    <row r="8222" ht="18.75"/>
    <row r="8223" ht="18.75"/>
    <row r="8224" ht="18.75"/>
    <row r="8225" ht="18.75"/>
    <row r="8226" ht="18.75"/>
    <row r="8227" ht="18.75"/>
    <row r="8228" ht="18.75"/>
    <row r="8229" ht="18.75"/>
    <row r="8230" ht="18.75"/>
    <row r="8231" ht="18.75"/>
    <row r="8232" ht="18.75"/>
    <row r="8233" ht="18.75"/>
    <row r="8234" ht="18.75"/>
    <row r="8235" ht="18.75"/>
    <row r="8236" ht="18.75"/>
    <row r="8237" ht="18.75"/>
    <row r="8238" ht="18.75"/>
    <row r="8239" ht="18.75"/>
    <row r="8240" ht="18.75"/>
    <row r="8241" ht="18.75"/>
    <row r="8242" ht="18.75"/>
    <row r="8243" ht="18.75"/>
    <row r="8244" ht="18.75"/>
    <row r="8245" ht="18.75"/>
    <row r="8246" ht="18.75"/>
    <row r="8247" ht="18.75"/>
    <row r="8248" ht="18.75"/>
    <row r="8249" ht="18.75"/>
    <row r="8250" ht="18.75"/>
    <row r="8251" ht="18.75"/>
    <row r="8252" ht="18.75"/>
    <row r="8253" ht="18.75"/>
    <row r="8254" ht="18.75"/>
    <row r="8255" ht="18.75"/>
    <row r="8256" ht="18.75"/>
    <row r="8257" ht="18.75"/>
    <row r="8258" ht="18.75"/>
    <row r="8259" ht="18.75"/>
    <row r="8260" ht="18.75"/>
    <row r="8261" ht="18.75"/>
    <row r="8262" ht="18.75"/>
    <row r="8263" ht="18.75"/>
    <row r="8264" ht="18.75"/>
    <row r="8265" ht="18.75"/>
    <row r="8266" ht="18.75"/>
    <row r="8267" ht="18.75"/>
    <row r="8268" ht="18.75"/>
    <row r="8269" ht="18.75"/>
    <row r="8270" ht="18.75"/>
    <row r="8271" ht="18.75"/>
    <row r="8272" ht="18.75"/>
    <row r="8273" ht="18.75"/>
    <row r="8274" ht="18.75"/>
    <row r="8275" ht="18.75"/>
    <row r="8276" ht="18.75"/>
    <row r="8277" ht="18.75"/>
    <row r="8278" ht="18.75"/>
    <row r="8279" ht="18.75"/>
    <row r="8280" ht="18.75"/>
    <row r="8281" ht="18.75"/>
    <row r="8282" ht="18.75"/>
    <row r="8283" ht="18.75"/>
    <row r="8284" ht="18.75"/>
    <row r="8285" ht="18.75"/>
    <row r="8286" ht="18.75"/>
    <row r="8287" ht="18.75"/>
    <row r="8288" ht="18.75"/>
    <row r="8289" ht="18.75"/>
    <row r="8290" ht="18.75"/>
    <row r="8291" ht="18.75"/>
    <row r="8292" ht="18.75"/>
    <row r="8293" ht="18.75"/>
    <row r="8294" ht="18.75"/>
    <row r="8295" ht="18.75"/>
    <row r="8296" ht="18.75"/>
    <row r="8297" ht="18.75"/>
    <row r="8298" ht="18.75"/>
    <row r="8299" ht="18.75"/>
    <row r="8300" ht="18.75"/>
    <row r="8301" ht="18.75"/>
    <row r="8302" ht="18.75"/>
    <row r="8303" ht="18.75"/>
    <row r="8304" ht="18.75"/>
    <row r="8305" ht="18.75"/>
    <row r="8306" ht="18.75"/>
    <row r="8307" ht="18.75"/>
    <row r="8308" ht="18.75"/>
    <row r="8309" ht="18.75"/>
    <row r="8310" ht="18.75"/>
    <row r="8311" ht="18.75"/>
    <row r="8312" ht="18.75"/>
    <row r="8313" ht="18.75"/>
    <row r="8314" ht="18.75"/>
    <row r="8315" ht="18.75"/>
    <row r="8316" ht="18.75"/>
    <row r="8317" ht="18.75"/>
    <row r="8318" ht="18.75"/>
    <row r="8319" ht="18.75"/>
    <row r="8320" ht="18.75"/>
    <row r="8321" ht="18.75"/>
    <row r="8322" ht="18.75"/>
    <row r="8323" ht="18.75"/>
    <row r="8324" ht="18.75"/>
    <row r="8325" ht="18.75"/>
    <row r="8326" ht="18.75"/>
    <row r="8327" ht="18.75"/>
    <row r="8328" ht="18.75"/>
    <row r="8329" ht="18.75"/>
    <row r="8330" ht="18.75"/>
    <row r="8331" ht="18.75"/>
    <row r="8332" ht="18.75"/>
    <row r="8333" ht="18.75"/>
    <row r="8334" ht="18.75"/>
    <row r="8335" ht="18.75"/>
    <row r="8336" ht="18.75"/>
    <row r="8337" ht="18.75"/>
    <row r="8338" ht="18.75"/>
    <row r="8339" ht="18.75"/>
    <row r="8340" ht="18.75"/>
    <row r="8341" ht="18.75"/>
    <row r="8342" ht="18.75"/>
    <row r="8343" ht="18.75"/>
    <row r="8344" ht="18.75"/>
    <row r="8345" ht="18.75"/>
    <row r="8346" ht="18.75"/>
    <row r="8347" ht="18.75"/>
    <row r="8348" ht="18.75"/>
    <row r="8349" ht="18.75"/>
    <row r="8350" ht="18.75"/>
    <row r="8351" ht="18.75"/>
    <row r="8352" ht="18.75"/>
    <row r="8353" ht="18.75"/>
    <row r="8354" ht="18.75"/>
    <row r="8355" ht="18.75"/>
    <row r="8356" ht="18.75"/>
    <row r="8357" ht="18.75"/>
    <row r="8358" ht="18.75"/>
    <row r="8359" ht="18.75"/>
    <row r="8360" ht="18.75"/>
    <row r="8361" ht="18.75"/>
    <row r="8362" ht="18.75"/>
    <row r="8363" ht="18.75"/>
    <row r="8364" ht="18.75"/>
    <row r="8365" ht="18.75"/>
    <row r="8366" ht="18.75"/>
    <row r="8367" ht="18.75"/>
    <row r="8368" ht="18.75"/>
    <row r="8369" ht="18.75"/>
    <row r="8370" ht="18.75"/>
    <row r="8371" ht="18.75"/>
    <row r="8372" ht="18.75"/>
    <row r="8373" ht="18.75"/>
    <row r="8374" ht="18.75"/>
    <row r="8375" ht="18.75"/>
    <row r="8376" ht="18.75"/>
    <row r="8377" ht="18.75"/>
    <row r="8378" ht="18.75"/>
    <row r="8379" ht="18.75"/>
    <row r="8380" ht="18.75"/>
    <row r="8381" ht="18.75"/>
    <row r="8382" ht="18.75"/>
    <row r="8383" ht="18.75"/>
    <row r="8384" ht="18.75"/>
    <row r="8385" ht="18.75"/>
    <row r="8386" ht="18.75"/>
    <row r="8387" ht="18.75"/>
    <row r="8388" ht="18.75"/>
    <row r="8389" ht="18.75"/>
    <row r="8390" ht="18.75"/>
    <row r="8391" ht="18.75"/>
    <row r="8392" ht="18.75"/>
    <row r="8393" ht="18.75"/>
    <row r="8394" ht="18.75"/>
    <row r="8395" ht="18.75"/>
    <row r="8396" ht="18.75"/>
    <row r="8397" ht="18.75"/>
    <row r="8398" ht="18.75"/>
    <row r="8399" ht="18.75"/>
    <row r="8400" ht="18.75"/>
    <row r="8401" ht="18.75"/>
    <row r="8402" ht="18.75"/>
    <row r="8403" ht="18.75"/>
    <row r="8404" ht="18.75"/>
    <row r="8405" ht="18.75"/>
    <row r="8406" ht="18.75"/>
    <row r="8407" ht="18.75"/>
    <row r="8408" ht="18.75"/>
    <row r="8409" ht="18.75"/>
    <row r="8410" ht="18.75"/>
    <row r="8411" ht="18.75"/>
    <row r="8412" ht="18.75"/>
    <row r="8413" ht="18.75"/>
    <row r="8414" ht="18.75"/>
    <row r="8415" ht="18.75"/>
    <row r="8416" ht="18.75"/>
    <row r="8417" ht="18.75"/>
    <row r="8418" ht="18.75"/>
    <row r="8419" ht="18.75"/>
    <row r="8420" ht="18.75"/>
    <row r="8421" ht="18.75"/>
    <row r="8422" ht="18.75"/>
    <row r="8423" ht="18.75"/>
    <row r="8424" ht="18.75"/>
    <row r="8425" ht="18.75"/>
    <row r="8426" ht="18.75"/>
    <row r="8427" ht="18.75"/>
    <row r="8428" ht="18.75"/>
    <row r="8429" ht="18.75"/>
    <row r="8430" ht="18.75"/>
    <row r="8431" ht="18.75"/>
    <row r="8432" ht="18.75"/>
    <row r="8433" ht="18.75"/>
    <row r="8434" ht="18.75"/>
    <row r="8435" ht="18.75"/>
    <row r="8436" ht="18.75"/>
    <row r="8437" ht="18.75"/>
    <row r="8438" ht="18.75"/>
    <row r="8439" ht="18.75"/>
    <row r="8440" ht="18.75"/>
    <row r="8441" ht="18.75"/>
    <row r="8442" ht="18.75"/>
    <row r="8443" ht="18.75"/>
    <row r="8444" ht="18.75"/>
    <row r="8445" ht="18.75"/>
    <row r="8446" ht="18.75"/>
    <row r="8447" ht="18.75"/>
    <row r="8448" ht="18.75"/>
    <row r="8449" ht="18.75"/>
    <row r="8450" ht="18.75"/>
    <row r="8451" ht="18.75"/>
    <row r="8452" ht="18.75"/>
    <row r="8453" ht="18.75"/>
    <row r="8454" ht="18.75"/>
    <row r="8455" ht="18.75"/>
    <row r="8456" ht="18.75"/>
    <row r="8457" ht="18.75"/>
    <row r="8458" ht="18.75"/>
    <row r="8459" ht="18.75"/>
    <row r="8460" ht="18.75"/>
    <row r="8461" ht="18.75"/>
    <row r="8462" ht="18.75"/>
    <row r="8463" ht="18.75"/>
    <row r="8464" ht="18.75"/>
    <row r="8465" ht="18.75"/>
    <row r="8466" ht="18.75"/>
    <row r="8467" ht="18.75"/>
    <row r="8468" ht="18.75"/>
    <row r="8469" ht="18.75"/>
    <row r="8470" ht="18.75"/>
    <row r="8471" ht="18.75"/>
    <row r="8472" ht="18.75"/>
    <row r="8473" ht="18.75"/>
    <row r="8474" ht="18.75"/>
    <row r="8475" ht="18.75"/>
    <row r="8476" ht="18.75"/>
    <row r="8477" ht="18.75"/>
    <row r="8478" ht="18.75"/>
    <row r="8479" ht="18.75"/>
    <row r="8480" ht="18.75"/>
    <row r="8481" ht="18.75"/>
    <row r="8482" ht="18.75"/>
    <row r="8483" ht="18.75"/>
    <row r="8484" ht="18.75"/>
    <row r="8485" ht="18.75"/>
    <row r="8486" ht="18.75"/>
    <row r="8487" ht="18.75"/>
    <row r="8488" ht="18.75"/>
    <row r="8489" ht="18.75"/>
    <row r="8490" ht="18.75"/>
    <row r="8491" ht="18.75"/>
    <row r="8492" ht="18.75"/>
    <row r="8493" ht="18.75"/>
    <row r="8494" ht="18.75"/>
    <row r="8495" ht="18.75"/>
    <row r="8496" ht="18.75"/>
    <row r="8497" ht="18.75"/>
    <row r="8498" ht="18.75"/>
    <row r="8499" ht="18.75"/>
    <row r="8500" ht="18.75"/>
    <row r="8501" ht="18.75"/>
    <row r="8502" ht="18.75"/>
    <row r="8503" ht="18.75"/>
    <row r="8504" ht="18.75"/>
    <row r="8505" ht="18.75"/>
    <row r="8506" ht="18.75"/>
    <row r="8507" ht="18.75"/>
    <row r="8508" ht="18.75"/>
    <row r="8509" ht="18.75"/>
    <row r="8510" ht="18.75"/>
    <row r="8511" ht="18.75"/>
    <row r="8512" ht="18.75"/>
    <row r="8513" ht="18.75"/>
    <row r="8514" ht="18.75"/>
    <row r="8515" ht="18.75"/>
    <row r="8516" ht="18.75"/>
    <row r="8517" ht="18.75"/>
    <row r="8518" ht="18.75"/>
    <row r="8519" ht="18.75"/>
    <row r="8520" ht="18.75"/>
    <row r="8521" ht="18.75"/>
    <row r="8522" ht="18.75"/>
    <row r="8523" ht="18.75"/>
    <row r="8524" ht="18.75"/>
    <row r="8525" ht="18.75"/>
    <row r="8526" ht="18.75"/>
    <row r="8527" ht="18.75"/>
    <row r="8528" ht="18.75"/>
    <row r="8529" ht="18.75"/>
    <row r="8530" ht="18.75"/>
    <row r="8531" ht="18.75"/>
    <row r="8532" ht="18.75"/>
    <row r="8533" ht="18.75"/>
    <row r="8534" ht="18.75"/>
    <row r="8535" ht="18.75"/>
    <row r="8536" ht="18.75"/>
    <row r="8537" ht="18.75"/>
    <row r="8538" ht="18.75"/>
    <row r="8539" ht="18.75"/>
    <row r="8540" ht="18.75"/>
    <row r="8541" ht="18.75"/>
    <row r="8542" ht="18.75"/>
    <row r="8543" ht="18.75"/>
    <row r="8544" ht="18.75"/>
    <row r="8545" ht="18.75"/>
    <row r="8546" ht="18.75"/>
    <row r="8547" ht="18.75"/>
    <row r="8548" ht="18.75"/>
    <row r="8549" ht="18.75"/>
    <row r="8550" ht="18.75"/>
    <row r="8551" ht="18.75"/>
    <row r="8552" ht="18.75"/>
    <row r="8553" ht="18.75"/>
    <row r="8554" ht="18.75"/>
    <row r="8555" ht="18.75"/>
    <row r="8556" ht="18.75"/>
    <row r="8557" ht="18.75"/>
    <row r="8558" ht="18.75"/>
    <row r="8559" ht="18.75"/>
    <row r="8560" ht="18.75"/>
    <row r="8561" ht="18.75"/>
    <row r="8562" ht="18.75"/>
    <row r="8563" ht="18.75"/>
    <row r="8564" ht="18.75"/>
    <row r="8565" ht="18.75"/>
    <row r="8566" ht="18.75"/>
    <row r="8567" ht="18.75"/>
    <row r="8568" ht="18.75"/>
    <row r="8569" ht="18.75"/>
    <row r="8570" ht="18.75"/>
    <row r="8571" ht="18.75"/>
    <row r="8572" ht="18.75"/>
    <row r="8573" ht="18.75"/>
    <row r="8574" ht="18.75"/>
    <row r="8575" ht="18.75"/>
    <row r="8576" ht="18.75"/>
    <row r="8577" ht="18.75"/>
    <row r="8578" ht="18.75"/>
    <row r="8579" ht="18.75"/>
    <row r="8580" ht="18.75"/>
    <row r="8581" ht="18.75"/>
    <row r="8582" ht="18.75"/>
    <row r="8583" ht="18.75"/>
    <row r="8584" ht="18.75"/>
    <row r="8585" ht="18.75"/>
    <row r="8586" ht="18.75"/>
    <row r="8587" ht="18.75"/>
    <row r="8588" ht="18.75"/>
    <row r="8589" ht="18.75"/>
    <row r="8590" ht="18.75"/>
    <row r="8591" ht="18.75"/>
    <row r="8592" ht="18.75"/>
    <row r="8593" ht="18.75"/>
    <row r="8594" ht="18.75"/>
    <row r="8595" ht="18.75"/>
    <row r="8596" ht="18.75"/>
    <row r="8597" ht="18.75"/>
    <row r="8598" ht="18.75"/>
    <row r="8599" ht="18.75"/>
    <row r="8600" ht="18.75"/>
    <row r="8601" ht="18.75"/>
    <row r="8602" ht="18.75"/>
    <row r="8603" ht="18.75"/>
    <row r="8604" ht="18.75"/>
    <row r="8605" ht="18.75"/>
    <row r="8606" ht="18.75"/>
    <row r="8607" ht="18.75"/>
    <row r="8608" ht="18.75"/>
    <row r="8609" ht="18.75"/>
    <row r="8610" ht="18.75"/>
    <row r="8611" ht="18.75"/>
    <row r="8612" ht="18.75"/>
    <row r="8613" ht="18.75"/>
    <row r="8614" ht="18.75"/>
    <row r="8615" ht="18.75"/>
    <row r="8616" ht="18.75"/>
    <row r="8617" ht="18.75"/>
    <row r="8618" ht="18.75"/>
    <row r="8619" ht="18.75"/>
    <row r="8620" ht="18.75"/>
    <row r="8621" ht="18.75"/>
    <row r="8622" ht="18.75"/>
    <row r="8623" ht="18.75"/>
    <row r="8624" ht="18.75"/>
    <row r="8625" ht="18.75"/>
    <row r="8626" ht="18.75"/>
    <row r="8627" ht="18.75"/>
    <row r="8628" ht="18.75"/>
    <row r="8629" ht="18.75"/>
    <row r="8630" ht="18.75"/>
    <row r="8631" ht="18.75"/>
    <row r="8632" ht="18.75"/>
    <row r="8633" ht="18.75"/>
    <row r="8634" ht="18.75"/>
    <row r="8635" ht="18.75"/>
    <row r="8636" ht="18.75"/>
    <row r="8637" ht="18.75"/>
    <row r="8638" ht="18.75"/>
    <row r="8639" ht="18.75"/>
    <row r="8640" ht="18.75"/>
    <row r="8641" ht="18.75"/>
    <row r="8642" ht="18.75"/>
    <row r="8643" ht="18.75"/>
    <row r="8644" ht="18.75"/>
    <row r="8645" ht="18.75"/>
    <row r="8646" ht="18.75"/>
    <row r="8647" ht="18.75"/>
    <row r="8648" ht="18.75"/>
    <row r="8649" ht="18.75"/>
    <row r="8650" ht="18.75"/>
    <row r="8651" ht="18.75"/>
    <row r="8652" ht="18.75"/>
    <row r="8653" ht="18.75"/>
    <row r="8654" ht="18.75"/>
    <row r="8655" ht="18.75"/>
    <row r="8656" ht="18.75"/>
    <row r="8657" ht="18.75"/>
    <row r="8658" ht="18.75"/>
    <row r="8659" ht="18.75"/>
    <row r="8660" ht="18.75"/>
    <row r="8661" ht="18.75"/>
    <row r="8662" ht="18.75"/>
    <row r="8663" ht="18.75"/>
    <row r="8664" ht="18.75"/>
    <row r="8665" ht="18.75"/>
    <row r="8666" ht="18.75"/>
    <row r="8667" ht="18.75"/>
    <row r="8668" ht="18.75"/>
    <row r="8669" ht="18.75"/>
    <row r="8670" ht="18.75"/>
    <row r="8671" ht="18.75"/>
    <row r="8672" ht="18.75"/>
    <row r="8673" ht="18.75"/>
    <row r="8674" ht="18.75"/>
    <row r="8675" ht="18.75"/>
    <row r="8676" ht="18.75"/>
    <row r="8677" ht="18.75"/>
    <row r="8678" ht="18.75"/>
    <row r="8679" ht="18.75"/>
    <row r="8680" ht="18.75"/>
    <row r="8681" ht="18.75"/>
    <row r="8682" ht="18.75"/>
    <row r="8683" ht="18.75"/>
    <row r="8684" ht="18.75"/>
    <row r="8685" ht="18.75"/>
    <row r="8686" ht="18.75"/>
    <row r="8687" ht="18.75"/>
    <row r="8688" ht="18.75"/>
    <row r="8689" ht="18.75"/>
    <row r="8690" ht="18.75"/>
    <row r="8691" ht="18.75"/>
    <row r="8692" ht="18.75"/>
    <row r="8693" ht="18.75"/>
    <row r="8694" ht="18.75"/>
    <row r="8695" ht="18.75"/>
    <row r="8696" ht="18.75"/>
    <row r="8697" ht="18.75"/>
    <row r="8698" ht="18.75"/>
    <row r="8699" ht="18.75"/>
    <row r="8700" ht="18.75"/>
    <row r="8701" ht="18.75"/>
    <row r="8702" ht="18.75"/>
    <row r="8703" ht="18.75"/>
    <row r="8704" ht="18.75"/>
    <row r="8705" ht="18.75"/>
    <row r="8706" ht="18.75"/>
    <row r="8707" ht="18.75"/>
    <row r="8708" ht="18.75"/>
    <row r="8709" ht="18.75"/>
    <row r="8710" ht="18.75"/>
    <row r="8711" ht="18.75"/>
    <row r="8712" ht="18.75"/>
    <row r="8713" ht="18.75"/>
    <row r="8714" ht="18.75"/>
    <row r="8715" ht="18.75"/>
    <row r="8716" ht="18.75"/>
    <row r="8717" ht="18.75"/>
    <row r="8718" ht="18.75"/>
    <row r="8719" ht="18.75"/>
    <row r="8720" ht="18.75"/>
    <row r="8721" ht="18.75"/>
    <row r="8722" ht="18.75"/>
    <row r="8723" ht="18.75"/>
    <row r="8724" ht="18.75"/>
    <row r="8725" ht="18.75"/>
    <row r="8726" ht="18.75"/>
    <row r="8727" ht="18.75"/>
    <row r="8728" ht="18.75"/>
    <row r="8729" ht="18.75"/>
    <row r="8730" ht="18.75"/>
    <row r="8731" ht="18.75"/>
    <row r="8732" ht="18.75"/>
    <row r="8733" ht="18.75"/>
    <row r="8734" ht="18.75"/>
    <row r="8735" ht="18.75"/>
    <row r="8736" ht="18.75"/>
    <row r="8737" ht="18.75"/>
    <row r="8738" ht="18.75"/>
    <row r="8739" ht="18.75"/>
    <row r="8740" ht="18.75"/>
    <row r="8741" ht="18.75"/>
    <row r="8742" ht="18.75"/>
    <row r="8743" ht="18.75"/>
    <row r="8744" ht="18.75"/>
    <row r="8745" ht="18.75"/>
    <row r="8746" ht="18.75"/>
    <row r="8747" ht="18.75"/>
    <row r="8748" ht="18.75"/>
    <row r="8749" ht="18.75"/>
    <row r="8750" ht="18.75"/>
    <row r="8751" ht="18.75"/>
    <row r="8752" ht="18.75"/>
    <row r="8753" ht="18.75"/>
    <row r="8754" ht="18.75"/>
    <row r="8755" ht="18.75"/>
    <row r="8756" ht="18.75"/>
    <row r="8757" ht="18.75"/>
    <row r="8758" ht="18.75"/>
    <row r="8759" ht="18.75"/>
    <row r="8760" ht="18.75"/>
    <row r="8761" ht="18.75"/>
    <row r="8762" ht="18.75"/>
    <row r="8763" ht="18.75"/>
    <row r="8764" ht="18.75"/>
    <row r="8765" ht="18.75"/>
    <row r="8766" ht="18.75"/>
    <row r="8767" ht="18.75"/>
    <row r="8768" ht="18.75"/>
    <row r="8769" ht="18.75"/>
    <row r="8770" ht="18.75"/>
    <row r="8771" ht="18.75"/>
    <row r="8772" ht="18.75"/>
    <row r="8773" ht="18.75"/>
    <row r="8774" ht="18.75"/>
    <row r="8775" ht="18.75"/>
    <row r="8776" ht="18.75"/>
    <row r="8777" ht="18.75"/>
    <row r="8778" ht="18.75"/>
    <row r="8779" ht="18.75"/>
    <row r="8780" ht="18.75"/>
    <row r="8781" ht="18.75"/>
    <row r="8782" ht="18.75"/>
    <row r="8783" ht="18.75"/>
    <row r="8784" ht="18.75"/>
    <row r="8785" ht="18.75"/>
    <row r="8786" ht="18.75"/>
    <row r="8787" ht="18.75"/>
    <row r="8788" ht="18.75"/>
    <row r="8789" ht="18.75"/>
    <row r="8790" ht="18.75"/>
    <row r="8791" ht="18.75"/>
    <row r="8792" ht="18.75"/>
    <row r="8793" ht="18.75"/>
    <row r="8794" ht="18.75"/>
    <row r="8795" ht="18.75"/>
    <row r="8796" ht="18.75"/>
    <row r="8797" ht="18.75"/>
    <row r="8798" ht="18.75"/>
    <row r="8799" ht="18.75"/>
    <row r="8800" ht="18.75"/>
    <row r="8801" ht="18.75"/>
    <row r="8802" ht="18.75"/>
    <row r="8803" ht="18.75"/>
    <row r="8804" ht="18.75"/>
    <row r="8805" ht="18.75"/>
    <row r="8806" ht="18.75"/>
    <row r="8807" ht="18.75"/>
    <row r="8808" ht="18.75"/>
    <row r="8809" ht="18.75"/>
    <row r="8810" ht="18.75"/>
    <row r="8811" ht="18.75"/>
    <row r="8812" ht="18.75"/>
    <row r="8813" ht="18.75"/>
    <row r="8814" ht="18.75"/>
    <row r="8815" ht="18.75"/>
    <row r="8816" ht="18.75"/>
    <row r="8817" ht="18.75"/>
    <row r="8818" ht="18.75"/>
    <row r="8819" ht="18.75"/>
    <row r="8820" ht="18.75"/>
    <row r="8821" ht="18.75"/>
    <row r="8822" ht="18.75"/>
    <row r="8823" ht="18.75"/>
    <row r="8824" ht="18.75"/>
    <row r="8825" ht="18.75"/>
    <row r="8826" ht="18.75"/>
    <row r="8827" ht="18.75"/>
    <row r="8828" ht="18.75"/>
    <row r="8829" ht="18.75"/>
    <row r="8830" ht="18.75"/>
    <row r="8831" ht="18.75"/>
    <row r="8832" ht="18.75"/>
    <row r="8833" ht="18.75"/>
    <row r="8834" ht="18.75"/>
    <row r="8835" ht="18.75"/>
    <row r="8836" ht="18.75"/>
    <row r="8837" ht="18.75"/>
    <row r="8838" ht="18.75"/>
    <row r="8839" ht="18.75"/>
    <row r="8840" ht="18.75"/>
    <row r="8841" ht="18.75"/>
    <row r="8842" ht="18.75"/>
    <row r="8843" ht="18.75"/>
    <row r="8844" ht="18.75"/>
    <row r="8845" ht="18.75"/>
    <row r="8846" ht="18.75"/>
    <row r="8847" ht="18.75"/>
    <row r="8848" ht="18.75"/>
    <row r="8849" ht="18.75"/>
    <row r="8850" ht="18.75"/>
    <row r="8851" ht="18.75"/>
    <row r="8852" ht="18.75"/>
    <row r="8853" ht="18.75"/>
    <row r="8854" ht="18.75"/>
    <row r="8855" ht="18.75"/>
    <row r="8856" ht="18.75"/>
    <row r="8857" ht="18.75"/>
    <row r="8858" ht="18.75"/>
    <row r="8859" ht="18.75"/>
    <row r="8860" ht="18.75"/>
    <row r="8861" ht="18.75"/>
    <row r="8862" ht="18.75"/>
    <row r="8863" ht="18.75"/>
    <row r="8864" ht="18.75"/>
    <row r="8865" ht="18.75"/>
    <row r="8866" ht="18.75"/>
    <row r="8867" ht="18.75"/>
    <row r="8868" ht="18.75"/>
    <row r="8869" ht="18.75"/>
    <row r="8870" ht="18.75"/>
    <row r="8871" ht="18.75"/>
    <row r="8872" ht="18.75"/>
    <row r="8873" ht="18.75"/>
    <row r="8874" ht="18.75"/>
    <row r="8875" ht="18.75"/>
    <row r="8876" ht="18.75"/>
    <row r="8877" ht="18.75"/>
    <row r="8878" ht="18.75"/>
    <row r="8879" ht="18.75"/>
    <row r="8880" ht="18.75"/>
    <row r="8881" ht="18.75"/>
    <row r="8882" ht="18.75"/>
    <row r="8883" ht="18.75"/>
    <row r="8884" ht="18.75"/>
    <row r="8885" ht="18.75"/>
    <row r="8886" ht="18.75"/>
    <row r="8887" ht="18.75"/>
    <row r="8888" ht="18.75"/>
    <row r="8889" ht="18.75"/>
    <row r="8890" ht="18.75"/>
    <row r="8891" ht="18.75"/>
    <row r="8892" ht="18.75"/>
    <row r="8893" ht="18.75"/>
    <row r="8894" ht="18.75"/>
    <row r="8895" ht="18.75"/>
    <row r="8896" ht="18.75"/>
    <row r="8897" ht="18.75"/>
    <row r="8898" ht="18.75"/>
    <row r="8899" ht="18.75"/>
    <row r="8900" ht="18.75"/>
    <row r="8901" ht="18.75"/>
    <row r="8902" ht="18.75"/>
    <row r="8903" ht="18.75"/>
    <row r="8904" ht="18.75"/>
    <row r="8905" ht="18.75"/>
    <row r="8906" ht="18.75"/>
    <row r="8907" ht="18.75"/>
    <row r="8908" ht="18.75"/>
    <row r="8909" ht="18.75"/>
    <row r="8910" ht="18.75"/>
    <row r="8911" ht="18.75"/>
    <row r="8912" ht="18.75"/>
    <row r="8913" ht="18.75"/>
    <row r="8914" ht="18.75"/>
    <row r="8915" ht="18.75"/>
    <row r="8916" ht="18.75"/>
    <row r="8917" ht="18.75"/>
    <row r="8918" ht="18.75"/>
    <row r="8919" ht="18.75"/>
    <row r="8920" ht="18.75"/>
    <row r="8921" ht="18.75"/>
    <row r="8922" ht="18.75"/>
    <row r="8923" ht="18.75"/>
    <row r="8924" ht="18.75"/>
    <row r="8925" ht="18.75"/>
    <row r="8926" ht="18.75"/>
    <row r="8927" ht="18.75"/>
    <row r="8928" ht="18.75"/>
    <row r="8929" ht="18.75"/>
    <row r="8930" ht="18.75"/>
    <row r="8931" ht="18.75"/>
    <row r="8932" ht="18.75"/>
    <row r="8933" ht="18.75"/>
    <row r="8934" ht="18.75"/>
    <row r="8935" ht="18.75"/>
    <row r="8936" ht="18.75"/>
    <row r="8937" ht="18.75"/>
    <row r="8938" ht="18.75"/>
    <row r="8939" ht="18.75"/>
    <row r="8940" ht="18.75"/>
    <row r="8941" ht="18.75"/>
    <row r="8942" ht="18.75"/>
    <row r="8943" ht="18.75"/>
    <row r="8944" ht="18.75"/>
    <row r="8945" ht="18.75"/>
    <row r="8946" ht="18.75"/>
    <row r="8947" ht="18.75"/>
    <row r="8948" ht="18.75"/>
    <row r="8949" ht="18.75"/>
    <row r="8950" ht="18.75"/>
    <row r="8951" ht="18.75"/>
    <row r="8952" ht="18.75"/>
    <row r="8953" ht="18.75"/>
    <row r="8954" ht="18.75"/>
    <row r="8955" ht="18.75"/>
    <row r="8956" ht="18.75"/>
    <row r="8957" ht="18.75"/>
    <row r="8958" ht="18.75"/>
    <row r="8959" ht="18.75"/>
    <row r="8960" ht="18.75"/>
    <row r="8961" ht="18.75"/>
    <row r="8962" ht="18.75"/>
    <row r="8963" ht="18.75"/>
    <row r="8964" ht="18.75"/>
    <row r="8965" ht="18.75"/>
    <row r="8966" ht="18.75"/>
    <row r="8967" ht="18.75"/>
    <row r="8968" ht="18.75"/>
    <row r="8969" ht="18.75"/>
    <row r="8970" ht="18.75"/>
    <row r="8971" ht="18.75"/>
    <row r="8972" ht="18.75"/>
    <row r="8973" ht="18.75"/>
    <row r="8974" ht="18.75"/>
    <row r="8975" ht="18.75"/>
    <row r="8976" ht="18.75"/>
    <row r="8977" ht="18.75"/>
    <row r="8978" ht="18.75"/>
    <row r="8979" ht="18.75"/>
    <row r="8980" ht="18.75"/>
    <row r="8981" ht="18.75"/>
    <row r="8982" ht="18.75"/>
    <row r="8983" ht="18.75"/>
    <row r="8984" ht="18.75"/>
    <row r="8985" ht="18.75"/>
    <row r="8986" ht="18.75"/>
    <row r="8987" ht="18.75"/>
    <row r="8988" ht="18.75"/>
    <row r="8989" ht="18.75"/>
    <row r="8990" ht="18.75"/>
    <row r="8991" ht="18.75"/>
    <row r="8992" ht="18.75"/>
    <row r="8993" ht="18.75"/>
    <row r="8994" ht="18.75"/>
    <row r="8995" ht="18.75"/>
    <row r="8996" ht="18.75"/>
    <row r="8997" ht="18.75"/>
    <row r="8998" ht="18.75"/>
    <row r="8999" ht="18.75"/>
    <row r="9000" ht="18.75"/>
    <row r="9001" ht="18.75"/>
    <row r="9002" ht="18.75"/>
    <row r="9003" ht="18.75"/>
    <row r="9004" ht="18.75"/>
    <row r="9005" ht="18.75"/>
    <row r="9006" ht="18.75"/>
    <row r="9007" ht="18.75"/>
    <row r="9008" ht="18.75"/>
    <row r="9009" ht="18.75"/>
    <row r="9010" ht="18.75"/>
    <row r="9011" ht="18.75"/>
    <row r="9012" ht="18.75"/>
    <row r="9013" ht="18.75"/>
    <row r="9014" ht="18.75"/>
    <row r="9015" ht="18.75"/>
    <row r="9016" ht="18.75"/>
    <row r="9017" ht="18.75"/>
    <row r="9018" ht="18.75"/>
    <row r="9019" ht="18.75"/>
    <row r="9020" ht="18.75"/>
    <row r="9021" ht="18.75"/>
    <row r="9022" ht="18.75"/>
    <row r="9023" ht="18.75"/>
    <row r="9024" ht="18.75"/>
    <row r="9025" ht="18.75"/>
    <row r="9026" ht="18.75"/>
    <row r="9027" ht="18.75"/>
    <row r="9028" ht="18.75"/>
    <row r="9029" ht="18.75"/>
    <row r="9030" ht="18.75"/>
    <row r="9031" ht="18.75"/>
    <row r="9032" ht="18.75"/>
    <row r="9033" ht="18.75"/>
    <row r="9034" ht="18.75"/>
    <row r="9035" ht="18.75"/>
    <row r="9036" ht="18.75"/>
    <row r="9037" ht="18.75"/>
    <row r="9038" ht="18.75"/>
    <row r="9039" ht="18.75"/>
    <row r="9040" ht="18.75"/>
    <row r="9041" ht="18.75"/>
    <row r="9042" ht="18.75"/>
    <row r="9043" ht="18.75"/>
    <row r="9044" ht="18.75"/>
    <row r="9045" ht="18.75"/>
    <row r="9046" ht="18.75"/>
    <row r="9047" ht="18.75"/>
    <row r="9048" ht="18.75"/>
    <row r="9049" ht="18.75"/>
    <row r="9050" ht="18.75"/>
    <row r="9051" ht="18.75"/>
    <row r="9052" ht="18.75"/>
    <row r="9053" ht="18.75"/>
    <row r="9054" ht="18.75"/>
    <row r="9055" ht="18.75"/>
    <row r="9056" ht="18.75"/>
    <row r="9057" ht="18.75"/>
    <row r="9058" ht="18.75"/>
    <row r="9059" ht="18.75"/>
    <row r="9060" ht="18.75"/>
    <row r="9061" ht="18.75"/>
    <row r="9062" ht="18.75"/>
    <row r="9063" ht="18.75"/>
    <row r="9064" ht="18.75"/>
    <row r="9065" ht="18.75"/>
    <row r="9066" ht="18.75"/>
    <row r="9067" ht="18.75"/>
    <row r="9068" ht="18.75"/>
    <row r="9069" ht="18.75"/>
    <row r="9070" ht="18.75"/>
    <row r="9071" ht="18.75"/>
    <row r="9072" ht="18.75"/>
    <row r="9073" ht="18.75"/>
    <row r="9074" ht="18.75"/>
    <row r="9075" ht="18.75"/>
    <row r="9076" ht="18.75"/>
    <row r="9077" ht="18.75"/>
    <row r="9078" ht="18.75"/>
    <row r="9079" ht="18.75"/>
    <row r="9080" ht="18.75"/>
    <row r="9081" ht="18.75"/>
    <row r="9082" ht="18.75"/>
    <row r="9083" ht="18.75"/>
    <row r="9084" ht="18.75"/>
    <row r="9085" ht="18.75"/>
    <row r="9086" ht="18.75"/>
    <row r="9087" ht="18.75"/>
    <row r="9088" ht="18.75"/>
    <row r="9089" ht="18.75"/>
    <row r="9090" ht="18.75"/>
    <row r="9091" ht="18.75"/>
    <row r="9092" ht="18.75"/>
    <row r="9093" ht="18.75"/>
    <row r="9094" ht="18.75"/>
    <row r="9095" ht="18.75"/>
    <row r="9096" ht="18.75"/>
    <row r="9097" ht="18.75"/>
    <row r="9098" ht="18.75"/>
    <row r="9099" ht="18.75"/>
    <row r="9100" ht="18.75"/>
    <row r="9101" ht="18.75"/>
    <row r="9102" ht="18.75"/>
    <row r="9103" ht="18.75"/>
    <row r="9104" ht="18.75"/>
    <row r="9105" ht="18.75"/>
    <row r="9106" ht="18.75"/>
    <row r="9107" ht="18.75"/>
    <row r="9108" ht="18.75"/>
    <row r="9109" ht="18.75"/>
    <row r="9110" ht="18.75"/>
    <row r="9111" ht="18.75"/>
    <row r="9112" ht="18.75"/>
    <row r="9113" ht="18.75"/>
    <row r="9114" ht="18.75"/>
    <row r="9115" ht="18.75"/>
    <row r="9116" ht="18.75"/>
    <row r="9117" ht="18.75"/>
    <row r="9118" ht="18.75"/>
    <row r="9119" ht="18.75"/>
    <row r="9120" ht="18.75"/>
    <row r="9121" ht="18.75"/>
    <row r="9122" ht="18.75"/>
    <row r="9123" ht="18.75"/>
    <row r="9124" ht="18.75"/>
    <row r="9125" ht="18.75"/>
    <row r="9126" ht="18.75"/>
    <row r="9127" ht="18.75"/>
    <row r="9128" ht="18.75"/>
    <row r="9129" ht="18.75"/>
    <row r="9130" ht="18.75"/>
    <row r="9131" ht="18.75"/>
    <row r="9132" ht="18.75"/>
    <row r="9133" ht="18.75"/>
    <row r="9134" ht="18.75"/>
    <row r="9135" ht="18.75"/>
    <row r="9136" ht="18.75"/>
    <row r="9137" ht="18.75"/>
    <row r="9138" ht="18.75"/>
    <row r="9139" ht="18.75"/>
    <row r="9140" ht="18.75"/>
    <row r="9141" ht="18.75"/>
    <row r="9142" ht="18.75"/>
    <row r="9143" ht="18.75"/>
    <row r="9144" ht="18.75"/>
    <row r="9145" ht="18.75"/>
    <row r="9146" ht="18.75"/>
    <row r="9147" ht="18.75"/>
    <row r="9148" ht="18.75"/>
    <row r="9149" ht="18.75"/>
    <row r="9150" ht="18.75"/>
    <row r="9151" ht="18.75"/>
    <row r="9152" ht="18.75"/>
    <row r="9153" ht="18.75"/>
    <row r="9154" ht="18.75"/>
    <row r="9155" ht="18.75"/>
    <row r="9156" ht="18.75"/>
    <row r="9157" ht="18.75"/>
    <row r="9158" ht="18.75"/>
    <row r="9159" ht="18.75"/>
    <row r="9160" ht="18.75"/>
    <row r="9161" ht="18.75"/>
    <row r="9162" ht="18.75"/>
    <row r="9163" ht="18.75"/>
    <row r="9164" ht="18.75"/>
    <row r="9165" ht="18.75"/>
    <row r="9166" ht="18.75"/>
    <row r="9167" ht="18.75"/>
    <row r="9168" ht="18.75"/>
    <row r="9169" ht="18.75"/>
    <row r="9170" ht="18.75"/>
    <row r="9171" ht="18.75"/>
    <row r="9172" ht="18.75"/>
    <row r="9173" ht="18.75"/>
    <row r="9174" ht="18.75"/>
    <row r="9175" ht="18.75"/>
    <row r="9176" ht="18.75"/>
    <row r="9177" ht="18.75"/>
    <row r="9178" ht="18.75"/>
    <row r="9179" ht="18.75"/>
    <row r="9180" ht="18.75"/>
    <row r="9181" ht="18.75"/>
    <row r="9182" ht="18.75"/>
    <row r="9183" ht="18.75"/>
    <row r="9184" ht="18.75"/>
    <row r="9185" ht="18.75"/>
    <row r="9186" ht="18.75"/>
    <row r="9187" ht="18.75"/>
    <row r="9188" ht="18.75"/>
    <row r="9189" ht="18.75"/>
    <row r="9190" ht="18.75"/>
    <row r="9191" ht="18.75"/>
    <row r="9192" ht="18.75"/>
    <row r="9193" ht="18.75"/>
    <row r="9194" ht="18.75"/>
    <row r="9195" ht="18.75"/>
    <row r="9196" ht="18.75"/>
    <row r="9197" ht="18.75"/>
    <row r="9198" ht="18.75"/>
    <row r="9199" ht="18.75"/>
    <row r="9200" ht="18.75"/>
    <row r="9201" ht="18.75"/>
    <row r="9202" ht="18.75"/>
    <row r="9203" ht="18.75"/>
    <row r="9204" ht="18.75"/>
    <row r="9205" ht="18.75"/>
    <row r="9206" ht="18.75"/>
    <row r="9207" ht="18.75"/>
    <row r="9208" ht="18.75"/>
    <row r="9209" ht="18.75"/>
    <row r="9210" ht="18.75"/>
    <row r="9211" ht="18.75"/>
    <row r="9212" ht="18.75"/>
    <row r="9213" ht="18.75"/>
    <row r="9214" ht="18.75"/>
    <row r="9215" ht="18.75"/>
    <row r="9216" ht="18.75"/>
    <row r="9217" ht="18.75"/>
    <row r="9218" ht="18.75"/>
    <row r="9219" ht="18.75"/>
    <row r="9220" ht="18.75"/>
    <row r="9221" ht="18.75"/>
    <row r="9222" ht="18.75"/>
    <row r="9223" ht="18.75"/>
    <row r="9224" ht="18.75"/>
    <row r="9225" ht="18.75"/>
    <row r="9226" ht="18.75"/>
    <row r="9227" ht="18.75"/>
    <row r="9228" ht="18.75"/>
    <row r="9229" ht="18.75"/>
    <row r="9230" ht="18.75"/>
    <row r="9231" ht="18.75"/>
    <row r="9232" ht="18.75"/>
    <row r="9233" ht="18.75"/>
    <row r="9234" ht="18.75"/>
    <row r="9235" ht="18.75"/>
    <row r="9236" ht="18.75"/>
    <row r="9237" ht="18.75"/>
    <row r="9238" ht="18.75"/>
    <row r="9239" ht="18.75"/>
    <row r="9240" ht="18.75"/>
    <row r="9241" ht="18.75"/>
    <row r="9242" ht="18.75"/>
    <row r="9243" ht="18.75"/>
    <row r="9244" ht="18.75"/>
    <row r="9245" ht="18.75"/>
    <row r="9246" ht="18.75"/>
    <row r="9247" ht="18.75"/>
    <row r="9248" ht="18.75"/>
    <row r="9249" ht="18.75"/>
    <row r="9250" ht="18.75"/>
    <row r="9251" ht="18.75"/>
    <row r="9252" ht="18.75"/>
    <row r="9253" ht="18.75"/>
    <row r="9254" ht="18.75"/>
    <row r="9255" ht="18.75"/>
    <row r="9256" ht="18.75"/>
    <row r="9257" ht="18.75"/>
    <row r="9258" ht="18.75"/>
    <row r="9259" ht="18.75"/>
    <row r="9260" ht="18.75"/>
    <row r="9261" ht="18.75"/>
    <row r="9262" ht="18.75"/>
    <row r="9263" ht="18.75"/>
    <row r="9264" ht="18.75"/>
    <row r="9265" ht="18.75"/>
    <row r="9266" ht="18.75"/>
    <row r="9267" ht="18.75"/>
    <row r="9268" ht="18.75"/>
    <row r="9269" ht="18.75"/>
    <row r="9270" ht="18.75"/>
    <row r="9271" ht="18.75"/>
    <row r="9272" ht="18.75"/>
    <row r="9273" ht="18.75"/>
    <row r="9274" ht="18.75"/>
    <row r="9275" ht="18.75"/>
    <row r="9276" ht="18.75"/>
    <row r="9277" ht="18.75"/>
    <row r="9278" ht="18.75"/>
    <row r="9279" ht="18.75"/>
    <row r="9280" ht="18.75"/>
    <row r="9281" ht="18.75"/>
    <row r="9282" ht="18.75"/>
    <row r="9283" ht="18.75"/>
    <row r="9284" ht="18.75"/>
    <row r="9285" ht="18.75"/>
    <row r="9286" ht="18.75"/>
    <row r="9287" ht="18.75"/>
    <row r="9288" ht="18.75"/>
    <row r="9289" ht="18.75"/>
    <row r="9290" ht="18.75"/>
    <row r="9291" ht="18.75"/>
    <row r="9292" ht="18.75"/>
    <row r="9293" ht="18.75"/>
    <row r="9294" ht="18.75"/>
    <row r="9295" ht="18.75"/>
    <row r="9296" ht="18.75"/>
    <row r="9297" ht="18.75"/>
    <row r="9298" ht="18.75"/>
    <row r="9299" ht="18.75"/>
    <row r="9300" ht="18.75"/>
    <row r="9301" ht="18.75"/>
    <row r="9302" ht="18.75"/>
    <row r="9303" ht="18.75"/>
    <row r="9304" ht="18.75"/>
    <row r="9305" ht="18.75"/>
    <row r="9306" ht="18.75"/>
    <row r="9307" ht="18.75"/>
    <row r="9308" ht="18.75"/>
    <row r="9309" ht="18.75"/>
    <row r="9310" ht="18.75"/>
    <row r="9311" ht="18.75"/>
    <row r="9312" ht="18.75"/>
    <row r="9313" ht="18.75"/>
    <row r="9314" ht="18.75"/>
    <row r="9315" ht="18.75"/>
    <row r="9316" ht="18.75"/>
    <row r="9317" ht="18.75"/>
    <row r="9318" ht="18.75"/>
    <row r="9319" ht="18.75"/>
    <row r="9320" ht="18.75"/>
    <row r="9321" ht="18.75"/>
    <row r="9322" ht="18.75"/>
    <row r="9323" ht="18.75"/>
    <row r="9324" ht="18.75"/>
    <row r="9325" ht="18.75"/>
    <row r="9326" ht="18.75"/>
    <row r="9327" ht="18.75"/>
    <row r="9328" ht="18.75"/>
    <row r="9329" ht="18.75"/>
    <row r="9330" ht="18.75"/>
    <row r="9331" ht="18.75"/>
    <row r="9332" ht="18.75"/>
    <row r="9333" ht="18.75"/>
    <row r="9334" ht="18.75"/>
    <row r="9335" ht="18.75"/>
    <row r="9336" ht="18.75"/>
    <row r="9337" ht="18.75"/>
    <row r="9338" ht="18.75"/>
    <row r="9339" ht="18.75"/>
    <row r="9340" ht="18.75"/>
    <row r="9341" ht="18.75"/>
    <row r="9342" ht="18.75"/>
    <row r="9343" ht="18.75"/>
    <row r="9344" ht="18.75"/>
    <row r="9345" ht="18.75"/>
    <row r="9346" ht="18.75"/>
    <row r="9347" ht="18.75"/>
    <row r="9348" ht="18.75"/>
    <row r="9349" ht="18.75"/>
    <row r="9350" ht="18.75"/>
    <row r="9351" ht="18.75"/>
    <row r="9352" ht="18.75"/>
    <row r="9353" ht="18.75"/>
    <row r="9354" ht="18.75"/>
    <row r="9355" ht="18.75"/>
    <row r="9356" ht="18.75"/>
    <row r="9357" ht="18.75"/>
    <row r="9358" ht="18.75"/>
    <row r="9359" ht="18.75"/>
    <row r="9360" ht="18.75"/>
    <row r="9361" ht="18.75"/>
    <row r="9362" ht="18.75"/>
    <row r="9363" ht="18.75"/>
    <row r="9364" ht="18.75"/>
    <row r="9365" ht="18.75"/>
    <row r="9366" ht="18.75"/>
    <row r="9367" ht="18.75"/>
    <row r="9368" ht="18.75"/>
    <row r="9369" ht="18.75"/>
    <row r="9370" ht="18.75"/>
    <row r="9371" ht="18.75"/>
    <row r="9372" ht="18.75"/>
    <row r="9373" ht="18.75"/>
    <row r="9374" ht="18.75"/>
    <row r="9375" ht="18.75"/>
    <row r="9376" ht="18.75"/>
    <row r="9377" ht="18.75"/>
    <row r="9378" ht="18.75"/>
    <row r="9379" ht="18.75"/>
    <row r="9380" ht="18.75"/>
    <row r="9381" ht="18.75"/>
    <row r="9382" ht="18.75"/>
    <row r="9383" ht="18.75"/>
    <row r="9384" ht="18.75"/>
    <row r="9385" ht="18.75"/>
    <row r="9386" ht="18.75"/>
    <row r="9387" ht="18.75"/>
    <row r="9388" ht="18.75"/>
    <row r="9389" ht="18.75"/>
    <row r="9390" ht="18.75"/>
    <row r="9391" ht="18.75"/>
    <row r="9392" ht="18.75"/>
    <row r="9393" ht="18.75"/>
    <row r="9394" ht="18.75"/>
    <row r="9395" ht="18.75"/>
    <row r="9396" ht="18.75"/>
    <row r="9397" ht="18.75"/>
    <row r="9398" ht="18.75"/>
    <row r="9399" ht="18.75"/>
    <row r="9400" ht="18.75"/>
    <row r="9401" ht="18.75"/>
    <row r="9402" ht="18.75"/>
    <row r="9403" ht="18.75"/>
    <row r="9404" ht="18.75"/>
    <row r="9405" ht="18.75"/>
    <row r="9406" ht="18.75"/>
    <row r="9407" ht="18.75"/>
    <row r="9408" ht="18.75"/>
    <row r="9409" ht="18.75"/>
    <row r="9410" ht="18.75"/>
    <row r="9411" ht="18.75"/>
    <row r="9412" ht="18.75"/>
    <row r="9413" ht="18.75"/>
    <row r="9414" ht="18.75"/>
    <row r="9415" ht="18.75"/>
    <row r="9416" ht="18.75"/>
    <row r="9417" ht="18.75"/>
    <row r="9418" ht="18.75"/>
    <row r="9419" ht="18.75"/>
    <row r="9420" ht="18.75"/>
    <row r="9421" ht="18.75"/>
    <row r="9422" ht="18.75"/>
    <row r="9423" ht="18.75"/>
    <row r="9424" ht="18.75"/>
    <row r="9425" ht="18.75"/>
    <row r="9426" ht="18.75"/>
    <row r="9427" ht="18.75"/>
    <row r="9428" ht="18.75"/>
    <row r="9429" ht="18.75"/>
    <row r="9430" ht="18.75"/>
    <row r="9431" ht="18.75"/>
    <row r="9432" ht="18.75"/>
    <row r="9433" ht="18.75"/>
    <row r="9434" ht="18.75"/>
    <row r="9435" ht="18.75"/>
    <row r="9436" ht="18.75"/>
    <row r="9437" ht="18.75"/>
    <row r="9438" ht="18.75"/>
    <row r="9439" ht="18.75"/>
    <row r="9440" ht="18.75"/>
    <row r="9441" ht="18.75"/>
    <row r="9442" ht="18.75"/>
    <row r="9443" ht="18.75"/>
    <row r="9444" ht="18.75"/>
    <row r="9445" ht="18.75"/>
    <row r="9446" ht="18.75"/>
    <row r="9447" ht="18.75"/>
    <row r="9448" ht="18.75"/>
    <row r="9449" ht="18.75"/>
    <row r="9450" ht="18.75"/>
    <row r="9451" ht="18.75"/>
    <row r="9452" ht="18.75"/>
    <row r="9453" ht="18.75"/>
    <row r="9454" ht="18.75"/>
    <row r="9455" ht="18.75"/>
    <row r="9456" ht="18.75"/>
    <row r="9457" ht="18.75"/>
    <row r="9458" ht="18.75"/>
    <row r="9459" ht="18.75"/>
    <row r="9460" ht="18.75"/>
    <row r="9461" ht="18.75"/>
    <row r="9462" ht="18.75"/>
    <row r="9463" ht="18.75"/>
    <row r="9464" ht="18.75"/>
    <row r="9465" ht="18.75"/>
    <row r="9466" ht="18.75"/>
    <row r="9467" ht="18.75"/>
    <row r="9468" ht="18.75"/>
    <row r="9469" ht="18.75"/>
    <row r="9470" ht="18.75"/>
    <row r="9471" ht="18.75"/>
    <row r="9472" ht="18.75"/>
    <row r="9473" ht="18.75"/>
    <row r="9474" ht="18.75"/>
    <row r="9475" ht="18.75"/>
    <row r="9476" ht="18.75"/>
    <row r="9477" ht="18.75"/>
    <row r="9478" ht="18.75"/>
    <row r="9479" ht="18.75"/>
    <row r="9480" ht="18.75"/>
    <row r="9481" ht="18.75"/>
    <row r="9482" ht="18.75"/>
    <row r="9483" ht="18.75"/>
    <row r="9484" ht="18.75"/>
    <row r="9485" ht="18.75"/>
    <row r="9486" ht="18.75"/>
    <row r="9487" ht="18.75"/>
    <row r="9488" ht="18.75"/>
    <row r="9489" ht="18.75"/>
    <row r="9490" ht="18.75"/>
    <row r="9491" ht="18.75"/>
    <row r="9492" ht="18.75"/>
    <row r="9493" ht="18.75"/>
    <row r="9494" ht="18.75"/>
    <row r="9495" ht="18.75"/>
    <row r="9496" ht="18.75"/>
    <row r="9497" ht="18.75"/>
    <row r="9498" ht="18.75"/>
    <row r="9499" ht="18.75"/>
    <row r="9500" ht="18.75"/>
    <row r="9501" ht="18.75"/>
    <row r="9502" ht="18.75"/>
    <row r="9503" ht="18.75"/>
    <row r="9504" ht="18.75"/>
    <row r="9505" ht="18.75"/>
    <row r="9506" ht="18.75"/>
    <row r="9507" ht="18.75"/>
    <row r="9508" ht="18.75"/>
    <row r="9509" ht="18.75"/>
    <row r="9510" ht="18.75"/>
    <row r="9511" ht="18.75"/>
    <row r="9512" ht="18.75"/>
    <row r="9513" ht="18.75"/>
    <row r="9514" ht="18.75"/>
    <row r="9515" ht="18.75"/>
    <row r="9516" ht="18.75"/>
    <row r="9517" ht="18.75"/>
    <row r="9518" ht="18.75"/>
    <row r="9519" ht="18.75"/>
    <row r="9520" ht="18.75"/>
    <row r="9521" ht="18.75"/>
    <row r="9522" ht="18.75"/>
    <row r="9523" ht="18.75"/>
    <row r="9524" ht="18.75"/>
    <row r="9525" ht="18.75"/>
    <row r="9526" ht="18.75"/>
    <row r="9527" ht="18.75"/>
    <row r="9528" ht="18.75"/>
    <row r="9529" ht="18.75"/>
    <row r="9530" ht="18.75"/>
    <row r="9531" ht="18.75"/>
    <row r="9532" ht="18.75"/>
    <row r="9533" ht="18.75"/>
    <row r="9534" ht="18.75"/>
    <row r="9535" ht="18.75"/>
    <row r="9536" ht="18.75"/>
    <row r="9537" ht="18.75"/>
    <row r="9538" ht="18.75"/>
    <row r="9539" ht="18.75"/>
    <row r="9540" ht="18.75"/>
    <row r="9541" ht="18.75"/>
    <row r="9542" ht="18.75"/>
    <row r="9543" ht="18.75"/>
    <row r="9544" ht="18.75"/>
    <row r="9545" ht="18.75"/>
    <row r="9546" ht="18.75"/>
    <row r="9547" ht="18.75"/>
    <row r="9548" ht="18.75"/>
    <row r="9549" ht="18.75"/>
    <row r="9550" ht="18.75"/>
    <row r="9551" ht="18.75"/>
    <row r="9552" ht="18.75"/>
    <row r="9553" ht="18.75"/>
    <row r="9554" ht="18.75"/>
    <row r="9555" ht="18.75"/>
    <row r="9556" ht="18.75"/>
    <row r="9557" ht="18.75"/>
    <row r="9558" ht="18.75"/>
    <row r="9559" ht="18.75"/>
    <row r="9560" ht="18.75"/>
    <row r="9561" ht="18.75"/>
    <row r="9562" ht="18.75"/>
    <row r="9563" ht="18.75"/>
    <row r="9564" ht="18.75"/>
    <row r="9565" ht="18.75"/>
    <row r="9566" ht="18.75"/>
    <row r="9567" ht="18.75"/>
    <row r="9568" ht="18.75"/>
    <row r="9569" ht="18.75"/>
    <row r="9570" ht="18.75"/>
    <row r="9571" ht="18.75"/>
    <row r="9572" ht="18.75"/>
    <row r="9573" ht="18.75"/>
    <row r="9574" ht="18.75"/>
    <row r="9575" ht="18.75"/>
    <row r="9576" ht="18.75"/>
    <row r="9577" ht="18.75"/>
    <row r="9578" ht="18.75"/>
    <row r="9579" ht="18.75"/>
    <row r="9580" ht="18.75"/>
    <row r="9581" ht="18.75"/>
    <row r="9582" ht="18.75"/>
    <row r="9583" ht="18.75"/>
    <row r="9584" ht="18.75"/>
    <row r="9585" ht="18.75"/>
    <row r="9586" ht="18.75"/>
    <row r="9587" ht="18.75"/>
    <row r="9588" ht="18.75"/>
    <row r="9589" ht="18.75"/>
    <row r="9590" ht="18.75"/>
    <row r="9591" ht="18.75"/>
    <row r="9592" ht="18.75"/>
    <row r="9593" ht="18.75"/>
    <row r="9594" ht="18.75"/>
    <row r="9595" ht="18.75"/>
    <row r="9596" ht="18.75"/>
    <row r="9597" ht="18.75"/>
    <row r="9598" ht="18.75"/>
    <row r="9599" ht="18.75"/>
    <row r="9600" ht="18.75"/>
    <row r="9601" ht="18.75"/>
    <row r="9602" ht="18.75"/>
    <row r="9603" ht="18.75"/>
    <row r="9604" ht="18.75"/>
    <row r="9605" ht="18.75"/>
    <row r="9606" ht="18.75"/>
    <row r="9607" ht="18.75"/>
    <row r="9608" ht="18.75"/>
    <row r="9609" ht="18.75"/>
    <row r="9610" ht="18.75"/>
    <row r="9611" ht="18.75"/>
    <row r="9612" ht="18.75"/>
    <row r="9613" ht="18.75"/>
    <row r="9614" ht="18.75"/>
    <row r="9615" ht="18.75"/>
    <row r="9616" ht="18.75"/>
    <row r="9617" ht="18.75"/>
    <row r="9618" ht="18.75"/>
    <row r="9619" ht="18.75"/>
    <row r="9620" ht="18.75"/>
    <row r="9621" ht="18.75"/>
    <row r="9622" ht="18.75"/>
    <row r="9623" ht="18.75"/>
    <row r="9624" ht="18.75"/>
    <row r="9625" ht="18.75"/>
    <row r="9626" ht="18.75"/>
    <row r="9627" ht="18.75"/>
    <row r="9628" ht="18.75"/>
    <row r="9629" ht="18.75"/>
    <row r="9630" ht="18.75"/>
    <row r="9631" ht="18.75"/>
    <row r="9632" ht="18.75"/>
    <row r="9633" ht="18.75"/>
    <row r="9634" ht="18.75"/>
    <row r="9635" ht="18.75"/>
    <row r="9636" ht="18.75"/>
    <row r="9637" ht="18.75"/>
    <row r="9638" ht="18.75"/>
    <row r="9639" ht="18.75"/>
    <row r="9640" ht="18.75"/>
    <row r="9641" ht="18.75"/>
    <row r="9642" ht="18.75"/>
    <row r="9643" ht="18.75"/>
    <row r="9644" ht="18.75"/>
    <row r="9645" ht="18.75"/>
    <row r="9646" ht="18.75"/>
    <row r="9647" ht="18.75"/>
    <row r="9648" ht="18.75"/>
    <row r="9649" ht="18.75"/>
    <row r="9650" ht="18.75"/>
    <row r="9651" ht="18.75"/>
    <row r="9652" ht="18.75"/>
    <row r="9653" ht="18.75"/>
    <row r="9654" ht="18.75"/>
    <row r="9655" ht="18.75"/>
    <row r="9656" ht="18.75"/>
    <row r="9657" ht="18.75"/>
    <row r="9658" ht="18.75"/>
    <row r="9659" ht="18.75"/>
    <row r="9660" ht="18.75"/>
    <row r="9661" ht="18.75"/>
    <row r="9662" ht="18.75"/>
    <row r="9663" ht="18.75"/>
    <row r="9664" ht="18.75"/>
    <row r="9665" ht="18.75"/>
    <row r="9666" ht="18.75"/>
    <row r="9667" ht="18.75"/>
    <row r="9668" ht="18.75"/>
    <row r="9669" ht="18.75"/>
    <row r="9670" ht="18.75"/>
    <row r="9671" ht="18.75"/>
    <row r="9672" ht="18.75"/>
    <row r="9673" ht="18.75"/>
    <row r="9674" ht="18.75"/>
    <row r="9675" ht="18.75"/>
    <row r="9676" ht="18.75"/>
    <row r="9677" ht="18.75"/>
    <row r="9678" ht="18.75"/>
    <row r="9679" ht="18.75"/>
    <row r="9680" ht="18.75"/>
    <row r="9681" ht="18.75"/>
    <row r="9682" ht="18.75"/>
    <row r="9683" ht="18.75"/>
    <row r="9684" ht="18.75"/>
    <row r="9685" ht="18.75"/>
    <row r="9686" ht="18.75"/>
    <row r="9687" ht="18.75"/>
    <row r="9688" ht="18.75"/>
    <row r="9689" ht="18.75"/>
    <row r="9690" ht="18.75"/>
    <row r="9691" ht="18.75"/>
    <row r="9692" ht="18.75"/>
    <row r="9693" ht="18.75"/>
    <row r="9694" ht="18.75"/>
    <row r="9695" ht="18.75"/>
    <row r="9696" ht="18.75"/>
    <row r="9697" ht="18.75"/>
    <row r="9698" ht="18.75"/>
    <row r="9699" ht="18.75"/>
    <row r="9700" ht="18.75"/>
    <row r="9701" ht="18.75"/>
    <row r="9702" ht="18.75"/>
    <row r="9703" ht="18.75"/>
    <row r="9704" ht="18.75"/>
    <row r="9705" ht="18.75"/>
    <row r="9706" ht="18.75"/>
    <row r="9707" ht="18.75"/>
    <row r="9708" ht="18.75"/>
    <row r="9709" ht="18.75"/>
    <row r="9710" ht="18.75"/>
    <row r="9711" ht="18.75"/>
    <row r="9712" ht="18.75"/>
    <row r="9713" ht="18.75"/>
    <row r="9714" ht="18.75"/>
    <row r="9715" ht="18.75"/>
    <row r="9716" ht="18.75"/>
    <row r="9717" ht="18.75"/>
    <row r="9718" ht="18.75"/>
    <row r="9719" ht="18.75"/>
    <row r="9720" ht="18.75"/>
    <row r="9721" ht="18.75"/>
    <row r="9722" ht="18.75"/>
    <row r="9723" ht="18.75"/>
    <row r="9724" ht="18.75"/>
    <row r="9725" ht="18.75"/>
    <row r="9726" ht="18.75"/>
    <row r="9727" ht="18.75"/>
    <row r="9728" ht="18.75"/>
    <row r="9729" ht="18.75"/>
    <row r="9730" ht="18.75"/>
    <row r="9731" ht="18.75"/>
    <row r="9732" ht="18.75"/>
    <row r="9733" ht="18.75"/>
    <row r="9734" ht="18.75"/>
    <row r="9735" ht="18.75"/>
    <row r="9736" ht="18.75"/>
    <row r="9737" ht="18.75"/>
    <row r="9738" ht="18.75"/>
    <row r="9739" ht="18.75"/>
    <row r="9740" ht="18.75"/>
    <row r="9741" ht="18.75"/>
    <row r="9742" ht="18.75"/>
    <row r="9743" ht="18.75"/>
    <row r="9744" ht="18.75"/>
    <row r="9745" ht="18.75"/>
    <row r="9746" ht="18.75"/>
    <row r="9747" ht="18.75"/>
    <row r="9748" ht="18.75"/>
    <row r="9749" ht="18.75"/>
    <row r="9750" ht="18.75"/>
    <row r="9751" ht="18.75"/>
    <row r="9752" ht="18.75"/>
    <row r="9753" ht="18.75"/>
    <row r="9754" ht="18.75"/>
    <row r="9755" ht="18.75"/>
    <row r="9756" ht="18.75"/>
    <row r="9757" ht="18.75"/>
    <row r="9758" ht="18.75"/>
    <row r="9759" ht="18.75"/>
    <row r="9760" ht="18.75"/>
    <row r="9761" ht="18.75"/>
    <row r="9762" ht="18.75"/>
    <row r="9763" ht="18.75"/>
    <row r="9764" ht="18.75"/>
    <row r="9765" ht="18.75"/>
    <row r="9766" ht="18.75"/>
    <row r="9767" ht="18.75"/>
    <row r="9768" ht="18.75"/>
    <row r="9769" ht="18.75"/>
    <row r="9770" ht="18.75"/>
    <row r="9771" ht="18.75"/>
    <row r="9772" ht="18.75"/>
    <row r="9773" ht="18.75"/>
    <row r="9774" ht="18.75"/>
    <row r="9775" ht="18.75"/>
    <row r="9776" ht="18.75"/>
    <row r="9777" ht="18.75"/>
    <row r="9778" ht="18.75"/>
    <row r="9779" ht="18.75"/>
    <row r="9780" ht="18.75"/>
    <row r="9781" ht="18.75"/>
    <row r="9782" ht="18.75"/>
    <row r="9783" ht="18.75"/>
    <row r="9784" ht="18.75"/>
    <row r="9785" ht="18.75"/>
    <row r="9786" ht="18.75"/>
    <row r="9787" ht="18.75"/>
    <row r="9788" ht="18.75"/>
    <row r="9789" ht="18.75"/>
    <row r="9790" ht="18.75"/>
    <row r="9791" ht="18.75"/>
    <row r="9792" ht="18.75"/>
    <row r="9793" ht="18.75"/>
    <row r="9794" ht="18.75"/>
    <row r="9795" ht="18.75"/>
    <row r="9796" ht="18.75"/>
    <row r="9797" ht="18.75"/>
    <row r="9798" ht="18.75"/>
    <row r="9799" ht="18.75"/>
    <row r="9800" ht="18.75"/>
    <row r="9801" ht="18.75"/>
    <row r="9802" ht="18.75"/>
    <row r="9803" ht="18.75"/>
    <row r="9804" ht="18.75"/>
    <row r="9805" ht="18.75"/>
    <row r="9806" ht="18.75"/>
    <row r="9807" ht="18.75"/>
    <row r="9808" ht="18.75"/>
    <row r="9809" ht="18.75"/>
    <row r="9810" ht="18.75"/>
    <row r="9811" ht="18.75"/>
    <row r="9812" ht="18.75"/>
    <row r="9813" ht="18.75"/>
    <row r="9814" ht="18.75"/>
    <row r="9815" ht="18.75"/>
    <row r="9816" ht="18.75"/>
    <row r="9817" ht="18.75"/>
    <row r="9818" ht="18.75"/>
    <row r="9819" ht="18.75"/>
    <row r="9820" ht="18.75"/>
    <row r="9821" ht="18.75"/>
    <row r="9822" ht="18.75"/>
    <row r="9823" ht="18.75"/>
    <row r="9824" ht="18.75"/>
    <row r="9825" ht="18.75"/>
    <row r="9826" ht="18.75"/>
    <row r="9827" ht="18.75"/>
    <row r="9828" ht="18.75"/>
    <row r="9829" ht="18.75"/>
    <row r="9830" ht="18.75"/>
    <row r="9831" ht="18.75"/>
    <row r="9832" ht="18.75"/>
    <row r="9833" ht="18.75"/>
    <row r="9834" ht="18.75"/>
    <row r="9835" ht="18.75"/>
    <row r="9836" ht="18.75"/>
    <row r="9837" ht="18.75"/>
    <row r="9838" ht="18.75"/>
    <row r="9839" ht="18.75"/>
    <row r="9840" ht="18.75"/>
    <row r="9841" ht="18.75"/>
    <row r="9842" ht="18.75"/>
    <row r="9843" ht="18.75"/>
    <row r="9844" ht="18.75"/>
    <row r="9845" ht="18.75"/>
    <row r="9846" ht="18.75"/>
    <row r="9847" ht="18.75"/>
    <row r="9848" ht="18.75"/>
    <row r="9849" ht="18.75"/>
    <row r="9850" ht="18.75"/>
    <row r="9851" ht="18.75"/>
    <row r="9852" ht="18.75"/>
    <row r="9853" ht="18.75"/>
    <row r="9854" ht="18.75"/>
    <row r="9855" ht="18.75"/>
    <row r="9856" ht="18.75"/>
    <row r="9857" ht="18.75"/>
    <row r="9858" ht="18.75"/>
    <row r="9859" ht="18.75"/>
    <row r="9860" ht="18.75"/>
    <row r="9861" ht="18.75"/>
    <row r="9862" ht="18.75"/>
    <row r="9863" ht="18.75"/>
    <row r="9864" ht="18.75"/>
    <row r="9865" ht="18.75"/>
    <row r="9866" ht="18.75"/>
    <row r="9867" ht="18.75"/>
    <row r="9868" ht="18.75"/>
    <row r="9869" ht="18.75"/>
    <row r="9870" ht="18.75"/>
    <row r="9871" ht="18.75"/>
    <row r="9872" ht="18.75"/>
    <row r="9873" ht="18.75"/>
    <row r="9874" ht="18.75"/>
    <row r="9875" ht="18.75"/>
    <row r="9876" ht="18.75"/>
    <row r="9877" ht="18.75"/>
    <row r="9878" ht="18.75"/>
    <row r="9879" ht="18.75"/>
    <row r="9880" ht="18.75"/>
    <row r="9881" ht="18.75"/>
    <row r="9882" ht="18.75"/>
    <row r="9883" ht="18.75"/>
    <row r="9884" ht="18.75"/>
    <row r="9885" ht="18.75"/>
    <row r="9886" ht="18.75"/>
    <row r="9887" ht="18.75"/>
    <row r="9888" ht="18.75"/>
    <row r="9889" ht="18.75"/>
    <row r="9890" ht="18.75"/>
    <row r="9891" ht="18.75"/>
    <row r="9892" ht="18.75"/>
    <row r="9893" ht="18.75"/>
    <row r="9894" ht="18.75"/>
    <row r="9895" ht="18.75"/>
    <row r="9896" ht="18.75"/>
    <row r="9897" ht="18.75"/>
    <row r="9898" ht="18.75"/>
    <row r="9899" ht="18.75"/>
    <row r="9900" ht="18.75"/>
    <row r="9901" ht="18.75"/>
    <row r="9902" ht="18.75"/>
    <row r="9903" ht="18.75"/>
    <row r="9904" ht="18.75"/>
    <row r="9905" ht="18.75"/>
    <row r="9906" ht="18.75"/>
    <row r="9907" ht="18.75"/>
    <row r="9908" ht="18.75"/>
    <row r="9909" ht="18.75"/>
    <row r="9910" ht="18.75"/>
    <row r="9911" ht="18.75"/>
    <row r="9912" ht="18.75"/>
    <row r="9913" ht="18.75"/>
    <row r="9914" ht="18.75"/>
    <row r="9915" ht="18.75"/>
    <row r="9916" ht="18.75"/>
    <row r="9917" ht="18.75"/>
    <row r="9918" ht="18.75"/>
    <row r="9919" ht="18.75"/>
    <row r="9920" ht="18.75"/>
    <row r="9921" ht="18.75"/>
    <row r="9922" ht="18.75"/>
    <row r="9923" ht="18.75"/>
    <row r="9924" ht="18.75"/>
    <row r="9925" ht="18.75"/>
    <row r="9926" ht="18.75"/>
    <row r="9927" ht="18.75"/>
    <row r="9928" ht="18.75"/>
    <row r="9929" ht="18.75"/>
    <row r="9930" ht="18.75"/>
    <row r="9931" ht="18.75"/>
    <row r="9932" ht="18.75"/>
    <row r="9933" ht="18.75"/>
    <row r="9934" ht="18.75"/>
    <row r="9935" ht="18.75"/>
    <row r="9936" ht="18.75"/>
    <row r="9937" ht="18.75"/>
    <row r="9938" ht="18.75"/>
    <row r="9939" ht="18.75"/>
    <row r="9940" ht="18.75"/>
    <row r="9941" ht="18.75"/>
    <row r="9942" ht="18.75"/>
    <row r="9943" ht="18.75"/>
    <row r="9944" ht="18.75"/>
    <row r="9945" ht="18.75"/>
    <row r="9946" ht="18.75"/>
    <row r="9947" ht="18.75"/>
    <row r="9948" ht="18.75"/>
    <row r="9949" ht="18.75"/>
    <row r="9950" ht="18.75"/>
    <row r="9951" ht="18.75"/>
    <row r="9952" ht="18.75"/>
    <row r="9953" ht="18.75"/>
    <row r="9954" ht="18.75"/>
    <row r="9955" ht="18.75"/>
    <row r="9956" ht="18.75"/>
    <row r="9957" ht="18.75"/>
    <row r="9958" ht="18.75"/>
    <row r="9959" ht="18.75"/>
    <row r="9960" ht="18.75"/>
    <row r="9961" ht="18.75"/>
    <row r="9962" ht="18.75"/>
    <row r="9963" ht="18.75"/>
    <row r="9964" ht="18.75"/>
    <row r="9965" ht="18.75"/>
    <row r="9966" ht="18.75"/>
    <row r="9967" ht="18.75"/>
    <row r="9968" ht="18.75"/>
    <row r="9969" ht="18.75"/>
    <row r="9970" ht="18.75"/>
    <row r="9971" ht="18.75"/>
    <row r="9972" ht="18.75"/>
    <row r="9973" ht="18.75"/>
    <row r="9974" ht="18.75"/>
    <row r="9975" ht="18.75"/>
    <row r="9976" ht="18.75"/>
    <row r="9977" ht="18.75"/>
    <row r="9978" ht="18.75"/>
    <row r="9979" ht="18.75"/>
    <row r="9980" ht="18.75"/>
    <row r="9981" ht="18.75"/>
    <row r="9982" ht="18.75"/>
    <row r="9983" ht="18.75"/>
    <row r="9984" ht="18.75"/>
    <row r="9985" ht="18.75"/>
    <row r="9986" ht="18.75"/>
    <row r="9987" ht="18.75"/>
    <row r="9988" ht="18.75"/>
    <row r="9989" ht="18.75"/>
    <row r="9990" ht="18.75"/>
    <row r="9991" ht="18.75"/>
    <row r="9992" ht="18.75"/>
    <row r="9993" ht="18.75"/>
    <row r="9994" ht="18.75"/>
    <row r="9995" ht="18.75"/>
    <row r="9996" ht="18.75"/>
    <row r="9997" ht="18.75"/>
    <row r="9998" ht="18.75"/>
    <row r="9999" ht="18.75"/>
    <row r="10000" ht="18.75"/>
    <row r="10001" ht="18.75"/>
    <row r="10002" ht="18.75"/>
    <row r="10003" ht="18.75"/>
    <row r="10004" ht="18.75"/>
    <row r="10005" ht="18.75"/>
    <row r="10006" ht="18.75"/>
    <row r="10007" ht="18.75"/>
    <row r="10008" ht="18.75"/>
    <row r="10009" ht="18.75"/>
    <row r="10010" ht="18.75"/>
    <row r="10011" ht="18.75"/>
    <row r="10012" ht="18.75"/>
    <row r="10013" ht="18.75"/>
    <row r="10014" ht="18.75"/>
    <row r="10015" ht="18.75"/>
    <row r="10016" ht="18.75"/>
    <row r="10017" ht="18.75"/>
    <row r="10018" ht="18.75"/>
    <row r="10019" ht="18.75"/>
    <row r="10020" ht="18.75"/>
    <row r="10021" ht="18.75"/>
    <row r="10022" ht="18.75"/>
    <row r="10023" ht="18.75"/>
    <row r="10024" ht="18.75"/>
    <row r="10025" ht="18.75"/>
    <row r="10026" ht="18.75"/>
    <row r="10027" ht="18.75"/>
    <row r="10028" ht="18.75"/>
    <row r="10029" ht="18.75"/>
    <row r="10030" ht="18.75"/>
    <row r="10031" ht="18.75"/>
    <row r="10032" ht="18.75"/>
    <row r="10033" ht="18.75"/>
    <row r="10034" ht="18.75"/>
    <row r="10035" ht="18.75"/>
    <row r="10036" ht="18.75"/>
    <row r="10037" ht="18.75"/>
    <row r="10038" ht="18.75"/>
    <row r="10039" ht="18.75"/>
    <row r="10040" ht="18.75"/>
    <row r="10041" ht="18.75"/>
    <row r="10042" ht="18.75"/>
    <row r="10043" ht="18.75"/>
    <row r="10044" ht="18.75"/>
    <row r="10045" ht="18.75"/>
    <row r="10046" ht="18.75"/>
    <row r="10047" ht="18.75"/>
    <row r="10048" ht="18.75"/>
    <row r="10049" ht="18.75"/>
    <row r="10050" ht="18.75"/>
    <row r="10051" ht="18.75"/>
    <row r="10052" ht="18.75"/>
    <row r="10053" ht="18.75"/>
    <row r="10054" ht="18.75"/>
    <row r="10055" ht="18.75"/>
    <row r="10056" ht="18.75"/>
    <row r="10057" ht="18.75"/>
    <row r="10058" ht="18.75"/>
    <row r="10059" ht="18.75"/>
    <row r="10060" ht="18.75"/>
    <row r="10061" ht="18.75"/>
    <row r="10062" ht="18.75"/>
    <row r="10063" ht="18.75"/>
    <row r="10064" ht="18.75"/>
    <row r="10065" ht="18.75"/>
    <row r="10066" ht="18.75"/>
    <row r="10067" ht="18.75"/>
    <row r="10068" ht="18.75"/>
    <row r="10069" ht="18.75"/>
    <row r="10070" ht="18.75"/>
    <row r="10071" ht="18.75"/>
    <row r="10072" ht="18.75"/>
    <row r="10073" ht="18.75"/>
    <row r="10074" ht="18.75"/>
    <row r="10075" ht="18.75"/>
    <row r="10076" ht="18.75"/>
    <row r="10077" ht="18.75"/>
    <row r="10078" ht="18.75"/>
    <row r="10079" ht="18.75"/>
    <row r="10080" ht="18.75"/>
    <row r="10081" ht="18.75"/>
    <row r="10082" ht="18.75"/>
    <row r="10083" ht="18.75"/>
    <row r="10084" ht="18.75"/>
    <row r="10085" ht="18.75"/>
    <row r="10086" ht="18.75"/>
    <row r="10087" ht="18.75"/>
    <row r="10088" ht="18.75"/>
    <row r="10089" ht="18.75"/>
    <row r="10090" ht="18.75"/>
    <row r="10091" ht="18.75"/>
    <row r="10092" ht="18.75"/>
    <row r="10093" ht="18.75"/>
    <row r="10094" ht="18.75"/>
    <row r="10095" ht="18.75"/>
    <row r="10096" ht="18.75"/>
    <row r="10097" ht="18.75"/>
    <row r="10098" ht="18.75"/>
    <row r="10099" ht="18.75"/>
    <row r="10100" ht="18.75"/>
    <row r="10101" ht="18.75"/>
    <row r="10102" ht="18.75"/>
    <row r="10103" ht="18.75"/>
    <row r="10104" ht="18.75"/>
    <row r="10105" ht="18.75"/>
    <row r="10106" ht="18.75"/>
    <row r="10107" ht="18.75"/>
    <row r="10108" ht="18.75"/>
    <row r="10109" ht="18.75"/>
    <row r="10110" ht="18.75"/>
    <row r="10111" ht="18.75"/>
    <row r="10112" ht="18.75"/>
    <row r="10113" ht="18.75"/>
    <row r="10114" ht="18.75"/>
    <row r="10115" ht="18.75"/>
    <row r="10116" ht="18.75"/>
    <row r="10117" ht="18.75"/>
    <row r="10118" ht="18.75"/>
    <row r="10119" ht="18.75"/>
    <row r="10120" ht="18.75"/>
    <row r="10121" ht="18.75"/>
    <row r="10122" ht="18.75"/>
    <row r="10123" ht="18.75"/>
    <row r="10124" ht="18.75"/>
    <row r="10125" ht="18.75"/>
    <row r="10126" ht="18.75"/>
    <row r="10127" ht="18.75"/>
    <row r="10128" ht="18.75"/>
    <row r="10129" ht="18.75"/>
    <row r="10130" ht="18.75"/>
    <row r="10131" ht="18.75"/>
    <row r="10132" ht="18.75"/>
    <row r="10133" ht="18.75"/>
    <row r="10134" ht="18.75"/>
    <row r="10135" ht="18.75"/>
    <row r="10136" ht="18.75"/>
    <row r="10137" ht="18.75"/>
    <row r="10138" ht="18.75"/>
    <row r="10139" ht="18.75"/>
    <row r="10140" ht="18.75"/>
    <row r="10141" ht="18.75"/>
    <row r="10142" ht="18.75"/>
    <row r="10143" ht="18.75"/>
    <row r="10144" ht="18.75"/>
    <row r="10145" ht="18.75"/>
    <row r="10146" ht="18.75"/>
    <row r="10147" ht="18.75"/>
    <row r="10148" ht="18.75"/>
    <row r="10149" ht="18.75"/>
    <row r="10150" ht="18.75"/>
    <row r="10151" ht="18.75"/>
    <row r="10152" ht="18.75"/>
    <row r="10153" ht="18.75"/>
    <row r="10154" ht="18.75"/>
    <row r="10155" ht="18.75"/>
    <row r="10156" ht="18.75"/>
    <row r="10157" ht="18.75"/>
    <row r="10158" ht="18.75"/>
    <row r="10159" ht="18.75"/>
    <row r="10160" ht="18.75"/>
    <row r="10161" ht="18.75"/>
    <row r="10162" ht="18.75"/>
    <row r="10163" ht="18.75"/>
    <row r="10164" ht="18.75"/>
    <row r="10165" ht="18.75"/>
    <row r="10166" ht="18.75"/>
    <row r="10167" ht="18.75"/>
    <row r="10168" ht="18.75"/>
    <row r="10169" ht="18.75"/>
    <row r="10170" ht="18.75"/>
    <row r="10171" ht="18.75"/>
    <row r="10172" ht="18.75"/>
    <row r="10173" ht="18.75"/>
    <row r="10174" ht="18.75"/>
    <row r="10175" ht="18.75"/>
    <row r="10176" ht="18.75"/>
    <row r="10177" ht="18.75"/>
    <row r="10178" ht="18.75"/>
    <row r="10179" ht="18.75"/>
    <row r="10180" ht="18.75"/>
    <row r="10181" ht="18.75"/>
    <row r="10182" ht="18.75"/>
    <row r="10183" ht="18.75"/>
    <row r="10184" ht="18.75"/>
    <row r="10185" ht="18.75"/>
    <row r="10186" ht="18.75"/>
    <row r="10187" ht="18.75"/>
    <row r="10188" ht="18.75"/>
    <row r="10189" ht="18.75"/>
    <row r="10190" ht="18.75"/>
    <row r="10191" ht="18.75"/>
    <row r="10192" ht="18.75"/>
    <row r="10193" ht="18.75"/>
    <row r="10194" ht="18.75"/>
    <row r="10195" ht="18.75"/>
    <row r="10196" ht="18.75"/>
    <row r="10197" ht="18.75"/>
    <row r="10198" ht="18.75"/>
    <row r="10199" ht="18.75"/>
    <row r="10200" ht="18.75"/>
    <row r="10201" ht="18.75"/>
    <row r="10202" ht="18.75"/>
    <row r="10203" ht="18.75"/>
    <row r="10204" ht="18.75"/>
    <row r="10205" ht="18.75"/>
    <row r="10206" ht="18.75"/>
    <row r="10207" ht="18.75"/>
    <row r="10208" ht="18.75"/>
    <row r="10209" ht="18.75"/>
    <row r="10210" ht="18.75"/>
    <row r="10211" ht="18.75"/>
    <row r="10212" ht="18.75"/>
    <row r="10213" ht="18.75"/>
    <row r="10214" ht="18.75"/>
    <row r="10215" ht="18.75"/>
    <row r="10216" ht="18.75"/>
    <row r="10217" ht="18.75"/>
    <row r="10218" ht="18.75"/>
    <row r="10219" ht="18.75"/>
    <row r="10220" ht="18.75"/>
    <row r="10221" ht="18.75"/>
    <row r="10222" ht="18.75"/>
    <row r="10223" ht="18.75"/>
    <row r="10224" ht="18.75"/>
    <row r="10225" ht="18.75"/>
    <row r="10226" ht="18.75"/>
    <row r="10227" ht="18.75"/>
    <row r="10228" ht="18.75"/>
    <row r="10229" ht="18.75"/>
    <row r="10230" ht="18.75"/>
    <row r="10231" ht="18.75"/>
    <row r="10232" ht="18.75"/>
    <row r="10233" ht="18.75"/>
    <row r="10234" ht="18.75"/>
    <row r="10235" ht="18.75"/>
    <row r="10236" ht="18.75"/>
    <row r="10237" ht="18.75"/>
    <row r="10238" ht="18.75"/>
    <row r="10239" ht="18.75"/>
    <row r="10240" ht="18.75"/>
    <row r="10241" ht="18.75"/>
    <row r="10242" ht="18.75"/>
    <row r="10243" ht="18.75"/>
    <row r="10244" ht="18.75"/>
    <row r="10245" ht="18.75"/>
    <row r="10246" ht="18.75"/>
    <row r="10247" ht="18.75"/>
    <row r="10248" ht="18.75"/>
    <row r="10249" ht="18.75"/>
    <row r="10250" ht="18.75"/>
    <row r="10251" ht="18.75"/>
    <row r="10252" ht="18.75"/>
    <row r="10253" ht="18.75"/>
    <row r="10254" ht="18.75"/>
    <row r="10255" ht="18.75"/>
    <row r="10256" ht="18.75"/>
    <row r="10257" ht="18.75"/>
    <row r="10258" ht="18.75"/>
    <row r="10259" ht="18.75"/>
    <row r="10260" ht="18.75"/>
    <row r="10261" ht="18.75"/>
    <row r="10262" ht="18.75"/>
    <row r="10263" ht="18.75"/>
    <row r="10264" ht="18.75"/>
    <row r="10265" ht="18.75"/>
    <row r="10266" ht="18.75"/>
    <row r="10267" ht="18.75"/>
    <row r="10268" ht="18.75"/>
    <row r="10269" ht="18.75"/>
    <row r="10270" ht="18.75"/>
    <row r="10271" ht="18.75"/>
    <row r="10272" ht="18.75"/>
    <row r="10273" ht="18.75"/>
    <row r="10274" ht="18.75"/>
    <row r="10275" ht="18.75"/>
    <row r="10276" ht="18.75"/>
    <row r="10277" ht="18.75"/>
    <row r="10278" ht="18.75"/>
    <row r="10279" ht="18.75"/>
    <row r="10280" ht="18.75"/>
    <row r="10281" ht="18.75"/>
    <row r="10282" ht="18.75"/>
    <row r="10283" ht="18.75"/>
    <row r="10284" ht="18.75"/>
    <row r="10285" ht="18.75"/>
    <row r="10286" ht="18.75"/>
    <row r="10287" ht="18.75"/>
    <row r="10288" ht="18.75"/>
    <row r="10289" ht="18.75"/>
    <row r="10290" ht="18.75"/>
    <row r="10291" ht="18.75"/>
    <row r="10292" ht="18.75"/>
    <row r="10293" ht="18.75"/>
    <row r="10294" ht="18.75"/>
    <row r="10295" ht="18.75"/>
    <row r="10296" ht="18.75"/>
    <row r="10297" ht="18.75"/>
    <row r="10298" ht="18.75"/>
    <row r="10299" ht="18.75"/>
    <row r="10300" ht="18.75"/>
    <row r="10301" ht="18.75"/>
    <row r="10302" ht="18.75"/>
    <row r="10303" ht="18.75"/>
    <row r="10304" ht="18.75"/>
    <row r="10305" ht="18.75"/>
    <row r="10306" ht="18.75"/>
    <row r="10307" ht="18.75"/>
    <row r="10308" ht="18.75"/>
    <row r="10309" ht="18.75"/>
    <row r="10310" ht="18.75"/>
    <row r="10311" ht="18.75"/>
    <row r="10312" ht="18.75"/>
    <row r="10313" ht="18.75"/>
    <row r="10314" ht="18.75"/>
    <row r="10315" ht="18.75"/>
    <row r="10316" ht="18.75"/>
    <row r="10317" ht="18.75"/>
    <row r="10318" ht="18.75"/>
    <row r="10319" ht="18.75"/>
    <row r="10320" ht="18.75"/>
    <row r="10321" ht="18.75"/>
    <row r="10322" ht="18.75"/>
    <row r="10323" ht="18.75"/>
    <row r="10324" ht="18.75"/>
    <row r="10325" ht="18.75"/>
    <row r="10326" ht="18.75"/>
    <row r="10327" ht="18.75"/>
    <row r="10328" ht="18.75"/>
    <row r="10329" ht="18.75"/>
    <row r="10330" ht="18.75"/>
    <row r="10331" ht="18.75"/>
    <row r="10332" ht="18.75"/>
    <row r="10333" ht="18.75"/>
    <row r="10334" ht="18.75"/>
    <row r="10335" ht="18.75"/>
    <row r="10336" ht="18.75"/>
    <row r="10337" ht="18.75"/>
    <row r="10338" ht="18.75"/>
    <row r="10339" ht="18.75"/>
    <row r="10340" ht="18.75"/>
    <row r="10341" ht="18.75"/>
    <row r="10342" ht="18.75"/>
    <row r="10343" ht="18.75"/>
    <row r="10344" ht="18.75"/>
    <row r="10345" ht="18.75"/>
    <row r="10346" ht="18.75"/>
    <row r="10347" ht="18.75"/>
    <row r="10348" ht="18.75"/>
    <row r="10349" ht="18.75"/>
    <row r="10350" ht="18.75"/>
    <row r="10351" ht="18.75"/>
    <row r="10352" ht="18.75"/>
    <row r="10353" ht="18.75"/>
    <row r="10354" ht="18.75"/>
    <row r="10355" ht="18.75"/>
    <row r="10356" ht="18.75"/>
    <row r="10357" ht="18.75"/>
    <row r="10358" ht="18.75"/>
    <row r="10359" ht="18.75"/>
    <row r="10360" ht="18.75"/>
    <row r="10361" ht="18.75"/>
    <row r="10362" ht="18.75"/>
    <row r="10363" ht="18.75"/>
    <row r="10364" ht="18.75"/>
    <row r="10365" ht="18.75"/>
    <row r="10366" ht="18.75"/>
    <row r="10367" ht="18.75"/>
    <row r="10368" ht="18.75"/>
    <row r="10369" ht="18.75"/>
    <row r="10370" ht="18.75"/>
    <row r="10371" ht="18.75"/>
    <row r="10372" ht="18.75"/>
    <row r="10373" ht="18.75"/>
    <row r="10374" ht="18.75"/>
    <row r="10375" ht="18.75"/>
    <row r="10376" ht="18.75"/>
    <row r="10377" ht="18.75"/>
    <row r="10378" ht="18.75"/>
    <row r="10379" ht="18.75"/>
    <row r="10380" ht="18.75"/>
    <row r="10381" ht="18.75"/>
    <row r="10382" ht="18.75"/>
    <row r="10383" ht="18.75"/>
    <row r="10384" ht="18.75"/>
    <row r="10385" ht="18.75"/>
    <row r="10386" ht="18.75"/>
    <row r="10387" ht="18.75"/>
    <row r="10388" ht="18.75"/>
    <row r="10389" ht="18.75"/>
    <row r="10390" ht="18.75"/>
    <row r="10391" ht="18.75"/>
    <row r="10392" ht="18.75"/>
    <row r="10393" ht="18.75"/>
    <row r="10394" ht="18.75"/>
    <row r="10395" ht="18.75"/>
    <row r="10396" ht="18.75"/>
    <row r="10397" ht="18.75"/>
    <row r="10398" ht="18.75"/>
    <row r="10399" ht="18.75"/>
    <row r="10400" ht="18.75"/>
    <row r="10401" ht="18.75"/>
    <row r="10402" ht="18.75"/>
    <row r="10403" ht="18.75"/>
    <row r="10404" ht="18.75"/>
    <row r="10405" ht="18.75"/>
    <row r="10406" ht="18.75"/>
    <row r="10407" ht="18.75"/>
    <row r="10408" ht="18.75"/>
    <row r="10409" ht="18.75"/>
    <row r="10410" ht="18.75"/>
    <row r="10411" ht="18.75"/>
    <row r="10412" ht="18.75"/>
    <row r="10413" ht="18.75"/>
    <row r="10414" ht="18.75"/>
    <row r="10415" ht="18.75"/>
    <row r="10416" ht="18.75"/>
    <row r="10417" ht="18.75"/>
    <row r="10418" ht="18.75"/>
    <row r="10419" ht="18.75"/>
    <row r="10420" ht="18.75"/>
    <row r="10421" ht="18.75"/>
    <row r="10422" ht="18.75"/>
    <row r="10423" ht="18.75"/>
    <row r="10424" ht="18.75"/>
    <row r="10425" ht="18.75"/>
    <row r="10426" ht="18.75"/>
    <row r="10427" ht="18.75"/>
    <row r="10428" ht="18.75"/>
    <row r="10429" ht="18.75"/>
    <row r="10430" ht="18.75"/>
    <row r="10431" ht="18.75"/>
    <row r="10432" ht="18.75"/>
    <row r="10433" ht="18.75"/>
    <row r="10434" ht="18.75"/>
    <row r="10435" ht="18.75"/>
    <row r="10436" ht="18.75"/>
    <row r="10437" ht="18.75"/>
    <row r="10438" ht="18.75"/>
    <row r="10439" ht="18.75"/>
    <row r="10440" ht="18.75"/>
    <row r="10441" ht="18.75"/>
    <row r="10442" ht="18.75"/>
    <row r="10443" ht="18.75"/>
    <row r="10444" ht="18.75"/>
    <row r="10445" ht="18.75"/>
    <row r="10446" ht="18.75"/>
    <row r="10447" ht="18.75"/>
    <row r="10448" ht="18.75"/>
    <row r="10449" ht="18.75"/>
    <row r="10450" ht="18.75"/>
    <row r="10451" ht="18.75"/>
    <row r="10452" ht="18.75"/>
    <row r="10453" ht="18.75"/>
    <row r="10454" ht="18.75"/>
    <row r="10455" ht="18.75"/>
    <row r="10456" ht="18.75"/>
    <row r="10457" ht="18.75"/>
    <row r="10458" ht="18.75"/>
    <row r="10459" ht="18.75"/>
    <row r="10460" ht="18.75"/>
    <row r="10461" ht="18.75"/>
    <row r="10462" ht="18.75"/>
    <row r="10463" ht="18.75"/>
    <row r="10464" ht="18.75"/>
    <row r="10465" ht="18.75"/>
    <row r="10466" ht="18.75"/>
    <row r="10467" ht="18.75"/>
    <row r="10468" ht="18.75"/>
    <row r="10469" ht="18.75"/>
    <row r="10470" ht="18.75"/>
    <row r="10471" ht="18.75"/>
    <row r="10472" ht="18.75"/>
    <row r="10473" ht="18.75"/>
    <row r="10474" ht="18.75"/>
    <row r="10475" ht="18.75"/>
    <row r="10476" ht="18.75"/>
    <row r="10477" ht="18.75"/>
    <row r="10478" ht="18.75"/>
    <row r="10479" ht="18.75"/>
    <row r="10480" ht="18.75"/>
    <row r="10481" ht="18.75"/>
    <row r="10482" ht="18.75"/>
    <row r="10483" ht="18.75"/>
    <row r="10484" ht="18.75"/>
    <row r="10485" ht="18.75"/>
    <row r="10486" ht="18.75"/>
    <row r="10487" ht="18.75"/>
    <row r="10488" ht="18.75"/>
    <row r="10489" ht="18.75"/>
    <row r="10490" ht="18.75"/>
    <row r="10491" ht="18.75"/>
    <row r="10492" ht="18.75"/>
    <row r="10493" ht="18.75"/>
    <row r="10494" ht="18.75"/>
    <row r="10495" ht="18.75"/>
    <row r="10496" ht="18.75"/>
    <row r="10497" ht="18.75"/>
    <row r="10498" ht="18.75"/>
    <row r="10499" ht="18.75"/>
    <row r="10500" ht="18.75"/>
    <row r="10501" ht="18.75"/>
    <row r="10502" ht="18.75"/>
    <row r="10503" ht="18.75"/>
    <row r="10504" ht="18.75"/>
    <row r="10505" ht="18.75"/>
    <row r="10506" ht="18.75"/>
    <row r="10507" ht="18.75"/>
    <row r="10508" ht="18.75"/>
    <row r="10509" ht="18.75"/>
    <row r="10510" ht="18.75"/>
    <row r="10511" ht="18.75"/>
    <row r="10512" ht="18.75"/>
    <row r="10513" ht="18.75"/>
    <row r="10514" ht="18.75"/>
    <row r="10515" ht="18.75"/>
    <row r="10516" ht="18.75"/>
    <row r="10517" ht="18.75"/>
    <row r="10518" ht="18.75"/>
    <row r="10519" ht="18.75"/>
    <row r="10520" ht="18.75"/>
    <row r="10521" ht="18.75"/>
    <row r="10522" ht="18.75"/>
    <row r="10523" ht="18.75"/>
    <row r="10524" ht="18.75"/>
    <row r="10525" ht="18.75"/>
    <row r="10526" ht="18.75"/>
    <row r="10527" ht="18.75"/>
    <row r="10528" ht="18.75"/>
    <row r="10529" ht="18.75"/>
    <row r="10530" ht="18.75"/>
    <row r="10531" ht="18.75"/>
    <row r="10532" ht="18.75"/>
    <row r="10533" ht="18.75"/>
    <row r="10534" ht="18.75"/>
    <row r="10535" ht="18.75"/>
    <row r="10536" ht="18.75"/>
    <row r="10537" ht="18.75"/>
    <row r="10538" ht="18.75"/>
    <row r="10539" ht="18.75"/>
    <row r="10540" ht="18.75"/>
    <row r="10541" ht="18.75"/>
    <row r="10542" ht="18.75"/>
    <row r="10543" ht="18.75"/>
    <row r="10544" ht="18.75"/>
    <row r="10545" ht="18.75"/>
    <row r="10546" ht="18.75"/>
    <row r="10547" ht="18.75"/>
    <row r="10548" ht="18.75"/>
    <row r="10549" ht="18.75"/>
    <row r="10550" ht="18.75"/>
    <row r="10551" ht="18.75"/>
    <row r="10552" ht="18.75"/>
    <row r="10553" ht="18.75"/>
    <row r="10554" ht="18.75"/>
    <row r="10555" ht="18.75"/>
    <row r="10556" ht="18.75"/>
    <row r="10557" ht="18.75"/>
    <row r="10558" ht="18.75"/>
    <row r="10559" ht="18.75"/>
    <row r="10560" ht="18.75"/>
    <row r="10561" ht="18.75"/>
    <row r="10562" ht="18.75"/>
    <row r="10563" ht="18.75"/>
    <row r="10564" ht="18.75"/>
    <row r="10565" ht="18.75"/>
    <row r="10566" ht="18.75"/>
    <row r="10567" ht="18.75"/>
    <row r="10568" ht="18.75"/>
    <row r="10569" ht="18.75"/>
    <row r="10570" ht="18.75"/>
    <row r="10571" ht="18.75"/>
    <row r="10572" ht="18.75"/>
    <row r="10573" ht="18.75"/>
    <row r="10574" ht="18.75"/>
    <row r="10575" ht="18.75"/>
    <row r="10576" ht="18.75"/>
    <row r="10577" ht="18.75"/>
    <row r="10578" ht="18.75"/>
    <row r="10579" ht="18.75"/>
    <row r="10580" ht="18.75"/>
    <row r="10581" ht="18.75"/>
    <row r="10582" ht="18.75"/>
    <row r="10583" ht="18.75"/>
    <row r="10584" ht="18.75"/>
    <row r="10585" ht="18.75"/>
    <row r="10586" ht="18.75"/>
    <row r="10587" ht="18.75"/>
    <row r="10588" ht="18.75"/>
    <row r="10589" ht="18.75"/>
    <row r="10590" ht="18.75"/>
    <row r="10591" ht="18.75"/>
    <row r="10592" ht="18.75"/>
    <row r="10593" ht="18.75"/>
    <row r="10594" ht="18.75"/>
    <row r="10595" ht="18.75"/>
    <row r="10596" ht="18.75"/>
    <row r="10597" ht="18.75"/>
    <row r="10598" ht="18.75"/>
    <row r="10599" ht="18.75"/>
    <row r="10600" ht="18.75"/>
    <row r="10601" ht="18.75"/>
    <row r="10602" ht="18.75"/>
    <row r="10603" ht="18.75"/>
    <row r="10604" ht="18.75"/>
    <row r="10605" ht="18.75"/>
    <row r="10606" ht="18.75"/>
    <row r="10607" ht="18.75"/>
    <row r="10608" ht="18.75"/>
    <row r="10609" ht="18.75"/>
    <row r="10610" ht="18.75"/>
    <row r="10611" ht="18.75"/>
    <row r="10612" ht="18.75"/>
    <row r="10613" ht="18.75"/>
    <row r="10614" ht="18.75"/>
    <row r="10615" ht="18.75"/>
    <row r="10616" ht="18.75"/>
    <row r="10617" ht="18.75"/>
    <row r="10618" ht="18.75"/>
    <row r="10619" ht="18.75"/>
    <row r="10620" ht="18.75"/>
    <row r="10621" ht="18.75"/>
    <row r="10622" ht="18.75"/>
    <row r="10623" ht="18.75"/>
    <row r="10624" ht="18.75"/>
    <row r="10625" ht="18.75"/>
    <row r="10626" ht="18.75"/>
    <row r="10627" ht="18.75"/>
    <row r="10628" ht="18.75"/>
    <row r="10629" ht="18.75"/>
    <row r="10630" ht="18.75"/>
    <row r="10631" ht="18.75"/>
    <row r="10632" ht="18.75"/>
    <row r="10633" ht="18.75"/>
    <row r="10634" ht="18.75"/>
    <row r="10635" ht="18.75"/>
    <row r="10636" ht="18.75"/>
    <row r="10637" ht="18.75"/>
    <row r="10638" ht="18.75"/>
    <row r="10639" ht="18.75"/>
    <row r="10640" ht="18.75"/>
    <row r="10641" ht="18.75"/>
    <row r="10642" ht="18.75"/>
    <row r="10643" ht="18.75"/>
    <row r="10644" ht="18.75"/>
    <row r="10645" ht="18.75"/>
    <row r="10646" ht="18.75"/>
    <row r="10647" ht="18.75"/>
    <row r="10648" ht="18.75"/>
    <row r="10649" ht="18.75"/>
    <row r="10650" ht="18.75"/>
    <row r="10651" ht="18.75"/>
    <row r="10652" ht="18.75"/>
    <row r="10653" ht="18.75"/>
    <row r="10654" ht="18.75"/>
    <row r="10655" ht="18.75"/>
    <row r="10656" ht="18.75"/>
    <row r="10657" ht="18.75"/>
    <row r="10658" ht="18.75"/>
    <row r="10659" ht="18.75"/>
    <row r="10660" ht="18.75"/>
    <row r="10661" ht="18.75"/>
    <row r="10662" ht="18.75"/>
    <row r="10663" ht="18.75"/>
    <row r="10664" ht="18.75"/>
    <row r="10665" ht="18.75"/>
    <row r="10666" ht="18.75"/>
    <row r="10667" ht="18.75"/>
    <row r="10668" ht="18.75"/>
    <row r="10669" ht="18.75"/>
    <row r="10670" ht="18.75"/>
    <row r="10671" ht="18.75"/>
    <row r="10672" ht="18.75"/>
    <row r="10673" ht="18.75"/>
    <row r="10674" ht="18.75"/>
    <row r="10675" ht="18.75"/>
    <row r="10676" ht="18.75"/>
    <row r="10677" ht="18.75"/>
    <row r="10678" ht="18.75"/>
    <row r="10679" ht="18.75"/>
    <row r="10680" ht="18.75"/>
    <row r="10681" ht="18.75"/>
    <row r="10682" ht="18.75"/>
    <row r="10683" ht="18.75"/>
    <row r="10684" ht="18.75"/>
    <row r="10685" ht="18.75"/>
    <row r="10686" ht="18.75"/>
    <row r="10687" ht="18.75"/>
    <row r="10688" ht="18.75"/>
    <row r="10689" ht="18.75"/>
    <row r="10690" ht="18.75"/>
    <row r="10691" ht="18.75"/>
    <row r="10692" ht="18.75"/>
    <row r="10693" ht="18.75"/>
    <row r="10694" ht="18.75"/>
    <row r="10695" ht="18.75"/>
    <row r="10696" ht="18.75"/>
    <row r="10697" ht="18.75"/>
    <row r="10698" ht="18.75"/>
    <row r="10699" ht="18.75"/>
    <row r="10700" ht="18.75"/>
    <row r="10701" ht="18.75"/>
    <row r="10702" ht="18.75"/>
    <row r="10703" ht="18.75"/>
    <row r="10704" ht="18.75"/>
    <row r="10705" ht="18.75"/>
    <row r="10706" ht="18.75"/>
    <row r="10707" ht="18.75"/>
    <row r="10708" ht="18.75"/>
    <row r="10709" ht="18.75"/>
    <row r="10710" ht="18.75"/>
    <row r="10711" ht="18.75"/>
    <row r="10712" ht="18.75"/>
    <row r="10713" ht="18.75"/>
    <row r="10714" ht="18.75"/>
    <row r="10715" ht="18.75"/>
    <row r="10716" ht="18.75"/>
    <row r="10717" ht="18.75"/>
    <row r="10718" ht="18.75"/>
    <row r="10719" ht="18.75"/>
    <row r="10720" ht="18.75"/>
    <row r="10721" ht="18.75"/>
    <row r="10722" ht="18.75"/>
    <row r="10723" ht="18.75"/>
    <row r="10724" ht="18.75"/>
    <row r="10725" ht="18.75"/>
    <row r="10726" ht="18.75"/>
    <row r="10727" ht="18.75"/>
    <row r="10728" ht="18.75"/>
    <row r="10729" ht="18.75"/>
    <row r="10730" ht="18.75"/>
    <row r="10731" ht="18.75"/>
    <row r="10732" ht="18.75"/>
    <row r="10733" ht="18.75"/>
    <row r="10734" ht="18.75"/>
    <row r="10735" ht="18.75"/>
    <row r="10736" ht="18.75"/>
    <row r="10737" ht="18.75"/>
    <row r="10738" ht="18.75"/>
    <row r="10739" ht="18.75"/>
    <row r="10740" ht="18.75"/>
    <row r="10741" ht="18.75"/>
    <row r="10742" ht="18.75"/>
    <row r="10743" ht="18.75"/>
    <row r="10744" ht="18.75"/>
    <row r="10745" ht="18.75"/>
    <row r="10746" ht="18.75"/>
    <row r="10747" ht="18.75"/>
    <row r="10748" ht="18.75"/>
    <row r="10749" ht="18.75"/>
    <row r="10750" ht="18.75"/>
    <row r="10751" ht="18.75"/>
    <row r="10752" ht="18.75"/>
    <row r="10753" ht="18.75"/>
    <row r="10754" ht="18.75"/>
    <row r="10755" ht="18.75"/>
    <row r="10756" ht="18.75"/>
    <row r="10757" ht="18.75"/>
    <row r="10758" ht="18.75"/>
    <row r="10759" ht="18.75"/>
    <row r="10760" ht="18.75"/>
    <row r="10761" ht="18.75"/>
    <row r="10762" ht="18.75"/>
    <row r="10763" ht="18.75"/>
    <row r="10764" ht="18.75"/>
    <row r="10765" ht="18.75"/>
    <row r="10766" ht="18.75"/>
    <row r="10767" ht="18.75"/>
    <row r="10768" ht="18.75"/>
    <row r="10769" ht="18.75"/>
    <row r="10770" ht="18.75"/>
    <row r="10771" ht="18.75"/>
    <row r="10772" ht="18.75"/>
    <row r="10773" ht="18.75"/>
    <row r="10774" ht="18.75"/>
    <row r="10775" ht="18.75"/>
    <row r="10776" ht="18.75"/>
    <row r="10777" ht="18.75"/>
    <row r="10778" ht="18.75"/>
    <row r="10779" ht="18.75"/>
    <row r="10780" ht="18.75"/>
    <row r="10781" ht="18.75"/>
    <row r="10782" ht="18.75"/>
    <row r="10783" ht="18.75"/>
    <row r="10784" ht="18.75"/>
    <row r="10785" ht="18.75"/>
    <row r="10786" ht="18.75"/>
    <row r="10787" ht="18.75"/>
    <row r="10788" ht="18.75"/>
    <row r="10789" ht="18.75"/>
    <row r="10790" ht="18.75"/>
    <row r="10791" ht="18.75"/>
    <row r="10792" ht="18.75"/>
    <row r="10793" ht="18.75"/>
    <row r="10794" ht="18.75"/>
    <row r="10795" ht="18.75"/>
    <row r="10796" ht="18.75"/>
    <row r="10797" ht="18.75"/>
    <row r="10798" ht="18.75"/>
    <row r="10799" ht="18.75"/>
    <row r="10800" ht="18.75"/>
    <row r="10801" ht="18.75"/>
    <row r="10802" ht="18.75"/>
    <row r="10803" ht="18.75"/>
    <row r="10804" ht="18.75"/>
    <row r="10805" ht="18.75"/>
    <row r="10806" ht="18.75"/>
    <row r="10807" ht="18.75"/>
    <row r="10808" ht="18.75"/>
    <row r="10809" ht="18.75"/>
    <row r="10810" ht="18.75"/>
    <row r="10811" ht="18.75"/>
    <row r="10812" ht="18.75"/>
    <row r="10813" ht="18.75"/>
    <row r="10814" ht="18.75"/>
    <row r="10815" ht="18.75"/>
    <row r="10816" ht="18.75"/>
    <row r="10817" ht="18.75"/>
    <row r="10818" ht="18.75"/>
    <row r="10819" ht="18.75"/>
    <row r="10820" ht="18.75"/>
    <row r="10821" ht="18.75"/>
    <row r="10822" ht="18.75"/>
    <row r="10823" ht="18.75"/>
    <row r="10824" ht="18.75"/>
    <row r="10825" ht="18.75"/>
    <row r="10826" ht="18.75"/>
    <row r="10827" ht="18.75"/>
    <row r="10828" ht="18.75"/>
    <row r="10829" ht="18.75"/>
    <row r="10830" ht="18.75"/>
    <row r="10831" ht="18.75"/>
    <row r="10832" ht="18.75"/>
    <row r="10833" ht="18.75"/>
    <row r="10834" ht="18.75"/>
    <row r="10835" ht="18.75"/>
    <row r="10836" ht="18.75"/>
    <row r="10837" ht="18.75"/>
    <row r="10838" ht="18.75"/>
    <row r="10839" ht="18.75"/>
    <row r="10840" ht="18.75"/>
    <row r="10841" ht="18.75"/>
    <row r="10842" ht="18.75"/>
    <row r="10843" ht="18.75"/>
    <row r="10844" ht="18.75"/>
    <row r="10845" ht="18.75"/>
    <row r="10846" ht="18.75"/>
    <row r="10847" ht="18.75"/>
    <row r="10848" ht="18.75"/>
    <row r="10849" ht="18.75"/>
    <row r="10850" ht="18.75"/>
    <row r="10851" ht="18.75"/>
    <row r="10852" ht="18.75"/>
    <row r="10853" ht="18.75"/>
    <row r="10854" ht="18.75"/>
    <row r="10855" ht="18.75"/>
    <row r="10856" ht="18.75"/>
    <row r="10857" ht="18.75"/>
    <row r="10858" ht="18.75"/>
    <row r="10859" ht="18.75"/>
    <row r="10860" ht="18.75"/>
    <row r="10861" ht="18.75"/>
    <row r="10862" ht="18.75"/>
    <row r="10863" ht="18.75"/>
    <row r="10864" ht="18.75"/>
    <row r="10865" ht="18.75"/>
    <row r="10866" ht="18.75"/>
    <row r="10867" ht="18.75"/>
    <row r="10868" ht="18.75"/>
    <row r="10869" ht="18.75"/>
    <row r="10870" ht="18.75"/>
    <row r="10871" ht="18.75"/>
    <row r="10872" ht="18.75"/>
    <row r="10873" ht="18.75"/>
    <row r="10874" ht="18.75"/>
    <row r="10875" ht="18.75"/>
    <row r="10876" ht="18.75"/>
    <row r="10877" ht="18.75"/>
    <row r="10878" ht="18.75"/>
    <row r="10879" ht="18.75"/>
    <row r="10880" ht="18.75"/>
    <row r="10881" ht="18.75"/>
    <row r="10882" ht="18.75"/>
    <row r="10883" ht="18.75"/>
    <row r="10884" ht="18.75"/>
    <row r="10885" ht="18.75"/>
    <row r="10886" ht="18.75"/>
    <row r="10887" ht="18.75"/>
    <row r="10888" ht="18.75"/>
    <row r="10889" ht="18.75"/>
    <row r="10890" ht="18.75"/>
    <row r="10891" ht="18.75"/>
    <row r="10892" ht="18.75"/>
    <row r="10893" ht="18.75"/>
    <row r="10894" ht="18.75"/>
    <row r="10895" ht="18.75"/>
    <row r="10896" ht="18.75"/>
    <row r="10897" ht="18.75"/>
    <row r="10898" ht="18.75"/>
    <row r="10899" ht="18.75"/>
    <row r="10900" ht="18.75"/>
    <row r="10901" ht="18.75"/>
    <row r="10902" ht="18.75"/>
    <row r="10903" ht="18.75"/>
    <row r="10904" ht="18.75"/>
    <row r="10905" ht="18.75"/>
    <row r="10906" ht="18.75"/>
    <row r="10907" ht="18.75"/>
    <row r="10908" ht="18.75"/>
    <row r="10909" ht="18.75"/>
    <row r="10910" ht="18.75"/>
    <row r="10911" ht="18.75"/>
    <row r="10912" ht="18.75"/>
    <row r="10913" ht="18.75"/>
    <row r="10914" ht="18.75"/>
    <row r="10915" ht="18.75"/>
    <row r="10916" ht="18.75"/>
    <row r="10917" ht="18.75"/>
    <row r="10918" ht="18.75"/>
    <row r="10919" ht="18.75"/>
    <row r="10920" ht="18.75"/>
    <row r="10921" ht="18.75"/>
    <row r="10922" ht="18.75"/>
    <row r="10923" ht="18.75"/>
    <row r="10924" ht="18.75"/>
    <row r="10925" ht="18.75"/>
    <row r="10926" ht="18.75"/>
    <row r="10927" ht="18.75"/>
    <row r="10928" ht="18.75"/>
    <row r="10929" ht="18.75"/>
    <row r="10930" ht="18.75"/>
    <row r="10931" ht="18.75"/>
    <row r="10932" ht="18.75"/>
    <row r="10933" ht="18.75"/>
    <row r="10934" ht="18.75"/>
    <row r="10935" ht="18.75"/>
    <row r="10936" ht="18.75"/>
    <row r="10937" ht="18.75"/>
    <row r="10938" ht="18.75"/>
    <row r="10939" ht="18.75"/>
    <row r="10940" ht="18.75"/>
    <row r="10941" ht="18.75"/>
    <row r="10942" ht="18.75"/>
    <row r="10943" ht="18.75"/>
    <row r="10944" ht="18.75"/>
    <row r="10945" ht="18.75"/>
    <row r="10946" ht="18.75"/>
    <row r="10947" ht="18.75"/>
    <row r="10948" ht="18.75"/>
    <row r="10949" ht="18.75"/>
    <row r="10950" ht="18.75"/>
    <row r="10951" ht="18.75"/>
    <row r="10952" ht="18.75"/>
    <row r="10953" ht="18.75"/>
    <row r="10954" ht="18.75"/>
    <row r="10955" ht="18.75"/>
    <row r="10956" ht="18.75"/>
    <row r="10957" ht="18.75"/>
    <row r="10958" ht="18.75"/>
    <row r="10959" ht="18.75"/>
    <row r="10960" ht="18.75"/>
    <row r="10961" ht="18.75"/>
    <row r="10962" ht="18.75"/>
    <row r="10963" ht="18.75"/>
    <row r="10964" ht="18.75"/>
    <row r="10965" ht="18.75"/>
    <row r="10966" ht="18.75"/>
    <row r="10967" ht="18.75"/>
    <row r="10968" ht="18.75"/>
    <row r="10969" ht="18.75"/>
    <row r="10970" ht="18.75"/>
    <row r="10971" ht="18.75"/>
    <row r="10972" ht="18.75"/>
    <row r="10973" ht="18.75"/>
    <row r="10974" ht="18.75"/>
    <row r="10975" ht="18.75"/>
    <row r="10976" ht="18.75"/>
    <row r="10977" ht="18.75"/>
    <row r="10978" ht="18.75"/>
    <row r="10979" ht="18.75"/>
    <row r="10980" ht="18.75"/>
    <row r="10981" ht="18.75"/>
    <row r="10982" ht="18.75"/>
    <row r="10983" ht="18.75"/>
    <row r="10984" ht="18.75"/>
    <row r="10985" ht="18.75"/>
    <row r="10986" ht="18.75"/>
    <row r="10987" ht="18.75"/>
    <row r="10988" ht="18.75"/>
    <row r="10989" ht="18.75"/>
    <row r="10990" ht="18.75"/>
    <row r="10991" ht="18.75"/>
    <row r="10992" ht="18.75"/>
    <row r="10993" ht="18.75"/>
    <row r="10994" ht="18.75"/>
    <row r="10995" ht="18.75"/>
    <row r="10996" ht="18.75"/>
    <row r="10997" ht="18.75"/>
    <row r="10998" ht="18.75"/>
    <row r="10999" ht="18.75"/>
    <row r="11000" ht="18.75"/>
    <row r="11001" ht="18.75"/>
    <row r="11002" ht="18.75"/>
    <row r="11003" ht="18.75"/>
    <row r="11004" ht="18.75"/>
    <row r="11005" ht="18.75"/>
    <row r="11006" ht="18.75"/>
    <row r="11007" ht="18.75"/>
    <row r="11008" ht="18.75"/>
    <row r="11009" ht="18.75"/>
    <row r="11010" ht="18.75"/>
    <row r="11011" ht="18.75"/>
    <row r="11012" ht="18.75"/>
    <row r="11013" ht="18.75"/>
    <row r="11014" ht="18.75"/>
    <row r="11015" ht="18.75"/>
    <row r="11016" ht="18.75"/>
    <row r="11017" ht="18.75"/>
    <row r="11018" ht="18.75"/>
    <row r="11019" ht="18.75"/>
    <row r="11020" ht="18.75"/>
    <row r="11021" ht="18.75"/>
    <row r="11022" ht="18.75"/>
    <row r="11023" ht="18.75"/>
    <row r="11024" ht="18.75"/>
    <row r="11025" ht="18.75"/>
    <row r="11026" ht="18.75"/>
    <row r="11027" ht="18.75"/>
    <row r="11028" ht="18.75"/>
    <row r="11029" ht="18.75"/>
    <row r="11030" ht="18.75"/>
    <row r="11031" ht="18.75"/>
    <row r="11032" ht="18.75"/>
    <row r="11033" ht="18.75"/>
    <row r="11034" ht="18.75"/>
    <row r="11035" ht="18.75"/>
    <row r="11036" ht="18.75"/>
    <row r="11037" ht="18.75"/>
    <row r="11038" ht="18.75"/>
    <row r="11039" ht="18.75"/>
    <row r="11040" ht="18.75"/>
    <row r="11041" ht="18.75"/>
    <row r="11042" ht="18.75"/>
    <row r="11043" ht="18.75"/>
    <row r="11044" ht="18.75"/>
    <row r="11045" ht="18.75"/>
    <row r="11046" ht="18.75"/>
    <row r="11047" ht="18.75"/>
    <row r="11048" ht="18.75"/>
    <row r="11049" ht="18.75"/>
    <row r="11050" ht="18.75"/>
    <row r="11051" ht="18.75"/>
    <row r="11052" ht="18.75"/>
    <row r="11053" ht="18.75"/>
    <row r="11054" ht="18.75"/>
    <row r="11055" ht="18.75"/>
    <row r="11056" ht="18.75"/>
    <row r="11057" ht="18.75"/>
    <row r="11058" ht="18.75"/>
    <row r="11059" ht="18.75"/>
    <row r="11060" ht="18.75"/>
    <row r="11061" ht="18.75"/>
    <row r="11062" ht="18.75"/>
    <row r="11063" ht="18.75"/>
    <row r="11064" ht="18.75"/>
    <row r="11065" ht="18.75"/>
    <row r="11066" ht="18.75"/>
    <row r="11067" ht="18.75"/>
    <row r="11068" ht="18.75"/>
    <row r="11069" ht="18.75"/>
    <row r="11070" ht="18.75"/>
    <row r="11071" ht="18.75"/>
    <row r="11072" ht="18.75"/>
    <row r="11073" ht="18.75"/>
    <row r="11074" ht="18.75"/>
    <row r="11075" ht="18.75"/>
    <row r="11076" ht="18.75"/>
    <row r="11077" ht="18.75"/>
    <row r="11078" ht="18.75"/>
    <row r="11079" ht="18.75"/>
    <row r="11080" ht="18.75"/>
    <row r="11081" ht="18.75"/>
    <row r="11082" ht="18.75"/>
    <row r="11083" ht="18.75"/>
    <row r="11084" ht="18.75"/>
    <row r="11085" ht="18.75"/>
    <row r="11086" ht="18.75"/>
    <row r="11087" ht="18.75"/>
    <row r="11088" ht="18.75"/>
    <row r="11089" ht="18.75"/>
    <row r="11090" ht="18.75"/>
    <row r="11091" ht="18.75"/>
    <row r="11092" ht="18.75"/>
    <row r="11093" ht="18.75"/>
    <row r="11094" ht="18.75"/>
    <row r="11095" ht="18.75"/>
    <row r="11096" ht="18.75"/>
    <row r="11097" ht="18.75"/>
    <row r="11098" ht="18.75"/>
    <row r="11099" ht="18.75"/>
    <row r="11100" ht="18.75"/>
    <row r="11101" ht="18.75"/>
    <row r="11102" ht="18.75"/>
    <row r="11103" ht="18.75"/>
    <row r="11104" ht="18.75"/>
    <row r="11105" ht="18.75"/>
    <row r="11106" ht="18.75"/>
    <row r="11107" ht="18.75"/>
    <row r="11108" ht="18.75"/>
    <row r="11109" ht="18.75"/>
    <row r="11110" ht="18.75"/>
    <row r="11111" ht="18.75"/>
    <row r="11112" ht="18.75"/>
    <row r="11113" ht="18.75"/>
    <row r="11114" ht="18.75"/>
    <row r="11115" ht="18.75"/>
    <row r="11116" ht="18.75"/>
    <row r="11117" ht="18.75"/>
    <row r="11118" ht="18.75"/>
    <row r="11119" ht="18.75"/>
    <row r="11120" ht="18.75"/>
    <row r="11121" ht="18.75"/>
    <row r="11122" ht="18.75"/>
    <row r="11123" ht="18.75"/>
    <row r="11124" ht="18.75"/>
    <row r="11125" ht="18.75"/>
    <row r="11126" ht="18.75"/>
    <row r="11127" ht="18.75"/>
    <row r="11128" ht="18.75"/>
    <row r="11129" ht="18.75"/>
    <row r="11130" ht="18.75"/>
    <row r="11131" ht="18.75"/>
    <row r="11132" ht="18.75"/>
    <row r="11133" ht="18.75"/>
    <row r="11134" ht="18.75"/>
    <row r="11135" ht="18.75"/>
    <row r="11136" ht="18.75"/>
    <row r="11137" ht="18.75"/>
    <row r="11138" ht="18.75"/>
    <row r="11139" ht="18.75"/>
    <row r="11140" ht="18.75"/>
    <row r="11141" ht="18.75"/>
    <row r="11142" ht="18.75"/>
    <row r="11143" ht="18.75"/>
    <row r="11144" ht="18.75"/>
    <row r="11145" ht="18.75"/>
    <row r="11146" ht="18.75"/>
    <row r="11147" ht="18.75"/>
    <row r="11148" ht="18.75"/>
    <row r="11149" ht="18.75"/>
    <row r="11150" ht="18.75"/>
    <row r="11151" ht="18.75"/>
    <row r="11152" ht="18.75"/>
    <row r="11153" ht="18.75"/>
    <row r="11154" ht="18.75"/>
    <row r="11155" ht="18.75"/>
    <row r="11156" ht="18.75"/>
    <row r="11157" ht="18.75"/>
    <row r="11158" ht="18.75"/>
    <row r="11159" ht="18.75"/>
    <row r="11160" ht="18.75"/>
    <row r="11161" ht="18.75"/>
    <row r="11162" ht="18.75"/>
    <row r="11163" ht="18.75"/>
    <row r="11164" ht="18.75"/>
    <row r="11165" ht="18.75"/>
    <row r="11166" ht="18.75"/>
    <row r="11167" ht="18.75"/>
    <row r="11168" ht="18.75"/>
    <row r="11169" ht="18.75"/>
    <row r="11170" ht="18.75"/>
    <row r="11171" ht="18.75"/>
    <row r="11172" ht="18.75"/>
    <row r="11173" ht="18.75"/>
    <row r="11174" ht="18.75"/>
    <row r="11175" ht="18.75"/>
    <row r="11176" ht="18.75"/>
    <row r="11177" ht="18.75"/>
    <row r="11178" ht="18.75"/>
    <row r="11179" ht="18.75"/>
    <row r="11180" ht="18.75"/>
    <row r="11181" ht="18.75"/>
    <row r="11182" ht="18.75"/>
    <row r="11183" ht="18.75"/>
    <row r="11184" ht="18.75"/>
    <row r="11185" ht="18.75"/>
    <row r="11186" ht="18.75"/>
    <row r="11187" ht="18.75"/>
    <row r="11188" ht="18.75"/>
    <row r="11189" ht="18.75"/>
    <row r="11190" ht="18.75"/>
    <row r="11191" ht="18.75"/>
    <row r="11192" ht="18.75"/>
    <row r="11193" ht="18.75"/>
    <row r="11194" ht="18.75"/>
    <row r="11195" ht="18.75"/>
    <row r="11196" ht="18.75"/>
    <row r="11197" ht="18.75"/>
    <row r="11198" ht="18.75"/>
    <row r="11199" ht="18.75"/>
    <row r="11200" ht="18.75"/>
    <row r="11201" ht="18.75"/>
    <row r="11202" ht="18.75"/>
    <row r="11203" ht="18.75"/>
    <row r="11204" ht="18.75"/>
    <row r="11205" ht="18.75"/>
    <row r="11206" ht="18.75"/>
    <row r="11207" ht="18.75"/>
    <row r="11208" ht="18.75"/>
    <row r="11209" ht="18.75"/>
    <row r="11210" ht="18.75"/>
    <row r="11211" ht="18.75"/>
    <row r="11212" ht="18.75"/>
    <row r="11213" ht="18.75"/>
    <row r="11214" ht="18.75"/>
    <row r="11215" ht="18.75"/>
    <row r="11216" ht="18.75"/>
    <row r="11217" ht="18.75"/>
    <row r="11218" ht="18.75"/>
    <row r="11219" ht="18.75"/>
    <row r="11220" ht="18.75"/>
    <row r="11221" ht="18.75"/>
    <row r="11222" ht="18.75"/>
    <row r="11223" ht="18.75"/>
    <row r="11224" ht="18.75"/>
    <row r="11225" ht="18.75"/>
    <row r="11226" ht="18.75"/>
    <row r="11227" ht="18.75"/>
    <row r="11228" ht="18.75"/>
    <row r="11229" ht="18.75"/>
    <row r="11230" ht="18.75"/>
    <row r="11231" ht="18.75"/>
    <row r="11232" ht="18.75"/>
    <row r="11233" ht="18.75"/>
    <row r="11234" ht="18.75"/>
    <row r="11235" ht="18.75"/>
    <row r="11236" ht="18.75"/>
    <row r="11237" ht="18.75"/>
    <row r="11238" ht="18.75"/>
    <row r="11239" ht="18.75"/>
    <row r="11240" ht="18.75"/>
    <row r="11241" ht="18.75"/>
    <row r="11242" ht="18.75"/>
    <row r="11243" ht="18.75"/>
    <row r="11244" ht="18.75"/>
    <row r="11245" ht="18.75"/>
    <row r="11246" ht="18.75"/>
    <row r="11247" ht="18.75"/>
    <row r="11248" ht="18.75"/>
    <row r="11249" ht="18.75"/>
    <row r="11250" ht="18.75"/>
    <row r="11251" ht="18.75"/>
    <row r="11252" ht="18.75"/>
    <row r="11253" ht="18.75"/>
    <row r="11254" ht="18.75"/>
    <row r="11255" ht="18.75"/>
    <row r="11256" ht="18.75"/>
    <row r="11257" ht="18.75"/>
    <row r="11258" ht="18.75"/>
    <row r="11259" ht="18.75"/>
    <row r="11260" ht="18.75"/>
    <row r="11261" ht="18.75"/>
    <row r="11262" ht="18.75"/>
    <row r="11263" ht="18.75"/>
    <row r="11264" ht="18.75"/>
    <row r="11265" ht="18.75"/>
    <row r="11266" ht="18.75"/>
    <row r="11267" ht="18.75"/>
    <row r="11268" ht="18.75"/>
    <row r="11269" ht="18.75"/>
    <row r="11270" ht="18.75"/>
    <row r="11271" ht="18.75"/>
    <row r="11272" ht="18.75"/>
    <row r="11273" ht="18.75"/>
    <row r="11274" ht="18.75"/>
    <row r="11275" ht="18.75"/>
    <row r="11276" ht="18.75"/>
    <row r="11277" ht="18.75"/>
    <row r="11278" ht="18.75"/>
    <row r="11279" ht="18.75"/>
    <row r="11280" ht="18.75"/>
    <row r="11281" ht="18.75"/>
    <row r="11282" ht="18.75"/>
    <row r="11283" ht="18.75"/>
    <row r="11284" ht="18.75"/>
    <row r="11285" ht="18.75"/>
    <row r="11286" ht="18.75"/>
    <row r="11287" ht="18.75"/>
    <row r="11288" ht="18.75"/>
    <row r="11289" ht="18.75"/>
    <row r="11290" ht="18.75"/>
    <row r="11291" ht="18.75"/>
    <row r="11292" ht="18.75"/>
    <row r="11293" ht="18.75"/>
    <row r="11294" ht="18.75"/>
    <row r="11295" ht="18.75"/>
    <row r="11296" ht="18.75"/>
    <row r="11297" ht="18.75"/>
    <row r="11298" ht="18.75"/>
    <row r="11299" ht="18.75"/>
    <row r="11300" ht="18.75"/>
    <row r="11301" ht="18.75"/>
    <row r="11302" ht="18.75"/>
    <row r="11303" ht="18.75"/>
    <row r="11304" ht="18.75"/>
    <row r="11305" ht="18.75"/>
    <row r="11306" ht="18.75"/>
    <row r="11307" ht="18.75"/>
    <row r="11308" ht="18.75"/>
    <row r="11309" ht="18.75"/>
    <row r="11310" ht="18.75"/>
    <row r="11311" ht="18.75"/>
    <row r="11312" ht="18.75"/>
    <row r="11313" ht="18.75"/>
    <row r="11314" ht="18.75"/>
    <row r="11315" ht="18.75"/>
    <row r="11316" ht="18.75"/>
    <row r="11317" ht="18.75"/>
    <row r="11318" ht="18.75"/>
    <row r="11319" ht="18.75"/>
    <row r="11320" ht="18.75"/>
    <row r="11321" ht="18.75"/>
    <row r="11322" ht="18.75"/>
    <row r="11323" ht="18.75"/>
    <row r="11324" ht="18.75"/>
    <row r="11325" ht="18.75"/>
    <row r="11326" ht="18.75"/>
    <row r="11327" ht="18.75"/>
    <row r="11328" ht="18.75"/>
    <row r="11329" ht="18.75"/>
    <row r="11330" ht="18.75"/>
    <row r="11331" ht="18.75"/>
    <row r="11332" ht="18.75"/>
    <row r="11333" ht="18.75"/>
    <row r="11334" ht="18.75"/>
    <row r="11335" ht="18.75"/>
    <row r="11336" ht="18.75"/>
    <row r="11337" ht="18.75"/>
    <row r="11338" ht="18.75"/>
    <row r="11339" ht="18.75"/>
    <row r="11340" ht="18.75"/>
    <row r="11341" ht="18.75"/>
    <row r="11342" ht="18.75"/>
    <row r="11343" ht="18.75"/>
    <row r="11344" ht="18.75"/>
    <row r="11345" ht="18.75"/>
    <row r="11346" ht="18.75"/>
    <row r="11347" ht="18.75"/>
    <row r="11348" ht="18.75"/>
    <row r="11349" ht="18.75"/>
    <row r="11350" ht="18.75"/>
    <row r="11351" ht="18.75"/>
    <row r="11352" ht="18.75"/>
    <row r="11353" ht="18.75"/>
    <row r="11354" ht="18.75"/>
    <row r="11355" ht="18.75"/>
    <row r="11356" ht="18.75"/>
    <row r="11357" ht="18.75"/>
    <row r="11358" ht="18.75"/>
    <row r="11359" ht="18.75"/>
    <row r="11360" ht="18.75"/>
    <row r="11361" ht="18.75"/>
    <row r="11362" ht="18.75"/>
    <row r="11363" ht="18.75"/>
    <row r="11364" ht="18.75"/>
    <row r="11365" ht="18.75"/>
    <row r="11366" ht="18.75"/>
    <row r="11367" ht="18.75"/>
    <row r="11368" ht="18.75"/>
    <row r="11369" ht="18.75"/>
    <row r="11370" ht="18.75"/>
    <row r="11371" ht="18.75"/>
    <row r="11372" ht="18.75"/>
    <row r="11373" ht="18.75"/>
    <row r="11374" ht="18.75"/>
    <row r="11375" ht="18.75"/>
    <row r="11376" ht="18.75"/>
    <row r="11377" ht="18.75"/>
    <row r="11378" ht="18.75"/>
    <row r="11379" ht="18.75"/>
    <row r="11380" ht="18.75"/>
    <row r="11381" ht="18.75"/>
    <row r="11382" ht="18.75"/>
    <row r="11383" ht="18.75"/>
    <row r="11384" ht="18.75"/>
    <row r="11385" ht="18.75"/>
    <row r="11386" ht="18.75"/>
    <row r="11387" ht="18.75"/>
    <row r="11388" ht="18.75"/>
    <row r="11389" ht="18.75"/>
    <row r="11390" ht="18.75"/>
    <row r="11391" ht="18.75"/>
    <row r="11392" ht="18.75"/>
    <row r="11393" ht="18.75"/>
    <row r="11394" ht="18.75"/>
    <row r="11395" ht="18.75"/>
    <row r="11396" ht="18.75"/>
    <row r="11397" ht="18.75"/>
    <row r="11398" ht="18.75"/>
    <row r="11399" ht="18.75"/>
    <row r="11400" ht="18.75"/>
    <row r="11401" ht="18.75"/>
    <row r="11402" ht="18.75"/>
    <row r="11403" ht="18.75"/>
    <row r="11404" ht="18.75"/>
    <row r="11405" ht="18.75"/>
    <row r="11406" ht="18.75"/>
    <row r="11407" ht="18.75"/>
    <row r="11408" ht="18.75"/>
    <row r="11409" ht="18.75"/>
    <row r="11410" ht="18.75"/>
    <row r="11411" ht="18.75"/>
    <row r="11412" ht="18.75"/>
    <row r="11413" ht="18.75"/>
    <row r="11414" ht="18.75"/>
    <row r="11415" ht="18.75"/>
    <row r="11416" ht="18.75"/>
    <row r="11417" ht="18.75"/>
    <row r="11418" ht="18.75"/>
    <row r="11419" ht="18.75"/>
    <row r="11420" ht="18.75"/>
    <row r="11421" ht="18.75"/>
    <row r="11422" ht="18.75"/>
    <row r="11423" ht="18.75"/>
    <row r="11424" ht="18.75"/>
    <row r="11425" ht="18.75"/>
    <row r="11426" ht="18.75"/>
    <row r="11427" ht="18.75"/>
    <row r="11428" ht="18.75"/>
    <row r="11429" ht="18.75"/>
    <row r="11430" ht="18.75"/>
    <row r="11431" ht="18.75"/>
    <row r="11432" ht="18.75"/>
    <row r="11433" ht="18.75"/>
    <row r="11434" ht="18.75"/>
    <row r="11435" ht="18.75"/>
    <row r="11436" ht="18.75"/>
    <row r="11437" ht="18.75"/>
    <row r="11438" ht="18.75"/>
    <row r="11439" ht="18.75"/>
    <row r="11440" ht="18.75"/>
    <row r="11441" ht="18.75"/>
    <row r="11442" ht="18.75"/>
    <row r="11443" ht="18.75"/>
    <row r="11444" ht="18.75"/>
    <row r="11445" ht="18.75"/>
    <row r="11446" ht="18.75"/>
    <row r="11447" ht="18.75"/>
    <row r="11448" ht="18.75"/>
    <row r="11449" ht="18.75"/>
    <row r="11450" ht="18.75"/>
    <row r="11451" ht="18.75"/>
    <row r="11452" ht="18.75"/>
    <row r="11453" ht="18.75"/>
    <row r="11454" ht="18.75"/>
    <row r="11455" ht="18.75"/>
    <row r="11456" ht="18.75"/>
    <row r="11457" ht="18.75"/>
    <row r="11458" ht="18.75"/>
    <row r="11459" ht="18.75"/>
    <row r="11460" ht="18.75"/>
    <row r="11461" ht="18.75"/>
    <row r="11462" ht="18.75"/>
    <row r="11463" ht="18.75"/>
    <row r="11464" ht="18.75"/>
    <row r="11465" ht="18.75"/>
    <row r="11466" ht="18.75"/>
    <row r="11467" ht="18.75"/>
    <row r="11468" ht="18.75"/>
    <row r="11469" ht="18.75"/>
    <row r="11470" ht="18.75"/>
    <row r="11471" ht="18.75"/>
    <row r="11472" ht="18.75"/>
    <row r="11473" ht="18.75"/>
    <row r="11474" ht="18.75"/>
    <row r="11475" ht="18.75"/>
    <row r="11476" ht="18.75"/>
    <row r="11477" ht="18.75"/>
    <row r="11478" ht="18.75"/>
    <row r="11479" ht="18.75"/>
    <row r="11480" ht="18.75"/>
    <row r="11481" ht="18.75"/>
    <row r="11482" ht="18.75"/>
    <row r="11483" ht="18.75"/>
    <row r="11484" ht="18.75"/>
    <row r="11485" ht="18.75"/>
    <row r="11486" ht="18.75"/>
    <row r="11487" ht="18.75"/>
    <row r="11488" ht="18.75"/>
    <row r="11489" ht="18.75"/>
    <row r="11490" ht="18.75"/>
    <row r="11491" ht="18.75"/>
    <row r="11492" ht="18.75"/>
    <row r="11493" ht="18.75"/>
    <row r="11494" ht="18.75"/>
    <row r="11495" ht="18.75"/>
    <row r="11496" ht="18.75"/>
    <row r="11497" ht="18.75"/>
    <row r="11498" ht="18.75"/>
    <row r="11499" ht="18.75"/>
    <row r="11500" ht="18.75"/>
    <row r="11501" ht="18.75"/>
    <row r="11502" ht="18.75"/>
    <row r="11503" ht="18.75"/>
    <row r="11504" ht="18.75"/>
    <row r="11505" ht="18.75"/>
    <row r="11506" ht="18.75"/>
    <row r="11507" ht="18.75"/>
    <row r="11508" ht="18.75"/>
    <row r="11509" ht="18.75"/>
    <row r="11510" ht="18.75"/>
    <row r="11511" ht="18.75"/>
    <row r="11512" ht="18.75"/>
    <row r="11513" ht="18.75"/>
    <row r="11514" ht="18.75"/>
    <row r="11515" ht="18.75"/>
    <row r="11516" ht="18.75"/>
    <row r="11517" ht="18.75"/>
    <row r="11518" ht="18.75"/>
    <row r="11519" ht="18.75"/>
    <row r="11520" ht="18.75"/>
    <row r="11521" ht="18.75"/>
    <row r="11522" ht="18.75"/>
    <row r="11523" ht="18.75"/>
    <row r="11524" ht="18.75"/>
    <row r="11525" ht="18.75"/>
    <row r="11526" ht="18.75"/>
    <row r="11527" ht="18.75"/>
    <row r="11528" ht="18.75"/>
    <row r="11529" ht="18.75"/>
    <row r="11530" ht="18.75"/>
    <row r="11531" ht="18.75"/>
    <row r="11532" ht="18.75"/>
    <row r="11533" ht="18.75"/>
    <row r="11534" ht="18.75"/>
    <row r="11535" ht="18.75"/>
    <row r="11536" ht="18.75"/>
    <row r="11537" ht="18.75"/>
    <row r="11538" ht="18.75"/>
    <row r="11539" ht="18.75"/>
    <row r="11540" ht="18.75"/>
    <row r="11541" ht="18.75"/>
    <row r="11542" ht="18.75"/>
    <row r="11543" ht="18.75"/>
    <row r="11544" ht="18.75"/>
    <row r="11545" ht="18.75"/>
    <row r="11546" ht="18.75"/>
    <row r="11547" ht="18.75"/>
    <row r="11548" ht="18.75"/>
    <row r="11549" ht="18.75"/>
    <row r="11550" ht="18.75"/>
    <row r="11551" ht="18.75"/>
    <row r="11552" ht="18.75"/>
    <row r="11553" ht="18.75"/>
    <row r="11554" ht="18.75"/>
    <row r="11555" ht="18.75"/>
    <row r="11556" ht="18.75"/>
    <row r="11557" ht="18.75"/>
    <row r="11558" ht="18.75"/>
    <row r="11559" ht="18.75"/>
    <row r="11560" ht="18.75"/>
    <row r="11561" ht="18.75"/>
    <row r="11562" ht="18.75"/>
    <row r="11563" ht="18.75"/>
    <row r="11564" ht="18.75"/>
    <row r="11565" ht="18.75"/>
    <row r="11566" ht="18.75"/>
    <row r="11567" ht="18.75"/>
    <row r="11568" ht="18.75"/>
    <row r="11569" ht="18.75"/>
    <row r="11570" ht="18.75"/>
    <row r="11571" ht="18.75"/>
    <row r="11572" ht="18.75"/>
    <row r="11573" ht="18.75"/>
    <row r="11574" ht="18.75"/>
    <row r="11575" ht="18.75"/>
    <row r="11576" ht="18.75"/>
    <row r="11577" ht="18.75"/>
    <row r="11578" ht="18.75"/>
    <row r="11579" ht="18.75"/>
    <row r="11580" ht="18.75"/>
    <row r="11581" ht="18.75"/>
    <row r="11582" ht="18.75"/>
    <row r="11583" ht="18.75"/>
    <row r="11584" ht="18.75"/>
    <row r="11585" ht="18.75"/>
    <row r="11586" ht="18.75"/>
    <row r="11587" ht="18.75"/>
    <row r="11588" ht="18.75"/>
    <row r="11589" ht="18.75"/>
    <row r="11590" ht="18.75"/>
    <row r="11591" ht="18.75"/>
    <row r="11592" ht="18.75"/>
    <row r="11593" ht="18.75"/>
    <row r="11594" ht="18.75"/>
    <row r="11595" ht="18.75"/>
    <row r="11596" ht="18.75"/>
    <row r="11597" ht="18.75"/>
    <row r="11598" ht="18.75"/>
    <row r="11599" ht="18.75"/>
    <row r="11600" ht="18.75"/>
    <row r="11601" ht="18.75"/>
    <row r="11602" ht="18.75"/>
    <row r="11603" ht="18.75"/>
    <row r="11604" ht="18.75"/>
    <row r="11605" ht="18.75"/>
    <row r="11606" ht="18.75"/>
    <row r="11607" ht="18.75"/>
    <row r="11608" ht="18.75"/>
    <row r="11609" ht="18.75"/>
    <row r="11610" ht="18.75"/>
    <row r="11611" ht="18.75"/>
    <row r="11612" ht="18.75"/>
    <row r="11613" ht="18.75"/>
    <row r="11614" ht="18.75"/>
    <row r="11615" ht="18.75"/>
    <row r="11616" ht="18.75"/>
    <row r="11617" ht="18.75"/>
    <row r="11618" ht="18.75"/>
    <row r="11619" ht="18.75"/>
    <row r="11620" ht="18.75"/>
    <row r="11621" ht="18.75"/>
    <row r="11622" ht="18.75"/>
    <row r="11623" ht="18.75"/>
    <row r="11624" ht="18.75"/>
    <row r="11625" ht="18.75"/>
    <row r="11626" ht="18.75"/>
    <row r="11627" ht="18.75"/>
    <row r="11628" ht="18.75"/>
    <row r="11629" ht="18.75"/>
    <row r="11630" ht="18.75"/>
    <row r="11631" ht="18.75"/>
    <row r="11632" ht="18.75"/>
    <row r="11633" ht="18.75"/>
    <row r="11634" ht="18.75"/>
    <row r="11635" ht="18.75"/>
    <row r="11636" ht="18.75"/>
    <row r="11637" ht="18.75"/>
    <row r="11638" ht="18.75"/>
    <row r="11639" ht="18.75"/>
    <row r="11640" ht="18.75"/>
    <row r="11641" ht="18.75"/>
    <row r="11642" ht="18.75"/>
    <row r="11643" ht="18.75"/>
    <row r="11644" ht="18.75"/>
    <row r="11645" ht="18.75"/>
    <row r="11646" ht="18.75"/>
    <row r="11647" ht="18.75"/>
    <row r="11648" ht="18.75"/>
    <row r="11649" ht="18.75"/>
    <row r="11650" ht="18.75"/>
    <row r="11651" ht="18.75"/>
    <row r="11652" ht="18.75"/>
    <row r="11653" ht="18.75"/>
    <row r="11654" ht="18.75"/>
    <row r="11655" ht="18.75"/>
    <row r="11656" ht="18.75"/>
    <row r="11657" ht="18.75"/>
    <row r="11658" ht="18.75"/>
    <row r="11659" ht="18.75"/>
    <row r="11660" ht="18.75"/>
    <row r="11661" ht="18.75"/>
    <row r="11662" ht="18.75"/>
    <row r="11663" ht="18.75"/>
    <row r="11664" ht="18.75"/>
    <row r="11665" ht="18.75"/>
    <row r="11666" ht="18.75"/>
    <row r="11667" ht="18.75"/>
    <row r="11668" ht="18.75"/>
    <row r="11669" ht="18.75"/>
    <row r="11670" ht="18.75"/>
    <row r="11671" ht="18.75"/>
    <row r="11672" ht="18.75"/>
    <row r="11673" ht="18.75"/>
    <row r="11674" ht="18.75"/>
    <row r="11675" ht="18.75"/>
    <row r="11676" ht="18.75"/>
    <row r="11677" ht="18.75"/>
    <row r="11678" ht="18.75"/>
    <row r="11679" ht="18.75"/>
    <row r="11680" ht="18.75"/>
    <row r="11681" ht="18.75"/>
    <row r="11682" ht="18.75"/>
    <row r="11683" ht="18.75"/>
    <row r="11684" ht="18.75"/>
    <row r="11685" ht="18.75"/>
    <row r="11686" ht="18.75"/>
    <row r="11687" ht="18.75"/>
    <row r="11688" ht="18.75"/>
    <row r="11689" ht="18.75"/>
    <row r="11690" ht="18.75"/>
    <row r="11691" ht="18.75"/>
    <row r="11692" ht="18.75"/>
    <row r="11693" ht="18.75"/>
    <row r="11694" ht="18.75"/>
    <row r="11695" ht="18.75"/>
    <row r="11696" ht="18.75"/>
    <row r="11697" ht="18.75"/>
    <row r="11698" ht="18.75"/>
    <row r="11699" ht="18.75"/>
    <row r="11700" ht="18.75"/>
    <row r="11701" ht="18.75"/>
    <row r="11702" ht="18.75"/>
    <row r="11703" ht="18.75"/>
    <row r="11704" ht="18.75"/>
    <row r="11705" ht="18.75"/>
    <row r="11706" ht="18.75"/>
    <row r="11707" ht="18.75"/>
    <row r="11708" ht="18.75"/>
    <row r="11709" ht="18.75"/>
    <row r="11710" ht="18.75"/>
    <row r="11711" ht="18.75"/>
    <row r="11712" ht="18.75"/>
    <row r="11713" ht="18.75"/>
    <row r="11714" ht="18.75"/>
    <row r="11715" ht="18.75"/>
    <row r="11716" ht="18.75"/>
    <row r="11717" ht="18.75"/>
    <row r="11718" ht="18.75"/>
    <row r="11719" ht="18.75"/>
    <row r="11720" ht="18.75"/>
    <row r="11721" ht="18.75"/>
    <row r="11722" ht="18.75"/>
    <row r="11723" ht="18.75"/>
    <row r="11724" ht="18.75"/>
    <row r="11725" ht="18.75"/>
    <row r="11726" ht="18.75"/>
    <row r="11727" ht="18.75"/>
    <row r="11728" ht="18.75"/>
    <row r="11729" ht="18.75"/>
    <row r="11730" ht="18.75"/>
    <row r="11731" ht="18.75"/>
    <row r="11732" ht="18.75"/>
    <row r="11733" ht="18.75"/>
    <row r="11734" ht="18.75"/>
    <row r="11735" ht="18.75"/>
    <row r="11736" ht="18.75"/>
    <row r="11737" ht="18.75"/>
    <row r="11738" ht="18.75"/>
    <row r="11739" ht="18.75"/>
    <row r="11740" ht="18.75"/>
    <row r="11741" ht="18.75"/>
    <row r="11742" ht="18.75"/>
    <row r="11743" ht="18.75"/>
    <row r="11744" ht="18.75"/>
    <row r="11745" ht="18.75"/>
    <row r="11746" ht="18.75"/>
    <row r="11747" ht="18.75"/>
    <row r="11748" ht="18.75"/>
    <row r="11749" ht="18.75"/>
    <row r="11750" ht="18.75"/>
    <row r="11751" ht="18.75"/>
    <row r="11752" ht="18.75"/>
    <row r="11753" ht="18.75"/>
    <row r="11754" ht="18.75"/>
    <row r="11755" ht="18.75"/>
    <row r="11756" ht="18.75"/>
    <row r="11757" ht="18.75"/>
    <row r="11758" ht="18.75"/>
    <row r="11759" ht="18.75"/>
    <row r="11760" ht="18.75"/>
    <row r="11761" ht="18.75"/>
    <row r="11762" ht="18.75"/>
    <row r="11763" ht="18.75"/>
    <row r="11764" ht="18.75"/>
    <row r="11765" ht="18.75"/>
    <row r="11766" ht="18.75"/>
    <row r="11767" ht="18.75"/>
    <row r="11768" ht="18.75"/>
    <row r="11769" ht="18.75"/>
    <row r="11770" ht="18.75"/>
    <row r="11771" ht="18.75"/>
    <row r="11772" ht="18.75"/>
    <row r="11773" ht="18.75"/>
    <row r="11774" ht="18.75"/>
    <row r="11775" ht="18.75"/>
    <row r="11776" ht="18.75"/>
    <row r="11777" ht="18.75"/>
    <row r="11778" ht="18.75"/>
    <row r="11779" ht="18.75"/>
    <row r="11780" ht="18.75"/>
    <row r="11781" ht="18.75"/>
    <row r="11782" ht="18.75"/>
    <row r="11783" ht="18.75"/>
    <row r="11784" ht="18.75"/>
    <row r="11785" ht="18.75"/>
    <row r="11786" ht="18.75"/>
    <row r="11787" ht="18.75"/>
    <row r="11788" ht="18.75"/>
    <row r="11789" ht="18.75"/>
    <row r="11790" ht="18.75"/>
    <row r="11791" ht="18.75"/>
    <row r="11792" ht="18.75"/>
    <row r="11793" ht="18.75"/>
    <row r="11794" ht="18.75"/>
    <row r="11795" ht="18.75"/>
    <row r="11796" ht="18.75"/>
    <row r="11797" ht="18.75"/>
    <row r="11798" ht="18.75"/>
    <row r="11799" ht="18.75"/>
    <row r="11800" ht="18.75"/>
    <row r="11801" ht="18.75"/>
    <row r="11802" ht="18.75"/>
    <row r="11803" ht="18.75"/>
    <row r="11804" ht="18.75"/>
    <row r="11805" ht="18.75"/>
    <row r="11806" ht="18.75"/>
    <row r="11807" ht="18.75"/>
    <row r="11808" ht="18.75"/>
    <row r="11809" ht="18.75"/>
    <row r="11810" ht="18.75"/>
    <row r="11811" ht="18.75"/>
    <row r="11812" ht="18.75"/>
    <row r="11813" ht="18.75"/>
    <row r="11814" ht="18.75"/>
    <row r="11815" ht="18.75"/>
    <row r="11816" ht="18.75"/>
    <row r="11817" ht="18.75"/>
    <row r="11818" ht="18.75"/>
    <row r="11819" ht="18.75"/>
    <row r="11820" ht="18.75"/>
    <row r="11821" ht="18.75"/>
    <row r="11822" ht="18.75"/>
    <row r="11823" ht="18.75"/>
    <row r="11824" ht="18.75"/>
    <row r="11825" ht="18.75"/>
    <row r="11826" ht="18.75"/>
    <row r="11827" ht="18.75"/>
    <row r="11828" ht="18.75"/>
    <row r="11829" ht="18.75"/>
    <row r="11830" ht="18.75"/>
    <row r="11831" ht="18.75"/>
    <row r="11832" ht="18.75"/>
    <row r="11833" ht="18.75"/>
    <row r="11834" ht="18.75"/>
    <row r="11835" ht="18.75"/>
    <row r="11836" ht="18.75"/>
    <row r="11837" ht="18.75"/>
    <row r="11838" ht="18.75"/>
    <row r="11839" ht="18.75"/>
    <row r="11840" ht="18.75"/>
    <row r="11841" ht="18.75"/>
    <row r="11842" ht="18.75"/>
    <row r="11843" ht="18.75"/>
    <row r="11844" ht="18.75"/>
    <row r="11845" ht="18.75"/>
    <row r="11846" ht="18.75"/>
    <row r="11847" ht="18.75"/>
    <row r="11848" ht="18.75"/>
    <row r="11849" ht="18.75"/>
    <row r="11850" ht="18.75"/>
    <row r="11851" ht="18.75"/>
    <row r="11852" ht="18.75"/>
    <row r="11853" ht="18.75"/>
    <row r="11854" ht="18.75"/>
    <row r="11855" ht="18.75"/>
    <row r="11856" ht="18.75"/>
    <row r="11857" ht="18.75"/>
    <row r="11858" ht="18.75"/>
    <row r="11859" ht="18.75"/>
    <row r="11860" ht="18.75"/>
    <row r="11861" ht="18.75"/>
    <row r="11862" ht="18.75"/>
    <row r="11863" ht="18.75"/>
    <row r="11864" ht="18.75"/>
    <row r="11865" ht="18.75"/>
    <row r="11866" ht="18.75"/>
    <row r="11867" ht="18.75"/>
    <row r="11868" ht="18.75"/>
    <row r="11869" ht="18.75"/>
    <row r="11870" ht="18.75"/>
    <row r="11871" ht="18.75"/>
    <row r="11872" ht="18.75"/>
    <row r="11873" ht="18.75"/>
    <row r="11874" ht="18.75"/>
    <row r="11875" ht="18.75"/>
    <row r="11876" ht="18.75"/>
    <row r="11877" ht="18.75"/>
    <row r="11878" ht="18.75"/>
    <row r="11879" ht="18.75"/>
    <row r="11880" ht="18.75"/>
    <row r="11881" ht="18.75"/>
    <row r="11882" ht="18.75"/>
    <row r="11883" ht="18.75"/>
    <row r="11884" ht="18.75"/>
    <row r="11885" ht="18.75"/>
    <row r="11886" ht="18.75"/>
    <row r="11887" ht="18.75"/>
    <row r="11888" ht="18.75"/>
    <row r="11889" ht="18.75"/>
    <row r="11890" ht="18.75"/>
    <row r="11891" ht="18.75"/>
    <row r="11892" ht="18.75"/>
    <row r="11893" ht="18.75"/>
    <row r="11894" ht="18.75"/>
    <row r="11895" ht="18.75"/>
    <row r="11896" ht="18.75"/>
    <row r="11897" ht="18.75"/>
    <row r="11898" ht="18.75"/>
    <row r="11899" ht="18.75"/>
    <row r="11900" ht="18.75"/>
    <row r="11901" ht="18.75"/>
    <row r="11902" ht="18.75"/>
    <row r="11903" ht="18.75"/>
    <row r="11904" ht="18.75"/>
    <row r="11905" ht="18.75"/>
    <row r="11906" ht="18.75"/>
    <row r="11907" ht="18.75"/>
    <row r="11908" ht="18.75"/>
    <row r="11909" ht="18.75"/>
    <row r="11910" ht="18.75"/>
    <row r="11911" ht="18.75"/>
    <row r="11912" ht="18.75"/>
    <row r="11913" ht="18.75"/>
    <row r="11914" ht="18.75"/>
    <row r="11915" ht="18.75"/>
    <row r="11916" ht="18.75"/>
    <row r="11917" ht="18.75"/>
    <row r="11918" ht="18.75"/>
    <row r="11919" ht="18.75"/>
    <row r="11920" ht="18.75"/>
    <row r="11921" ht="18.75"/>
    <row r="11922" ht="18.75"/>
    <row r="11923" ht="18.75"/>
    <row r="11924" ht="18.75"/>
    <row r="11925" ht="18.75"/>
    <row r="11926" ht="18.75"/>
    <row r="11927" ht="18.75"/>
    <row r="11928" ht="18.75"/>
    <row r="11929" ht="18.75"/>
    <row r="11930" ht="18.75"/>
    <row r="11931" ht="18.75"/>
    <row r="11932" ht="18.75"/>
    <row r="11933" ht="18.75"/>
    <row r="11934" ht="18.75"/>
    <row r="11935" ht="18.75"/>
    <row r="11936" ht="18.75"/>
    <row r="11937" ht="18.75"/>
    <row r="11938" ht="18.75"/>
    <row r="11939" ht="18.75"/>
    <row r="11940" ht="18.75"/>
    <row r="11941" ht="18.75"/>
    <row r="11942" ht="18.75"/>
    <row r="11943" ht="18.75"/>
    <row r="11944" ht="18.75"/>
    <row r="11945" ht="18.75"/>
    <row r="11946" ht="18.75"/>
    <row r="11947" ht="18.75"/>
    <row r="11948" ht="18.75"/>
    <row r="11949" ht="18.75"/>
    <row r="11950" ht="18.75"/>
    <row r="11951" ht="18.75"/>
    <row r="11952" ht="18.75"/>
    <row r="11953" ht="18.75"/>
    <row r="11954" ht="18.75"/>
    <row r="11955" ht="18.75"/>
    <row r="11956" ht="18.75"/>
    <row r="11957" ht="18.75"/>
    <row r="11958" ht="18.75"/>
    <row r="11959" ht="18.75"/>
    <row r="11960" ht="18.75"/>
    <row r="11961" ht="18.75"/>
    <row r="11962" ht="18.75"/>
    <row r="11963" ht="18.75"/>
    <row r="11964" ht="18.75"/>
    <row r="11965" ht="18.75"/>
    <row r="11966" ht="18.75"/>
    <row r="11967" ht="18.75"/>
    <row r="11968" ht="18.75"/>
    <row r="11969" ht="18.75"/>
    <row r="11970" ht="18.75"/>
    <row r="11971" ht="18.75"/>
    <row r="11972" ht="18.75"/>
    <row r="11973" ht="18.75"/>
    <row r="11974" ht="18.75"/>
    <row r="11975" ht="18.75"/>
    <row r="11976" ht="18.75"/>
    <row r="11977" ht="18.75"/>
    <row r="11978" ht="18.75"/>
    <row r="11979" ht="18.75"/>
    <row r="11980" ht="18.75"/>
    <row r="11981" ht="18.75"/>
    <row r="11982" ht="18.75"/>
    <row r="11983" ht="18.75"/>
    <row r="11984" ht="18.75"/>
    <row r="11985" ht="18.75"/>
    <row r="11986" ht="18.75"/>
    <row r="11987" ht="18.75"/>
    <row r="11988" ht="18.75"/>
    <row r="11989" ht="18.75"/>
    <row r="11990" ht="18.75"/>
    <row r="11991" ht="18.75"/>
    <row r="11992" ht="18.75"/>
    <row r="11993" ht="18.75"/>
    <row r="11994" ht="18.75"/>
    <row r="11995" ht="18.75"/>
    <row r="11996" ht="18.75"/>
    <row r="11997" ht="18.75"/>
    <row r="11998" ht="18.75"/>
    <row r="11999" ht="18.75"/>
    <row r="12000" ht="18.75"/>
    <row r="12001" ht="18.75"/>
    <row r="12002" ht="18.75"/>
    <row r="12003" ht="18.75"/>
    <row r="12004" ht="18.75"/>
    <row r="12005" ht="18.75"/>
    <row r="12006" ht="18.75"/>
    <row r="12007" ht="18.75"/>
    <row r="12008" ht="18.75"/>
    <row r="12009" ht="18.75"/>
    <row r="12010" ht="18.75"/>
    <row r="12011" ht="18.75"/>
    <row r="12012" ht="18.75"/>
    <row r="12013" ht="18.75"/>
    <row r="12014" ht="18.75"/>
    <row r="12015" ht="18.75"/>
    <row r="12016" ht="18.75"/>
    <row r="12017" ht="18.75"/>
    <row r="12018" ht="18.75"/>
    <row r="12019" ht="18.75"/>
    <row r="12020" ht="18.75"/>
    <row r="12021" ht="18.75"/>
    <row r="12022" ht="18.75"/>
    <row r="12023" ht="18.75"/>
    <row r="12024" ht="18.75"/>
    <row r="12025" ht="18.75"/>
    <row r="12026" ht="18.75"/>
    <row r="12027" ht="18.75"/>
    <row r="12028" ht="18.75"/>
    <row r="12029" ht="18.75"/>
    <row r="12030" ht="18.75"/>
    <row r="12031" ht="18.75"/>
    <row r="12032" ht="18.75"/>
    <row r="12033" ht="18.75"/>
    <row r="12034" ht="18.75"/>
    <row r="12035" ht="18.75"/>
    <row r="12036" ht="18.75"/>
    <row r="12037" ht="18.75"/>
    <row r="12038" ht="18.75"/>
    <row r="12039" ht="18.75"/>
    <row r="12040" ht="18.75"/>
    <row r="12041" ht="18.75"/>
    <row r="12042" ht="18.75"/>
    <row r="12043" ht="18.75"/>
    <row r="12044" ht="18.75"/>
    <row r="12045" ht="18.75"/>
    <row r="12046" ht="18.75"/>
    <row r="12047" ht="18.75"/>
    <row r="12048" ht="18.75"/>
    <row r="12049" ht="18.75"/>
    <row r="12050" ht="18.75"/>
    <row r="12051" ht="18.75"/>
    <row r="12052" ht="18.75"/>
    <row r="12053" ht="18.75"/>
    <row r="12054" ht="18.75"/>
    <row r="12055" ht="18.75"/>
    <row r="12056" ht="18.75"/>
    <row r="12057" ht="18.75"/>
    <row r="12058" ht="18.75"/>
    <row r="12059" ht="18.75"/>
    <row r="12060" ht="18.75"/>
    <row r="12061" ht="18.75"/>
    <row r="12062" ht="18.75"/>
    <row r="12063" ht="18.75"/>
    <row r="12064" ht="18.75"/>
    <row r="12065" ht="18.75"/>
    <row r="12066" ht="18.75"/>
    <row r="12067" ht="18.75"/>
    <row r="12068" ht="18.75"/>
    <row r="12069" ht="18.75"/>
    <row r="12070" ht="18.75"/>
    <row r="12071" ht="18.75"/>
    <row r="12072" ht="18.75"/>
    <row r="12073" ht="18.75"/>
    <row r="12074" ht="18.75"/>
    <row r="12075" ht="18.75"/>
    <row r="12076" ht="18.75"/>
    <row r="12077" ht="18.75"/>
    <row r="12078" ht="18.75"/>
    <row r="12079" ht="18.75"/>
    <row r="12080" ht="18.75"/>
    <row r="12081" ht="18.75"/>
    <row r="12082" ht="18.75"/>
    <row r="12083" ht="18.75"/>
    <row r="12084" ht="18.75"/>
    <row r="12085" ht="18.75"/>
    <row r="12086" ht="18.75"/>
    <row r="12087" ht="18.75"/>
    <row r="12088" ht="18.75"/>
    <row r="12089" ht="18.75"/>
    <row r="12090" ht="18.75"/>
    <row r="12091" ht="18.75"/>
    <row r="12092" ht="18.75"/>
    <row r="12093" ht="18.75"/>
    <row r="12094" ht="18.75"/>
    <row r="12095" ht="18.75"/>
    <row r="12096" ht="18.75"/>
    <row r="12097" ht="18.75"/>
    <row r="12098" ht="18.75"/>
    <row r="12099" ht="18.75"/>
    <row r="12100" ht="18.75"/>
    <row r="12101" ht="18.75"/>
    <row r="12102" ht="18.75"/>
    <row r="12103" ht="18.75"/>
    <row r="12104" ht="18.75"/>
    <row r="12105" ht="18.75"/>
    <row r="12106" ht="18.75"/>
    <row r="12107" ht="18.75"/>
    <row r="12108" ht="18.75"/>
    <row r="12109" ht="18.75"/>
    <row r="12110" ht="18.75"/>
    <row r="12111" ht="18.75"/>
    <row r="12112" ht="18.75"/>
    <row r="12113" ht="18.75"/>
    <row r="12114" ht="18.75"/>
    <row r="12115" ht="18.75"/>
    <row r="12116" ht="18.75"/>
    <row r="12117" ht="18.75"/>
    <row r="12118" ht="18.75"/>
    <row r="12119" ht="18.75"/>
    <row r="12120" ht="18.75"/>
    <row r="12121" ht="18.75"/>
    <row r="12122" ht="18.75"/>
    <row r="12123" ht="18.75"/>
    <row r="12124" ht="18.75"/>
    <row r="12125" ht="18.75"/>
    <row r="12126" ht="18.75"/>
    <row r="12127" ht="18.75"/>
    <row r="12128" ht="18.75"/>
    <row r="12129" ht="18.75"/>
    <row r="12130" ht="18.75"/>
    <row r="12131" ht="18.75"/>
    <row r="12132" ht="18.75"/>
    <row r="12133" ht="18.75"/>
    <row r="12134" ht="18.75"/>
    <row r="12135" ht="18.75"/>
    <row r="12136" ht="18.75"/>
    <row r="12137" ht="18.75"/>
    <row r="12138" ht="18.75"/>
    <row r="12139" ht="18.75"/>
    <row r="12140" ht="18.75"/>
    <row r="12141" ht="18.75"/>
    <row r="12142" ht="18.75"/>
    <row r="12143" ht="18.75"/>
    <row r="12144" ht="18.75"/>
    <row r="12145" ht="18.75"/>
    <row r="12146" ht="18.75"/>
    <row r="12147" ht="18.75"/>
    <row r="12148" ht="18.75"/>
    <row r="12149" ht="18.75"/>
    <row r="12150" ht="18.75"/>
    <row r="12151" ht="18.75"/>
    <row r="12152" ht="18.75"/>
    <row r="12153" ht="18.75"/>
    <row r="12154" ht="18.75"/>
    <row r="12155" ht="18.75"/>
    <row r="12156" ht="18.75"/>
    <row r="12157" ht="18.75"/>
    <row r="12158" ht="18.75"/>
    <row r="12159" ht="18.75"/>
    <row r="12160" ht="18.75"/>
    <row r="12161" ht="18.75"/>
    <row r="12162" ht="18.75"/>
    <row r="12163" ht="18.75"/>
    <row r="12164" ht="18.75"/>
    <row r="12165" ht="18.75"/>
    <row r="12166" ht="18.75"/>
    <row r="12167" ht="18.75"/>
    <row r="12168" ht="18.75"/>
    <row r="12169" ht="18.75"/>
    <row r="12170" ht="18.75"/>
    <row r="12171" ht="18.75"/>
    <row r="12172" ht="18.75"/>
    <row r="12173" ht="18.75"/>
    <row r="12174" ht="18.75"/>
    <row r="12175" ht="18.75"/>
    <row r="12176" ht="18.75"/>
    <row r="12177" ht="18.75"/>
    <row r="12178" ht="18.75"/>
    <row r="12179" ht="18.75"/>
    <row r="12180" ht="18.75"/>
    <row r="12181" ht="18.75"/>
    <row r="12182" ht="18.75"/>
    <row r="12183" ht="18.75"/>
    <row r="12184" ht="18.75"/>
    <row r="12185" ht="18.75"/>
    <row r="12186" ht="18.75"/>
    <row r="12187" ht="18.75"/>
    <row r="12188" ht="18.75"/>
    <row r="12189" ht="18.75"/>
    <row r="12190" ht="18.75"/>
    <row r="12191" ht="18.75"/>
    <row r="12192" ht="18.75"/>
    <row r="12193" ht="18.75"/>
    <row r="12194" ht="18.75"/>
    <row r="12195" ht="18.75"/>
    <row r="12196" ht="18.75"/>
    <row r="12197" ht="18.75"/>
    <row r="12198" ht="18.75"/>
    <row r="12199" ht="18.75"/>
    <row r="12200" ht="18.75"/>
    <row r="12201" ht="18.75"/>
    <row r="12202" ht="18.75"/>
    <row r="12203" ht="18.75"/>
    <row r="12204" ht="18.75"/>
    <row r="12205" ht="18.75"/>
    <row r="12206" ht="18.75"/>
    <row r="12207" ht="18.75"/>
    <row r="12208" ht="18.75"/>
    <row r="12209" ht="18.75"/>
    <row r="12210" ht="18.75"/>
    <row r="12211" ht="18.75"/>
    <row r="12212" ht="18.75"/>
    <row r="12213" ht="18.75"/>
    <row r="12214" ht="18.75"/>
    <row r="12215" ht="18.75"/>
    <row r="12216" ht="18.75"/>
    <row r="12217" ht="18.75"/>
    <row r="12218" ht="18.75"/>
    <row r="12219" ht="18.75"/>
    <row r="12220" ht="18.75"/>
    <row r="12221" ht="18.75"/>
    <row r="12222" ht="18.75"/>
    <row r="12223" ht="18.75"/>
    <row r="12224" ht="18.75"/>
    <row r="12225" ht="18.75"/>
    <row r="12226" ht="18.75"/>
    <row r="12227" ht="18.75"/>
    <row r="12228" ht="18.75"/>
    <row r="12229" ht="18.75"/>
    <row r="12230" ht="18.75"/>
    <row r="12231" ht="18.75"/>
    <row r="12232" ht="18.75"/>
    <row r="12233" ht="18.75"/>
    <row r="12234" ht="18.75"/>
    <row r="12235" ht="18.75"/>
    <row r="12236" ht="18.75"/>
    <row r="12237" ht="18.75"/>
    <row r="12238" ht="18.75"/>
    <row r="12239" ht="18.75"/>
    <row r="12240" ht="18.75"/>
    <row r="12241" ht="18.75"/>
    <row r="12242" ht="18.75"/>
    <row r="12243" ht="18.75"/>
    <row r="12244" ht="18.75"/>
    <row r="12245" ht="18.75"/>
    <row r="12246" ht="18.75"/>
    <row r="12247" ht="18.75"/>
    <row r="12248" ht="18.75"/>
    <row r="12249" ht="18.75"/>
    <row r="12250" ht="18.75"/>
    <row r="12251" ht="18.75"/>
    <row r="12252" ht="18.75"/>
    <row r="12253" ht="18.75"/>
    <row r="12254" ht="18.75"/>
    <row r="12255" ht="18.75"/>
    <row r="12256" ht="18.75"/>
    <row r="12257" ht="18.75"/>
    <row r="12258" ht="18.75"/>
    <row r="12259" ht="18.75"/>
    <row r="12260" ht="18.75"/>
    <row r="12261" ht="18.75"/>
    <row r="12262" ht="18.75"/>
    <row r="12263" ht="18.75"/>
    <row r="12264" ht="18.75"/>
    <row r="12265" ht="18.75"/>
    <row r="12266" ht="18.75"/>
    <row r="12267" ht="18.75"/>
    <row r="12268" ht="18.75"/>
    <row r="12269" ht="18.75"/>
    <row r="12270" ht="18.75"/>
    <row r="12271" ht="18.75"/>
    <row r="12272" ht="18.75"/>
    <row r="12273" ht="18.75"/>
    <row r="12274" ht="18.75"/>
    <row r="12275" ht="18.75"/>
    <row r="12276" ht="18.75"/>
    <row r="12277" ht="18.75"/>
    <row r="12278" ht="18.75"/>
    <row r="12279" ht="18.75"/>
    <row r="12280" ht="18.75"/>
    <row r="12281" ht="18.75"/>
    <row r="12282" ht="18.75"/>
    <row r="12283" ht="18.75"/>
    <row r="12284" ht="18.75"/>
    <row r="12285" ht="18.75"/>
    <row r="12286" ht="18.75"/>
    <row r="12287" ht="18.75"/>
    <row r="12288" ht="18.75"/>
    <row r="12289" ht="18.75"/>
    <row r="12290" ht="18.75"/>
    <row r="12291" ht="18.75"/>
    <row r="12292" ht="18.75"/>
    <row r="12293" ht="18.75"/>
    <row r="12294" ht="18.75"/>
    <row r="12295" ht="18.75"/>
    <row r="12296" ht="18.75"/>
    <row r="12297" ht="18.75"/>
    <row r="12298" ht="18.75"/>
    <row r="12299" ht="18.75"/>
    <row r="12300" ht="18.75"/>
    <row r="12301" ht="18.75"/>
    <row r="12302" ht="18.75"/>
    <row r="12303" ht="18.75"/>
    <row r="12304" ht="18.75"/>
    <row r="12305" ht="18.75"/>
    <row r="12306" ht="18.75"/>
    <row r="12307" ht="18.75"/>
    <row r="12308" ht="18.75"/>
    <row r="12309" ht="18.75"/>
    <row r="12310" ht="18.75"/>
    <row r="12311" ht="18.75"/>
    <row r="12312" ht="18.75"/>
    <row r="12313" ht="18.75"/>
    <row r="12314" ht="18.75"/>
    <row r="12315" ht="18.75"/>
    <row r="12316" ht="18.75"/>
    <row r="12317" ht="18.75"/>
    <row r="12318" ht="18.75"/>
    <row r="12319" ht="18.75"/>
    <row r="12320" ht="18.75"/>
    <row r="12321" ht="18.75"/>
    <row r="12322" ht="18.75"/>
    <row r="12323" ht="18.75"/>
    <row r="12324" ht="18.75"/>
    <row r="12325" ht="18.75"/>
    <row r="12326" ht="18.75"/>
    <row r="12327" ht="18.75"/>
    <row r="12328" ht="18.75"/>
    <row r="12329" ht="18.75"/>
    <row r="12330" ht="18.75"/>
    <row r="12331" ht="18.75"/>
    <row r="12332" ht="18.75"/>
    <row r="12333" ht="18.75"/>
    <row r="12334" ht="18.75"/>
    <row r="12335" ht="18.75"/>
    <row r="12336" ht="18.75"/>
    <row r="12337" ht="18.75"/>
    <row r="12338" ht="18.75"/>
    <row r="12339" ht="18.75"/>
    <row r="12340" ht="18.75"/>
    <row r="12341" ht="18.75"/>
    <row r="12342" ht="18.75"/>
    <row r="12343" ht="18.75"/>
    <row r="12344" ht="18.75"/>
    <row r="12345" ht="18.75"/>
    <row r="12346" ht="18.75"/>
    <row r="12347" ht="18.75"/>
    <row r="12348" ht="18.75"/>
    <row r="12349" ht="18.75"/>
    <row r="12350" ht="18.75"/>
    <row r="12351" ht="18.75"/>
    <row r="12352" ht="18.75"/>
    <row r="12353" ht="18.75"/>
    <row r="12354" ht="18.75"/>
    <row r="12355" ht="18.75"/>
    <row r="12356" ht="18.75"/>
    <row r="12357" ht="18.75"/>
    <row r="12358" ht="18.75"/>
    <row r="12359" ht="18.75"/>
    <row r="12360" ht="18.75"/>
    <row r="12361" ht="18.75"/>
    <row r="12362" ht="18.75"/>
    <row r="12363" ht="18.75"/>
    <row r="12364" ht="18.75"/>
    <row r="12365" ht="18.75"/>
    <row r="12366" ht="18.75"/>
    <row r="12367" ht="18.75"/>
    <row r="12368" ht="18.75"/>
    <row r="12369" ht="18.75"/>
    <row r="12370" ht="18.75"/>
    <row r="12371" ht="18.75"/>
    <row r="12372" ht="18.75"/>
    <row r="12373" ht="18.75"/>
    <row r="12374" ht="18.75"/>
    <row r="12375" ht="18.75"/>
    <row r="12376" ht="18.75"/>
    <row r="12377" ht="18.75"/>
    <row r="12378" ht="18.75"/>
    <row r="12379" ht="18.75"/>
    <row r="12380" ht="18.75"/>
    <row r="12381" ht="18.75"/>
    <row r="12382" ht="18.75"/>
    <row r="12383" ht="18.75"/>
    <row r="12384" ht="18.75"/>
    <row r="12385" ht="18.75"/>
    <row r="12386" ht="18.75"/>
    <row r="12387" ht="18.75"/>
    <row r="12388" ht="18.75"/>
    <row r="12389" ht="18.75"/>
    <row r="12390" ht="18.75"/>
    <row r="12391" ht="18.75"/>
    <row r="12392" ht="18.75"/>
    <row r="12393" ht="18.75"/>
    <row r="12394" ht="18.75"/>
    <row r="12395" ht="18.75"/>
    <row r="12396" ht="18.75"/>
    <row r="12397" ht="18.75"/>
    <row r="12398" ht="18.75"/>
    <row r="12399" ht="18.75"/>
    <row r="12400" ht="18.75"/>
    <row r="12401" ht="18.75"/>
    <row r="12402" ht="18.75"/>
    <row r="12403" ht="18.75"/>
    <row r="12404" ht="18.75"/>
    <row r="12405" ht="18.75"/>
    <row r="12406" ht="18.75"/>
    <row r="12407" ht="18.75"/>
    <row r="12408" ht="18.75"/>
    <row r="12409" ht="18.75"/>
    <row r="12410" ht="18.75"/>
    <row r="12411" ht="18.75"/>
    <row r="12412" ht="18.75"/>
    <row r="12413" ht="18.75"/>
    <row r="12414" ht="18.75"/>
    <row r="12415" ht="18.75"/>
    <row r="12416" ht="18.75"/>
    <row r="12417" ht="18.75"/>
    <row r="12418" ht="18.75"/>
    <row r="12419" ht="18.75"/>
    <row r="12420" ht="18.75"/>
    <row r="12421" ht="18.75"/>
    <row r="12422" ht="18.75"/>
    <row r="12423" ht="18.75"/>
    <row r="12424" ht="18.75"/>
    <row r="12425" ht="18.75"/>
    <row r="12426" ht="18.75"/>
    <row r="12427" ht="18.75"/>
    <row r="12428" ht="18.75"/>
    <row r="12429" ht="18.75"/>
    <row r="12430" ht="18.75"/>
    <row r="12431" ht="18.75"/>
    <row r="12432" ht="18.75"/>
    <row r="12433" ht="18.75"/>
    <row r="12434" ht="18.75"/>
    <row r="12435" ht="18.75"/>
    <row r="12436" ht="18.75"/>
    <row r="12437" ht="18.75"/>
    <row r="12438" ht="18.75"/>
    <row r="12439" ht="18.75"/>
    <row r="12440" ht="18.75"/>
    <row r="12441" ht="18.75"/>
    <row r="12442" ht="18.75"/>
    <row r="12443" ht="18.75"/>
    <row r="12444" ht="18.75"/>
    <row r="12445" ht="18.75"/>
    <row r="12446" ht="18.75"/>
    <row r="12447" ht="18.75"/>
    <row r="12448" ht="18.75"/>
    <row r="12449" ht="18.75"/>
    <row r="12450" ht="18.75"/>
    <row r="12451" ht="18.75"/>
    <row r="12452" ht="18.75"/>
    <row r="12453" ht="18.75"/>
    <row r="12454" ht="18.75"/>
    <row r="12455" ht="18.75"/>
    <row r="12456" ht="18.75"/>
    <row r="12457" ht="18.75"/>
    <row r="12458" ht="18.75"/>
    <row r="12459" ht="18.75"/>
    <row r="12460" ht="18.75"/>
    <row r="12461" ht="18.75"/>
    <row r="12462" ht="18.75"/>
    <row r="12463" ht="18.75"/>
    <row r="12464" ht="18.75"/>
    <row r="12465" ht="18.75"/>
    <row r="12466" ht="18.75"/>
    <row r="12467" ht="18.75"/>
    <row r="12468" ht="18.75"/>
    <row r="12469" ht="18.75"/>
    <row r="12470" ht="18.75"/>
    <row r="12471" ht="18.75"/>
    <row r="12472" ht="18.75"/>
    <row r="12473" ht="18.75"/>
    <row r="12474" ht="18.75"/>
    <row r="12475" ht="18.75"/>
    <row r="12476" ht="18.75"/>
    <row r="12477" ht="18.75"/>
    <row r="12478" ht="18.75"/>
    <row r="12479" ht="18.75"/>
    <row r="12480" ht="18.75"/>
    <row r="12481" ht="18.75"/>
    <row r="12482" ht="18.75"/>
    <row r="12483" ht="18.75"/>
    <row r="12484" ht="18.75"/>
    <row r="12485" ht="18.75"/>
    <row r="12486" ht="18.75"/>
    <row r="12487" ht="18.75"/>
    <row r="12488" ht="18.75"/>
    <row r="12489" ht="18.75"/>
    <row r="12490" ht="18.75"/>
    <row r="12491" ht="18.75"/>
    <row r="12492" ht="18.75"/>
    <row r="12493" ht="18.75"/>
    <row r="12494" ht="18.75"/>
    <row r="12495" ht="18.75"/>
    <row r="12496" ht="18.75"/>
    <row r="12497" ht="18.75"/>
    <row r="12498" ht="18.75"/>
    <row r="12499" ht="18.75"/>
    <row r="12500" ht="18.75"/>
    <row r="12501" ht="18.75"/>
    <row r="12502" ht="18.75"/>
    <row r="12503" ht="18.75"/>
    <row r="12504" ht="18.75"/>
    <row r="12505" ht="18.75"/>
    <row r="12506" ht="18.75"/>
    <row r="12507" ht="18.75"/>
    <row r="12508" ht="18.75"/>
    <row r="12509" ht="18.75"/>
    <row r="12510" ht="18.75"/>
    <row r="12511" ht="18.75"/>
    <row r="12512" ht="18.75"/>
    <row r="12513" ht="18.75"/>
    <row r="12514" ht="18.75"/>
    <row r="12515" ht="18.75"/>
    <row r="12516" ht="18.75"/>
    <row r="12517" ht="18.75"/>
    <row r="12518" ht="18.75"/>
    <row r="12519" ht="18.75"/>
    <row r="12520" ht="18.75"/>
    <row r="12521" ht="18.75"/>
    <row r="12522" ht="18.75"/>
    <row r="12523" ht="18.75"/>
    <row r="12524" ht="18.75"/>
    <row r="12525" ht="18.75"/>
    <row r="12526" ht="18.75"/>
    <row r="12527" ht="18.75"/>
    <row r="12528" ht="18.75"/>
    <row r="12529" ht="18.75"/>
    <row r="12530" ht="18.75"/>
    <row r="12531" ht="18.75"/>
    <row r="12532" ht="18.75"/>
    <row r="12533" ht="18.75"/>
    <row r="12534" ht="18.75"/>
    <row r="12535" ht="18.75"/>
    <row r="12536" ht="18.75"/>
    <row r="12537" ht="18.75"/>
    <row r="12538" ht="18.75"/>
    <row r="12539" ht="18.75"/>
    <row r="12540" ht="18.75"/>
    <row r="12541" ht="18.75"/>
    <row r="12542" ht="18.75"/>
    <row r="12543" ht="18.75"/>
    <row r="12544" ht="18.75"/>
    <row r="12545" ht="18.75"/>
    <row r="12546" ht="18.75"/>
    <row r="12547" ht="18.75"/>
    <row r="12548" ht="18.75"/>
    <row r="12549" ht="18.75"/>
    <row r="12550" ht="18.75"/>
    <row r="12551" ht="18.75"/>
    <row r="12552" ht="18.75"/>
    <row r="12553" ht="18.75"/>
    <row r="12554" ht="18.75"/>
    <row r="12555" ht="18.75"/>
    <row r="12556" ht="18.75"/>
    <row r="12557" ht="18.75"/>
    <row r="12558" ht="18.75"/>
    <row r="12559" ht="18.75"/>
    <row r="12560" ht="18.75"/>
    <row r="12561" ht="18.75"/>
    <row r="12562" ht="18.75"/>
    <row r="12563" ht="18.75"/>
    <row r="12564" ht="18.75"/>
    <row r="12565" ht="18.75"/>
    <row r="12566" ht="18.75"/>
    <row r="12567" ht="18.75"/>
    <row r="12568" ht="18.75"/>
    <row r="12569" ht="18.75"/>
    <row r="12570" ht="18.75"/>
    <row r="12571" ht="18.75"/>
    <row r="12572" ht="18.75"/>
    <row r="12573" ht="18.75"/>
    <row r="12574" ht="18.75"/>
    <row r="12575" ht="18.75"/>
    <row r="12576" ht="18.75"/>
    <row r="12577" ht="18.75"/>
    <row r="12578" ht="18.75"/>
    <row r="12579" ht="18.75"/>
    <row r="12580" ht="18.75"/>
    <row r="12581" ht="18.75"/>
    <row r="12582" ht="18.75"/>
    <row r="12583" ht="18.75"/>
    <row r="12584" ht="18.75"/>
    <row r="12585" ht="18.75"/>
    <row r="12586" ht="18.75"/>
    <row r="12587" ht="18.75"/>
    <row r="12588" ht="18.75"/>
    <row r="12589" ht="18.75"/>
    <row r="12590" ht="18.75"/>
    <row r="12591" ht="18.75"/>
    <row r="12592" ht="18.75"/>
    <row r="12593" ht="18.75"/>
    <row r="12594" ht="18.75"/>
    <row r="12595" ht="18.75"/>
    <row r="12596" ht="18.75"/>
    <row r="12597" ht="18.75"/>
    <row r="12598" ht="18.75"/>
    <row r="12599" ht="18.75"/>
    <row r="12600" ht="18.75"/>
    <row r="12601" ht="18.75"/>
    <row r="12602" ht="18.75"/>
    <row r="12603" ht="18.75"/>
    <row r="12604" ht="18.75"/>
    <row r="12605" ht="18.75"/>
    <row r="12606" ht="18.75"/>
    <row r="12607" ht="18.75"/>
    <row r="12608" ht="18.75"/>
    <row r="12609" ht="18.75"/>
    <row r="12610" ht="18.75"/>
    <row r="12611" ht="18.75"/>
    <row r="12612" ht="18.75"/>
    <row r="12613" ht="18.75"/>
    <row r="12614" ht="18.75"/>
    <row r="12615" ht="18.75"/>
    <row r="12616" ht="18.75"/>
    <row r="12617" ht="18.75"/>
    <row r="12618" ht="18.75"/>
    <row r="12619" ht="18.75"/>
    <row r="12620" ht="18.75"/>
    <row r="12621" ht="18.75"/>
    <row r="12622" ht="18.75"/>
    <row r="12623" ht="18.75"/>
    <row r="12624" ht="18.75"/>
    <row r="12625" ht="18.75"/>
    <row r="12626" ht="18.75"/>
    <row r="12627" ht="18.75"/>
    <row r="12628" ht="18.75"/>
    <row r="12629" ht="18.75"/>
    <row r="12630" ht="18.75"/>
    <row r="12631" ht="18.75"/>
    <row r="12632" ht="18.75"/>
    <row r="12633" ht="18.75"/>
    <row r="12634" ht="18.75"/>
    <row r="12635" ht="18.75"/>
    <row r="12636" ht="18.75"/>
    <row r="12637" ht="18.75"/>
    <row r="12638" ht="18.75"/>
    <row r="12639" ht="18.75"/>
    <row r="12640" ht="18.75"/>
    <row r="12641" ht="18.75"/>
    <row r="12642" ht="18.75"/>
    <row r="12643" ht="18.75"/>
    <row r="12644" ht="18.75"/>
    <row r="12645" ht="18.75"/>
    <row r="12646" ht="18.75"/>
    <row r="12647" ht="18.75"/>
    <row r="12648" ht="18.75"/>
    <row r="12649" ht="18.75"/>
    <row r="12650" ht="18.75"/>
    <row r="12651" ht="18.75"/>
    <row r="12652" ht="18.75"/>
    <row r="12653" ht="18.75"/>
    <row r="12654" ht="18.75"/>
    <row r="12655" ht="18.75"/>
    <row r="12656" ht="18.75"/>
    <row r="12657" ht="18.75"/>
    <row r="12658" ht="18.75"/>
    <row r="12659" ht="18.75"/>
    <row r="12660" ht="18.75"/>
    <row r="12661" ht="18.75"/>
    <row r="12662" ht="18.75"/>
    <row r="12663" ht="18.75"/>
    <row r="12664" ht="18.75"/>
    <row r="12665" ht="18.75"/>
    <row r="12666" ht="18.75"/>
    <row r="12667" ht="18.75"/>
    <row r="12668" ht="18.75"/>
    <row r="12669" ht="18.75"/>
    <row r="12670" ht="18.75"/>
    <row r="12671" ht="18.75"/>
    <row r="12672" ht="18.75"/>
    <row r="12673" ht="18.75"/>
    <row r="12674" ht="18.75"/>
    <row r="12675" ht="18.75"/>
    <row r="12676" ht="18.75"/>
    <row r="12677" ht="18.75"/>
    <row r="12678" ht="18.75"/>
    <row r="12679" ht="18.75"/>
    <row r="12680" ht="18.75"/>
    <row r="12681" ht="18.75"/>
    <row r="12682" ht="18.75"/>
    <row r="12683" ht="18.75"/>
    <row r="12684" ht="18.75"/>
    <row r="12685" ht="18.75"/>
    <row r="12686" ht="18.75"/>
    <row r="12687" ht="18.75"/>
    <row r="12688" ht="18.75"/>
    <row r="12689" ht="18.75"/>
    <row r="12690" ht="18.75"/>
    <row r="12691" ht="18.75"/>
    <row r="12692" ht="18.75"/>
    <row r="12693" ht="18.75"/>
    <row r="12694" ht="18.75"/>
    <row r="12695" ht="18.75"/>
    <row r="12696" ht="18.75"/>
    <row r="12697" ht="18.75"/>
    <row r="12698" ht="18.75"/>
    <row r="12699" ht="18.75"/>
    <row r="12700" ht="18.75"/>
    <row r="12701" ht="18.75"/>
    <row r="12702" ht="18.75"/>
    <row r="12703" ht="18.75"/>
    <row r="12704" ht="18.75"/>
    <row r="12705" ht="18.75"/>
    <row r="12706" ht="18.75"/>
    <row r="12707" ht="18.75"/>
    <row r="12708" ht="18.75"/>
    <row r="12709" ht="18.75"/>
    <row r="12710" ht="18.75"/>
    <row r="12711" ht="18.75"/>
    <row r="12712" ht="18.75"/>
    <row r="12713" ht="18.75"/>
    <row r="12714" ht="18.75"/>
    <row r="12715" ht="18.75"/>
    <row r="12716" ht="18.75"/>
    <row r="12717" ht="18.75"/>
    <row r="12718" ht="18.75"/>
    <row r="12719" ht="18.75"/>
    <row r="12720" ht="18.75"/>
    <row r="12721" ht="18.75"/>
    <row r="12722" ht="18.75"/>
    <row r="12723" ht="18.75"/>
    <row r="12724" ht="18.75"/>
    <row r="12725" ht="18.75"/>
    <row r="12726" ht="18.75"/>
    <row r="12727" ht="18.75"/>
    <row r="12728" ht="18.75"/>
    <row r="12729" ht="18.75"/>
    <row r="12730" ht="18.75"/>
    <row r="12731" ht="18.75"/>
    <row r="12732" ht="18.75"/>
    <row r="12733" ht="18.75"/>
    <row r="12734" ht="18.75"/>
    <row r="12735" ht="18.75"/>
    <row r="12736" ht="18.75"/>
    <row r="12737" ht="18.75"/>
    <row r="12738" ht="18.75"/>
    <row r="12739" ht="18.75"/>
    <row r="12740" ht="18.75"/>
    <row r="12741" ht="18.75"/>
    <row r="12742" ht="18.75"/>
    <row r="12743" ht="18.75"/>
    <row r="12744" ht="18.75"/>
    <row r="12745" ht="18.75"/>
    <row r="12746" ht="18.75"/>
    <row r="12747" ht="18.75"/>
    <row r="12748" ht="18.75"/>
    <row r="12749" ht="18.75"/>
    <row r="12750" ht="18.75"/>
    <row r="12751" ht="18.75"/>
    <row r="12752" ht="18.75"/>
    <row r="12753" ht="18.75"/>
    <row r="12754" ht="18.75"/>
    <row r="12755" ht="18.75"/>
    <row r="12756" ht="18.75"/>
    <row r="12757" ht="18.75"/>
    <row r="12758" ht="18.75"/>
    <row r="12759" ht="18.75"/>
    <row r="12760" ht="18.75"/>
    <row r="12761" ht="18.75"/>
    <row r="12762" ht="18.75"/>
    <row r="12763" ht="18.75"/>
    <row r="12764" ht="18.75"/>
    <row r="12765" ht="18.75"/>
    <row r="12766" ht="18.75"/>
    <row r="12767" ht="18.75"/>
    <row r="12768" ht="18.75"/>
    <row r="12769" ht="18.75"/>
    <row r="12770" ht="18.75"/>
    <row r="12771" ht="18.75"/>
    <row r="12772" ht="18.75"/>
    <row r="12773" ht="18.75"/>
    <row r="12774" ht="18.75"/>
    <row r="12775" ht="18.75"/>
    <row r="12776" ht="18.75"/>
    <row r="12777" ht="18.75"/>
    <row r="12778" ht="18.75"/>
    <row r="12779" ht="18.75"/>
    <row r="12780" ht="18.75"/>
    <row r="12781" ht="18.75"/>
    <row r="12782" ht="18.75"/>
    <row r="12783" ht="18.75"/>
    <row r="12784" ht="18.75"/>
    <row r="12785" ht="18.75"/>
    <row r="12786" ht="18.75"/>
    <row r="12787" ht="18.75"/>
    <row r="12788" ht="18.75"/>
    <row r="12789" ht="18.75"/>
    <row r="12790" ht="18.75"/>
    <row r="12791" ht="18.75"/>
    <row r="12792" ht="18.75"/>
    <row r="12793" ht="18.75"/>
    <row r="12794" ht="18.75"/>
    <row r="12795" ht="18.75"/>
    <row r="12796" ht="18.75"/>
    <row r="12797" ht="18.75"/>
    <row r="12798" ht="18.75"/>
    <row r="12799" ht="18.75"/>
    <row r="12800" ht="18.75"/>
    <row r="12801" ht="18.75"/>
    <row r="12802" ht="18.75"/>
    <row r="12803" ht="18.75"/>
    <row r="12804" ht="18.75"/>
    <row r="12805" ht="18.75"/>
    <row r="12806" ht="18.75"/>
    <row r="12807" ht="18.75"/>
    <row r="12808" ht="18.75"/>
    <row r="12809" ht="18.75"/>
    <row r="12810" ht="18.75"/>
    <row r="12811" ht="18.75"/>
    <row r="12812" ht="18.75"/>
    <row r="12813" ht="18.75"/>
    <row r="12814" ht="18.75"/>
    <row r="12815" ht="18.75"/>
    <row r="12816" ht="18.75"/>
    <row r="12817" ht="18.75"/>
    <row r="12818" ht="18.75"/>
    <row r="12819" ht="18.75"/>
    <row r="12820" ht="18.75"/>
    <row r="12821" ht="18.75"/>
    <row r="12822" ht="18.75"/>
    <row r="12823" ht="18.75"/>
    <row r="12824" ht="18.75"/>
    <row r="12825" ht="18.75"/>
    <row r="12826" ht="18.75"/>
    <row r="12827" ht="18.75"/>
    <row r="12828" ht="18.75"/>
    <row r="12829" ht="18.75"/>
    <row r="12830" ht="18.75"/>
    <row r="12831" ht="18.75"/>
    <row r="12832" ht="18.75"/>
    <row r="12833" ht="18.75"/>
    <row r="12834" ht="18.75"/>
    <row r="12835" ht="18.75"/>
    <row r="12836" ht="18.75"/>
    <row r="12837" ht="18.75"/>
    <row r="12838" ht="18.75"/>
    <row r="12839" ht="18.75"/>
    <row r="12840" ht="18.75"/>
    <row r="12841" ht="18.75"/>
    <row r="12842" ht="18.75"/>
    <row r="12843" ht="18.75"/>
    <row r="12844" ht="18.75"/>
    <row r="12845" ht="18.75"/>
    <row r="12846" ht="18.75"/>
    <row r="12847" ht="18.75"/>
    <row r="12848" ht="18.75"/>
    <row r="12849" ht="18.75"/>
    <row r="12850" ht="18.75"/>
    <row r="12851" ht="18.75"/>
    <row r="12852" ht="18.75"/>
    <row r="12853" ht="18.75"/>
    <row r="12854" ht="18.75"/>
    <row r="12855" ht="18.75"/>
    <row r="12856" ht="18.75"/>
    <row r="12857" ht="18.75"/>
    <row r="12858" ht="18.75"/>
    <row r="12859" ht="18.75"/>
    <row r="12860" ht="18.75"/>
    <row r="12861" ht="18.75"/>
    <row r="12862" ht="18.75"/>
    <row r="12863" ht="18.75"/>
    <row r="12864" ht="18.75"/>
    <row r="12865" ht="18.75"/>
    <row r="12866" ht="18.75"/>
    <row r="12867" ht="18.75"/>
    <row r="12868" ht="18.75"/>
    <row r="12869" ht="18.75"/>
    <row r="12870" ht="18.75"/>
    <row r="12871" ht="18.75"/>
    <row r="12872" ht="18.75"/>
    <row r="12873" ht="18.75"/>
    <row r="12874" ht="18.75"/>
    <row r="12875" ht="18.75"/>
    <row r="12876" ht="18.75"/>
    <row r="12877" ht="18.75"/>
    <row r="12878" ht="18.75"/>
    <row r="12879" ht="18.75"/>
    <row r="12880" ht="18.75"/>
    <row r="12881" ht="18.75"/>
    <row r="12882" ht="18.75"/>
    <row r="12883" ht="18.75"/>
    <row r="12884" ht="18.75"/>
    <row r="12885" ht="18.75"/>
    <row r="12886" ht="18.75"/>
    <row r="12887" ht="18.75"/>
    <row r="12888" ht="18.75"/>
    <row r="12889" ht="18.75"/>
    <row r="12890" ht="18.75"/>
    <row r="12891" ht="18.75"/>
    <row r="12892" ht="18.75"/>
    <row r="12893" ht="18.75"/>
    <row r="12894" ht="18.75"/>
    <row r="12895" ht="18.75"/>
    <row r="12896" ht="18.75"/>
    <row r="12897" ht="18.75"/>
    <row r="12898" ht="18.75"/>
    <row r="12899" ht="18.75"/>
    <row r="12900" ht="18.75"/>
    <row r="12901" ht="18.75"/>
    <row r="12902" ht="18.75"/>
    <row r="12903" ht="18.75"/>
    <row r="12904" ht="18.75"/>
    <row r="12905" ht="18.75"/>
    <row r="12906" ht="18.75"/>
    <row r="12907" ht="18.75"/>
    <row r="12908" ht="18.75"/>
    <row r="12909" ht="18.75"/>
    <row r="12910" ht="18.75"/>
    <row r="12911" ht="18.75"/>
    <row r="12912" ht="18.75"/>
    <row r="12913" ht="18.75"/>
    <row r="12914" ht="18.75"/>
    <row r="12915" ht="18.75"/>
    <row r="12916" ht="18.75"/>
    <row r="12917" ht="18.75"/>
    <row r="12918" ht="18.75"/>
    <row r="12919" ht="18.75"/>
    <row r="12920" ht="18.75"/>
    <row r="12921" ht="18.75"/>
    <row r="12922" ht="18.75"/>
    <row r="12923" ht="18.75"/>
    <row r="12924" ht="18.75"/>
    <row r="12925" ht="18.75"/>
    <row r="12926" ht="18.75"/>
    <row r="12927" ht="18.75"/>
    <row r="12928" ht="18.75"/>
    <row r="12929" ht="18.75"/>
    <row r="12930" ht="18.75"/>
    <row r="12931" ht="18.75"/>
    <row r="12932" ht="18.75"/>
    <row r="12933" ht="18.75"/>
    <row r="12934" ht="18.75"/>
    <row r="12935" ht="18.75"/>
    <row r="12936" ht="18.75"/>
    <row r="12937" ht="18.75"/>
    <row r="12938" ht="18.75"/>
    <row r="12939" ht="18.75"/>
    <row r="12940" ht="18.75"/>
    <row r="12941" ht="18.75"/>
    <row r="12942" ht="18.75"/>
    <row r="12943" ht="18.75"/>
    <row r="12944" ht="18.75"/>
    <row r="12945" ht="18.75"/>
    <row r="12946" ht="18.75"/>
    <row r="12947" ht="18.75"/>
    <row r="12948" ht="18.75"/>
    <row r="12949" ht="18.75"/>
    <row r="12950" ht="18.75"/>
    <row r="12951" ht="18.75"/>
    <row r="12952" ht="18.75"/>
    <row r="12953" ht="18.75"/>
    <row r="12954" ht="18.75"/>
    <row r="12955" ht="18.75"/>
    <row r="12956" ht="18.75"/>
    <row r="12957" ht="18.75"/>
    <row r="12958" ht="18.75"/>
    <row r="12959" ht="18.75"/>
    <row r="12960" ht="18.75"/>
    <row r="12961" ht="18.75"/>
    <row r="12962" ht="18.75"/>
    <row r="12963" ht="18.75"/>
    <row r="12964" ht="18.75"/>
    <row r="12965" ht="18.75"/>
    <row r="12966" ht="18.75"/>
    <row r="12967" ht="18.75"/>
    <row r="12968" ht="18.75"/>
    <row r="12969" ht="18.75"/>
    <row r="12970" ht="18.75"/>
    <row r="12971" ht="18.75"/>
    <row r="12972" ht="18.75"/>
    <row r="12973" ht="18.75"/>
    <row r="12974" ht="18.75"/>
    <row r="12975" ht="18.75"/>
    <row r="12976" ht="18.75"/>
    <row r="12977" ht="18.75"/>
    <row r="12978" ht="18.75"/>
    <row r="12979" ht="18.75"/>
    <row r="12980" ht="18.75"/>
    <row r="12981" ht="18.75"/>
    <row r="12982" ht="18.75"/>
    <row r="12983" ht="18.75"/>
    <row r="12984" ht="18.75"/>
    <row r="12985" ht="18.75"/>
    <row r="12986" ht="18.75"/>
    <row r="12987" ht="18.75"/>
    <row r="12988" ht="18.75"/>
    <row r="12989" ht="18.75"/>
    <row r="12990" ht="18.75"/>
    <row r="12991" ht="18.75"/>
    <row r="12992" ht="18.75"/>
    <row r="12993" ht="18.75"/>
    <row r="12994" ht="18.75"/>
    <row r="12995" ht="18.75"/>
    <row r="12996" ht="18.75"/>
    <row r="12997" ht="18.75"/>
    <row r="12998" ht="18.75"/>
    <row r="12999" ht="18.75"/>
    <row r="13000" ht="18.75"/>
    <row r="13001" ht="18.75"/>
    <row r="13002" ht="18.75"/>
    <row r="13003" ht="18.75"/>
    <row r="13004" ht="18.75"/>
    <row r="13005" ht="18.75"/>
    <row r="13006" ht="18.75"/>
    <row r="13007" ht="18.75"/>
    <row r="13008" ht="18.75"/>
    <row r="13009" ht="18.75"/>
    <row r="13010" ht="18.75"/>
    <row r="13011" ht="18.75"/>
    <row r="13012" ht="18.75"/>
    <row r="13013" ht="18.75"/>
    <row r="13014" ht="18.75"/>
    <row r="13015" ht="18.75"/>
    <row r="13016" ht="18.75"/>
    <row r="13017" ht="18.75"/>
    <row r="13018" ht="18.75"/>
    <row r="13019" ht="18.75"/>
    <row r="13020" ht="18.75"/>
    <row r="13021" ht="18.75"/>
    <row r="13022" ht="18.75"/>
    <row r="13023" ht="18.75"/>
    <row r="13024" ht="18.75"/>
    <row r="13025" ht="18.75"/>
    <row r="13026" ht="18.75"/>
    <row r="13027" ht="18.75"/>
    <row r="13028" ht="18.75"/>
    <row r="13029" ht="18.75"/>
    <row r="13030" ht="18.75"/>
    <row r="13031" ht="18.75"/>
    <row r="13032" ht="18.75"/>
    <row r="13033" ht="18.75"/>
    <row r="13034" ht="18.75"/>
    <row r="13035" ht="18.75"/>
    <row r="13036" ht="18.75"/>
    <row r="13037" ht="18.75"/>
    <row r="13038" ht="18.75"/>
    <row r="13039" ht="18.75"/>
    <row r="13040" ht="18.75"/>
    <row r="13041" ht="18.75"/>
    <row r="13042" ht="18.75"/>
    <row r="13043" ht="18.75"/>
    <row r="13044" ht="18.75"/>
    <row r="13045" ht="18.75"/>
    <row r="13046" ht="18.75"/>
    <row r="13047" ht="18.75"/>
    <row r="13048" ht="18.75"/>
    <row r="13049" ht="18.75"/>
    <row r="13050" ht="18.75"/>
    <row r="13051" ht="18.75"/>
    <row r="13052" ht="18.75"/>
    <row r="13053" ht="18.75"/>
    <row r="13054" ht="18.75"/>
    <row r="13055" ht="18.75"/>
    <row r="13056" ht="18.75"/>
    <row r="13057" ht="18.75"/>
    <row r="13058" ht="18.75"/>
    <row r="13059" ht="18.75"/>
    <row r="13060" ht="18.75"/>
    <row r="13061" ht="18.75"/>
    <row r="13062" ht="18.75"/>
    <row r="13063" ht="18.75"/>
    <row r="13064" ht="18.75"/>
    <row r="13065" ht="18.75"/>
    <row r="13066" ht="18.75"/>
    <row r="13067" ht="18.75"/>
    <row r="13068" ht="18.75"/>
    <row r="13069" ht="18.75"/>
    <row r="13070" ht="18.75"/>
    <row r="13071" ht="18.75"/>
    <row r="13072" ht="18.75"/>
    <row r="13073" ht="18.75"/>
    <row r="13074" ht="18.75"/>
    <row r="13075" ht="18.75"/>
    <row r="13076" ht="18.75"/>
    <row r="13077" ht="18.75"/>
    <row r="13078" ht="18.75"/>
    <row r="13079" ht="18.75"/>
    <row r="13080" ht="18.75"/>
    <row r="13081" ht="18.75"/>
    <row r="13082" ht="18.75"/>
    <row r="13083" ht="18.75"/>
    <row r="13084" ht="18.75"/>
    <row r="13085" ht="18.75"/>
    <row r="13086" ht="18.75"/>
    <row r="13087" ht="18.75"/>
    <row r="13088" ht="18.75"/>
    <row r="13089" ht="18.75"/>
    <row r="13090" ht="18.75"/>
    <row r="13091" ht="18.75"/>
    <row r="13092" ht="18.75"/>
    <row r="13093" ht="18.75"/>
    <row r="13094" ht="18.75"/>
    <row r="13095" ht="18.75"/>
    <row r="13096" ht="18.75"/>
    <row r="13097" ht="18.75"/>
    <row r="13098" ht="18.75"/>
    <row r="13099" ht="18.75"/>
    <row r="13100" ht="18.75"/>
    <row r="13101" ht="18.75"/>
    <row r="13102" ht="18.75"/>
    <row r="13103" ht="18.75"/>
    <row r="13104" ht="18.75"/>
    <row r="13105" ht="18.75"/>
    <row r="13106" ht="18.75"/>
    <row r="13107" ht="18.75"/>
    <row r="13108" ht="18.75"/>
    <row r="13109" ht="18.75"/>
    <row r="13110" ht="18.75"/>
    <row r="13111" ht="18.75"/>
    <row r="13112" ht="18.75"/>
    <row r="13113" ht="18.75"/>
    <row r="13114" ht="18.75"/>
    <row r="13115" ht="18.75"/>
    <row r="13116" ht="18.75"/>
    <row r="13117" ht="18.75"/>
    <row r="13118" ht="18.75"/>
    <row r="13119" ht="18.75"/>
    <row r="13120" ht="18.75"/>
    <row r="13121" ht="18.75"/>
    <row r="13122" ht="18.75"/>
    <row r="13123" ht="18.75"/>
    <row r="13124" ht="18.75"/>
    <row r="13125" ht="18.75"/>
    <row r="13126" ht="18.75"/>
    <row r="13127" ht="18.75"/>
    <row r="13128" ht="18.75"/>
    <row r="13129" ht="18.75"/>
    <row r="13130" ht="18.75"/>
    <row r="13131" ht="18.75"/>
    <row r="13132" ht="18.75"/>
    <row r="13133" ht="18.75"/>
    <row r="13134" ht="18.75"/>
    <row r="13135" ht="18.75"/>
    <row r="13136" ht="18.75"/>
    <row r="13137" ht="18.75"/>
    <row r="13138" ht="18.75"/>
    <row r="13139" ht="18.75"/>
    <row r="13140" ht="18.75"/>
    <row r="13141" ht="18.75"/>
    <row r="13142" ht="18.75"/>
    <row r="13143" ht="18.75"/>
    <row r="13144" ht="18.75"/>
    <row r="13145" ht="18.75"/>
    <row r="13146" ht="18.75"/>
    <row r="13147" ht="18.75"/>
    <row r="13148" ht="18.75"/>
    <row r="13149" ht="18.75"/>
    <row r="13150" ht="18.75"/>
    <row r="13151" ht="18.75"/>
    <row r="13152" ht="18.75"/>
    <row r="13153" ht="18.75"/>
    <row r="13154" ht="18.75"/>
    <row r="13155" ht="18.75"/>
    <row r="13156" ht="18.75"/>
    <row r="13157" ht="18.75"/>
    <row r="13158" ht="18.75"/>
    <row r="13159" ht="18.75"/>
    <row r="13160" ht="18.75"/>
    <row r="13161" ht="18.75"/>
    <row r="13162" ht="18.75"/>
    <row r="13163" ht="18.75"/>
    <row r="13164" ht="18.75"/>
    <row r="13165" ht="18.75"/>
    <row r="13166" ht="18.75"/>
    <row r="13167" ht="18.75"/>
    <row r="13168" ht="18.75"/>
    <row r="13169" ht="18.75"/>
    <row r="13170" ht="18.75"/>
    <row r="13171" ht="18.75"/>
    <row r="13172" ht="18.75"/>
    <row r="13173" ht="18.75"/>
    <row r="13174" ht="18.75"/>
    <row r="13175" ht="18.75"/>
    <row r="13176" ht="18.75"/>
    <row r="13177" ht="18.75"/>
    <row r="13178" ht="18.75"/>
    <row r="13179" ht="18.75"/>
    <row r="13180" ht="18.75"/>
    <row r="13181" ht="18.75"/>
    <row r="13182" ht="18.75"/>
    <row r="13183" ht="18.75"/>
    <row r="13184" ht="18.75"/>
    <row r="13185" ht="18.75"/>
    <row r="13186" ht="18.75"/>
    <row r="13187" ht="18.75"/>
    <row r="13188" ht="18.75"/>
    <row r="13189" ht="18.75"/>
    <row r="13190" ht="18.75"/>
    <row r="13191" ht="18.75"/>
    <row r="13192" ht="18.75"/>
    <row r="13193" ht="18.75"/>
    <row r="13194" ht="18.75"/>
    <row r="13195" ht="18.75"/>
    <row r="13196" ht="18.75"/>
    <row r="13197" ht="18.75"/>
    <row r="13198" ht="18.75"/>
    <row r="13199" ht="18.75"/>
    <row r="13200" ht="18.75"/>
    <row r="13201" ht="18.75"/>
    <row r="13202" ht="18.75"/>
    <row r="13203" ht="18.75"/>
    <row r="13204" ht="18.75"/>
    <row r="13205" ht="18.75"/>
    <row r="13206" ht="18.75"/>
    <row r="13207" ht="18.75"/>
    <row r="13208" ht="18.75"/>
    <row r="13209" ht="18.75"/>
    <row r="13210" ht="18.75"/>
    <row r="13211" ht="18.75"/>
    <row r="13212" ht="18.75"/>
    <row r="13213" ht="18.75"/>
    <row r="13214" ht="18.75"/>
    <row r="13215" ht="18.75"/>
    <row r="13216" ht="18.75"/>
    <row r="13217" ht="18.75"/>
    <row r="13218" ht="18.75"/>
    <row r="13219" ht="18.75"/>
    <row r="13220" ht="18.75"/>
    <row r="13221" ht="18.75"/>
    <row r="13222" ht="18.75"/>
    <row r="13223" ht="18.75"/>
    <row r="13224" ht="18.75"/>
    <row r="13225" ht="18.75"/>
    <row r="13226" ht="18.75"/>
    <row r="13227" ht="18.75"/>
    <row r="13228" ht="18.75"/>
    <row r="13229" ht="18.75"/>
    <row r="13230" ht="18.75"/>
    <row r="13231" ht="18.75"/>
    <row r="13232" ht="18.75"/>
    <row r="13233" ht="18.75"/>
    <row r="13234" ht="18.75"/>
    <row r="13235" ht="18.75"/>
    <row r="13236" ht="18.75"/>
    <row r="13237" ht="18.75"/>
    <row r="13238" ht="18.75"/>
    <row r="13239" ht="18.75"/>
    <row r="13240" ht="18.75"/>
    <row r="13241" ht="18.75"/>
    <row r="13242" ht="18.75"/>
    <row r="13243" ht="18.75"/>
    <row r="13244" ht="18.75"/>
    <row r="13245" ht="18.75"/>
    <row r="13246" ht="18.75"/>
    <row r="13247" ht="18.75"/>
    <row r="13248" ht="18.75"/>
    <row r="13249" ht="18.75"/>
    <row r="13250" ht="18.75"/>
    <row r="13251" ht="18.75"/>
    <row r="13252" ht="18.75"/>
    <row r="13253" ht="18.75"/>
    <row r="13254" ht="18.75"/>
    <row r="13255" ht="18.75"/>
    <row r="13256" ht="18.75"/>
    <row r="13257" ht="18.75"/>
    <row r="13258" ht="18.75"/>
    <row r="13259" ht="18.75"/>
    <row r="13260" ht="18.75"/>
    <row r="13261" ht="18.75"/>
    <row r="13262" ht="18.75"/>
    <row r="13263" ht="18.75"/>
    <row r="13264" ht="18.75"/>
    <row r="13265" ht="18.75"/>
    <row r="13266" ht="18.75"/>
    <row r="13267" ht="18.75"/>
    <row r="13268" ht="18.75"/>
    <row r="13269" ht="18.75"/>
    <row r="13270" ht="18.75"/>
    <row r="13271" ht="18.75"/>
    <row r="13272" ht="18.75"/>
    <row r="13273" ht="18.75"/>
    <row r="13274" ht="18.75"/>
    <row r="13275" ht="18.75"/>
    <row r="13276" ht="18.75"/>
    <row r="13277" ht="18.75"/>
    <row r="13278" ht="18.75"/>
    <row r="13279" ht="18.75"/>
    <row r="13280" ht="18.75"/>
    <row r="13281" ht="18.75"/>
    <row r="13282" ht="18.75"/>
    <row r="13283" ht="18.75"/>
    <row r="13284" ht="18.75"/>
    <row r="13285" ht="18.75"/>
    <row r="13286" ht="18.75"/>
    <row r="13287" ht="18.75"/>
    <row r="13288" ht="18.75"/>
    <row r="13289" ht="18.75"/>
    <row r="13290" ht="18.75"/>
    <row r="13291" ht="18.75"/>
    <row r="13292" ht="18.75"/>
    <row r="13293" ht="18.75"/>
    <row r="13294" ht="18.75"/>
    <row r="13295" ht="18.75"/>
    <row r="13296" ht="18.75"/>
    <row r="13297" ht="18.75"/>
    <row r="13298" ht="18.75"/>
    <row r="13299" ht="18.75"/>
    <row r="13300" ht="18.75"/>
    <row r="13301" ht="18.75"/>
    <row r="13302" ht="18.75"/>
    <row r="13303" ht="18.75"/>
    <row r="13304" ht="18.75"/>
    <row r="13305" ht="18.75"/>
    <row r="13306" ht="18.75"/>
    <row r="13307" ht="18.75"/>
    <row r="13308" ht="18.75"/>
    <row r="13309" ht="18.75"/>
    <row r="13310" ht="18.75"/>
    <row r="13311" ht="18.75"/>
    <row r="13312" ht="18.75"/>
    <row r="13313" ht="18.75"/>
    <row r="13314" ht="18.75"/>
    <row r="13315" ht="18.75"/>
    <row r="13316" ht="18.75"/>
    <row r="13317" ht="18.75"/>
    <row r="13318" ht="18.75"/>
    <row r="13319" ht="18.75"/>
    <row r="13320" ht="18.75"/>
    <row r="13321" ht="18.75"/>
    <row r="13322" ht="18.75"/>
    <row r="13323" ht="18.75"/>
    <row r="13324" ht="18.75"/>
    <row r="13325" ht="18.75"/>
    <row r="13326" ht="18.75"/>
    <row r="13327" ht="18.75"/>
    <row r="13328" ht="18.75"/>
    <row r="13329" ht="18.75"/>
    <row r="13330" ht="18.75"/>
    <row r="13331" ht="18.75"/>
    <row r="13332" ht="18.75"/>
    <row r="13333" ht="18.75"/>
    <row r="13334" ht="18.75"/>
    <row r="13335" ht="18.75"/>
    <row r="13336" ht="18.75"/>
    <row r="13337" ht="18.75"/>
    <row r="13338" ht="18.75"/>
    <row r="13339" ht="18.75"/>
    <row r="13340" ht="18.75"/>
    <row r="13341" ht="18.75"/>
    <row r="13342" ht="18.75"/>
    <row r="13343" ht="18.75"/>
    <row r="13344" ht="18.75"/>
    <row r="13345" ht="18.75"/>
    <row r="13346" ht="18.75"/>
    <row r="13347" ht="18.75"/>
    <row r="13348" ht="18.75"/>
    <row r="13349" ht="18.75"/>
    <row r="13350" ht="18.75"/>
    <row r="13351" ht="18.75"/>
    <row r="13352" ht="18.75"/>
    <row r="13353" ht="18.75"/>
    <row r="13354" ht="18.75"/>
    <row r="13355" ht="18.75"/>
    <row r="13356" ht="18.75"/>
    <row r="13357" ht="18.75"/>
    <row r="13358" ht="18.75"/>
    <row r="13359" ht="18.75"/>
    <row r="13360" ht="18.75"/>
    <row r="13361" ht="18.75"/>
    <row r="13362" ht="18.75"/>
    <row r="13363" ht="18.75"/>
    <row r="13364" ht="18.75"/>
    <row r="13365" ht="18.75"/>
    <row r="13366" ht="18.75"/>
    <row r="13367" ht="18.75"/>
    <row r="13368" ht="18.75"/>
    <row r="13369" ht="18.75"/>
    <row r="13370" ht="18.75"/>
    <row r="13371" ht="18.75"/>
    <row r="13372" ht="18.75"/>
    <row r="13373" ht="18.75"/>
    <row r="13374" ht="18.75"/>
    <row r="13375" ht="18.75"/>
    <row r="13376" ht="18.75"/>
    <row r="13377" ht="18.75"/>
    <row r="13378" ht="18.75"/>
    <row r="13379" ht="18.75"/>
    <row r="13380" ht="18.75"/>
    <row r="13381" ht="18.75"/>
    <row r="13382" ht="18.75"/>
    <row r="13383" ht="18.75"/>
    <row r="13384" ht="18.75"/>
    <row r="13385" ht="18.75"/>
    <row r="13386" ht="18.75"/>
    <row r="13387" ht="18.75"/>
    <row r="13388" ht="18.75"/>
    <row r="13389" ht="18.75"/>
    <row r="13390" ht="18.75"/>
    <row r="13391" ht="18.75"/>
    <row r="13392" ht="18.75"/>
    <row r="13393" ht="18.75"/>
    <row r="13394" ht="18.75"/>
    <row r="13395" ht="18.75"/>
    <row r="13396" ht="18.75"/>
    <row r="13397" ht="18.75"/>
    <row r="13398" ht="18.75"/>
    <row r="13399" ht="18.75"/>
    <row r="13400" ht="18.75"/>
    <row r="13401" ht="18.75"/>
    <row r="13402" ht="18.75"/>
    <row r="13403" ht="18.75"/>
    <row r="13404" ht="18.75"/>
    <row r="13405" ht="18.75"/>
    <row r="13406" ht="18.75"/>
    <row r="13407" ht="18.75"/>
    <row r="13408" ht="18.75"/>
    <row r="13409" ht="18.75"/>
    <row r="13410" ht="18.75"/>
    <row r="13411" ht="18.75"/>
    <row r="13412" ht="18.75"/>
    <row r="13413" ht="18.75"/>
    <row r="13414" ht="18.75"/>
    <row r="13415" ht="18.75"/>
    <row r="13416" ht="18.75"/>
    <row r="13417" ht="18.75"/>
    <row r="13418" ht="18.75"/>
    <row r="13419" ht="18.75"/>
    <row r="13420" ht="18.75"/>
    <row r="13421" ht="18.75"/>
    <row r="13422" ht="18.75"/>
    <row r="13423" ht="18.75"/>
    <row r="13424" ht="18.75"/>
    <row r="13425" ht="18.75"/>
    <row r="13426" ht="18.75"/>
    <row r="13427" ht="18.75"/>
    <row r="13428" ht="18.75"/>
    <row r="13429" ht="18.75"/>
    <row r="13430" ht="18.75"/>
    <row r="13431" ht="18.75"/>
    <row r="13432" ht="18.75"/>
    <row r="13433" ht="18.75"/>
    <row r="13434" ht="18.75"/>
    <row r="13435" ht="18.75"/>
    <row r="13436" ht="18.75"/>
    <row r="13437" ht="18.75"/>
    <row r="13438" ht="18.75"/>
    <row r="13439" ht="18.75"/>
    <row r="13440" ht="18.75"/>
    <row r="13441" ht="18.75"/>
    <row r="13442" ht="18.75"/>
    <row r="13443" ht="18.75"/>
    <row r="13444" ht="18.75"/>
    <row r="13445" ht="18.75"/>
    <row r="13446" ht="18.75"/>
    <row r="13447" ht="18.75"/>
    <row r="13448" ht="18.75"/>
    <row r="13449" ht="18.75"/>
    <row r="13450" ht="18.75"/>
    <row r="13451" ht="18.75"/>
    <row r="13452" ht="18.75"/>
    <row r="13453" ht="18.75"/>
    <row r="13454" ht="18.75"/>
    <row r="13455" ht="18.75"/>
    <row r="13456" ht="18.75"/>
    <row r="13457" ht="18.75"/>
    <row r="13458" ht="18.75"/>
    <row r="13459" ht="18.75"/>
    <row r="13460" ht="18.75"/>
    <row r="13461" ht="18.75"/>
    <row r="13462" ht="18.75"/>
    <row r="13463" ht="18.75"/>
    <row r="13464" ht="18.75"/>
    <row r="13465" ht="18.75"/>
    <row r="13466" ht="18.75"/>
    <row r="13467" ht="18.75"/>
    <row r="13468" ht="18.75"/>
    <row r="13469" ht="18.75"/>
    <row r="13470" ht="18.75"/>
    <row r="13471" ht="18.75"/>
    <row r="13472" ht="18.75"/>
    <row r="13473" ht="18.75"/>
    <row r="13474" ht="18.75"/>
    <row r="13475" ht="18.75"/>
    <row r="13476" ht="18.75"/>
    <row r="13477" ht="18.75"/>
    <row r="13478" ht="18.75"/>
    <row r="13479" ht="18.75"/>
    <row r="13480" ht="18.75"/>
    <row r="13481" ht="18.75"/>
    <row r="13482" ht="18.75"/>
    <row r="13483" ht="18.75"/>
    <row r="13484" ht="18.75"/>
    <row r="13485" ht="18.75"/>
    <row r="13486" ht="18.75"/>
    <row r="13487" ht="18.75"/>
    <row r="13488" ht="18.75"/>
    <row r="13489" ht="18.75"/>
    <row r="13490" ht="18.75"/>
    <row r="13491" ht="18.75"/>
    <row r="13492" ht="18.75"/>
    <row r="13493" ht="18.75"/>
    <row r="13494" ht="18.75"/>
    <row r="13495" ht="18.75"/>
    <row r="13496" ht="18.75"/>
    <row r="13497" ht="18.75"/>
    <row r="13498" ht="18.75"/>
    <row r="13499" ht="18.75"/>
    <row r="13500" ht="18.75"/>
    <row r="13501" ht="18.75"/>
    <row r="13502" ht="18.75"/>
    <row r="13503" ht="18.75"/>
    <row r="13504" ht="18.75"/>
    <row r="13505" ht="18.75"/>
    <row r="13506" ht="18.75"/>
    <row r="13507" ht="18.75"/>
    <row r="13508" ht="18.75"/>
    <row r="13509" ht="18.75"/>
    <row r="13510" ht="18.75"/>
    <row r="13511" ht="18.75"/>
    <row r="13512" ht="18.75"/>
    <row r="13513" ht="18.75"/>
    <row r="13514" ht="18.75"/>
    <row r="13515" ht="18.75"/>
    <row r="13516" ht="18.75"/>
    <row r="13517" ht="18.75"/>
    <row r="13518" ht="18.75"/>
    <row r="13519" ht="18.75"/>
    <row r="13520" ht="18.75"/>
    <row r="13521" ht="18.75"/>
    <row r="13522" ht="18.75"/>
    <row r="13523" ht="18.75"/>
    <row r="13524" ht="18.75"/>
    <row r="13525" ht="18.75"/>
    <row r="13526" ht="18.75"/>
    <row r="13527" ht="18.75"/>
    <row r="13528" ht="18.75"/>
    <row r="13529" ht="18.75"/>
    <row r="13530" ht="18.75"/>
    <row r="13531" ht="18.75"/>
    <row r="13532" ht="18.75"/>
    <row r="13533" ht="18.75"/>
    <row r="13534" ht="18.75"/>
    <row r="13535" ht="18.75"/>
    <row r="13536" ht="18.75"/>
    <row r="13537" ht="18.75"/>
    <row r="13538" ht="18.75"/>
    <row r="13539" ht="18.75"/>
    <row r="13540" ht="18.75"/>
    <row r="13541" ht="18.75"/>
    <row r="13542" ht="18.75"/>
    <row r="13543" ht="18.75"/>
    <row r="13544" ht="18.75"/>
    <row r="13545" ht="18.75"/>
    <row r="13546" ht="18.75"/>
    <row r="13547" ht="18.75"/>
    <row r="13548" ht="18.75"/>
    <row r="13549" ht="18.75"/>
    <row r="13550" ht="18.75"/>
    <row r="13551" ht="18.75"/>
    <row r="13552" ht="18.75"/>
    <row r="13553" ht="18.75"/>
    <row r="13554" ht="18.75"/>
    <row r="13555" ht="18.75"/>
    <row r="13556" ht="18.75"/>
    <row r="13557" ht="18.75"/>
    <row r="13558" ht="18.75"/>
    <row r="13559" ht="18.75"/>
    <row r="13560" ht="18.75"/>
    <row r="13561" ht="18.75"/>
    <row r="13562" ht="18.75"/>
    <row r="13563" ht="18.75"/>
    <row r="13564" ht="18.75"/>
    <row r="13565" ht="18.75"/>
    <row r="13566" ht="18.75"/>
    <row r="13567" ht="18.75"/>
    <row r="13568" ht="18.75"/>
    <row r="13569" ht="18.75"/>
    <row r="13570" ht="18.75"/>
    <row r="13571" ht="18.75"/>
    <row r="13572" ht="18.75"/>
    <row r="13573" ht="18.75"/>
    <row r="13574" ht="18.75"/>
    <row r="13575" ht="18.75"/>
    <row r="13576" ht="18.75"/>
    <row r="13577" ht="18.75"/>
    <row r="13578" ht="18.75"/>
    <row r="13579" ht="18.75"/>
    <row r="13580" ht="18.75"/>
    <row r="13581" ht="18.75"/>
    <row r="13582" ht="18.75"/>
    <row r="13583" ht="18.75"/>
    <row r="13584" ht="18.75"/>
    <row r="13585" ht="18.75"/>
    <row r="13586" ht="18.75"/>
    <row r="13587" ht="18.75"/>
    <row r="13588" ht="18.75"/>
    <row r="13589" ht="18.75"/>
    <row r="13590" ht="18.75"/>
    <row r="13591" ht="18.75"/>
    <row r="13592" ht="18.75"/>
    <row r="13593" ht="18.75"/>
    <row r="13594" ht="18.75"/>
    <row r="13595" ht="18.75"/>
    <row r="13596" ht="18.75"/>
    <row r="13597" ht="18.75"/>
    <row r="13598" ht="18.75"/>
    <row r="13599" ht="18.75"/>
    <row r="13600" ht="18.75"/>
    <row r="13601" ht="18.75"/>
    <row r="13602" ht="18.75"/>
    <row r="13603" ht="18.75"/>
    <row r="13604" ht="18.75"/>
    <row r="13605" ht="18.75"/>
    <row r="13606" ht="18.75"/>
    <row r="13607" ht="18.75"/>
    <row r="13608" ht="18.75"/>
    <row r="13609" ht="18.75"/>
    <row r="13610" ht="18.75"/>
    <row r="13611" ht="18.75"/>
    <row r="13612" ht="18.75"/>
    <row r="13613" ht="18.75"/>
    <row r="13614" ht="18.75"/>
    <row r="13615" ht="18.75"/>
    <row r="13616" ht="18.75"/>
    <row r="13617" ht="18.75"/>
    <row r="13618" ht="18.75"/>
    <row r="13619" ht="18.75"/>
    <row r="13620" ht="18.75"/>
    <row r="13621" ht="18.75"/>
    <row r="13622" ht="18.75"/>
    <row r="13623" ht="18.75"/>
    <row r="13624" ht="18.75"/>
    <row r="13625" ht="18.75"/>
    <row r="13626" ht="18.75"/>
    <row r="13627" ht="18.75"/>
    <row r="13628" ht="18.75"/>
    <row r="13629" ht="18.75"/>
    <row r="13630" ht="18.75"/>
    <row r="13631" ht="18.75"/>
    <row r="13632" ht="18.75"/>
    <row r="13633" ht="18.75"/>
    <row r="13634" ht="18.75"/>
    <row r="13635" ht="18.75"/>
    <row r="13636" ht="18.75"/>
    <row r="13637" ht="18.75"/>
    <row r="13638" ht="18.75"/>
    <row r="13639" ht="18.75"/>
    <row r="13640" ht="18.75"/>
    <row r="13641" ht="18.75"/>
    <row r="13642" ht="18.75"/>
    <row r="13643" ht="18.75"/>
    <row r="13644" ht="18.75"/>
    <row r="13645" ht="18.75"/>
    <row r="13646" ht="18.75"/>
    <row r="13647" ht="18.75"/>
    <row r="13648" ht="18.75"/>
    <row r="13649" ht="18.75"/>
    <row r="13650" ht="18.75"/>
    <row r="13651" ht="18.75"/>
    <row r="13652" ht="18.75"/>
    <row r="13653" ht="18.75"/>
    <row r="13654" ht="18.75"/>
    <row r="13655" ht="18.75"/>
    <row r="13656" ht="18.75"/>
    <row r="13657" ht="18.75"/>
    <row r="13658" ht="18.75"/>
    <row r="13659" ht="18.75"/>
    <row r="13660" ht="18.75"/>
    <row r="13661" ht="18.75"/>
    <row r="13662" ht="18.75"/>
    <row r="13663" ht="18.75"/>
    <row r="13664" ht="18.75"/>
    <row r="13665" ht="18.75"/>
    <row r="13666" ht="18.75"/>
    <row r="13667" ht="18.75"/>
    <row r="13668" ht="18.75"/>
    <row r="13669" ht="18.75"/>
    <row r="13670" ht="18.75"/>
    <row r="13671" ht="18.75"/>
    <row r="13672" ht="18.75"/>
    <row r="13673" ht="18.75"/>
    <row r="13674" ht="18.75"/>
    <row r="13675" ht="18.75"/>
    <row r="13676" ht="18.75"/>
    <row r="13677" ht="18.75"/>
    <row r="13678" ht="18.75"/>
    <row r="13679" ht="18.75"/>
    <row r="13680" ht="18.75"/>
    <row r="13681" ht="18.75"/>
    <row r="13682" ht="18.75"/>
    <row r="13683" ht="18.75"/>
    <row r="13684" ht="18.75"/>
    <row r="13685" ht="18.75"/>
    <row r="13686" ht="18.75"/>
    <row r="13687" ht="18.75"/>
    <row r="13688" ht="18.75"/>
    <row r="13689" ht="18.75"/>
    <row r="13690" ht="18.75"/>
    <row r="13691" ht="18.75"/>
    <row r="13692" ht="18.75"/>
    <row r="13693" ht="18.75"/>
    <row r="13694" ht="18.75"/>
    <row r="13695" ht="18.75"/>
    <row r="13696" ht="18.75"/>
    <row r="13697" ht="18.75"/>
    <row r="13698" ht="18.75"/>
    <row r="13699" ht="18.75"/>
    <row r="13700" ht="18.75"/>
    <row r="13701" ht="18.75"/>
    <row r="13702" ht="18.75"/>
    <row r="13703" ht="18.75"/>
    <row r="13704" ht="18.75"/>
    <row r="13705" ht="18.75"/>
    <row r="13706" ht="18.75"/>
    <row r="13707" ht="18.75"/>
    <row r="13708" ht="18.75"/>
    <row r="13709" ht="18.75"/>
    <row r="13710" ht="18.75"/>
    <row r="13711" ht="18.75"/>
    <row r="13712" ht="18.75"/>
    <row r="13713" ht="18.75"/>
    <row r="13714" ht="18.75"/>
    <row r="13715" ht="18.75"/>
    <row r="13716" ht="18.75"/>
    <row r="13717" ht="18.75"/>
    <row r="13718" ht="18.75"/>
    <row r="13719" ht="18.75"/>
    <row r="13720" ht="18.75"/>
    <row r="13721" ht="18.75"/>
    <row r="13722" ht="18.75"/>
    <row r="13723" ht="18.75"/>
    <row r="13724" ht="18.75"/>
    <row r="13725" ht="18.75"/>
    <row r="13726" ht="18.75"/>
    <row r="13727" ht="18.75"/>
    <row r="13728" ht="18.75"/>
    <row r="13729" ht="18.75"/>
    <row r="13730" ht="18.75"/>
    <row r="13731" ht="18.75"/>
    <row r="13732" ht="18.75"/>
    <row r="13733" ht="18.75"/>
    <row r="13734" ht="18.75"/>
    <row r="13735" ht="18.75"/>
    <row r="13736" ht="18.75"/>
    <row r="13737" ht="18.75"/>
    <row r="13738" ht="18.75"/>
    <row r="13739" ht="18.75"/>
    <row r="13740" ht="18.75"/>
    <row r="13741" ht="18.75"/>
    <row r="13742" ht="18.75"/>
    <row r="13743" ht="18.75"/>
    <row r="13744" ht="18.75"/>
    <row r="13745" ht="18.75"/>
    <row r="13746" ht="18.75"/>
    <row r="13747" ht="18.75"/>
    <row r="13748" ht="18.75"/>
    <row r="13749" ht="18.75"/>
    <row r="13750" ht="18.75"/>
    <row r="13751" ht="18.75"/>
    <row r="13752" ht="18.75"/>
    <row r="13753" ht="18.75"/>
    <row r="13754" ht="18.75"/>
    <row r="13755" ht="18.75"/>
    <row r="13756" ht="18.75"/>
    <row r="13757" ht="18.75"/>
    <row r="13758" ht="18.75"/>
    <row r="13759" ht="18.75"/>
    <row r="13760" ht="18.75"/>
    <row r="13761" ht="18.75"/>
    <row r="13762" ht="18.75"/>
    <row r="13763" ht="18.75"/>
    <row r="13764" ht="18.75"/>
    <row r="13765" ht="18.75"/>
    <row r="13766" ht="18.75"/>
    <row r="13767" ht="18.75"/>
    <row r="13768" ht="18.75"/>
    <row r="13769" ht="18.75"/>
    <row r="13770" ht="18.75"/>
    <row r="13771" ht="18.75"/>
    <row r="13772" ht="18.75"/>
    <row r="13773" ht="18.75"/>
    <row r="13774" ht="18.75"/>
    <row r="13775" ht="18.75"/>
    <row r="13776" ht="18.75"/>
    <row r="13777" ht="18.75"/>
    <row r="13778" ht="18.75"/>
    <row r="13779" ht="18.75"/>
    <row r="13780" ht="18.75"/>
    <row r="13781" ht="18.75"/>
    <row r="13782" ht="18.75"/>
    <row r="13783" ht="18.75"/>
    <row r="13784" ht="18.75"/>
    <row r="13785" ht="18.75"/>
    <row r="13786" ht="18.75"/>
    <row r="13787" ht="18.75"/>
    <row r="13788" ht="18.75"/>
    <row r="13789" ht="18.75"/>
    <row r="13790" ht="18.75"/>
    <row r="13791" ht="18.75"/>
    <row r="13792" ht="18.75"/>
    <row r="13793" ht="18.75"/>
    <row r="13794" ht="18.75"/>
    <row r="13795" ht="18.75"/>
    <row r="13796" ht="18.75"/>
    <row r="13797" ht="18.75"/>
    <row r="13798" ht="18.75"/>
    <row r="13799" ht="18.75"/>
    <row r="13800" ht="18.75"/>
    <row r="13801" ht="18.75"/>
    <row r="13802" ht="18.75"/>
    <row r="13803" ht="18.75"/>
    <row r="13804" ht="18.75"/>
    <row r="13805" ht="18.75"/>
    <row r="13806" ht="18.75"/>
    <row r="13807" ht="18.75"/>
    <row r="13808" ht="18.75"/>
    <row r="13809" ht="18.75"/>
    <row r="13810" ht="18.75"/>
    <row r="13811" ht="18.75"/>
    <row r="13812" ht="18.75"/>
    <row r="13813" ht="18.75"/>
    <row r="13814" ht="18.75"/>
    <row r="13815" ht="18.75"/>
    <row r="13816" ht="18.75"/>
    <row r="13817" ht="18.75"/>
    <row r="13818" ht="18.75"/>
    <row r="13819" ht="18.75"/>
    <row r="13820" ht="18.75"/>
    <row r="13821" ht="18.75"/>
    <row r="13822" ht="18.75"/>
    <row r="13823" ht="18.75"/>
    <row r="13824" ht="18.75"/>
    <row r="13825" ht="18.75"/>
    <row r="13826" ht="18.75"/>
    <row r="13827" ht="18.75"/>
    <row r="13828" ht="18.75"/>
    <row r="13829" ht="18.75"/>
    <row r="13830" ht="18.75"/>
    <row r="13831" ht="18.75"/>
    <row r="13832" ht="18.75"/>
    <row r="13833" ht="18.75"/>
    <row r="13834" ht="18.75"/>
    <row r="13835" ht="18.75"/>
    <row r="13836" ht="18.75"/>
    <row r="13837" ht="18.75"/>
    <row r="13838" ht="18.75"/>
    <row r="13839" ht="18.75"/>
    <row r="13840" ht="18.75"/>
    <row r="13841" ht="18.75"/>
    <row r="13842" ht="18.75"/>
    <row r="13843" ht="18.75"/>
    <row r="13844" ht="18.75"/>
    <row r="13845" ht="18.75"/>
    <row r="13846" ht="18.75"/>
    <row r="13847" ht="18.75"/>
    <row r="13848" ht="18.75"/>
    <row r="13849" ht="18.75"/>
    <row r="13850" ht="18.75"/>
    <row r="13851" ht="18.75"/>
    <row r="13852" ht="18.75"/>
    <row r="13853" ht="18.75"/>
    <row r="13854" ht="18.75"/>
    <row r="13855" ht="18.75"/>
    <row r="13856" ht="18.75"/>
    <row r="13857" ht="18.75"/>
    <row r="13858" ht="18.75"/>
    <row r="13859" ht="18.75"/>
    <row r="13860" ht="18.75"/>
    <row r="13861" ht="18.75"/>
    <row r="13862" ht="18.75"/>
    <row r="13863" ht="18.75"/>
    <row r="13864" ht="18.75"/>
    <row r="13865" ht="18.75"/>
    <row r="13866" ht="18.75"/>
    <row r="13867" ht="18.75"/>
    <row r="13868" ht="18.75"/>
    <row r="13869" ht="18.75"/>
    <row r="13870" ht="18.75"/>
    <row r="13871" ht="18.75"/>
    <row r="13872" ht="18.75"/>
    <row r="13873" ht="18.75"/>
    <row r="13874" ht="18.75"/>
    <row r="13875" ht="18.75"/>
    <row r="13876" ht="18.75"/>
    <row r="13877" ht="18.75"/>
    <row r="13878" ht="18.75"/>
    <row r="13879" ht="18.75"/>
    <row r="13880" ht="18.75"/>
    <row r="13881" ht="18.75"/>
    <row r="13882" ht="18.75"/>
    <row r="13883" ht="18.75"/>
    <row r="13884" ht="18.75"/>
    <row r="13885" ht="18.75"/>
    <row r="13886" ht="18.75"/>
    <row r="13887" ht="18.75"/>
    <row r="13888" ht="18.75"/>
    <row r="13889" ht="18.75"/>
    <row r="13890" ht="18.75"/>
    <row r="13891" ht="18.75"/>
    <row r="13892" ht="18.75"/>
    <row r="13893" ht="18.75"/>
    <row r="13894" ht="18.75"/>
    <row r="13895" ht="18.75"/>
    <row r="13896" ht="18.75"/>
    <row r="13897" ht="18.75"/>
    <row r="13898" ht="18.75"/>
    <row r="13899" ht="18.75"/>
    <row r="13900" ht="18.75"/>
    <row r="13901" ht="18.75"/>
    <row r="13902" ht="18.75"/>
    <row r="13903" ht="18.75"/>
    <row r="13904" ht="18.75"/>
    <row r="13905" ht="18.75"/>
    <row r="13906" ht="18.75"/>
    <row r="13907" ht="18.75"/>
    <row r="13908" ht="18.75"/>
    <row r="13909" ht="18.75"/>
    <row r="13910" ht="18.75"/>
    <row r="13911" ht="18.75"/>
    <row r="13912" ht="18.75"/>
    <row r="13913" ht="18.75"/>
    <row r="13914" ht="18.75"/>
    <row r="13915" ht="18.75"/>
    <row r="13916" ht="18.75"/>
    <row r="13917" ht="18.75"/>
    <row r="13918" ht="18.75"/>
    <row r="13919" ht="18.75"/>
    <row r="13920" ht="18.75"/>
    <row r="13921" ht="18.75"/>
    <row r="13922" ht="18.75"/>
    <row r="13923" ht="18.75"/>
    <row r="13924" ht="18.75"/>
    <row r="13925" ht="18.75"/>
    <row r="13926" ht="18.75"/>
    <row r="13927" ht="18.75"/>
    <row r="13928" ht="18.75"/>
    <row r="13929" ht="18.75"/>
    <row r="13930" ht="18.75"/>
    <row r="13931" ht="18.75"/>
    <row r="13932" ht="18.75"/>
    <row r="13933" ht="18.75"/>
    <row r="13934" ht="18.75"/>
    <row r="13935" ht="18.75"/>
    <row r="13936" ht="18.75"/>
    <row r="13937" ht="18.75"/>
    <row r="13938" ht="18.75"/>
    <row r="13939" ht="18.75"/>
    <row r="13940" ht="18.75"/>
    <row r="13941" ht="18.75"/>
    <row r="13942" ht="18.75"/>
    <row r="13943" ht="18.75"/>
    <row r="13944" ht="18.75"/>
    <row r="13945" ht="18.75"/>
    <row r="13946" ht="18.75"/>
    <row r="13947" ht="18.75"/>
    <row r="13948" ht="18.75"/>
    <row r="13949" ht="18.75"/>
    <row r="13950" ht="18.75"/>
    <row r="13951" ht="18.75"/>
    <row r="13952" ht="18.75"/>
    <row r="13953" ht="18.75"/>
    <row r="13954" ht="18.75"/>
    <row r="13955" ht="18.75"/>
    <row r="13956" ht="18.75"/>
    <row r="13957" ht="18.75"/>
    <row r="13958" ht="18.75"/>
    <row r="13959" ht="18.75"/>
    <row r="13960" ht="18.75"/>
    <row r="13961" ht="18.75"/>
    <row r="13962" ht="18.75"/>
    <row r="13963" ht="18.75"/>
    <row r="13964" ht="18.75"/>
    <row r="13965" ht="18.75"/>
    <row r="13966" ht="18.75"/>
    <row r="13967" ht="18.75"/>
    <row r="13968" ht="18.75"/>
    <row r="13969" ht="18.75"/>
    <row r="13970" ht="18.75"/>
    <row r="13971" ht="18.75"/>
    <row r="13972" ht="18.75"/>
    <row r="13973" ht="18.75"/>
    <row r="13974" ht="18.75"/>
    <row r="13975" ht="18.75"/>
    <row r="13976" ht="18.75"/>
    <row r="13977" ht="18.75"/>
    <row r="13978" ht="18.75"/>
    <row r="13979" ht="18.75"/>
    <row r="13980" ht="18.75"/>
    <row r="13981" ht="18.75"/>
    <row r="13982" ht="18.75"/>
    <row r="13983" ht="18.75"/>
    <row r="13984" ht="18.75"/>
    <row r="13985" ht="18.75"/>
    <row r="13986" ht="18.75"/>
    <row r="13987" ht="18.75"/>
    <row r="13988" ht="18.75"/>
    <row r="13989" ht="18.75"/>
    <row r="13990" ht="18.75"/>
    <row r="13991" ht="18.75"/>
    <row r="13992" ht="18.75"/>
    <row r="13993" ht="18.75"/>
    <row r="13994" ht="18.75"/>
    <row r="13995" ht="18.75"/>
    <row r="13996" ht="18.75"/>
    <row r="13997" ht="18.75"/>
    <row r="13998" ht="18.75"/>
    <row r="13999" ht="18.75"/>
    <row r="14000" ht="18.75"/>
    <row r="14001" ht="18.75"/>
    <row r="14002" ht="18.75"/>
    <row r="14003" ht="18.75"/>
    <row r="14004" ht="18.75"/>
    <row r="14005" ht="18.75"/>
    <row r="14006" ht="18.75"/>
    <row r="14007" ht="18.75"/>
    <row r="14008" ht="18.75"/>
    <row r="14009" ht="18.75"/>
    <row r="14010" ht="18.75"/>
    <row r="14011" ht="18.75"/>
    <row r="14012" ht="18.75"/>
    <row r="14013" ht="18.75"/>
    <row r="14014" ht="18.75"/>
    <row r="14015" ht="18.75"/>
    <row r="14016" ht="18.75"/>
    <row r="14017" ht="18.75"/>
    <row r="14018" ht="18.75"/>
    <row r="14019" ht="18.75"/>
    <row r="14020" ht="18.75"/>
    <row r="14021" ht="18.75"/>
    <row r="14022" ht="18.75"/>
    <row r="14023" ht="18.75"/>
    <row r="14024" ht="18.75"/>
    <row r="14025" ht="18.75"/>
    <row r="14026" ht="18.75"/>
    <row r="14027" ht="18.75"/>
    <row r="14028" ht="18.75"/>
    <row r="14029" ht="18.75"/>
    <row r="14030" ht="18.75"/>
    <row r="14031" ht="18.75"/>
    <row r="14032" ht="18.75"/>
    <row r="14033" ht="18.75"/>
    <row r="14034" ht="18.75"/>
    <row r="14035" ht="18.75"/>
    <row r="14036" ht="18.75"/>
    <row r="14037" ht="18.75"/>
    <row r="14038" ht="18.75"/>
    <row r="14039" ht="18.75"/>
    <row r="14040" ht="18.75"/>
    <row r="14041" ht="18.75"/>
    <row r="14042" ht="18.75"/>
    <row r="14043" ht="18.75"/>
    <row r="14044" ht="18.75"/>
    <row r="14045" ht="18.75"/>
    <row r="14046" ht="18.75"/>
    <row r="14047" ht="18.75"/>
    <row r="14048" ht="18.75"/>
    <row r="14049" ht="18.75"/>
    <row r="14050" ht="18.75"/>
    <row r="14051" ht="18.75"/>
    <row r="14052" ht="18.75"/>
    <row r="14053" ht="18.75"/>
    <row r="14054" ht="18.75"/>
    <row r="14055" ht="18.75"/>
    <row r="14056" ht="18.75"/>
    <row r="14057" ht="18.75"/>
    <row r="14058" ht="18.75"/>
    <row r="14059" ht="18.75"/>
    <row r="14060" ht="18.75"/>
    <row r="14061" ht="18.75"/>
    <row r="14062" ht="18.75"/>
    <row r="14063" ht="18.75"/>
    <row r="14064" ht="18.75"/>
    <row r="14065" ht="18.75"/>
    <row r="14066" ht="18.75"/>
    <row r="14067" ht="18.75"/>
    <row r="14068" ht="18.75"/>
    <row r="14069" ht="18.75"/>
    <row r="14070" ht="18.75"/>
    <row r="14071" ht="18.75"/>
    <row r="14072" ht="18.75"/>
    <row r="14073" ht="18.75"/>
    <row r="14074" ht="18.75"/>
    <row r="14075" ht="18.75"/>
    <row r="14076" ht="18.75"/>
    <row r="14077" ht="18.75"/>
    <row r="14078" ht="18.75"/>
    <row r="14079" ht="18.75"/>
    <row r="14080" ht="18.75"/>
    <row r="14081" ht="18.75"/>
    <row r="14082" ht="18.75"/>
    <row r="14083" ht="18.75"/>
    <row r="14084" ht="18.75"/>
    <row r="14085" ht="18.75"/>
    <row r="14086" ht="18.75"/>
    <row r="14087" ht="18.75"/>
    <row r="14088" ht="18.75"/>
    <row r="14089" ht="18.75"/>
    <row r="14090" ht="18.75"/>
    <row r="14091" ht="18.75"/>
    <row r="14092" ht="18.75"/>
    <row r="14093" ht="18.75"/>
    <row r="14094" ht="18.75"/>
    <row r="14095" ht="18.75"/>
    <row r="14096" ht="18.75"/>
    <row r="14097" ht="18.75"/>
    <row r="14098" ht="18.75"/>
    <row r="14099" ht="18.75"/>
    <row r="14100" ht="18.75"/>
    <row r="14101" ht="18.75"/>
    <row r="14102" ht="18.75"/>
    <row r="14103" ht="18.75"/>
    <row r="14104" ht="18.75"/>
    <row r="14105" ht="18.75"/>
    <row r="14106" ht="18.75"/>
    <row r="14107" ht="18.75"/>
    <row r="14108" ht="18.75"/>
    <row r="14109" ht="18.75"/>
    <row r="14110" ht="18.75"/>
    <row r="14111" ht="18.75"/>
    <row r="14112" ht="18.75"/>
    <row r="14113" ht="18.75"/>
    <row r="14114" ht="18.75"/>
    <row r="14115" ht="18.75"/>
    <row r="14116" ht="18.75"/>
    <row r="14117" ht="18.75"/>
    <row r="14118" ht="18.75"/>
    <row r="14119" ht="18.75"/>
    <row r="14120" ht="18.75"/>
    <row r="14121" ht="18.75"/>
    <row r="14122" ht="18.75"/>
    <row r="14123" ht="18.75"/>
    <row r="14124" ht="18.75"/>
    <row r="14125" ht="18.75"/>
    <row r="14126" ht="18.75"/>
    <row r="14127" ht="18.75"/>
    <row r="14128" ht="18.75"/>
    <row r="14129" ht="18.75"/>
    <row r="14130" ht="18.75"/>
    <row r="14131" ht="18.75"/>
    <row r="14132" ht="18.75"/>
    <row r="14133" ht="18.75"/>
    <row r="14134" ht="18.75"/>
    <row r="14135" ht="18.75"/>
    <row r="14136" ht="18.75"/>
    <row r="14137" ht="18.75"/>
    <row r="14138" ht="18.75"/>
    <row r="14139" ht="18.75"/>
    <row r="14140" ht="18.75"/>
    <row r="14141" ht="18.75"/>
    <row r="14142" ht="18.75"/>
    <row r="14143" ht="18.75"/>
    <row r="14144" ht="18.75"/>
    <row r="14145" ht="18.75"/>
    <row r="14146" ht="18.75"/>
    <row r="14147" ht="18.75"/>
    <row r="14148" ht="18.75"/>
    <row r="14149" ht="18.75"/>
    <row r="14150" ht="18.75"/>
    <row r="14151" ht="18.75"/>
    <row r="14152" ht="18.75"/>
    <row r="14153" ht="18.75"/>
    <row r="14154" ht="18.75"/>
    <row r="14155" ht="18.75"/>
    <row r="14156" ht="18.75"/>
    <row r="14157" ht="18.75"/>
    <row r="14158" ht="18.75"/>
    <row r="14159" ht="18.75"/>
    <row r="14160" ht="18.75"/>
    <row r="14161" ht="18.75"/>
    <row r="14162" ht="18.75"/>
    <row r="14163" ht="18.75"/>
    <row r="14164" ht="18.75"/>
    <row r="14165" ht="18.75"/>
    <row r="14166" ht="18.75"/>
    <row r="14167" ht="18.75"/>
    <row r="14168" ht="18.75"/>
    <row r="14169" ht="18.75"/>
    <row r="14170" ht="18.75"/>
    <row r="14171" ht="18.75"/>
    <row r="14172" ht="18.75"/>
    <row r="14173" ht="18.75"/>
    <row r="14174" ht="18.75"/>
    <row r="14175" ht="18.75"/>
    <row r="14176" ht="18.75"/>
    <row r="14177" ht="18.75"/>
    <row r="14178" ht="18.75"/>
    <row r="14179" ht="18.75"/>
    <row r="14180" ht="18.75"/>
    <row r="14181" ht="18.75"/>
    <row r="14182" ht="18.75"/>
    <row r="14183" ht="18.75"/>
    <row r="14184" ht="18.75"/>
    <row r="14185" ht="18.75"/>
    <row r="14186" ht="18.75"/>
    <row r="14187" ht="18.75"/>
    <row r="14188" ht="18.75"/>
    <row r="14189" ht="18.75"/>
    <row r="14190" ht="18.75"/>
    <row r="14191" ht="18.75"/>
    <row r="14192" ht="18.75"/>
    <row r="14193" ht="18.75"/>
    <row r="14194" ht="18.75"/>
    <row r="14195" ht="18.75"/>
    <row r="14196" ht="18.75"/>
    <row r="14197" ht="18.75"/>
    <row r="14198" ht="18.75"/>
    <row r="14199" ht="18.75"/>
    <row r="14200" ht="18.75"/>
    <row r="14201" ht="18.75"/>
    <row r="14202" ht="18.75"/>
    <row r="14203" ht="18.75"/>
    <row r="14204" ht="18.75"/>
    <row r="14205" ht="18.75"/>
    <row r="14206" ht="18.75"/>
    <row r="14207" ht="18.75"/>
    <row r="14208" ht="18.75"/>
    <row r="14209" ht="18.75"/>
    <row r="14210" ht="18.75"/>
    <row r="14211" ht="18.75"/>
    <row r="14212" ht="18.75"/>
    <row r="14213" ht="18.75"/>
    <row r="14214" ht="18.75"/>
    <row r="14215" ht="18.75"/>
    <row r="14216" ht="18.75"/>
    <row r="14217" ht="18.75"/>
    <row r="14218" ht="18.75"/>
    <row r="14219" ht="18.75"/>
    <row r="14220" ht="18.75"/>
    <row r="14221" ht="18.75"/>
    <row r="14222" ht="18.75"/>
    <row r="14223" ht="18.75"/>
    <row r="14224" ht="18.75"/>
    <row r="14225" ht="18.75"/>
    <row r="14226" ht="18.75"/>
    <row r="14227" ht="18.75"/>
    <row r="14228" ht="18.75"/>
    <row r="14229" ht="18.75"/>
    <row r="14230" ht="18.75"/>
    <row r="14231" ht="18.75"/>
    <row r="14232" ht="18.75"/>
    <row r="14233" ht="18.75"/>
    <row r="14234" ht="18.75"/>
    <row r="14235" ht="18.75"/>
    <row r="14236" ht="18.75"/>
    <row r="14237" ht="18.75"/>
    <row r="14238" ht="18.75"/>
    <row r="14239" ht="18.75"/>
    <row r="14240" ht="18.75"/>
    <row r="14241" ht="18.75"/>
    <row r="14242" ht="18.75"/>
    <row r="14243" ht="18.75"/>
    <row r="14244" ht="18.75"/>
    <row r="14245" ht="18.75"/>
    <row r="14246" ht="18.75"/>
    <row r="14247" ht="18.75"/>
    <row r="14248" ht="18.75"/>
    <row r="14249" ht="18.75"/>
    <row r="14250" ht="18.75"/>
    <row r="14251" ht="18.75"/>
    <row r="14252" ht="18.75"/>
    <row r="14253" ht="18.75"/>
    <row r="14254" ht="18.75"/>
    <row r="14255" ht="18.75"/>
    <row r="14256" ht="18.75"/>
    <row r="14257" ht="18.75"/>
    <row r="14258" ht="18.75"/>
    <row r="14259" ht="18.75"/>
    <row r="14260" ht="18.75"/>
    <row r="14261" ht="18.75"/>
    <row r="14262" ht="18.75"/>
    <row r="14263" ht="18.75"/>
    <row r="14264" ht="18.75"/>
    <row r="14265" ht="18.75"/>
    <row r="14266" ht="18.75"/>
    <row r="14267" ht="18.75"/>
    <row r="14268" ht="18.75"/>
    <row r="14269" ht="18.75"/>
    <row r="14270" ht="18.75"/>
    <row r="14271" ht="18.75"/>
    <row r="14272" ht="18.75"/>
    <row r="14273" ht="18.75"/>
    <row r="14274" ht="18.75"/>
    <row r="14275" ht="18.75"/>
    <row r="14276" ht="18.75"/>
    <row r="14277" ht="18.75"/>
    <row r="14278" ht="18.75"/>
    <row r="14279" ht="18.75"/>
    <row r="14280" ht="18.75"/>
    <row r="14281" ht="18.75"/>
    <row r="14282" ht="18.75"/>
    <row r="14283" ht="18.75"/>
    <row r="14284" ht="18.75"/>
    <row r="14285" ht="18.75"/>
    <row r="14286" ht="18.75"/>
    <row r="14287" ht="18.75"/>
    <row r="14288" ht="18.75"/>
    <row r="14289" ht="18.75"/>
    <row r="14290" ht="18.75"/>
    <row r="14291" ht="18.75"/>
    <row r="14292" ht="18.75"/>
    <row r="14293" ht="18.75"/>
    <row r="14294" ht="18.75"/>
    <row r="14295" ht="18.75"/>
    <row r="14296" ht="18.75"/>
    <row r="14297" ht="18.75"/>
    <row r="14298" ht="18.75"/>
    <row r="14299" ht="18.75"/>
    <row r="14300" ht="18.75"/>
    <row r="14301" ht="18.75"/>
    <row r="14302" ht="18.75"/>
    <row r="14303" ht="18.75"/>
    <row r="14304" ht="18.75"/>
    <row r="14305" ht="18.75"/>
    <row r="14306" ht="18.75"/>
    <row r="14307" ht="18.75"/>
    <row r="14308" ht="18.75"/>
    <row r="14309" ht="18.75"/>
    <row r="14310" ht="18.75"/>
    <row r="14311" ht="18.75"/>
    <row r="14312" ht="18.75"/>
    <row r="14313" ht="18.75"/>
    <row r="14314" ht="18.75"/>
    <row r="14315" ht="18.75"/>
    <row r="14316" ht="18.75"/>
    <row r="14317" ht="18.75"/>
    <row r="14318" ht="18.75"/>
    <row r="14319" ht="18.75"/>
    <row r="14320" ht="18.75"/>
    <row r="14321" ht="18.75"/>
    <row r="14322" ht="18.75"/>
    <row r="14323" ht="18.75"/>
    <row r="14324" ht="18.75"/>
    <row r="14325" ht="18.75"/>
    <row r="14326" ht="18.75"/>
    <row r="14327" ht="18.75"/>
    <row r="14328" ht="18.75"/>
    <row r="14329" ht="18.75"/>
    <row r="14330" ht="18.75"/>
    <row r="14331" ht="18.75"/>
    <row r="14332" ht="18.75"/>
    <row r="14333" ht="18.75"/>
    <row r="14334" ht="18.75"/>
    <row r="14335" ht="18.75"/>
    <row r="14336" ht="18.75"/>
    <row r="14337" ht="18.75"/>
    <row r="14338" ht="18.75"/>
    <row r="14339" ht="18.75"/>
    <row r="14340" ht="18.75"/>
    <row r="14341" ht="18.75"/>
    <row r="14342" ht="18.75"/>
    <row r="14343" ht="18.75"/>
    <row r="14344" ht="18.75"/>
    <row r="14345" ht="18.75"/>
    <row r="14346" ht="18.75"/>
    <row r="14347" ht="18.75"/>
    <row r="14348" ht="18.75"/>
    <row r="14349" ht="18.75"/>
    <row r="14350" ht="18.75"/>
    <row r="14351" ht="18.75"/>
    <row r="14352" ht="18.75"/>
    <row r="14353" ht="18.75"/>
    <row r="14354" ht="18.75"/>
    <row r="14355" ht="18.75"/>
    <row r="14356" ht="18.75"/>
    <row r="14357" ht="18.75"/>
    <row r="14358" ht="18.75"/>
    <row r="14359" ht="18.75"/>
    <row r="14360" ht="18.75"/>
    <row r="14361" ht="18.75"/>
    <row r="14362" ht="18.75"/>
    <row r="14363" ht="18.75"/>
    <row r="14364" ht="18.75"/>
    <row r="14365" ht="18.75"/>
    <row r="14366" ht="18.75"/>
    <row r="14367" ht="18.75"/>
    <row r="14368" ht="18.75"/>
    <row r="14369" ht="18.75"/>
    <row r="14370" ht="18.75"/>
    <row r="14371" ht="18.75"/>
    <row r="14372" ht="18.75"/>
    <row r="14373" ht="18.75"/>
    <row r="14374" ht="18.75"/>
    <row r="14375" ht="18.75"/>
    <row r="14376" ht="18.75"/>
    <row r="14377" ht="18.75"/>
    <row r="14378" ht="18.75"/>
    <row r="14379" ht="18.75"/>
    <row r="14380" ht="18.75"/>
    <row r="14381" ht="18.75"/>
    <row r="14382" ht="18.75"/>
    <row r="14383" ht="18.75"/>
    <row r="14384" ht="18.75"/>
    <row r="14385" ht="18.75"/>
    <row r="14386" ht="18.75"/>
    <row r="14387" ht="18.75"/>
    <row r="14388" ht="18.75"/>
    <row r="14389" ht="18.75"/>
    <row r="14390" ht="18.75"/>
    <row r="14391" ht="18.75"/>
    <row r="14392" ht="18.75"/>
    <row r="14393" ht="18.75"/>
    <row r="14394" ht="18.75"/>
    <row r="14395" ht="18.75"/>
    <row r="14396" ht="18.75"/>
    <row r="14397" ht="18.75"/>
    <row r="14398" ht="18.75"/>
    <row r="14399" ht="18.75"/>
    <row r="14400" ht="18.75"/>
    <row r="14401" ht="18.75"/>
    <row r="14402" ht="18.75"/>
    <row r="14403" ht="18.75"/>
    <row r="14404" ht="18.75"/>
    <row r="14405" ht="18.75"/>
    <row r="14406" ht="18.75"/>
    <row r="14407" ht="18.75"/>
    <row r="14408" ht="18.75"/>
    <row r="14409" ht="18.75"/>
    <row r="14410" ht="18.75"/>
    <row r="14411" ht="18.75"/>
    <row r="14412" ht="18.75"/>
    <row r="14413" ht="18.75"/>
    <row r="14414" ht="18.75"/>
    <row r="14415" ht="18.75"/>
    <row r="14416" ht="18.75"/>
    <row r="14417" ht="18.75"/>
    <row r="14418" ht="18.75"/>
    <row r="14419" ht="18.75"/>
    <row r="14420" ht="18.75"/>
    <row r="14421" ht="18.75"/>
    <row r="14422" ht="18.75"/>
    <row r="14423" ht="18.75"/>
    <row r="14424" ht="18.75"/>
    <row r="14425" ht="18.75"/>
    <row r="14426" ht="18.75"/>
    <row r="14427" ht="18.75"/>
    <row r="14428" ht="18.75"/>
    <row r="14429" ht="18.75"/>
    <row r="14430" ht="18.75"/>
    <row r="14431" ht="18.75"/>
    <row r="14432" ht="18.75"/>
    <row r="14433" ht="18.75"/>
    <row r="14434" ht="18.75"/>
    <row r="14435" ht="18.75"/>
    <row r="14436" ht="18.75"/>
    <row r="14437" ht="18.75"/>
    <row r="14438" ht="18.75"/>
    <row r="14439" ht="18.75"/>
    <row r="14440" ht="18.75"/>
    <row r="14441" ht="18.75"/>
    <row r="14442" ht="18.75"/>
    <row r="14443" ht="18.75"/>
    <row r="14444" ht="18.75"/>
    <row r="14445" ht="18.75"/>
    <row r="14446" ht="18.75"/>
    <row r="14447" ht="18.75"/>
    <row r="14448" ht="18.75"/>
    <row r="14449" ht="18.75"/>
    <row r="14450" ht="18.75"/>
    <row r="14451" ht="18.75"/>
    <row r="14452" ht="18.75"/>
    <row r="14453" ht="18.75"/>
    <row r="14454" ht="18.75"/>
    <row r="14455" ht="18.75"/>
    <row r="14456" ht="18.75"/>
    <row r="14457" ht="18.75"/>
    <row r="14458" ht="18.75"/>
    <row r="14459" ht="18.75"/>
    <row r="14460" ht="18.75"/>
    <row r="14461" ht="18.75"/>
    <row r="14462" ht="18.75"/>
    <row r="14463" ht="18.75"/>
    <row r="14464" ht="18.75"/>
    <row r="14465" ht="18.75"/>
    <row r="14466" ht="18.75"/>
    <row r="14467" ht="18.75"/>
    <row r="14468" ht="18.75"/>
    <row r="14469" ht="18.75"/>
    <row r="14470" ht="18.75"/>
    <row r="14471" ht="18.75"/>
    <row r="14472" ht="18.75"/>
    <row r="14473" ht="18.75"/>
    <row r="14474" ht="18.75"/>
    <row r="14475" ht="18.75"/>
    <row r="14476" ht="18.75"/>
    <row r="14477" ht="18.75"/>
    <row r="14478" ht="18.75"/>
    <row r="14479" ht="18.75"/>
    <row r="14480" ht="18.75"/>
    <row r="14481" ht="18.75"/>
    <row r="14482" ht="18.75"/>
    <row r="14483" ht="18.75"/>
    <row r="14484" ht="18.75"/>
    <row r="14485" ht="18.75"/>
    <row r="14486" ht="18.75"/>
    <row r="14487" ht="18.75"/>
    <row r="14488" ht="18.75"/>
    <row r="14489" ht="18.75"/>
    <row r="14490" ht="18.75"/>
    <row r="14491" ht="18.75"/>
    <row r="14492" ht="18.75"/>
    <row r="14493" ht="18.75"/>
    <row r="14494" ht="18.75"/>
    <row r="14495" ht="18.75"/>
    <row r="14496" ht="18.75"/>
    <row r="14497" ht="18.75"/>
    <row r="14498" ht="18.75"/>
    <row r="14499" ht="18.75"/>
    <row r="14500" ht="18.75"/>
    <row r="14501" ht="18.75"/>
    <row r="14502" ht="18.75"/>
    <row r="14503" ht="18.75"/>
    <row r="14504" ht="18.75"/>
    <row r="14505" ht="18.75"/>
    <row r="14506" ht="18.75"/>
    <row r="14507" ht="18.75"/>
    <row r="14508" ht="18.75"/>
    <row r="14509" ht="18.75"/>
    <row r="14510" ht="18.75"/>
    <row r="14511" ht="18.75"/>
    <row r="14512" ht="18.75"/>
    <row r="14513" ht="18.75"/>
    <row r="14514" ht="18.75"/>
    <row r="14515" ht="18.75"/>
    <row r="14516" ht="18.75"/>
    <row r="14517" ht="18.75"/>
    <row r="14518" ht="18.75"/>
    <row r="14519" ht="18.75"/>
    <row r="14520" ht="18.75"/>
    <row r="14521" ht="18.75"/>
    <row r="14522" ht="18.75"/>
    <row r="14523" ht="18.75"/>
    <row r="14524" ht="18.75"/>
    <row r="14525" ht="18.75"/>
    <row r="14526" ht="18.75"/>
    <row r="14527" ht="18.75"/>
    <row r="14528" ht="18.75"/>
    <row r="14529" ht="18.75"/>
    <row r="14530" ht="18.75"/>
    <row r="14531" ht="18.75"/>
    <row r="14532" ht="18.75"/>
    <row r="14533" ht="18.75"/>
    <row r="14534" ht="18.75"/>
    <row r="14535" ht="18.75"/>
    <row r="14536" ht="18.75"/>
    <row r="14537" ht="18.75"/>
    <row r="14538" ht="18.75"/>
    <row r="14539" ht="18.75"/>
    <row r="14540" ht="18.75"/>
    <row r="14541" ht="18.75"/>
    <row r="14542" ht="18.75"/>
    <row r="14543" ht="18.75"/>
    <row r="14544" ht="18.75"/>
    <row r="14545" ht="18.75"/>
    <row r="14546" ht="18.75"/>
    <row r="14547" ht="18.75"/>
    <row r="14548" ht="18.75"/>
    <row r="14549" ht="18.75"/>
    <row r="14550" ht="18.75"/>
    <row r="14551" ht="18.75"/>
    <row r="14552" ht="18.75"/>
    <row r="14553" ht="18.75"/>
    <row r="14554" ht="18.75"/>
    <row r="14555" ht="18.75"/>
    <row r="14556" ht="18.75"/>
    <row r="14557" ht="18.75"/>
    <row r="14558" ht="18.75"/>
    <row r="14559" ht="18.75"/>
    <row r="14560" ht="18.75"/>
    <row r="14561" ht="18.75"/>
    <row r="14562" ht="18.75"/>
    <row r="14563" ht="18.75"/>
    <row r="14564" ht="18.75"/>
    <row r="14565" ht="18.75"/>
    <row r="14566" ht="18.75"/>
    <row r="14567" ht="18.75"/>
    <row r="14568" ht="18.75"/>
    <row r="14569" ht="18.75"/>
    <row r="14570" ht="18.75"/>
    <row r="14571" ht="18.75"/>
    <row r="14572" ht="18.75"/>
    <row r="14573" ht="18.75"/>
    <row r="14574" ht="18.75"/>
    <row r="14575" ht="18.75"/>
    <row r="14576" ht="18.75"/>
    <row r="14577" ht="18.75"/>
    <row r="14578" ht="18.75"/>
    <row r="14579" ht="18.75"/>
    <row r="14580" ht="18.75"/>
    <row r="14581" ht="18.75"/>
    <row r="14582" ht="18.75"/>
    <row r="14583" ht="18.75"/>
    <row r="14584" ht="18.75"/>
    <row r="14585" ht="18.75"/>
    <row r="14586" ht="18.75"/>
    <row r="14587" ht="18.75"/>
    <row r="14588" ht="18.75"/>
    <row r="14589" ht="18.75"/>
    <row r="14590" ht="18.75"/>
    <row r="14591" ht="18.75"/>
    <row r="14592" ht="18.75"/>
    <row r="14593" ht="18.75"/>
    <row r="14594" ht="18.75"/>
    <row r="14595" ht="18.75"/>
    <row r="14596" ht="18.75"/>
    <row r="14597" ht="18.75"/>
    <row r="14598" ht="18.75"/>
    <row r="14599" ht="18.75"/>
    <row r="14600" ht="18.75"/>
    <row r="14601" ht="18.75"/>
    <row r="14602" ht="18.75"/>
    <row r="14603" ht="18.75"/>
    <row r="14604" ht="18.75"/>
    <row r="14605" ht="18.75"/>
    <row r="14606" ht="18.75"/>
    <row r="14607" ht="18.75"/>
    <row r="14608" ht="18.75"/>
    <row r="14609" ht="18.75"/>
    <row r="14610" ht="18.75"/>
    <row r="14611" ht="18.75"/>
    <row r="14612" ht="18.75"/>
    <row r="14613" ht="18.75"/>
    <row r="14614" ht="18.75"/>
    <row r="14615" ht="18.75"/>
    <row r="14616" ht="18.75"/>
    <row r="14617" ht="18.75"/>
    <row r="14618" ht="18.75"/>
    <row r="14619" ht="18.75"/>
    <row r="14620" ht="18.75"/>
    <row r="14621" ht="18.75"/>
    <row r="14622" ht="18.75"/>
    <row r="14623" ht="18.75"/>
    <row r="14624" ht="18.75"/>
    <row r="14625" ht="18.75"/>
    <row r="14626" ht="18.75"/>
    <row r="14627" ht="18.75"/>
    <row r="14628" ht="18.75"/>
    <row r="14629" ht="18.75"/>
    <row r="14630" ht="18.75"/>
    <row r="14631" ht="18.75"/>
    <row r="14632" ht="18.75"/>
    <row r="14633" ht="18.75"/>
    <row r="14634" ht="18.75"/>
    <row r="14635" ht="18.75"/>
    <row r="14636" ht="18.75"/>
    <row r="14637" ht="18.75"/>
    <row r="14638" ht="18.75"/>
    <row r="14639" ht="18.75"/>
    <row r="14640" ht="18.75"/>
    <row r="14641" ht="18.75"/>
    <row r="14642" ht="18.75"/>
    <row r="14643" ht="18.75"/>
    <row r="14644" ht="18.75"/>
    <row r="14645" ht="18.75"/>
    <row r="14646" ht="18.75"/>
    <row r="14647" ht="18.75"/>
    <row r="14648" ht="18.75"/>
    <row r="14649" ht="18.75"/>
    <row r="14650" ht="18.75"/>
    <row r="14651" ht="18.75"/>
    <row r="14652" ht="18.75"/>
    <row r="14653" ht="18.75"/>
    <row r="14654" ht="18.75"/>
    <row r="14655" ht="18.75"/>
    <row r="14656" ht="18.75"/>
    <row r="14657" ht="18.75"/>
    <row r="14658" ht="18.75"/>
    <row r="14659" ht="18.75"/>
    <row r="14660" ht="18.75"/>
    <row r="14661" ht="18.75"/>
    <row r="14662" ht="18.75"/>
    <row r="14663" ht="18.75"/>
    <row r="14664" ht="18.75"/>
    <row r="14665" ht="18.75"/>
    <row r="14666" ht="18.75"/>
    <row r="14667" ht="18.75"/>
    <row r="14668" ht="18.75"/>
    <row r="14669" ht="18.75"/>
    <row r="14670" ht="18.75"/>
    <row r="14671" ht="18.75"/>
    <row r="14672" ht="18.75"/>
    <row r="14673" ht="18.75"/>
    <row r="14674" ht="18.75"/>
    <row r="14675" ht="18.75"/>
    <row r="14676" ht="18.75"/>
    <row r="14677" ht="18.75"/>
    <row r="14678" ht="18.75"/>
    <row r="14679" ht="18.75"/>
    <row r="14680" ht="18.75"/>
    <row r="14681" ht="18.75"/>
    <row r="14682" ht="18.75"/>
    <row r="14683" ht="18.75"/>
    <row r="14684" ht="18.75"/>
    <row r="14685" ht="18.75"/>
    <row r="14686" ht="18.75"/>
    <row r="14687" ht="18.75"/>
    <row r="14688" ht="18.75"/>
    <row r="14689" ht="18.75"/>
    <row r="14690" ht="18.75"/>
    <row r="14691" ht="18.75"/>
    <row r="14692" ht="18.75"/>
    <row r="14693" ht="18.75"/>
    <row r="14694" ht="18.75"/>
    <row r="14695" ht="18.75"/>
    <row r="14696" ht="18.75"/>
    <row r="14697" ht="18.75"/>
    <row r="14698" ht="18.75"/>
    <row r="14699" ht="18.75"/>
    <row r="14700" ht="18.75"/>
    <row r="14701" ht="18.75"/>
    <row r="14702" ht="18.75"/>
    <row r="14703" ht="18.75"/>
    <row r="14704" ht="18.75"/>
    <row r="14705" ht="18.75"/>
    <row r="14706" ht="18.75"/>
    <row r="14707" ht="18.75"/>
    <row r="14708" ht="18.75"/>
    <row r="14709" ht="18.75"/>
    <row r="14710" ht="18.75"/>
    <row r="14711" ht="18.75"/>
    <row r="14712" ht="18.75"/>
    <row r="14713" ht="18.75"/>
    <row r="14714" ht="18.75"/>
    <row r="14715" ht="18.75"/>
    <row r="14716" ht="18.75"/>
    <row r="14717" ht="18.75"/>
    <row r="14718" ht="18.75"/>
    <row r="14719" ht="18.75"/>
    <row r="14720" ht="18.75"/>
    <row r="14721" ht="18.75"/>
    <row r="14722" ht="18.75"/>
    <row r="14723" ht="18.75"/>
    <row r="14724" ht="18.75"/>
    <row r="14725" ht="18.75"/>
    <row r="14726" ht="18.75"/>
    <row r="14727" ht="18.75"/>
    <row r="14728" ht="18.75"/>
    <row r="14729" ht="18.75"/>
    <row r="14730" ht="18.75"/>
    <row r="14731" ht="18.75"/>
    <row r="14732" ht="18.75"/>
    <row r="14733" ht="18.75"/>
    <row r="14734" ht="18.75"/>
    <row r="14735" ht="18.75"/>
    <row r="14736" ht="18.75"/>
    <row r="14737" ht="18.75"/>
    <row r="14738" ht="18.75"/>
    <row r="14739" ht="18.75"/>
    <row r="14740" ht="18.75"/>
    <row r="14741" ht="18.75"/>
    <row r="14742" ht="18.75"/>
    <row r="14743" ht="18.75"/>
    <row r="14744" ht="18.75"/>
    <row r="14745" ht="18.75"/>
    <row r="14746" ht="18.75"/>
    <row r="14747" ht="18.75"/>
    <row r="14748" ht="18.75"/>
    <row r="14749" ht="18.75"/>
    <row r="14750" ht="18.75"/>
    <row r="14751" ht="18.75"/>
    <row r="14752" ht="18.75"/>
    <row r="14753" ht="18.75"/>
    <row r="14754" ht="18.75"/>
    <row r="14755" ht="18.75"/>
    <row r="14756" ht="18.75"/>
    <row r="14757" ht="18.75"/>
    <row r="14758" ht="18.75"/>
    <row r="14759" ht="18.75"/>
    <row r="14760" ht="18.75"/>
    <row r="14761" ht="18.75"/>
    <row r="14762" ht="18.75"/>
    <row r="14763" ht="18.75"/>
    <row r="14764" ht="18.75"/>
    <row r="14765" ht="18.75"/>
    <row r="14766" ht="18.75"/>
    <row r="14767" ht="18.75"/>
    <row r="14768" ht="18.75"/>
    <row r="14769" ht="18.75"/>
    <row r="14770" ht="18.75"/>
    <row r="14771" ht="18.75"/>
    <row r="14772" ht="18.75"/>
    <row r="14773" ht="18.75"/>
    <row r="14774" ht="18.75"/>
    <row r="14775" ht="18.75"/>
    <row r="14776" ht="18.75"/>
    <row r="14777" ht="18.75"/>
    <row r="14778" ht="18.75"/>
    <row r="14779" ht="18.75"/>
    <row r="14780" ht="18.75"/>
    <row r="14781" ht="18.75"/>
    <row r="14782" ht="18.75"/>
    <row r="14783" ht="18.75"/>
    <row r="14784" ht="18.75"/>
    <row r="14785" ht="18.75"/>
    <row r="14786" ht="18.75"/>
    <row r="14787" ht="18.75"/>
    <row r="14788" ht="18.75"/>
    <row r="14789" ht="18.75"/>
    <row r="14790" ht="18.75"/>
    <row r="14791" ht="18.75"/>
    <row r="14792" ht="18.75"/>
    <row r="14793" ht="18.75"/>
    <row r="14794" ht="18.75"/>
    <row r="14795" ht="18.75"/>
    <row r="14796" ht="18.75"/>
    <row r="14797" ht="18.75"/>
    <row r="14798" ht="18.75"/>
    <row r="14799" ht="18.75"/>
    <row r="14800" ht="18.75"/>
    <row r="14801" ht="18.75"/>
    <row r="14802" ht="18.75"/>
    <row r="14803" ht="18.75"/>
    <row r="14804" ht="18.75"/>
    <row r="14805" ht="18.75"/>
    <row r="14806" ht="18.75"/>
    <row r="14807" ht="18.75"/>
    <row r="14808" ht="18.75"/>
    <row r="14809" ht="18.75"/>
    <row r="14810" ht="18.75"/>
    <row r="14811" ht="18.75"/>
    <row r="14812" ht="18.75"/>
    <row r="14813" ht="18.75"/>
    <row r="14814" ht="18.75"/>
    <row r="14815" ht="18.75"/>
    <row r="14816" ht="18.75"/>
    <row r="14817" ht="18.75"/>
    <row r="14818" ht="18.75"/>
    <row r="14819" ht="18.75"/>
    <row r="14820" ht="18.75"/>
    <row r="14821" ht="18.75"/>
    <row r="14822" ht="18.75"/>
    <row r="14823" ht="18.75"/>
    <row r="14824" ht="18.75"/>
    <row r="14825" ht="18.75"/>
    <row r="14826" ht="18.75"/>
    <row r="14827" ht="18.75"/>
    <row r="14828" ht="18.75"/>
    <row r="14829" ht="18.75"/>
    <row r="14830" ht="18.75"/>
    <row r="14831" ht="18.75"/>
    <row r="14832" ht="18.75"/>
    <row r="14833" ht="18.75"/>
    <row r="14834" ht="18.75"/>
    <row r="14835" ht="18.75"/>
    <row r="14836" ht="18.75"/>
    <row r="14837" ht="18.75"/>
    <row r="14838" ht="18.75"/>
    <row r="14839" ht="18.75"/>
    <row r="14840" ht="18.75"/>
    <row r="14841" ht="18.75"/>
    <row r="14842" ht="18.75"/>
    <row r="14843" ht="18.75"/>
    <row r="14844" ht="18.75"/>
    <row r="14845" ht="18.75"/>
    <row r="14846" ht="18.75"/>
    <row r="14847" ht="18.75"/>
    <row r="14848" ht="18.75"/>
    <row r="14849" ht="18.75"/>
    <row r="14850" ht="18.75"/>
    <row r="14851" ht="18.75"/>
    <row r="14852" ht="18.75"/>
    <row r="14853" ht="18.75"/>
    <row r="14854" ht="18.75"/>
    <row r="14855" ht="18.75"/>
    <row r="14856" ht="18.75"/>
    <row r="14857" ht="18.75"/>
    <row r="14858" ht="18.75"/>
    <row r="14859" ht="18.75"/>
    <row r="14860" ht="18.75"/>
    <row r="14861" ht="18.75"/>
    <row r="14862" ht="18.75"/>
    <row r="14863" ht="18.75"/>
    <row r="14864" ht="18.75"/>
    <row r="14865" ht="18.75"/>
    <row r="14866" ht="18.75"/>
    <row r="14867" ht="18.75"/>
    <row r="14868" ht="18.75"/>
    <row r="14869" ht="18.75"/>
    <row r="14870" ht="18.75"/>
    <row r="14871" ht="18.75"/>
    <row r="14872" ht="18.75"/>
    <row r="14873" ht="18.75"/>
    <row r="14874" ht="18.75"/>
    <row r="14875" ht="18.75"/>
    <row r="14876" ht="18.75"/>
    <row r="14877" ht="18.75"/>
    <row r="14878" ht="18.75"/>
    <row r="14879" ht="18.75"/>
    <row r="14880" ht="18.75"/>
    <row r="14881" ht="18.75"/>
    <row r="14882" ht="18.75"/>
    <row r="14883" ht="18.75"/>
    <row r="14884" ht="18.75"/>
    <row r="14885" ht="18.75"/>
    <row r="14886" ht="18.75"/>
    <row r="14887" ht="18.75"/>
    <row r="14888" ht="18.75"/>
    <row r="14889" ht="18.75"/>
    <row r="14890" ht="18.75"/>
    <row r="14891" ht="18.75"/>
    <row r="14892" ht="18.75"/>
    <row r="14893" ht="18.75"/>
    <row r="14894" ht="18.75"/>
    <row r="14895" ht="18.75"/>
    <row r="14896" ht="18.75"/>
    <row r="14897" ht="18.75"/>
    <row r="14898" ht="18.75"/>
    <row r="14899" ht="18.75"/>
    <row r="14900" ht="18.75"/>
    <row r="14901" ht="18.75"/>
    <row r="14902" ht="18.75"/>
    <row r="14903" ht="18.75"/>
    <row r="14904" ht="18.75"/>
    <row r="14905" ht="18.75"/>
    <row r="14906" ht="18.75"/>
    <row r="14907" ht="18.75"/>
    <row r="14908" ht="18.75"/>
    <row r="14909" ht="18.75"/>
    <row r="14910" ht="18.75"/>
    <row r="14911" ht="18.75"/>
    <row r="14912" ht="18.75"/>
    <row r="14913" ht="18.75"/>
    <row r="14914" ht="18.75"/>
    <row r="14915" ht="18.75"/>
    <row r="14916" ht="18.75"/>
    <row r="14917" ht="18.75"/>
    <row r="14918" ht="18.75"/>
    <row r="14919" ht="18.75"/>
    <row r="14920" ht="18.75"/>
    <row r="14921" ht="18.75"/>
    <row r="14922" ht="18.75"/>
    <row r="14923" ht="18.75"/>
    <row r="14924" ht="18.75"/>
    <row r="14925" ht="18.75"/>
    <row r="14926" ht="18.75"/>
    <row r="14927" ht="18.75"/>
    <row r="14928" ht="18.75"/>
    <row r="14929" ht="18.75"/>
    <row r="14930" ht="18.75"/>
    <row r="14931" ht="18.75"/>
    <row r="14932" ht="18.75"/>
    <row r="14933" ht="18.75"/>
    <row r="14934" ht="18.75"/>
    <row r="14935" ht="18.75"/>
    <row r="14936" ht="18.75"/>
    <row r="14937" ht="18.75"/>
    <row r="14938" ht="18.75"/>
    <row r="14939" ht="18.75"/>
    <row r="14940" ht="18.75"/>
    <row r="14941" ht="18.75"/>
    <row r="14942" ht="18.75"/>
    <row r="14943" ht="18.75"/>
    <row r="14944" ht="18.75"/>
    <row r="14945" ht="18.75"/>
    <row r="14946" ht="18.75"/>
    <row r="14947" ht="18.75"/>
    <row r="14948" ht="18.75"/>
    <row r="14949" ht="18.75"/>
    <row r="14950" ht="18.75"/>
    <row r="14951" ht="18.75"/>
    <row r="14952" ht="18.75"/>
    <row r="14953" ht="18.75"/>
    <row r="14954" ht="18.75"/>
    <row r="14955" ht="18.75"/>
    <row r="14956" ht="18.75"/>
    <row r="14957" ht="18.75"/>
    <row r="14958" ht="18.75"/>
    <row r="14959" ht="18.75"/>
    <row r="14960" ht="18.75"/>
    <row r="14961" ht="18.75"/>
    <row r="14962" ht="18.75"/>
    <row r="14963" ht="18.75"/>
    <row r="14964" ht="18.75"/>
    <row r="14965" ht="18.75"/>
    <row r="14966" ht="18.75"/>
    <row r="14967" ht="18.75"/>
    <row r="14968" ht="18.75"/>
    <row r="14969" ht="18.75"/>
    <row r="14970" ht="18.75"/>
    <row r="14971" ht="18.75"/>
    <row r="14972" ht="18.75"/>
    <row r="14973" ht="18.75"/>
    <row r="14974" ht="18.75"/>
    <row r="14975" ht="18.75"/>
    <row r="14976" ht="18.75"/>
    <row r="14977" ht="18.75"/>
    <row r="14978" ht="18.75"/>
    <row r="14979" ht="18.75"/>
    <row r="14980" ht="18.75"/>
    <row r="14981" ht="18.75"/>
    <row r="14982" ht="18.75"/>
    <row r="14983" ht="18.75"/>
    <row r="14984" ht="18.75"/>
    <row r="14985" ht="18.75"/>
    <row r="14986" ht="18.75"/>
    <row r="14987" ht="18.75"/>
    <row r="14988" ht="18.75"/>
    <row r="14989" ht="18.75"/>
    <row r="14990" ht="18.75"/>
    <row r="14991" ht="18.75"/>
    <row r="14992" ht="18.75"/>
    <row r="14993" ht="18.75"/>
    <row r="14994" ht="18.75"/>
    <row r="14995" ht="18.75"/>
    <row r="14996" ht="18.75"/>
    <row r="14997" ht="18.75"/>
    <row r="14998" ht="18.75"/>
    <row r="14999" ht="18.75"/>
    <row r="15000" ht="18.75"/>
    <row r="15001" ht="18.75"/>
    <row r="15002" ht="18.75"/>
    <row r="15003" ht="18.75"/>
    <row r="15004" ht="18.75"/>
    <row r="15005" ht="18.75"/>
    <row r="15006" ht="18.75"/>
    <row r="15007" ht="18.75"/>
    <row r="15008" ht="18.75"/>
    <row r="15009" ht="18.75"/>
    <row r="15010" ht="18.75"/>
    <row r="15011" ht="18.75"/>
    <row r="15012" ht="18.75"/>
    <row r="15013" ht="18.75"/>
    <row r="15014" ht="18.75"/>
    <row r="15015" ht="18.75"/>
    <row r="15016" ht="18.75"/>
    <row r="15017" ht="18.75"/>
    <row r="15018" ht="18.75"/>
    <row r="15019" ht="18.75"/>
    <row r="15020" ht="18.75"/>
    <row r="15021" ht="18.75"/>
    <row r="15022" ht="18.75"/>
    <row r="15023" ht="18.75"/>
    <row r="15024" ht="18.75"/>
    <row r="15025" ht="18.75"/>
    <row r="15026" ht="18.75"/>
    <row r="15027" ht="18.75"/>
    <row r="15028" ht="18.75"/>
    <row r="15029" ht="18.75"/>
    <row r="15030" ht="18.75"/>
    <row r="15031" ht="18.75"/>
    <row r="15032" ht="18.75"/>
    <row r="15033" ht="18.75"/>
    <row r="15034" ht="18.75"/>
    <row r="15035" ht="18.75"/>
    <row r="15036" ht="18.75"/>
    <row r="15037" ht="18.75"/>
    <row r="15038" ht="18.75"/>
    <row r="15039" ht="18.75"/>
    <row r="15040" ht="18.75"/>
    <row r="15041" ht="18.75"/>
    <row r="15042" ht="18.75"/>
    <row r="15043" ht="18.75"/>
    <row r="15044" ht="18.75"/>
    <row r="15045" ht="18.75"/>
    <row r="15046" ht="18.75"/>
    <row r="15047" ht="18.75"/>
    <row r="15048" ht="18.75"/>
    <row r="15049" ht="18.75"/>
    <row r="15050" ht="18.75"/>
    <row r="15051" ht="18.75"/>
    <row r="15052" ht="18.75"/>
    <row r="15053" ht="18.75"/>
    <row r="15054" ht="18.75"/>
    <row r="15055" ht="18.75"/>
    <row r="15056" ht="18.75"/>
    <row r="15057" ht="18.75"/>
    <row r="15058" ht="18.75"/>
    <row r="15059" ht="18.75"/>
    <row r="15060" ht="18.75"/>
    <row r="15061" ht="18.75"/>
    <row r="15062" ht="18.75"/>
    <row r="15063" ht="18.75"/>
    <row r="15064" ht="18.75"/>
    <row r="15065" ht="18.75"/>
    <row r="15066" ht="18.75"/>
    <row r="15067" ht="18.75"/>
    <row r="15068" ht="18.75"/>
    <row r="15069" ht="18.75"/>
    <row r="15070" ht="18.75"/>
    <row r="15071" ht="18.75"/>
    <row r="15072" ht="18.75"/>
    <row r="15073" ht="18.75"/>
    <row r="15074" ht="18.75"/>
    <row r="15075" ht="18.75"/>
    <row r="15076" ht="18.75"/>
    <row r="15077" ht="18.75"/>
    <row r="15078" ht="18.75"/>
    <row r="15079" ht="18.75"/>
    <row r="15080" ht="18.75"/>
    <row r="15081" ht="18.75"/>
    <row r="15082" ht="18.75"/>
    <row r="15083" ht="18.75"/>
    <row r="15084" ht="18.75"/>
    <row r="15085" ht="18.75"/>
    <row r="15086" ht="18.75"/>
    <row r="15087" ht="18.75"/>
    <row r="15088" ht="18.75"/>
    <row r="15089" ht="18.75"/>
    <row r="15090" ht="18.75"/>
    <row r="15091" ht="18.75"/>
    <row r="15092" ht="18.75"/>
    <row r="15093" ht="18.75"/>
    <row r="15094" ht="18.75"/>
    <row r="15095" ht="18.75"/>
    <row r="15096" ht="18.75"/>
    <row r="15097" ht="18.75"/>
    <row r="15098" ht="18.75"/>
    <row r="15099" ht="18.75"/>
    <row r="15100" ht="18.75"/>
    <row r="15101" ht="18.75"/>
    <row r="15102" ht="18.75"/>
    <row r="15103" ht="18.75"/>
    <row r="15104" ht="18.75"/>
    <row r="15105" ht="18.75"/>
    <row r="15106" ht="18.75"/>
    <row r="15107" ht="18.75"/>
    <row r="15108" ht="18.75"/>
    <row r="15109" ht="18.75"/>
    <row r="15110" ht="18.75"/>
    <row r="15111" ht="18.75"/>
    <row r="15112" ht="18.75"/>
    <row r="15113" ht="18.75"/>
    <row r="15114" ht="18.75"/>
    <row r="15115" ht="18.75"/>
    <row r="15116" ht="18.75"/>
    <row r="15117" ht="18.75"/>
    <row r="15118" ht="18.75"/>
    <row r="15119" ht="18.75"/>
    <row r="15120" ht="18.75"/>
    <row r="15121" ht="18.75"/>
    <row r="15122" ht="18.75"/>
    <row r="15123" ht="18.75"/>
    <row r="15124" ht="18.75"/>
    <row r="15125" ht="18.75"/>
    <row r="15126" ht="18.75"/>
    <row r="15127" ht="18.75"/>
    <row r="15128" ht="18.75"/>
    <row r="15129" ht="18.75"/>
    <row r="15130" ht="18.75"/>
    <row r="15131" ht="18.75"/>
    <row r="15132" ht="18.75"/>
    <row r="15133" ht="18.75"/>
    <row r="15134" ht="18.75"/>
    <row r="15135" ht="18.75"/>
    <row r="15136" ht="18.75"/>
    <row r="15137" ht="18.75"/>
    <row r="15138" ht="18.75"/>
    <row r="15139" ht="18.75"/>
    <row r="15140" ht="18.75"/>
    <row r="15141" ht="18.75"/>
    <row r="15142" ht="18.75"/>
    <row r="15143" ht="18.75"/>
    <row r="15144" ht="18.75"/>
    <row r="15145" ht="18.75"/>
    <row r="15146" ht="18.75"/>
    <row r="15147" ht="18.75"/>
    <row r="15148" ht="18.75"/>
    <row r="15149" ht="18.75"/>
    <row r="15150" ht="18.75"/>
    <row r="15151" ht="18.75"/>
    <row r="15152" ht="18.75"/>
    <row r="15153" ht="18.75"/>
    <row r="15154" ht="18.75"/>
    <row r="15155" ht="18.75"/>
    <row r="15156" ht="18.75"/>
    <row r="15157" ht="18.75"/>
    <row r="15158" ht="18.75"/>
    <row r="15159" ht="18.75"/>
    <row r="15160" ht="18.75"/>
    <row r="15161" ht="18.75"/>
    <row r="15162" ht="18.75"/>
    <row r="15163" ht="18.75"/>
    <row r="15164" ht="18.75"/>
    <row r="15165" ht="18.75"/>
    <row r="15166" ht="18.75"/>
    <row r="15167" ht="18.75"/>
    <row r="15168" ht="18.75"/>
    <row r="15169" ht="18.75"/>
    <row r="15170" ht="18.75"/>
    <row r="15171" ht="18.75"/>
    <row r="15172" ht="18.75"/>
    <row r="15173" ht="18.75"/>
    <row r="15174" ht="18.75"/>
    <row r="15175" ht="18.75"/>
    <row r="15176" ht="18.75"/>
    <row r="15177" ht="18.75"/>
    <row r="15178" ht="18.75"/>
    <row r="15179" ht="18.75"/>
    <row r="15180" ht="18.75"/>
    <row r="15181" ht="18.75"/>
    <row r="15182" ht="18.75"/>
    <row r="15183" ht="18.75"/>
    <row r="15184" ht="18.75"/>
    <row r="15185" ht="18.75"/>
    <row r="15186" ht="18.75"/>
    <row r="15187" ht="18.75"/>
    <row r="15188" ht="18.75"/>
    <row r="15189" ht="18.75"/>
    <row r="15190" ht="18.75"/>
    <row r="15191" ht="18.75"/>
    <row r="15192" ht="18.75"/>
    <row r="15193" ht="18.75"/>
    <row r="15194" ht="18.75"/>
    <row r="15195" ht="18.75"/>
    <row r="15196" ht="18.75"/>
    <row r="15197" ht="18.75"/>
    <row r="15198" ht="18.75"/>
    <row r="15199" ht="18.75"/>
    <row r="15200" ht="18.75"/>
    <row r="15201" ht="18.75"/>
    <row r="15202" ht="18.75"/>
    <row r="15203" ht="18.75"/>
    <row r="15204" ht="18.75"/>
    <row r="15205" ht="18.75"/>
    <row r="15206" ht="18.75"/>
    <row r="15207" ht="18.75"/>
    <row r="15208" ht="18.75"/>
    <row r="15209" ht="18.75"/>
    <row r="15210" ht="18.75"/>
    <row r="15211" ht="18.75"/>
    <row r="15212" ht="18.75"/>
    <row r="15213" ht="18.75"/>
    <row r="15214" ht="18.75"/>
    <row r="15215" ht="18.75"/>
    <row r="15216" ht="18.75"/>
    <row r="15217" ht="18.75"/>
    <row r="15218" ht="18.75"/>
    <row r="15219" ht="18.75"/>
    <row r="15220" ht="18.75"/>
    <row r="15221" ht="18.75"/>
    <row r="15222" ht="18.75"/>
    <row r="15223" ht="18.75"/>
    <row r="15224" ht="18.75"/>
    <row r="15225" ht="18.75"/>
    <row r="15226" ht="18.75"/>
    <row r="15227" ht="18.75"/>
    <row r="15228" ht="18.75"/>
    <row r="15229" ht="18.75"/>
    <row r="15230" ht="18.75"/>
    <row r="15231" ht="18.75"/>
    <row r="15232" ht="18.75"/>
    <row r="15233" ht="18.75"/>
    <row r="15234" ht="18.75"/>
    <row r="15235" ht="18.75"/>
    <row r="15236" ht="18.75"/>
    <row r="15237" ht="18.75"/>
    <row r="15238" ht="18.75"/>
    <row r="15239" ht="18.75"/>
    <row r="15240" ht="18.75"/>
    <row r="15241" ht="18.75"/>
    <row r="15242" ht="18.75"/>
    <row r="15243" ht="18.75"/>
    <row r="15244" ht="18.75"/>
    <row r="15245" ht="18.75"/>
    <row r="15246" ht="18.75"/>
    <row r="15247" ht="18.75"/>
    <row r="15248" ht="18.75"/>
    <row r="15249" ht="18.75"/>
    <row r="15250" ht="18.75"/>
    <row r="15251" ht="18.75"/>
    <row r="15252" ht="18.75"/>
    <row r="15253" ht="18.75"/>
    <row r="15254" ht="18.75"/>
    <row r="15255" ht="18.75"/>
    <row r="15256" ht="18.75"/>
    <row r="15257" ht="18.75"/>
    <row r="15258" ht="18.75"/>
    <row r="15259" ht="18.75"/>
    <row r="15260" ht="18.75"/>
    <row r="15261" ht="18.75"/>
    <row r="15262" ht="18.75"/>
    <row r="15263" ht="18.75"/>
    <row r="15264" ht="18.75"/>
    <row r="15265" ht="18.75"/>
    <row r="15266" ht="18.75"/>
    <row r="15267" ht="18.75"/>
    <row r="15268" ht="18.75"/>
    <row r="15269" ht="18.75"/>
    <row r="15270" ht="18.75"/>
    <row r="15271" ht="18.75"/>
    <row r="15272" ht="18.75"/>
    <row r="15273" ht="18.75"/>
    <row r="15274" ht="18.75"/>
    <row r="15275" ht="18.75"/>
    <row r="15276" ht="18.75"/>
    <row r="15277" ht="18.75"/>
    <row r="15278" ht="18.75"/>
    <row r="15279" ht="18.75"/>
    <row r="15280" ht="18.75"/>
    <row r="15281" ht="18.75"/>
    <row r="15282" ht="18.75"/>
    <row r="15283" ht="18.75"/>
    <row r="15284" ht="18.75"/>
    <row r="15285" ht="18.75"/>
    <row r="15286" ht="18.75"/>
    <row r="15287" ht="18.75"/>
    <row r="15288" ht="18.75"/>
    <row r="15289" ht="18.75"/>
    <row r="15290" ht="18.75"/>
    <row r="15291" ht="18.75"/>
    <row r="15292" ht="18.75"/>
    <row r="15293" ht="18.75"/>
    <row r="15294" ht="18.75"/>
    <row r="15295" ht="18.75"/>
    <row r="15296" ht="18.75"/>
    <row r="15297" ht="18.75"/>
    <row r="15298" ht="18.75"/>
    <row r="15299" ht="18.75"/>
    <row r="15300" ht="18.75"/>
    <row r="15301" ht="18.75"/>
    <row r="15302" ht="18.75"/>
    <row r="15303" ht="18.75"/>
    <row r="15304" ht="18.75"/>
    <row r="15305" ht="18.75"/>
    <row r="15306" ht="18.75"/>
    <row r="15307" ht="18.75"/>
    <row r="15308" ht="18.75"/>
    <row r="15309" ht="18.75"/>
    <row r="15310" ht="18.75"/>
    <row r="15311" ht="18.75"/>
    <row r="15312" ht="18.75"/>
    <row r="15313" ht="18.75"/>
    <row r="15314" ht="18.75"/>
    <row r="15315" ht="18.75"/>
    <row r="15316" ht="18.75"/>
    <row r="15317" ht="18.75"/>
    <row r="15318" ht="18.75"/>
    <row r="15319" ht="18.75"/>
    <row r="15320" ht="18.75"/>
    <row r="15321" ht="18.75"/>
    <row r="15322" ht="18.75"/>
    <row r="15323" ht="18.75"/>
    <row r="15324" ht="18.75"/>
    <row r="15325" ht="18.75"/>
    <row r="15326" ht="18.75"/>
    <row r="15327" ht="18.75"/>
    <row r="15328" ht="18.75"/>
    <row r="15329" ht="18.75"/>
    <row r="15330" ht="18.75"/>
    <row r="15331" ht="18.75"/>
    <row r="15332" ht="18.75"/>
    <row r="15333" ht="18.75"/>
    <row r="15334" ht="18.75"/>
    <row r="15335" ht="18.75"/>
    <row r="15336" ht="18.75"/>
    <row r="15337" ht="18.75"/>
    <row r="15338" ht="18.75"/>
    <row r="15339" ht="18.75"/>
    <row r="15340" ht="18.75"/>
    <row r="15341" ht="18.75"/>
    <row r="15342" ht="18.75"/>
    <row r="15343" ht="18.75"/>
    <row r="15344" ht="18.75"/>
    <row r="15345" ht="18.75"/>
    <row r="15346" ht="18.75"/>
    <row r="15347" ht="18.75"/>
    <row r="15348" ht="18.75"/>
    <row r="15349" ht="18.75"/>
    <row r="15350" ht="18.75"/>
    <row r="15351" ht="18.75"/>
    <row r="15352" ht="18.75"/>
    <row r="15353" ht="18.75"/>
    <row r="15354" ht="18.75"/>
    <row r="15355" ht="18.75"/>
    <row r="15356" ht="18.75"/>
    <row r="15357" ht="18.75"/>
    <row r="15358" ht="18.75"/>
    <row r="15359" ht="18.75"/>
    <row r="15360" ht="18.75"/>
    <row r="15361" ht="18.75"/>
    <row r="15362" ht="18.75"/>
    <row r="15363" ht="18.75"/>
    <row r="15364" ht="18.75"/>
    <row r="15365" ht="18.75"/>
    <row r="15366" ht="18.75"/>
    <row r="15367" ht="18.75"/>
    <row r="15368" ht="18.75"/>
    <row r="15369" ht="18.75"/>
    <row r="15370" ht="18.75"/>
    <row r="15371" ht="18.75"/>
    <row r="15372" ht="18.75"/>
    <row r="15373" ht="18.75"/>
    <row r="15374" ht="18.75"/>
    <row r="15375" ht="18.75"/>
    <row r="15376" ht="18.75"/>
    <row r="15377" ht="18.75"/>
    <row r="15378" ht="18.75"/>
    <row r="15379" ht="18.75"/>
    <row r="15380" ht="18.75"/>
    <row r="15381" ht="18.75"/>
    <row r="15382" ht="18.75"/>
    <row r="15383" ht="18.75"/>
    <row r="15384" ht="18.75"/>
    <row r="15385" ht="18.75"/>
    <row r="15386" ht="18.75"/>
    <row r="15387" ht="18.75"/>
    <row r="15388" ht="18.75"/>
    <row r="15389" ht="18.75"/>
    <row r="15390" ht="18.75"/>
    <row r="15391" ht="18.75"/>
    <row r="15392" ht="18.75"/>
    <row r="15393" ht="18.75"/>
    <row r="15394" ht="18.75"/>
    <row r="15395" ht="18.75"/>
    <row r="15396" ht="18.75"/>
    <row r="15397" ht="18.75"/>
    <row r="15398" ht="18.75"/>
    <row r="15399" ht="18.75"/>
    <row r="15400" ht="18.75"/>
    <row r="15401" ht="18.75"/>
    <row r="15402" ht="18.75"/>
    <row r="15403" ht="18.75"/>
    <row r="15404" ht="18.75"/>
    <row r="15405" ht="18.75"/>
    <row r="15406" ht="18.75"/>
    <row r="15407" ht="18.75"/>
    <row r="15408" ht="18.75"/>
    <row r="15409" ht="18.75"/>
    <row r="15410" ht="18.75"/>
    <row r="15411" ht="18.75"/>
    <row r="15412" ht="18.75"/>
    <row r="15413" ht="18.75"/>
    <row r="15414" ht="18.75"/>
    <row r="15415" ht="18.75"/>
    <row r="15416" ht="18.75"/>
    <row r="15417" ht="18.75"/>
    <row r="15418" ht="18.75"/>
    <row r="15419" ht="18.75"/>
    <row r="15420" ht="18.75"/>
    <row r="15421" ht="18.75"/>
    <row r="15422" ht="18.75"/>
    <row r="15423" ht="18.75"/>
    <row r="15424" ht="18.75"/>
    <row r="15425" ht="18.75"/>
    <row r="15426" ht="18.75"/>
    <row r="15427" ht="18.75"/>
    <row r="15428" ht="18.75"/>
    <row r="15429" ht="18.75"/>
    <row r="15430" ht="18.75"/>
    <row r="15431" ht="18.75"/>
    <row r="15432" ht="18.75"/>
    <row r="15433" ht="18.75"/>
    <row r="15434" ht="18.75"/>
    <row r="15435" ht="18.75"/>
    <row r="15436" ht="18.75"/>
    <row r="15437" ht="18.75"/>
    <row r="15438" ht="18.75"/>
    <row r="15439" ht="18.75"/>
    <row r="15440" ht="18.75"/>
    <row r="15441" ht="18.75"/>
    <row r="15442" ht="18.75"/>
    <row r="15443" ht="18.75"/>
    <row r="15444" ht="18.75"/>
    <row r="15445" ht="18.75"/>
    <row r="15446" ht="18.75"/>
    <row r="15447" ht="18.75"/>
    <row r="15448" ht="18.75"/>
    <row r="15449" ht="18.75"/>
    <row r="15450" ht="18.75"/>
    <row r="15451" ht="18.75"/>
    <row r="15452" ht="18.75"/>
    <row r="15453" ht="18.75"/>
    <row r="15454" ht="18.75"/>
    <row r="15455" ht="18.75"/>
    <row r="15456" ht="18.75"/>
    <row r="15457" ht="18.75"/>
    <row r="15458" ht="18.75"/>
    <row r="15459" ht="18.75"/>
    <row r="15460" ht="18.75"/>
    <row r="15461" ht="18.75"/>
    <row r="15462" ht="18.75"/>
    <row r="15463" ht="18.75"/>
    <row r="15464" ht="18.75"/>
    <row r="15465" ht="18.75"/>
    <row r="15466" ht="18.75"/>
    <row r="15467" ht="18.75"/>
    <row r="15468" ht="18.75"/>
    <row r="15469" ht="18.75"/>
    <row r="15470" ht="18.75"/>
    <row r="15471" ht="18.75"/>
    <row r="15472" ht="18.75"/>
    <row r="15473" ht="18.75"/>
    <row r="15474" ht="18.75"/>
    <row r="15475" ht="18.75"/>
    <row r="15476" ht="18.75"/>
    <row r="15477" ht="18.75"/>
    <row r="15478" ht="18.75"/>
    <row r="15479" ht="18.75"/>
    <row r="15480" ht="18.75"/>
    <row r="15481" ht="18.75"/>
    <row r="15482" ht="18.75"/>
    <row r="15483" ht="18.75"/>
    <row r="15484" ht="18.75"/>
    <row r="15485" ht="18.75"/>
    <row r="15486" ht="18.75"/>
    <row r="15487" ht="18.75"/>
    <row r="15488" ht="18.75"/>
    <row r="15489" ht="18.75"/>
    <row r="15490" ht="18.75"/>
    <row r="15491" ht="18.75"/>
    <row r="15492" ht="18.75"/>
    <row r="15493" ht="18.75"/>
    <row r="15494" ht="18.75"/>
    <row r="15495" ht="18.75"/>
    <row r="15496" ht="18.75"/>
    <row r="15497" ht="18.75"/>
    <row r="15498" ht="18.75"/>
    <row r="15499" ht="18.75"/>
    <row r="15500" ht="18.75"/>
    <row r="15501" ht="18.75"/>
    <row r="15502" ht="18.75"/>
    <row r="15503" ht="18.75"/>
    <row r="15504" ht="18.75"/>
    <row r="15505" ht="18.75"/>
    <row r="15506" ht="18.75"/>
    <row r="15507" ht="18.75"/>
    <row r="15508" ht="18.75"/>
    <row r="15509" ht="18.75"/>
    <row r="15510" ht="18.75"/>
    <row r="15511" ht="18.75"/>
    <row r="15512" ht="18.75"/>
    <row r="15513" ht="18.75"/>
    <row r="15514" ht="18.75"/>
    <row r="15515" ht="18.75"/>
    <row r="15516" ht="18.75"/>
    <row r="15517" ht="18.75"/>
    <row r="15518" ht="18.75"/>
    <row r="15519" ht="18.75"/>
    <row r="15520" ht="18.75"/>
    <row r="15521" ht="18.75"/>
    <row r="15522" ht="18.75"/>
    <row r="15523" ht="18.75"/>
    <row r="15524" ht="18.75"/>
    <row r="15525" ht="18.75"/>
    <row r="15526" ht="18.75"/>
    <row r="15527" ht="18.75"/>
    <row r="15528" ht="18.75"/>
    <row r="15529" ht="18.75"/>
    <row r="15530" ht="18.75"/>
    <row r="15531" ht="18.75"/>
    <row r="15532" ht="18.75"/>
    <row r="15533" ht="18.75"/>
    <row r="15534" ht="18.75"/>
    <row r="15535" ht="18.75"/>
    <row r="15536" ht="18.75"/>
    <row r="15537" ht="18.75"/>
    <row r="15538" ht="18.75"/>
    <row r="15539" ht="18.75"/>
    <row r="15540" ht="18.75"/>
    <row r="15541" ht="18.75"/>
    <row r="15542" ht="18.75"/>
    <row r="15543" ht="18.75"/>
    <row r="15544" ht="18.75"/>
    <row r="15545" ht="18.75"/>
    <row r="15546" ht="18.75"/>
    <row r="15547" ht="18.75"/>
    <row r="15548" ht="18.75"/>
    <row r="15549" ht="18.75"/>
    <row r="15550" ht="18.75"/>
    <row r="15551" ht="18.75"/>
    <row r="15552" ht="18.75"/>
    <row r="15553" ht="18.75"/>
    <row r="15554" ht="18.75"/>
    <row r="15555" ht="18.75"/>
    <row r="15556" ht="18.75"/>
    <row r="15557" ht="18.75"/>
    <row r="15558" ht="18.75"/>
    <row r="15559" ht="18.75"/>
    <row r="15560" ht="18.75"/>
    <row r="15561" ht="18.75"/>
    <row r="15562" ht="18.75"/>
    <row r="15563" ht="18.75"/>
    <row r="15564" ht="18.75"/>
    <row r="15565" ht="18.75"/>
    <row r="15566" ht="18.75"/>
    <row r="15567" ht="18.75"/>
    <row r="15568" ht="18.75"/>
    <row r="15569" ht="18.75"/>
    <row r="15570" ht="18.75"/>
    <row r="15571" ht="18.75"/>
    <row r="15572" ht="18.75"/>
    <row r="15573" ht="18.75"/>
    <row r="15574" ht="18.75"/>
    <row r="15575" ht="18.75"/>
    <row r="15576" ht="18.75"/>
    <row r="15577" ht="18.75"/>
    <row r="15578" ht="18.75"/>
    <row r="15579" ht="18.75"/>
    <row r="15580" ht="18.75"/>
    <row r="15581" ht="18.75"/>
    <row r="15582" ht="18.75"/>
    <row r="15583" ht="18.75"/>
    <row r="15584" ht="18.75"/>
    <row r="15585" ht="18.75"/>
    <row r="15586" ht="18.75"/>
    <row r="15587" ht="18.75"/>
    <row r="15588" ht="18.75"/>
    <row r="15589" ht="18.75"/>
    <row r="15590" ht="18.75"/>
    <row r="15591" ht="18.75"/>
    <row r="15592" ht="18.75"/>
    <row r="15593" ht="18.75"/>
    <row r="15594" ht="18.75"/>
    <row r="15595" ht="18.75"/>
    <row r="15596" ht="18.75"/>
    <row r="15597" ht="18.75"/>
    <row r="15598" ht="18.75"/>
    <row r="15599" ht="18.75"/>
    <row r="15600" ht="18.75"/>
    <row r="15601" ht="18.75"/>
    <row r="15602" ht="18.75"/>
    <row r="15603" ht="18.75"/>
    <row r="15604" ht="18.75"/>
    <row r="15605" ht="18.75"/>
    <row r="15606" ht="18.75"/>
    <row r="15607" ht="18.75"/>
    <row r="15608" ht="18.75"/>
    <row r="15609" ht="18.75"/>
    <row r="15610" ht="18.75"/>
    <row r="15611" ht="18.75"/>
    <row r="15612" ht="18.75"/>
    <row r="15613" ht="18.75"/>
    <row r="15614" ht="18.75"/>
    <row r="15615" ht="18.75"/>
    <row r="15616" ht="18.75"/>
    <row r="15617" ht="18.75"/>
    <row r="15618" ht="18.75"/>
    <row r="15619" ht="18.75"/>
    <row r="15620" ht="18.75"/>
    <row r="15621" ht="18.75"/>
    <row r="15622" ht="18.75"/>
    <row r="15623" ht="18.75"/>
    <row r="15624" ht="18.75"/>
    <row r="15625" ht="18.75"/>
    <row r="15626" ht="18.75"/>
    <row r="15627" ht="18.75"/>
    <row r="15628" ht="18.75"/>
    <row r="15629" ht="18.75"/>
    <row r="15630" ht="18.75"/>
    <row r="15631" ht="18.75"/>
    <row r="15632" ht="18.75"/>
    <row r="15633" ht="18.75"/>
    <row r="15634" ht="18.75"/>
    <row r="15635" ht="18.75"/>
    <row r="15636" ht="18.75"/>
    <row r="15637" ht="18.75"/>
    <row r="15638" ht="18.75"/>
    <row r="15639" ht="18.75"/>
    <row r="15640" ht="18.75"/>
    <row r="15641" ht="18.75"/>
    <row r="15642" ht="18.75"/>
    <row r="15643" ht="18.75"/>
    <row r="15644" ht="18.75"/>
    <row r="15645" ht="18.75"/>
    <row r="15646" ht="18.75"/>
    <row r="15647" ht="18.75"/>
    <row r="15648" ht="18.75"/>
    <row r="15649" ht="18.75"/>
    <row r="15650" ht="18.75"/>
    <row r="15651" ht="18.75"/>
    <row r="15652" ht="18.75"/>
    <row r="15653" ht="18.75"/>
    <row r="15654" ht="18.75"/>
    <row r="15655" ht="18.75"/>
    <row r="15656" ht="18.75"/>
    <row r="15657" ht="18.75"/>
    <row r="15658" ht="18.75"/>
    <row r="15659" ht="18.75"/>
    <row r="15660" ht="18.75"/>
    <row r="15661" ht="18.75"/>
    <row r="15662" ht="18.75"/>
    <row r="15663" ht="18.75"/>
    <row r="15664" ht="18.75"/>
    <row r="15665" ht="18.75"/>
    <row r="15666" ht="18.75"/>
    <row r="15667" ht="18.75"/>
    <row r="15668" ht="18.75"/>
    <row r="15669" ht="18.75"/>
    <row r="15670" ht="18.75"/>
    <row r="15671" ht="18.75"/>
    <row r="15672" ht="18.75"/>
    <row r="15673" ht="18.75"/>
    <row r="15674" ht="18.75"/>
    <row r="15675" ht="18.75"/>
    <row r="15676" ht="18.75"/>
    <row r="15677" ht="18.75"/>
    <row r="15678" ht="18.75"/>
    <row r="15679" ht="18.75"/>
    <row r="15680" ht="18.75"/>
    <row r="15681" ht="18.75"/>
    <row r="15682" ht="18.75"/>
    <row r="15683" ht="18.75"/>
    <row r="15684" ht="18.75"/>
    <row r="15685" ht="18.75"/>
    <row r="15686" ht="18.75"/>
    <row r="15687" ht="18.75"/>
    <row r="15688" ht="18.75"/>
    <row r="15689" ht="18.75"/>
    <row r="15690" ht="18.75"/>
    <row r="15691" ht="18.75"/>
    <row r="15692" ht="18.75"/>
    <row r="15693" ht="18.75"/>
    <row r="15694" ht="18.75"/>
    <row r="15695" ht="18.75"/>
    <row r="15696" ht="18.75"/>
    <row r="15697" ht="18.75"/>
    <row r="15698" ht="18.75"/>
    <row r="15699" ht="18.75"/>
    <row r="15700" ht="18.75"/>
    <row r="15701" ht="18.75"/>
    <row r="15702" ht="18.75"/>
    <row r="15703" ht="18.75"/>
    <row r="15704" ht="18.75"/>
    <row r="15705" ht="18.75"/>
    <row r="15706" ht="18.75"/>
    <row r="15707" ht="18.75"/>
    <row r="15708" ht="18.75"/>
    <row r="15709" ht="18.75"/>
    <row r="15710" ht="18.75"/>
    <row r="15711" ht="18.75"/>
    <row r="15712" ht="18.75"/>
    <row r="15713" ht="18.75"/>
    <row r="15714" ht="18.75"/>
    <row r="15715" ht="18.75"/>
    <row r="15716" ht="18.75"/>
    <row r="15717" ht="18.75"/>
    <row r="15718" ht="18.75"/>
    <row r="15719" ht="18.75"/>
    <row r="15720" ht="18.75"/>
    <row r="15721" ht="18.75"/>
    <row r="15722" ht="18.75"/>
    <row r="15723" ht="18.75"/>
    <row r="15724" ht="18.75"/>
    <row r="15725" ht="18.75"/>
    <row r="15726" ht="18.75"/>
    <row r="15727" ht="18.75"/>
    <row r="15728" ht="18.75"/>
    <row r="15729" ht="18.75"/>
    <row r="15730" ht="18.75"/>
    <row r="15731" ht="18.75"/>
    <row r="15732" ht="18.75"/>
    <row r="15733" ht="18.75"/>
    <row r="15734" ht="18.75"/>
    <row r="15735" ht="18.75"/>
    <row r="15736" ht="18.75"/>
    <row r="15737" ht="18.75"/>
    <row r="15738" ht="18.75"/>
    <row r="15739" ht="18.75"/>
    <row r="15740" ht="18.75"/>
    <row r="15741" ht="18.75"/>
    <row r="15742" ht="18.75"/>
    <row r="15743" ht="18.75"/>
    <row r="15744" ht="18.75"/>
    <row r="15745" ht="18.75"/>
    <row r="15746" ht="18.75"/>
    <row r="15747" ht="18.75"/>
    <row r="15748" ht="18.75"/>
    <row r="15749" ht="18.75"/>
    <row r="15750" ht="18.75"/>
    <row r="15751" ht="18.75"/>
    <row r="15752" ht="18.75"/>
    <row r="15753" ht="18.75"/>
    <row r="15754" ht="18.75"/>
    <row r="15755" ht="18.75"/>
    <row r="15756" ht="18.75"/>
    <row r="15757" ht="18.75"/>
    <row r="15758" ht="18.75"/>
    <row r="15759" ht="18.75"/>
    <row r="15760" ht="18.75"/>
    <row r="15761" ht="18.75"/>
    <row r="15762" ht="18.75"/>
    <row r="15763" ht="18.75"/>
    <row r="15764" ht="18.75"/>
    <row r="15765" ht="18.75"/>
    <row r="15766" ht="18.75"/>
    <row r="15767" ht="18.75"/>
    <row r="15768" ht="18.75"/>
    <row r="15769" ht="18.75"/>
    <row r="15770" ht="18.75"/>
    <row r="15771" ht="18.75"/>
    <row r="15772" ht="18.75"/>
    <row r="15773" ht="18.75"/>
    <row r="15774" ht="18.75"/>
    <row r="15775" ht="18.75"/>
    <row r="15776" ht="18.75"/>
    <row r="15777" ht="18.75"/>
    <row r="15778" ht="18.75"/>
    <row r="15779" ht="18.75"/>
    <row r="15780" ht="18.75"/>
    <row r="15781" ht="18.75"/>
    <row r="15782" ht="18.75"/>
    <row r="15783" ht="18.75"/>
    <row r="15784" ht="18.75"/>
    <row r="15785" ht="18.75"/>
    <row r="15786" ht="18.75"/>
    <row r="15787" ht="18.75"/>
    <row r="15788" ht="18.75"/>
    <row r="15789" ht="18.75"/>
    <row r="15790" ht="18.75"/>
    <row r="15791" ht="18.75"/>
    <row r="15792" ht="18.75"/>
    <row r="15793" ht="18.75"/>
    <row r="15794" ht="18.75"/>
    <row r="15795" ht="18.75"/>
    <row r="15796" ht="18.75"/>
    <row r="15797" ht="18.75"/>
    <row r="15798" ht="18.75"/>
    <row r="15799" ht="18.75"/>
    <row r="15800" ht="18.75"/>
    <row r="15801" ht="18.75"/>
    <row r="15802" ht="18.75"/>
    <row r="15803" ht="18.75"/>
    <row r="15804" ht="18.75"/>
    <row r="15805" ht="18.75"/>
    <row r="15806" ht="18.75"/>
    <row r="15807" ht="18.75"/>
    <row r="15808" ht="18.75"/>
    <row r="15809" ht="18.75"/>
    <row r="15810" ht="18.75"/>
    <row r="15811" ht="18.75"/>
    <row r="15812" ht="18.75"/>
    <row r="15813" ht="18.75"/>
    <row r="15814" ht="18.75"/>
    <row r="15815" ht="18.75"/>
    <row r="15816" ht="18.75"/>
    <row r="15817" ht="18.75"/>
    <row r="15818" ht="18.75"/>
    <row r="15819" ht="18.75"/>
    <row r="15820" ht="18.75"/>
    <row r="15821" ht="18.75"/>
    <row r="15822" ht="18.75"/>
    <row r="15823" ht="18.75"/>
    <row r="15824" ht="18.75"/>
    <row r="15825" ht="18.75"/>
    <row r="15826" ht="18.75"/>
    <row r="15827" ht="18.75"/>
    <row r="15828" ht="18.75"/>
    <row r="15829" ht="18.75"/>
    <row r="15830" ht="18.75"/>
    <row r="15831" ht="18.75"/>
    <row r="15832" ht="18.75"/>
    <row r="15833" ht="18.75"/>
    <row r="15834" ht="18.75"/>
    <row r="15835" ht="18.75"/>
    <row r="15836" ht="18.75"/>
    <row r="15837" ht="18.75"/>
    <row r="15838" ht="18.75"/>
    <row r="15839" ht="18.75"/>
    <row r="15840" ht="18.75"/>
    <row r="15841" ht="18.75"/>
    <row r="15842" ht="18.75"/>
    <row r="15843" ht="18.75"/>
    <row r="15844" ht="18.75"/>
    <row r="15845" ht="18.75"/>
    <row r="15846" ht="18.75"/>
    <row r="15847" ht="18.75"/>
    <row r="15848" ht="18.75"/>
    <row r="15849" ht="18.75"/>
    <row r="15850" ht="18.75"/>
    <row r="15851" ht="18.75"/>
    <row r="15852" ht="18.75"/>
    <row r="15853" ht="18.75"/>
    <row r="15854" ht="18.75"/>
    <row r="15855" ht="18.75"/>
    <row r="15856" ht="18.75"/>
    <row r="15857" ht="18.75"/>
    <row r="15858" ht="18.75"/>
    <row r="15859" ht="18.75"/>
    <row r="15860" ht="18.75"/>
    <row r="15861" ht="18.75"/>
    <row r="15862" ht="18.75"/>
    <row r="15863" ht="18.75"/>
    <row r="15864" ht="18.75"/>
    <row r="15865" ht="18.75"/>
    <row r="15866" ht="18.75"/>
    <row r="15867" ht="18.75"/>
    <row r="15868" ht="18.75"/>
    <row r="15869" ht="18.75"/>
    <row r="15870" ht="18.75"/>
    <row r="15871" ht="18.75"/>
    <row r="15872" ht="18.75"/>
    <row r="15873" ht="18.75"/>
    <row r="15874" ht="18.75"/>
    <row r="15875" ht="18.75"/>
    <row r="15876" ht="18.75"/>
    <row r="15877" ht="18.75"/>
    <row r="15878" ht="18.75"/>
    <row r="15879" ht="18.75"/>
    <row r="15880" ht="18.75"/>
    <row r="15881" ht="18.75"/>
    <row r="15882" ht="18.75"/>
    <row r="15883" ht="18.75"/>
    <row r="15884" ht="18.75"/>
    <row r="15885" ht="18.75"/>
    <row r="15886" ht="18.75"/>
    <row r="15887" ht="18.75"/>
    <row r="15888" ht="18.75"/>
    <row r="15889" ht="18.75"/>
    <row r="15890" ht="18.75"/>
    <row r="15891" ht="18.75"/>
    <row r="15892" ht="18.75"/>
    <row r="15893" ht="18.75"/>
    <row r="15894" ht="18.75"/>
    <row r="15895" ht="18.75"/>
    <row r="15896" ht="18.75"/>
    <row r="15897" ht="18.75"/>
    <row r="15898" ht="18.75"/>
    <row r="15899" ht="18.75"/>
    <row r="15900" ht="18.75"/>
    <row r="15901" ht="18.75"/>
    <row r="15902" ht="18.75"/>
    <row r="15903" ht="18.75"/>
    <row r="15904" ht="18.75"/>
    <row r="15905" ht="18.75"/>
    <row r="15906" ht="18.75"/>
    <row r="15907" ht="18.75"/>
    <row r="15908" ht="18.75"/>
    <row r="15909" ht="18.75"/>
    <row r="15910" ht="18.75"/>
    <row r="15911" ht="18.75"/>
    <row r="15912" ht="18.75"/>
    <row r="15913" ht="18.75"/>
    <row r="15914" ht="18.75"/>
    <row r="15915" ht="18.75"/>
    <row r="15916" ht="18.75"/>
    <row r="15917" ht="18.75"/>
    <row r="15918" ht="18.75"/>
    <row r="15919" ht="18.75"/>
    <row r="15920" ht="18.75"/>
    <row r="15921" ht="18.75"/>
    <row r="15922" ht="18.75"/>
    <row r="15923" ht="18.75"/>
    <row r="15924" ht="18.75"/>
    <row r="15925" ht="18.75"/>
    <row r="15926" ht="18.75"/>
    <row r="15927" ht="18.75"/>
    <row r="15928" ht="18.75"/>
    <row r="15929" ht="18.75"/>
    <row r="15930" ht="18.75"/>
    <row r="15931" ht="18.75"/>
    <row r="15932" ht="18.75"/>
    <row r="15933" ht="18.75"/>
    <row r="15934" ht="18.75"/>
    <row r="15935" ht="18.75"/>
    <row r="15936" ht="18.75"/>
    <row r="15937" ht="18.75"/>
    <row r="15938" ht="18.75"/>
    <row r="15939" ht="18.75"/>
    <row r="15940" ht="18.75"/>
    <row r="15941" ht="18.75"/>
    <row r="15942" ht="18.75"/>
    <row r="15943" ht="18.75"/>
    <row r="15944" ht="18.75"/>
    <row r="15945" ht="18.75"/>
    <row r="15946" ht="18.75"/>
    <row r="15947" ht="18.75"/>
    <row r="15948" ht="18.75"/>
    <row r="15949" ht="18.75"/>
    <row r="15950" ht="18.75"/>
    <row r="15951" ht="18.75"/>
    <row r="15952" ht="18.75"/>
    <row r="15953" ht="18.75"/>
    <row r="15954" ht="18.75"/>
    <row r="15955" ht="18.75"/>
    <row r="15956" ht="18.75"/>
    <row r="15957" ht="18.75"/>
    <row r="15958" ht="18.75"/>
    <row r="15959" ht="18.75"/>
    <row r="15960" ht="18.75"/>
    <row r="15961" ht="18.75"/>
    <row r="15962" ht="18.75"/>
    <row r="15963" ht="18.75"/>
    <row r="15964" ht="18.75"/>
    <row r="15965" ht="18.75"/>
    <row r="15966" ht="18.75"/>
    <row r="15967" ht="18.75"/>
    <row r="15968" ht="18.75"/>
    <row r="15969" ht="18.75"/>
    <row r="15970" ht="18.75"/>
    <row r="15971" ht="18.75"/>
    <row r="15972" ht="18.75"/>
    <row r="15973" ht="18.75"/>
    <row r="15974" ht="18.75"/>
    <row r="15975" ht="18.75"/>
    <row r="15976" ht="18.75"/>
    <row r="15977" ht="18.75"/>
    <row r="15978" ht="18.75"/>
    <row r="15979" ht="18.75"/>
    <row r="15980" ht="18.75"/>
    <row r="15981" ht="18.75"/>
    <row r="15982" ht="18.75"/>
    <row r="15983" ht="18.75"/>
    <row r="15984" ht="18.75"/>
    <row r="15985" ht="18.75"/>
    <row r="15986" ht="18.75"/>
    <row r="15987" ht="18.75"/>
    <row r="15988" ht="18.75"/>
    <row r="15989" ht="18.75"/>
    <row r="15990" ht="18.75"/>
    <row r="15991" ht="18.75"/>
    <row r="15992" ht="18.75"/>
    <row r="15993" ht="18.75"/>
    <row r="15994" ht="18.75"/>
    <row r="15995" ht="18.75"/>
    <row r="15996" ht="18.75"/>
    <row r="15997" ht="18.75"/>
    <row r="15998" ht="18.75"/>
    <row r="15999" ht="18.75"/>
    <row r="16000" ht="18.75"/>
    <row r="16001" ht="18.75"/>
    <row r="16002" ht="18.75"/>
    <row r="16003" ht="18.75"/>
    <row r="16004" ht="18.75"/>
    <row r="16005" ht="18.75"/>
    <row r="16006" ht="18.75"/>
    <row r="16007" ht="18.75"/>
    <row r="16008" ht="18.75"/>
    <row r="16009" ht="18.75"/>
    <row r="16010" ht="18.75"/>
    <row r="16011" ht="18.75"/>
    <row r="16012" ht="18.75"/>
    <row r="16013" ht="18.75"/>
    <row r="16014" ht="18.75"/>
    <row r="16015" ht="18.75"/>
    <row r="16016" ht="18.75"/>
    <row r="16017" ht="18.75"/>
    <row r="16018" ht="18.75"/>
    <row r="16019" ht="18.75"/>
    <row r="16020" ht="18.75"/>
    <row r="16021" ht="18.75"/>
    <row r="16022" ht="18.75"/>
    <row r="16023" ht="18.75"/>
    <row r="16024" ht="18.75"/>
    <row r="16025" ht="18.75"/>
    <row r="16026" ht="18.75"/>
    <row r="16027" ht="18.75"/>
    <row r="16028" ht="18.75"/>
    <row r="16029" ht="18.75"/>
    <row r="16030" ht="18.75"/>
    <row r="16031" ht="18.75"/>
    <row r="16032" ht="18.75"/>
    <row r="16033" ht="18.75"/>
    <row r="16034" ht="18.75"/>
    <row r="16035" ht="18.75"/>
    <row r="16036" ht="18.75"/>
    <row r="16037" ht="18.75"/>
    <row r="16038" ht="18.75"/>
    <row r="16039" ht="18.75"/>
    <row r="16040" ht="18.75"/>
    <row r="16041" ht="18.75"/>
    <row r="16042" ht="18.75"/>
    <row r="16043" ht="18.75"/>
    <row r="16044" ht="18.75"/>
    <row r="16045" ht="18.75"/>
    <row r="16046" ht="18.75"/>
    <row r="16047" ht="18.75"/>
    <row r="16048" ht="18.75"/>
    <row r="16049" ht="18.75"/>
    <row r="16050" ht="18.75"/>
    <row r="16051" ht="18.75"/>
    <row r="16052" ht="18.75"/>
    <row r="16053" ht="18.75"/>
    <row r="16054" ht="18.75"/>
    <row r="16055" ht="18.75"/>
    <row r="16056" ht="18.75"/>
    <row r="16057" ht="18.75"/>
    <row r="16058" ht="18.75"/>
    <row r="16059" ht="18.75"/>
    <row r="16060" ht="18.75"/>
    <row r="16061" ht="18.75"/>
    <row r="16062" ht="18.75"/>
    <row r="16063" ht="18.75"/>
    <row r="16064" ht="18.75"/>
    <row r="16065" ht="18.75"/>
    <row r="16066" ht="18.75"/>
    <row r="16067" ht="18.75"/>
    <row r="16068" ht="18.75"/>
    <row r="16069" ht="18.75"/>
    <row r="16070" ht="18.75"/>
    <row r="16071" ht="18.75"/>
    <row r="16072" ht="18.75"/>
    <row r="16073" ht="18.75"/>
    <row r="16074" ht="18.75"/>
    <row r="16075" ht="18.75"/>
    <row r="16076" ht="18.75"/>
    <row r="16077" ht="18.75"/>
    <row r="16078" ht="18.75"/>
    <row r="16079" ht="18.75"/>
    <row r="16080" ht="18.75"/>
    <row r="16081" ht="18.75"/>
    <row r="16082" ht="18.75"/>
    <row r="16083" ht="18.75"/>
    <row r="16084" ht="18.75"/>
    <row r="16085" ht="18.75"/>
    <row r="16086" ht="18.75"/>
    <row r="16087" ht="18.75"/>
    <row r="16088" ht="18.75"/>
    <row r="16089" ht="18.75"/>
    <row r="16090" ht="18.75"/>
    <row r="16091" ht="18.75"/>
    <row r="16092" ht="18.75"/>
    <row r="16093" ht="18.75"/>
    <row r="16094" ht="18.75"/>
    <row r="16095" ht="18.75"/>
    <row r="16096" ht="18.75"/>
    <row r="16097" ht="18.75"/>
    <row r="16098" ht="18.75"/>
    <row r="16099" ht="18.75"/>
    <row r="16100" ht="18.75"/>
    <row r="16101" ht="18.75"/>
    <row r="16102" ht="18.75"/>
    <row r="16103" ht="18.75"/>
    <row r="16104" ht="18.75"/>
    <row r="16105" ht="18.75"/>
    <row r="16106" ht="18.75"/>
    <row r="16107" ht="18.75"/>
    <row r="16108" ht="18.75"/>
    <row r="16109" ht="18.75"/>
    <row r="16110" ht="18.75"/>
    <row r="16111" ht="18.75"/>
    <row r="16112" ht="18.75"/>
    <row r="16113" ht="18.75"/>
    <row r="16114" ht="18.75"/>
    <row r="16115" ht="18.75"/>
    <row r="16116" ht="18.75"/>
    <row r="16117" ht="18.75"/>
    <row r="16118" ht="18.75"/>
    <row r="16119" ht="18.75"/>
    <row r="16120" ht="18.75"/>
    <row r="16121" ht="18.75"/>
    <row r="16122" ht="18.75"/>
    <row r="16123" ht="18.75"/>
    <row r="16124" ht="18.75"/>
    <row r="16125" ht="18.75"/>
    <row r="16126" ht="18.75"/>
    <row r="16127" ht="18.75"/>
    <row r="16128" ht="18.75"/>
    <row r="16129" ht="18.75"/>
    <row r="16130" ht="18.75"/>
    <row r="16131" ht="18.75"/>
    <row r="16132" ht="18.75"/>
    <row r="16133" ht="18.75"/>
    <row r="16134" ht="18.75"/>
    <row r="16135" ht="18.75"/>
    <row r="16136" ht="18.75"/>
    <row r="16137" ht="18.75"/>
    <row r="16138" ht="18.75"/>
    <row r="16139" ht="18.75"/>
    <row r="16140" ht="18.75"/>
    <row r="16141" ht="18.75"/>
    <row r="16142" ht="18.75"/>
    <row r="16143" ht="18.75"/>
    <row r="16144" ht="18.75"/>
    <row r="16145" ht="18.75"/>
    <row r="16146" ht="18.75"/>
    <row r="16147" ht="18.75"/>
    <row r="16148" ht="18.75"/>
    <row r="16149" ht="18.75"/>
    <row r="16150" ht="18.75"/>
    <row r="16151" ht="18.75"/>
    <row r="16152" ht="18.75"/>
    <row r="16153" ht="18.75"/>
    <row r="16154" ht="18.75"/>
    <row r="16155" ht="18.75"/>
    <row r="16156" ht="18.75"/>
    <row r="16157" ht="18.75"/>
    <row r="16158" ht="18.75"/>
    <row r="16159" ht="18.75"/>
    <row r="16160" ht="18.75"/>
    <row r="16161" ht="18.75"/>
    <row r="16162" ht="18.75"/>
    <row r="16163" ht="18.75"/>
    <row r="16164" ht="18.75"/>
    <row r="16165" ht="18.75"/>
    <row r="16166" ht="18.75"/>
    <row r="16167" ht="18.75"/>
    <row r="16168" ht="18.75"/>
    <row r="16169" ht="18.75"/>
    <row r="16170" ht="18.75"/>
    <row r="16171" ht="18.75"/>
    <row r="16172" ht="18.75"/>
    <row r="16173" ht="18.75"/>
    <row r="16174" ht="18.75"/>
    <row r="16175" ht="18.75"/>
    <row r="16176" ht="18.75"/>
    <row r="16177" ht="18.75"/>
    <row r="16178" ht="18.75"/>
    <row r="16179" ht="18.75"/>
    <row r="16180" ht="18.75"/>
    <row r="16181" ht="18.75"/>
    <row r="16182" ht="18.75"/>
    <row r="16183" ht="18.75"/>
    <row r="16184" ht="18.75"/>
    <row r="16185" ht="18.75"/>
    <row r="16186" ht="18.75"/>
    <row r="16187" ht="18.75"/>
    <row r="16188" ht="18.75"/>
    <row r="16189" ht="18.75"/>
    <row r="16190" ht="18.75"/>
    <row r="16191" ht="18.75"/>
    <row r="16192" ht="18.75"/>
    <row r="16193" ht="18.75"/>
    <row r="16194" ht="18.75"/>
    <row r="16195" ht="18.75"/>
    <row r="16196" ht="18.75"/>
    <row r="16197" ht="18.75"/>
    <row r="16198" ht="18.75"/>
    <row r="16199" ht="18.75"/>
    <row r="16200" ht="18.75"/>
    <row r="16201" ht="18.75"/>
    <row r="16202" ht="18.75"/>
    <row r="16203" ht="18.75"/>
    <row r="16204" ht="18.75"/>
    <row r="16205" ht="18.75"/>
    <row r="16206" ht="18.75"/>
    <row r="16207" ht="18.75"/>
    <row r="16208" ht="18.75"/>
    <row r="16209" ht="18.75"/>
    <row r="16210" ht="18.75"/>
    <row r="16211" ht="18.75"/>
    <row r="16212" ht="18.75"/>
    <row r="16213" ht="18.75"/>
    <row r="16214" ht="18.75"/>
    <row r="16215" ht="18.75"/>
    <row r="16216" ht="18.75"/>
    <row r="16217" ht="18.75"/>
    <row r="16218" ht="18.75"/>
    <row r="16219" ht="18.75"/>
    <row r="16220" ht="18.75"/>
    <row r="16221" ht="18.75"/>
    <row r="16222" ht="18.75"/>
    <row r="16223" ht="18.75"/>
    <row r="16224" ht="18.75"/>
    <row r="16225" ht="18.75"/>
    <row r="16226" ht="18.75"/>
    <row r="16227" ht="18.75"/>
    <row r="16228" ht="18.75"/>
    <row r="16229" ht="18.75"/>
    <row r="16230" ht="18.75"/>
    <row r="16231" ht="18.75"/>
    <row r="16232" ht="18.75"/>
    <row r="16233" ht="18.75"/>
    <row r="16234" ht="18.75"/>
    <row r="16235" ht="18.75"/>
    <row r="16236" ht="18.75"/>
    <row r="16237" ht="18.75"/>
    <row r="16238" ht="18.75"/>
    <row r="16239" ht="18.75"/>
    <row r="16240" ht="18.75"/>
    <row r="16241" ht="18.75"/>
    <row r="16242" ht="18.75"/>
    <row r="16243" ht="18.75"/>
    <row r="16244" ht="18.75"/>
    <row r="16245" ht="18.75"/>
    <row r="16246" ht="18.75"/>
    <row r="16247" ht="18.75"/>
    <row r="16248" ht="18.75"/>
    <row r="16249" ht="18.75"/>
    <row r="16250" ht="18.75"/>
    <row r="16251" ht="18.75"/>
    <row r="16252" ht="18.75"/>
    <row r="16253" ht="18.75"/>
    <row r="16254" ht="18.75"/>
    <row r="16255" ht="18.75"/>
    <row r="16256" ht="18.75"/>
    <row r="16257" ht="18.75"/>
    <row r="16258" ht="18.75"/>
    <row r="16259" ht="18.75"/>
    <row r="16260" ht="18.75"/>
    <row r="16261" ht="18.75"/>
    <row r="16262" ht="18.75"/>
    <row r="16263" ht="18.75"/>
    <row r="16264" ht="18.75"/>
    <row r="16265" ht="18.75"/>
    <row r="16266" ht="18.75"/>
    <row r="16267" ht="18.75"/>
    <row r="16268" ht="18.75"/>
    <row r="16269" ht="18.75"/>
    <row r="16270" ht="18.75"/>
    <row r="16271" ht="18.75"/>
    <row r="16272" ht="18.75"/>
    <row r="16273" ht="18.75"/>
    <row r="16274" ht="18.75"/>
    <row r="16275" ht="18.75"/>
    <row r="16276" ht="18.75"/>
    <row r="16277" ht="18.75"/>
    <row r="16278" ht="18.75"/>
    <row r="16279" ht="18.75"/>
    <row r="16280" ht="18.75"/>
    <row r="16281" ht="18.75"/>
    <row r="16282" ht="18.75"/>
    <row r="16283" ht="18.75"/>
    <row r="16284" ht="18.75"/>
    <row r="16285" ht="18.75"/>
    <row r="16286" ht="18.75"/>
    <row r="16287" ht="18.75"/>
    <row r="16288" ht="18.75"/>
    <row r="16289" ht="18.75"/>
    <row r="16290" ht="18.75"/>
    <row r="16291" ht="18.75"/>
    <row r="16292" ht="18.75"/>
    <row r="16293" ht="18.75"/>
    <row r="16294" ht="18.75"/>
    <row r="16295" ht="18.75"/>
    <row r="16296" ht="18.75"/>
    <row r="16297" ht="18.75"/>
    <row r="16298" ht="18.75"/>
    <row r="16299" ht="18.75"/>
    <row r="16300" ht="18.75"/>
    <row r="16301" ht="18.75"/>
    <row r="16302" ht="18.75"/>
    <row r="16303" ht="18.75"/>
    <row r="16304" ht="18.75"/>
    <row r="16305" ht="18.75"/>
    <row r="16306" ht="18.75"/>
    <row r="16307" ht="18.75"/>
    <row r="16308" ht="18.75"/>
    <row r="16309" ht="18.75"/>
    <row r="16310" ht="18.75"/>
    <row r="16311" ht="18.75"/>
    <row r="16312" ht="18.75"/>
    <row r="16313" ht="18.75"/>
    <row r="16314" ht="18.75"/>
    <row r="16315" ht="18.75"/>
    <row r="16316" ht="18.75"/>
    <row r="16317" ht="18.75"/>
    <row r="16318" ht="18.75"/>
    <row r="16319" ht="18.75"/>
    <row r="16320" ht="18.75"/>
    <row r="16321" ht="18.75"/>
    <row r="16322" ht="18.75"/>
    <row r="16323" ht="18.75"/>
    <row r="16324" ht="18.75"/>
    <row r="16325" ht="18.75"/>
    <row r="16326" ht="18.75"/>
    <row r="16327" ht="18.75"/>
    <row r="16328" ht="18.75"/>
    <row r="16329" ht="18.75"/>
    <row r="16330" ht="18.75"/>
    <row r="16331" ht="18.75"/>
    <row r="16332" ht="18.75"/>
    <row r="16333" ht="18.75"/>
    <row r="16334" ht="18.75"/>
    <row r="16335" ht="18.75"/>
    <row r="16336" ht="18.75"/>
    <row r="16337" ht="18.75"/>
    <row r="16338" ht="18.75"/>
    <row r="16339" ht="18.75"/>
    <row r="16340" ht="18.75"/>
    <row r="16341" ht="18.75"/>
    <row r="16342" ht="18.75"/>
    <row r="16343" ht="18.75"/>
    <row r="16344" ht="18.75"/>
    <row r="16345" ht="18.75"/>
    <row r="16346" ht="18.75"/>
    <row r="16347" ht="18.75"/>
    <row r="16348" ht="18.75"/>
    <row r="16349" ht="18.75"/>
    <row r="16350" ht="18.75"/>
    <row r="16351" ht="18.75"/>
    <row r="16352" ht="18.75"/>
    <row r="16353" ht="18.75"/>
    <row r="16354" ht="18.75"/>
    <row r="16355" ht="18.75"/>
    <row r="16356" ht="18.75"/>
    <row r="16357" ht="18.75"/>
    <row r="16358" ht="18.75"/>
    <row r="16359" ht="18.75"/>
    <row r="16360" ht="18.75"/>
    <row r="16361" ht="18.75"/>
    <row r="16362" ht="18.75"/>
    <row r="16363" ht="18.75"/>
    <row r="16364" ht="18.75"/>
    <row r="16365" ht="18.75"/>
    <row r="16366" ht="18.75"/>
    <row r="16367" ht="18.75"/>
    <row r="16368" ht="18.75"/>
    <row r="16369" ht="18.75"/>
    <row r="16370" ht="18.75"/>
    <row r="16371" ht="18.75"/>
    <row r="16372" ht="18.75"/>
    <row r="16373" ht="18.75"/>
    <row r="16374" ht="18.75"/>
    <row r="16375" ht="18.75"/>
    <row r="16376" ht="18.75"/>
    <row r="16377" ht="18.75"/>
    <row r="16378" ht="18.75"/>
    <row r="16379" ht="18.75"/>
    <row r="16380" ht="18.75"/>
    <row r="16381" ht="18.75"/>
    <row r="16382" ht="18.75"/>
    <row r="16383" ht="18.75"/>
    <row r="16384" ht="18.75"/>
    <row r="16385" ht="18.75"/>
    <row r="16386" ht="18.75"/>
    <row r="16387" ht="18.75"/>
    <row r="16388" ht="18.75"/>
    <row r="16389" ht="18.75"/>
    <row r="16390" ht="18.75"/>
    <row r="16391" ht="18.75"/>
    <row r="16392" ht="18.75"/>
    <row r="16393" ht="18.75"/>
    <row r="16394" ht="18.75"/>
    <row r="16395" ht="18.75"/>
    <row r="16396" ht="18.75"/>
    <row r="16397" ht="18.75"/>
    <row r="16398" ht="18.75"/>
    <row r="16399" ht="18.75"/>
    <row r="16400" ht="18.75"/>
    <row r="16401" ht="18.75"/>
    <row r="16402" ht="18.75"/>
    <row r="16403" ht="18.75"/>
    <row r="16404" ht="18.75"/>
    <row r="16405" ht="18.75"/>
    <row r="16406" ht="18.75"/>
    <row r="16407" ht="18.75"/>
    <row r="16408" ht="18.75"/>
    <row r="16409" ht="18.75"/>
    <row r="16410" ht="18.75"/>
    <row r="16411" ht="18.75"/>
    <row r="16412" ht="18.75"/>
    <row r="16413" ht="18.75"/>
    <row r="16414" ht="18.75"/>
    <row r="16415" ht="18.75"/>
    <row r="16416" ht="18.75"/>
    <row r="16417" ht="18.75"/>
    <row r="16418" ht="18.75"/>
    <row r="16419" ht="18.75"/>
    <row r="16420" ht="18.75"/>
    <row r="16421" ht="18.75"/>
    <row r="16422" ht="18.75"/>
    <row r="16423" ht="18.75"/>
    <row r="16424" ht="18.75"/>
    <row r="16425" ht="18.75"/>
    <row r="16426" ht="18.75"/>
    <row r="16427" ht="18.75"/>
    <row r="16428" ht="18.75"/>
    <row r="16429" ht="18.75"/>
    <row r="16430" ht="18.75"/>
    <row r="16431" ht="18.75"/>
    <row r="16432" ht="18.75"/>
    <row r="16433" ht="18.75"/>
    <row r="16434" ht="18.75"/>
    <row r="16435" ht="18.75"/>
    <row r="16436" ht="18.75"/>
    <row r="16437" ht="18.75"/>
    <row r="16438" ht="18.75"/>
    <row r="16439" ht="18.75"/>
    <row r="16440" ht="18.75"/>
    <row r="16441" ht="18.75"/>
    <row r="16442" ht="18.75"/>
    <row r="16443" ht="18.75"/>
    <row r="16444" ht="18.75"/>
    <row r="16445" ht="18.75"/>
    <row r="16446" ht="18.75"/>
    <row r="16447" ht="18.75"/>
    <row r="16448" ht="18.75"/>
    <row r="16449" ht="18.75"/>
    <row r="16450" ht="18.75"/>
    <row r="16451" ht="18.75"/>
    <row r="16452" ht="18.75"/>
    <row r="16453" ht="18.75"/>
    <row r="16454" ht="18.75"/>
    <row r="16455" ht="18.75"/>
    <row r="16456" ht="18.75"/>
    <row r="16457" ht="18.75"/>
    <row r="16458" ht="18.75"/>
    <row r="16459" ht="18.75"/>
    <row r="16460" ht="18.75"/>
    <row r="16461" ht="18.75"/>
    <row r="16462" ht="18.75"/>
    <row r="16463" ht="18.75"/>
    <row r="16464" ht="18.75"/>
    <row r="16465" ht="18.75"/>
    <row r="16466" ht="18.75"/>
    <row r="16467" ht="18.75"/>
    <row r="16468" ht="18.75"/>
    <row r="16469" ht="18.75"/>
    <row r="16470" ht="18.75"/>
    <row r="16471" ht="18.75"/>
    <row r="16472" ht="18.75"/>
    <row r="16473" ht="18.75"/>
    <row r="16474" ht="18.75"/>
    <row r="16475" ht="18.75"/>
    <row r="16476" ht="18.75"/>
    <row r="16477" ht="18.75"/>
    <row r="16478" ht="18.75"/>
    <row r="16479" ht="18.75"/>
    <row r="16480" ht="18.75"/>
    <row r="16481" ht="18.75"/>
    <row r="16482" ht="18.75"/>
    <row r="16483" ht="18.75"/>
    <row r="16484" ht="18.75"/>
    <row r="16485" ht="18.75"/>
    <row r="16486" ht="18.75"/>
    <row r="16487" ht="18.75"/>
    <row r="16488" ht="18.75"/>
    <row r="16489" ht="18.75"/>
    <row r="16490" ht="18.75"/>
    <row r="16491" ht="18.75"/>
    <row r="16492" ht="18.75"/>
    <row r="16493" ht="18.75"/>
    <row r="16494" ht="18.75"/>
    <row r="16495" ht="18.75"/>
    <row r="16496" ht="18.75"/>
    <row r="16497" ht="18.75"/>
    <row r="16498" ht="18.75"/>
    <row r="16499" ht="18.75"/>
    <row r="16500" ht="18.75"/>
    <row r="16501" ht="18.75"/>
    <row r="16502" ht="18.75"/>
    <row r="16503" ht="18.75"/>
    <row r="16504" ht="18.75"/>
    <row r="16505" ht="18.75"/>
    <row r="16506" ht="18.75"/>
    <row r="16507" ht="18.75"/>
    <row r="16508" ht="18.75"/>
    <row r="16509" ht="18.75"/>
    <row r="16510" ht="18.75"/>
    <row r="16511" ht="18.75"/>
    <row r="16512" ht="18.75"/>
    <row r="16513" ht="18.75"/>
    <row r="16514" ht="18.75"/>
    <row r="16515" ht="18.75"/>
    <row r="16516" ht="18.75"/>
    <row r="16517" ht="18.75"/>
    <row r="16518" ht="18.75"/>
    <row r="16519" ht="18.75"/>
    <row r="16520" ht="18.75"/>
    <row r="16521" ht="18.75"/>
    <row r="16522" ht="18.75"/>
    <row r="16523" ht="18.75"/>
    <row r="16524" ht="18.75"/>
    <row r="16525" ht="18.75"/>
    <row r="16526" ht="18.75"/>
    <row r="16527" ht="18.75"/>
    <row r="16528" ht="18.75"/>
    <row r="16529" ht="18.75"/>
    <row r="16530" ht="18.75"/>
    <row r="16531" ht="18.75"/>
    <row r="16532" ht="18.75"/>
    <row r="16533" ht="18.75"/>
    <row r="16534" ht="18.75"/>
    <row r="16535" ht="18.75"/>
    <row r="16536" ht="18.75"/>
    <row r="16537" ht="18.75"/>
    <row r="16538" ht="18.75"/>
    <row r="16539" ht="18.75"/>
    <row r="16540" ht="18.75"/>
    <row r="16541" ht="18.75"/>
    <row r="16542" ht="18.75"/>
    <row r="16543" ht="18.75"/>
    <row r="16544" ht="18.75"/>
    <row r="16545" ht="18.75"/>
    <row r="16546" ht="18.75"/>
    <row r="16547" ht="18.75"/>
    <row r="16548" ht="18.75"/>
    <row r="16549" ht="18.75"/>
    <row r="16550" ht="18.75"/>
    <row r="16551" ht="18.75"/>
    <row r="16552" ht="18.75"/>
    <row r="16553" ht="18.75"/>
    <row r="16554" ht="18.75"/>
    <row r="16555" ht="18.75"/>
    <row r="16556" ht="18.75"/>
    <row r="16557" ht="18.75"/>
    <row r="16558" ht="18.75"/>
    <row r="16559" ht="18.75"/>
    <row r="16560" ht="18.75"/>
    <row r="16561" ht="18.75"/>
    <row r="16562" ht="18.75"/>
    <row r="16563" ht="18.75"/>
    <row r="16564" ht="18.75"/>
    <row r="16565" ht="18.75"/>
    <row r="16566" ht="18.75"/>
    <row r="16567" ht="18.75"/>
    <row r="16568" ht="18.75"/>
    <row r="16569" ht="18.75"/>
    <row r="16570" ht="18.75"/>
    <row r="16571" ht="18.75"/>
    <row r="16572" ht="18.75"/>
    <row r="16573" ht="18.75"/>
    <row r="16574" ht="18.75"/>
    <row r="16575" ht="18.75"/>
    <row r="16576" ht="18.75"/>
    <row r="16577" ht="18.75"/>
    <row r="16578" ht="18.75"/>
    <row r="16579" ht="18.75"/>
    <row r="16580" ht="18.75"/>
    <row r="16581" ht="18.75"/>
    <row r="16582" ht="18.75"/>
    <row r="16583" ht="18.75"/>
    <row r="16584" ht="18.75"/>
    <row r="16585" ht="18.75"/>
    <row r="16586" ht="18.75"/>
    <row r="16587" ht="18.75"/>
    <row r="16588" ht="18.75"/>
    <row r="16589" ht="18.75"/>
    <row r="16590" ht="18.75"/>
    <row r="16591" ht="18.75"/>
    <row r="16592" ht="18.75"/>
    <row r="16593" ht="18.75"/>
    <row r="16594" ht="18.75"/>
    <row r="16595" ht="18.75"/>
    <row r="16596" ht="18.75"/>
    <row r="16597" ht="18.75"/>
    <row r="16598" ht="18.75"/>
    <row r="16599" ht="18.75"/>
    <row r="16600" ht="18.75"/>
    <row r="16601" ht="18.75"/>
    <row r="16602" ht="18.75"/>
    <row r="16603" ht="18.75"/>
    <row r="16604" ht="18.75"/>
    <row r="16605" ht="18.75"/>
    <row r="16606" ht="18.75"/>
    <row r="16607" ht="18.75"/>
    <row r="16608" ht="18.75"/>
    <row r="16609" ht="18.75"/>
    <row r="16610" ht="18.75"/>
    <row r="16611" ht="18.75"/>
    <row r="16612" ht="18.75"/>
    <row r="16613" ht="18.75"/>
    <row r="16614" ht="18.75"/>
    <row r="16615" ht="18.75"/>
    <row r="16616" ht="18.75"/>
    <row r="16617" ht="18.75"/>
    <row r="16618" ht="18.75"/>
    <row r="16619" ht="18.75"/>
    <row r="16620" ht="18.75"/>
    <row r="16621" ht="18.75"/>
    <row r="16622" ht="18.75"/>
    <row r="16623" ht="18.75"/>
    <row r="16624" ht="18.75"/>
    <row r="16625" ht="18.75"/>
    <row r="16626" ht="18.75"/>
    <row r="16627" ht="18.75"/>
    <row r="16628" ht="18.75"/>
    <row r="16629" ht="18.75"/>
    <row r="16630" ht="18.75"/>
    <row r="16631" ht="18.75"/>
    <row r="16632" ht="18.75"/>
    <row r="16633" ht="18.75"/>
    <row r="16634" ht="18.75"/>
    <row r="16635" ht="18.75"/>
    <row r="16636" ht="18.75"/>
    <row r="16637" ht="18.75"/>
    <row r="16638" ht="18.75"/>
    <row r="16639" ht="18.75"/>
    <row r="16640" ht="18.75"/>
    <row r="16641" ht="18.75"/>
    <row r="16642" ht="18.75"/>
    <row r="16643" ht="18.75"/>
    <row r="16644" ht="18.75"/>
    <row r="16645" ht="18.75"/>
    <row r="16646" ht="18.75"/>
    <row r="16647" ht="18.75"/>
    <row r="16648" ht="18.75"/>
    <row r="16649" ht="18.75"/>
    <row r="16650" ht="18.75"/>
    <row r="16651" ht="18.75"/>
    <row r="16652" ht="18.75"/>
    <row r="16653" ht="18.75"/>
    <row r="16654" ht="18.75"/>
    <row r="16655" ht="18.75"/>
    <row r="16656" ht="18.75"/>
    <row r="16657" ht="18.75"/>
    <row r="16658" ht="18.75"/>
    <row r="16659" ht="18.75"/>
    <row r="16660" ht="18.75"/>
    <row r="16661" ht="18.75"/>
    <row r="16662" ht="18.75"/>
    <row r="16663" ht="18.75"/>
    <row r="16664" ht="18.75"/>
    <row r="16665" ht="18.75"/>
    <row r="16666" ht="18.75"/>
    <row r="16667" ht="18.75"/>
    <row r="16668" ht="18.75"/>
    <row r="16669" ht="18.75"/>
    <row r="16670" ht="18.75"/>
    <row r="16671" ht="18.75"/>
    <row r="16672" ht="18.75"/>
    <row r="16673" ht="18.75"/>
    <row r="16674" ht="18.75"/>
    <row r="16675" ht="18.75"/>
    <row r="16676" ht="18.75"/>
    <row r="16677" ht="18.75"/>
    <row r="16678" ht="18.75"/>
    <row r="16679" ht="18.75"/>
    <row r="16680" ht="18.75"/>
    <row r="16681" ht="18.75"/>
    <row r="16682" ht="18.75"/>
    <row r="16683" ht="18.75"/>
    <row r="16684" ht="18.75"/>
    <row r="16685" ht="18.75"/>
    <row r="16686" ht="18.75"/>
    <row r="16687" ht="18.75"/>
    <row r="16688" ht="18.75"/>
    <row r="16689" ht="18.75"/>
    <row r="16690" ht="18.75"/>
    <row r="16691" ht="18.75"/>
    <row r="16692" ht="18.75"/>
    <row r="16693" ht="18.75"/>
    <row r="16694" ht="18.75"/>
    <row r="16695" ht="18.75"/>
    <row r="16696" ht="18.75"/>
    <row r="16697" ht="18.75"/>
    <row r="16698" ht="18.75"/>
    <row r="16699" ht="18.75"/>
    <row r="16700" ht="18.75"/>
    <row r="16701" ht="18.75"/>
    <row r="16702" ht="18.75"/>
    <row r="16703" ht="18.75"/>
    <row r="16704" ht="18.75"/>
    <row r="16705" ht="18.75"/>
    <row r="16706" ht="18.75"/>
    <row r="16707" ht="18.75"/>
    <row r="16708" ht="18.75"/>
    <row r="16709" ht="18.75"/>
    <row r="16710" ht="18.75"/>
    <row r="16711" ht="18.75"/>
    <row r="16712" ht="18.75"/>
    <row r="16713" ht="18.75"/>
    <row r="16714" ht="18.75"/>
    <row r="16715" ht="18.75"/>
    <row r="16716" ht="18.75"/>
    <row r="16717" ht="18.75"/>
    <row r="16718" ht="18.75"/>
    <row r="16719" ht="18.75"/>
    <row r="16720" ht="18.75"/>
    <row r="16721" ht="18.75"/>
    <row r="16722" ht="18.75"/>
    <row r="16723" ht="18.75"/>
    <row r="16724" ht="18.75"/>
    <row r="16725" ht="18.75"/>
    <row r="16726" ht="18.75"/>
    <row r="16727" ht="18.75"/>
    <row r="16728" ht="18.75"/>
    <row r="16729" ht="18.75"/>
    <row r="16730" ht="18.75"/>
    <row r="16731" ht="18.75"/>
    <row r="16732" ht="18.75"/>
    <row r="16733" ht="18.75"/>
    <row r="16734" ht="18.75"/>
    <row r="16735" ht="18.75"/>
    <row r="16736" ht="18.75"/>
    <row r="16737" ht="18.75"/>
    <row r="16738" ht="18.75"/>
    <row r="16739" ht="18.75"/>
    <row r="16740" ht="18.75"/>
    <row r="16741" ht="18.75"/>
    <row r="16742" ht="18.75"/>
    <row r="16743" ht="18.75"/>
    <row r="16744" ht="18.75"/>
    <row r="16745" ht="18.75"/>
    <row r="16746" ht="18.75"/>
    <row r="16747" ht="18.75"/>
    <row r="16748" ht="18.75"/>
    <row r="16749" ht="18.75"/>
    <row r="16750" ht="18.75"/>
    <row r="16751" ht="18.75"/>
    <row r="16752" ht="18.75"/>
    <row r="16753" ht="18.75"/>
    <row r="16754" ht="18.75"/>
    <row r="16755" ht="18.75"/>
    <row r="16756" ht="18.75"/>
    <row r="16757" ht="18.75"/>
    <row r="16758" ht="18.75"/>
    <row r="16759" ht="18.75"/>
    <row r="16760" ht="18.75"/>
    <row r="16761" ht="18.75"/>
    <row r="16762" ht="18.75"/>
    <row r="16763" ht="18.75"/>
    <row r="16764" ht="18.75"/>
    <row r="16765" ht="18.75"/>
    <row r="16766" ht="18.75"/>
    <row r="16767" ht="18.75"/>
    <row r="16768" ht="18.75"/>
    <row r="16769" ht="18.75"/>
    <row r="16770" ht="18.75"/>
    <row r="16771" ht="18.75"/>
    <row r="16772" ht="18.75"/>
    <row r="16773" ht="18.75"/>
    <row r="16774" ht="18.75"/>
    <row r="16775" ht="18.75"/>
    <row r="16776" ht="18.75"/>
    <row r="16777" ht="18.75"/>
    <row r="16778" ht="18.75"/>
    <row r="16779" ht="18.75"/>
    <row r="16780" ht="18.75"/>
    <row r="16781" ht="18.75"/>
    <row r="16782" ht="18.75"/>
    <row r="16783" ht="18.75"/>
    <row r="16784" ht="18.75"/>
    <row r="16785" ht="18.75"/>
    <row r="16786" ht="18.75"/>
    <row r="16787" ht="18.75"/>
    <row r="16788" ht="18.75"/>
    <row r="16789" ht="18.75"/>
    <row r="16790" ht="18.75"/>
    <row r="16791" ht="18.75"/>
    <row r="16792" ht="18.75"/>
    <row r="16793" ht="18.75"/>
    <row r="16794" ht="18.75"/>
    <row r="16795" ht="18.75"/>
    <row r="16796" ht="18.75"/>
    <row r="16797" ht="18.75"/>
    <row r="16798" ht="18.75"/>
    <row r="16799" ht="18.75"/>
    <row r="16800" ht="18.75"/>
    <row r="16801" ht="18.75"/>
    <row r="16802" ht="18.75"/>
    <row r="16803" ht="18.75"/>
    <row r="16804" ht="18.75"/>
    <row r="16805" ht="18.75"/>
    <row r="16806" ht="18.75"/>
    <row r="16807" ht="18.75"/>
    <row r="16808" ht="18.75"/>
    <row r="16809" ht="18.75"/>
    <row r="16810" ht="18.75"/>
    <row r="16811" ht="18.75"/>
    <row r="16812" ht="18.75"/>
    <row r="16813" ht="18.75"/>
    <row r="16814" ht="18.75"/>
    <row r="16815" ht="18.75"/>
    <row r="16816" ht="18.75"/>
    <row r="16817" ht="18.75"/>
    <row r="16818" ht="18.75"/>
    <row r="16819" ht="18.75"/>
    <row r="16820" ht="18.75"/>
    <row r="16821" ht="18.75"/>
    <row r="16822" ht="18.75"/>
    <row r="16823" ht="18.75"/>
    <row r="16824" ht="18.75"/>
    <row r="16825" ht="18.75"/>
    <row r="16826" ht="18.75"/>
    <row r="16827" ht="18.75"/>
    <row r="16828" ht="18.75"/>
    <row r="16829" ht="18.75"/>
    <row r="16830" ht="18.75"/>
    <row r="16831" ht="18.75"/>
    <row r="16832" ht="18.75"/>
    <row r="16833" ht="18.75"/>
    <row r="16834" ht="18.75"/>
    <row r="16835" ht="18.75"/>
    <row r="16836" ht="18.75"/>
    <row r="16837" ht="18.75"/>
    <row r="16838" ht="18.75"/>
    <row r="16839" ht="18.75"/>
    <row r="16840" ht="18.75"/>
    <row r="16841" ht="18.75"/>
    <row r="16842" ht="18.75"/>
    <row r="16843" ht="18.75"/>
    <row r="16844" ht="18.75"/>
    <row r="16845" ht="18.75"/>
    <row r="16846" ht="18.75"/>
    <row r="16847" ht="18.75"/>
    <row r="16848" ht="18.75"/>
    <row r="16849" ht="18.75"/>
    <row r="16850" ht="18.75"/>
    <row r="16851" ht="18.75"/>
    <row r="16852" ht="18.75"/>
    <row r="16853" ht="18.75"/>
    <row r="16854" ht="18.75"/>
    <row r="16855" ht="18.75"/>
    <row r="16856" ht="18.75"/>
    <row r="16857" ht="18.75"/>
    <row r="16858" ht="18.75"/>
    <row r="16859" ht="18.75"/>
    <row r="16860" ht="18.75"/>
    <row r="16861" ht="18.75"/>
    <row r="16862" ht="18.75"/>
    <row r="16863" ht="18.75"/>
    <row r="16864" ht="18.75"/>
    <row r="16865" ht="18.75"/>
    <row r="16866" ht="18.75"/>
    <row r="16867" ht="18.75"/>
    <row r="16868" ht="18.75"/>
    <row r="16869" ht="18.75"/>
    <row r="16870" ht="18.75"/>
    <row r="16871" ht="18.75"/>
    <row r="16872" ht="18.75"/>
    <row r="16873" ht="18.75"/>
    <row r="16874" ht="18.75"/>
    <row r="16875" ht="18.75"/>
    <row r="16876" ht="18.75"/>
    <row r="16877" ht="18.75"/>
    <row r="16878" ht="18.75"/>
    <row r="16879" ht="18.75"/>
    <row r="16880" ht="18.75"/>
    <row r="16881" ht="18.75"/>
    <row r="16882" ht="18.75"/>
    <row r="16883" ht="18.75"/>
    <row r="16884" ht="18.75"/>
    <row r="16885" ht="18.75"/>
    <row r="16886" ht="18.75"/>
  </sheetData>
  <mergeCells count="3">
    <mergeCell ref="Q4:AD4"/>
    <mergeCell ref="D2:G2"/>
    <mergeCell ref="B4:O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4C7B-F611-4E88-8363-D7922E49EAA7}">
  <sheetPr codeName="Sheet12"/>
  <dimension ref="C4:AE1949"/>
  <sheetViews>
    <sheetView showGridLines="0" topLeftCell="E3" workbookViewId="0">
      <selection activeCell="P218" sqref="P218:P225"/>
    </sheetView>
  </sheetViews>
  <sheetFormatPr defaultColWidth="8.69921875" defaultRowHeight="18.95"/>
  <cols>
    <col min="3" max="3" width="10" bestFit="1" customWidth="1"/>
    <col min="4" max="4" width="11" bestFit="1" customWidth="1"/>
    <col min="5" max="5" width="26.8984375" bestFit="1" customWidth="1"/>
    <col min="6" max="6" width="17.3984375" bestFit="1" customWidth="1"/>
    <col min="7" max="7" width="9.69921875" customWidth="1"/>
    <col min="8" max="8" width="10" bestFit="1" customWidth="1"/>
    <col min="9" max="9" width="11" bestFit="1" customWidth="1"/>
    <col min="10" max="10" width="20.59765625" bestFit="1" customWidth="1"/>
    <col min="11" max="11" width="17.3984375" bestFit="1" customWidth="1"/>
    <col min="12" max="12" width="19.8984375" bestFit="1" customWidth="1"/>
    <col min="13" max="13" width="10" bestFit="1" customWidth="1"/>
    <col min="14" max="14" width="11" bestFit="1" customWidth="1"/>
    <col min="15" max="15" width="19.8984375" bestFit="1" customWidth="1"/>
    <col min="16" max="16" width="17.3984375" bestFit="1" customWidth="1"/>
    <col min="17" max="17" width="17" customWidth="1"/>
    <col min="18" max="18" width="17.296875" bestFit="1" customWidth="1"/>
    <col min="19" max="19" width="13.296875" bestFit="1" customWidth="1"/>
    <col min="20" max="20" width="20.296875" bestFit="1" customWidth="1"/>
    <col min="21" max="21" width="17.3984375" bestFit="1" customWidth="1"/>
    <col min="23" max="23" width="13.296875" bestFit="1" customWidth="1"/>
    <col min="24" max="24" width="19.8984375" bestFit="1" customWidth="1"/>
    <col min="25" max="25" width="17.3984375" bestFit="1" customWidth="1"/>
    <col min="28" max="28" width="13.296875" bestFit="1" customWidth="1"/>
    <col min="29" max="29" width="11" bestFit="1" customWidth="1"/>
    <col min="31" max="31" width="17.3984375" bestFit="1" customWidth="1"/>
  </cols>
  <sheetData>
    <row r="4" spans="3:31">
      <c r="C4" s="207" t="s">
        <v>222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R4" s="207" t="s">
        <v>223</v>
      </c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</row>
    <row r="6" spans="3:31">
      <c r="C6" t="s">
        <v>17</v>
      </c>
      <c r="D6" t="s">
        <v>25</v>
      </c>
      <c r="E6" t="s">
        <v>31</v>
      </c>
      <c r="F6" t="s">
        <v>224</v>
      </c>
      <c r="H6" t="s">
        <v>17</v>
      </c>
      <c r="I6" t="s">
        <v>25</v>
      </c>
      <c r="J6" t="s">
        <v>195</v>
      </c>
      <c r="K6" t="s">
        <v>224</v>
      </c>
      <c r="M6" t="s">
        <v>17</v>
      </c>
      <c r="N6" t="s">
        <v>25</v>
      </c>
      <c r="O6" t="s">
        <v>36</v>
      </c>
      <c r="P6" t="s">
        <v>224</v>
      </c>
      <c r="R6" t="s">
        <v>69</v>
      </c>
      <c r="S6" t="s">
        <v>25</v>
      </c>
      <c r="T6" t="s">
        <v>31</v>
      </c>
      <c r="U6" t="s">
        <v>224</v>
      </c>
      <c r="W6" t="s">
        <v>69</v>
      </c>
      <c r="X6" t="s">
        <v>25</v>
      </c>
      <c r="Y6" t="s">
        <v>157</v>
      </c>
      <c r="Z6" t="s">
        <v>224</v>
      </c>
      <c r="AB6" t="s">
        <v>69</v>
      </c>
      <c r="AC6" t="s">
        <v>25</v>
      </c>
      <c r="AD6" t="s">
        <v>36</v>
      </c>
      <c r="AE6" t="s">
        <v>224</v>
      </c>
    </row>
    <row r="7" spans="3:31">
      <c r="C7">
        <v>44</v>
      </c>
      <c r="D7" s="5">
        <v>45957</v>
      </c>
      <c r="E7" t="s">
        <v>150</v>
      </c>
      <c r="F7" s="11">
        <v>54.13</v>
      </c>
      <c r="H7">
        <v>44</v>
      </c>
      <c r="I7" s="5">
        <v>45957</v>
      </c>
      <c r="J7" t="s">
        <v>169</v>
      </c>
      <c r="K7" s="11">
        <v>1749.8499999999799</v>
      </c>
      <c r="M7">
        <v>44</v>
      </c>
      <c r="N7" s="5">
        <v>45957</v>
      </c>
      <c r="O7" t="s">
        <v>182</v>
      </c>
      <c r="P7" s="11">
        <v>1749.8499999999799</v>
      </c>
      <c r="R7" t="s">
        <v>210</v>
      </c>
      <c r="S7" s="5">
        <v>45931</v>
      </c>
      <c r="T7" t="s">
        <v>117</v>
      </c>
      <c r="U7" s="11">
        <v>1149.76</v>
      </c>
      <c r="W7" t="s">
        <v>210</v>
      </c>
      <c r="X7" s="5">
        <v>45931</v>
      </c>
      <c r="Y7" t="s">
        <v>160</v>
      </c>
      <c r="Z7" s="11">
        <v>16007.5100000001</v>
      </c>
      <c r="AB7" t="s">
        <v>210</v>
      </c>
      <c r="AC7" s="5">
        <v>45931</v>
      </c>
      <c r="AD7" t="s">
        <v>179</v>
      </c>
      <c r="AE7" s="11">
        <v>11779.6699999998</v>
      </c>
    </row>
    <row r="8" spans="3:31">
      <c r="C8">
        <v>44</v>
      </c>
      <c r="D8" s="5">
        <v>45957</v>
      </c>
      <c r="E8" t="s">
        <v>117</v>
      </c>
      <c r="F8" s="11">
        <v>263.08999999999997</v>
      </c>
      <c r="H8">
        <v>44</v>
      </c>
      <c r="I8" s="5">
        <v>45957</v>
      </c>
      <c r="J8" t="s">
        <v>160</v>
      </c>
      <c r="K8" s="11">
        <v>4585.3200000000197</v>
      </c>
      <c r="M8">
        <v>44</v>
      </c>
      <c r="N8" s="5">
        <v>45957</v>
      </c>
      <c r="O8" t="s">
        <v>179</v>
      </c>
      <c r="P8" s="11">
        <v>3056.3800000000301</v>
      </c>
      <c r="R8" t="s">
        <v>210</v>
      </c>
      <c r="S8" s="5">
        <v>45931</v>
      </c>
      <c r="T8" t="s">
        <v>219</v>
      </c>
      <c r="U8" s="11">
        <v>1391.91</v>
      </c>
      <c r="W8" t="s">
        <v>210</v>
      </c>
      <c r="X8" s="5">
        <v>45931</v>
      </c>
      <c r="Y8" t="s">
        <v>163</v>
      </c>
      <c r="Z8" s="11">
        <v>1587.0799999999699</v>
      </c>
      <c r="AB8" t="s">
        <v>210</v>
      </c>
      <c r="AC8" s="5">
        <v>45931</v>
      </c>
      <c r="AD8" t="s">
        <v>183</v>
      </c>
      <c r="AE8" s="11">
        <v>2143.7599999999702</v>
      </c>
    </row>
    <row r="9" spans="3:31">
      <c r="C9">
        <v>44</v>
      </c>
      <c r="D9" s="5">
        <v>45957</v>
      </c>
      <c r="E9" t="s">
        <v>136</v>
      </c>
      <c r="F9" s="11">
        <v>74.2</v>
      </c>
      <c r="H9">
        <v>44</v>
      </c>
      <c r="I9" s="5">
        <v>45957</v>
      </c>
      <c r="J9" t="s">
        <v>163</v>
      </c>
      <c r="K9" s="11">
        <v>448.36000000000303</v>
      </c>
      <c r="M9">
        <v>44</v>
      </c>
      <c r="N9" s="5">
        <v>45957</v>
      </c>
      <c r="O9" t="s">
        <v>183</v>
      </c>
      <c r="P9" s="11">
        <v>541.16000000000201</v>
      </c>
      <c r="R9" t="s">
        <v>210</v>
      </c>
      <c r="S9" s="5">
        <v>45931</v>
      </c>
      <c r="T9" t="s">
        <v>133</v>
      </c>
      <c r="U9" s="11">
        <v>1435.75</v>
      </c>
      <c r="W9" t="s">
        <v>210</v>
      </c>
      <c r="X9" s="5">
        <v>45931</v>
      </c>
      <c r="Y9" t="s">
        <v>169</v>
      </c>
      <c r="Z9" s="11">
        <v>7042.6500000003398</v>
      </c>
      <c r="AB9" t="s">
        <v>210</v>
      </c>
      <c r="AC9" s="5">
        <v>45931</v>
      </c>
      <c r="AD9" t="s">
        <v>182</v>
      </c>
      <c r="AE9" s="11">
        <v>7042.6500000003398</v>
      </c>
    </row>
    <row r="10" spans="3:31">
      <c r="C10">
        <v>44</v>
      </c>
      <c r="D10" s="5">
        <v>45957</v>
      </c>
      <c r="E10" t="s">
        <v>139</v>
      </c>
      <c r="F10" s="11">
        <v>279.87</v>
      </c>
      <c r="H10">
        <v>44</v>
      </c>
      <c r="I10" s="5">
        <v>45957</v>
      </c>
      <c r="J10" t="s">
        <v>173</v>
      </c>
      <c r="K10" s="11">
        <v>679.39999999999895</v>
      </c>
      <c r="M10">
        <v>44</v>
      </c>
      <c r="N10" s="5">
        <v>45957</v>
      </c>
      <c r="O10" t="s">
        <v>185</v>
      </c>
      <c r="P10" s="11">
        <v>679.39999999999895</v>
      </c>
      <c r="R10" t="s">
        <v>210</v>
      </c>
      <c r="S10" s="5">
        <v>45931</v>
      </c>
      <c r="T10" t="s">
        <v>111</v>
      </c>
      <c r="U10" s="11">
        <v>1265.1400000000001</v>
      </c>
      <c r="W10" t="s">
        <v>210</v>
      </c>
      <c r="X10" s="5">
        <v>45931</v>
      </c>
      <c r="Y10" t="s">
        <v>168</v>
      </c>
      <c r="Z10" s="11">
        <v>1834.19999999999</v>
      </c>
      <c r="AB10" t="s">
        <v>210</v>
      </c>
      <c r="AC10" s="5">
        <v>45931</v>
      </c>
      <c r="AD10" t="s">
        <v>184</v>
      </c>
      <c r="AE10" s="11">
        <v>2181.22999999999</v>
      </c>
    </row>
    <row r="11" spans="3:31">
      <c r="C11">
        <v>44</v>
      </c>
      <c r="D11" s="5">
        <v>45957</v>
      </c>
      <c r="E11" t="s">
        <v>219</v>
      </c>
      <c r="F11" s="11">
        <v>334.96</v>
      </c>
      <c r="H11">
        <v>44</v>
      </c>
      <c r="I11" s="5">
        <v>45957</v>
      </c>
      <c r="J11" t="s">
        <v>158</v>
      </c>
      <c r="K11" s="11">
        <v>339.36</v>
      </c>
      <c r="M11">
        <v>44</v>
      </c>
      <c r="N11" s="5">
        <v>45957</v>
      </c>
      <c r="O11" t="s">
        <v>181</v>
      </c>
      <c r="P11" s="11">
        <v>1580.44</v>
      </c>
      <c r="R11" t="s">
        <v>210</v>
      </c>
      <c r="S11" s="5">
        <v>45931</v>
      </c>
      <c r="T11" t="s">
        <v>138</v>
      </c>
      <c r="U11" s="11">
        <v>1863.77</v>
      </c>
      <c r="W11" t="s">
        <v>210</v>
      </c>
      <c r="X11" s="5">
        <v>45931</v>
      </c>
      <c r="Y11" t="s">
        <v>170</v>
      </c>
      <c r="Z11" s="11">
        <v>152</v>
      </c>
      <c r="AB11" t="s">
        <v>210</v>
      </c>
      <c r="AC11" s="5">
        <v>45931</v>
      </c>
      <c r="AD11" t="s">
        <v>178</v>
      </c>
      <c r="AE11" s="11">
        <v>7434.9999999998599</v>
      </c>
    </row>
    <row r="12" spans="3:31">
      <c r="C12">
        <v>44</v>
      </c>
      <c r="D12" s="5">
        <v>45957</v>
      </c>
      <c r="E12" t="s">
        <v>112</v>
      </c>
      <c r="F12" s="11">
        <v>82.42</v>
      </c>
      <c r="H12">
        <v>44</v>
      </c>
      <c r="I12" s="5">
        <v>45957</v>
      </c>
      <c r="J12" t="s">
        <v>171</v>
      </c>
      <c r="K12" s="11">
        <v>946.59999999999695</v>
      </c>
      <c r="M12">
        <v>44</v>
      </c>
      <c r="N12" s="5">
        <v>45957</v>
      </c>
      <c r="O12" t="s">
        <v>178</v>
      </c>
      <c r="P12" s="11">
        <v>1868.30000000001</v>
      </c>
      <c r="R12" t="s">
        <v>210</v>
      </c>
      <c r="S12" s="5">
        <v>45931</v>
      </c>
      <c r="T12" t="s">
        <v>134</v>
      </c>
      <c r="U12" s="11">
        <v>1367.05</v>
      </c>
      <c r="W12" t="s">
        <v>210</v>
      </c>
      <c r="X12" s="5">
        <v>45931</v>
      </c>
      <c r="Y12" t="s">
        <v>171</v>
      </c>
      <c r="Z12" s="11">
        <v>2841.8600000000201</v>
      </c>
      <c r="AB12" t="s">
        <v>210</v>
      </c>
      <c r="AC12" s="5">
        <v>45931</v>
      </c>
      <c r="AD12" t="s">
        <v>181</v>
      </c>
      <c r="AE12" s="11">
        <v>5959.2200000000603</v>
      </c>
    </row>
    <row r="13" spans="3:31">
      <c r="C13">
        <v>44</v>
      </c>
      <c r="D13" s="5">
        <v>45957</v>
      </c>
      <c r="E13" t="s">
        <v>114</v>
      </c>
      <c r="F13" s="11">
        <v>286.8</v>
      </c>
      <c r="H13">
        <v>44</v>
      </c>
      <c r="I13" s="5">
        <v>45957</v>
      </c>
      <c r="J13" t="s">
        <v>174</v>
      </c>
      <c r="K13" s="11">
        <v>633.84</v>
      </c>
      <c r="M13">
        <v>44</v>
      </c>
      <c r="N13" s="5">
        <v>45957</v>
      </c>
      <c r="O13" t="s">
        <v>184</v>
      </c>
      <c r="P13" s="11">
        <v>422.23</v>
      </c>
      <c r="R13" t="s">
        <v>210</v>
      </c>
      <c r="S13" s="5">
        <v>45931</v>
      </c>
      <c r="T13" t="s">
        <v>114</v>
      </c>
      <c r="U13" s="11">
        <v>1182</v>
      </c>
      <c r="W13" t="s">
        <v>210</v>
      </c>
      <c r="X13" s="5">
        <v>45931</v>
      </c>
      <c r="Y13" t="s">
        <v>174</v>
      </c>
      <c r="Z13" s="11">
        <v>3117.3600000000201</v>
      </c>
      <c r="AB13" t="s">
        <v>210</v>
      </c>
      <c r="AC13" s="5">
        <v>45931</v>
      </c>
      <c r="AD13" t="s">
        <v>180</v>
      </c>
      <c r="AE13" s="11">
        <v>1157.25</v>
      </c>
    </row>
    <row r="14" spans="3:31">
      <c r="C14">
        <v>44</v>
      </c>
      <c r="D14" s="5">
        <v>45957</v>
      </c>
      <c r="E14" t="s">
        <v>129</v>
      </c>
      <c r="F14" s="11">
        <v>427.82</v>
      </c>
      <c r="H14">
        <v>44</v>
      </c>
      <c r="I14" s="5">
        <v>45957</v>
      </c>
      <c r="J14" t="s">
        <v>168</v>
      </c>
      <c r="K14" s="11">
        <v>331.91</v>
      </c>
      <c r="M14">
        <v>44</v>
      </c>
      <c r="N14" s="5">
        <v>45957</v>
      </c>
      <c r="O14" t="s">
        <v>180</v>
      </c>
      <c r="P14" s="11">
        <v>497.25</v>
      </c>
      <c r="R14" t="s">
        <v>210</v>
      </c>
      <c r="S14" s="5">
        <v>45931</v>
      </c>
      <c r="T14" t="s">
        <v>129</v>
      </c>
      <c r="U14" s="11">
        <v>1782.27</v>
      </c>
      <c r="W14" t="s">
        <v>210</v>
      </c>
      <c r="X14" s="5">
        <v>45931</v>
      </c>
      <c r="Y14" t="s">
        <v>165</v>
      </c>
      <c r="Z14" s="11">
        <v>1157.25</v>
      </c>
      <c r="AB14" t="s">
        <v>210</v>
      </c>
      <c r="AC14" s="5">
        <v>45931</v>
      </c>
      <c r="AD14" t="s">
        <v>185</v>
      </c>
      <c r="AE14" s="11">
        <v>2355.3500000000099</v>
      </c>
    </row>
    <row r="15" spans="3:31">
      <c r="C15">
        <v>44</v>
      </c>
      <c r="D15" s="5">
        <v>45957</v>
      </c>
      <c r="E15" t="s">
        <v>146</v>
      </c>
      <c r="F15" s="11">
        <v>623.57500000000005</v>
      </c>
      <c r="H15">
        <v>44</v>
      </c>
      <c r="I15" s="5">
        <v>45957</v>
      </c>
      <c r="J15" t="s">
        <v>164</v>
      </c>
      <c r="K15" s="11">
        <v>24</v>
      </c>
      <c r="M15">
        <v>43</v>
      </c>
      <c r="N15" s="5">
        <v>45950</v>
      </c>
      <c r="O15" t="s">
        <v>181</v>
      </c>
      <c r="P15" s="11">
        <v>1232.97</v>
      </c>
      <c r="R15" t="s">
        <v>210</v>
      </c>
      <c r="S15" s="5">
        <v>45931</v>
      </c>
      <c r="T15" t="s">
        <v>141</v>
      </c>
      <c r="U15" s="11">
        <v>2812.78999999999</v>
      </c>
      <c r="W15" t="s">
        <v>210</v>
      </c>
      <c r="X15" s="5">
        <v>45931</v>
      </c>
      <c r="Y15" t="s">
        <v>176</v>
      </c>
      <c r="Z15" s="11">
        <v>326.68000000000097</v>
      </c>
      <c r="AB15" t="s">
        <v>210</v>
      </c>
      <c r="AC15" s="5">
        <v>45931</v>
      </c>
      <c r="AD15" t="s">
        <v>186</v>
      </c>
      <c r="AE15" s="11">
        <v>17.600000000000001</v>
      </c>
    </row>
    <row r="16" spans="3:31">
      <c r="C16">
        <v>44</v>
      </c>
      <c r="D16" s="5">
        <v>45957</v>
      </c>
      <c r="E16" t="s">
        <v>149</v>
      </c>
      <c r="F16" s="11">
        <v>133.12</v>
      </c>
      <c r="H16">
        <v>44</v>
      </c>
      <c r="I16" s="5">
        <v>45957</v>
      </c>
      <c r="J16" t="s">
        <v>170</v>
      </c>
      <c r="K16" s="11">
        <v>10</v>
      </c>
      <c r="M16">
        <v>43</v>
      </c>
      <c r="N16" s="5">
        <v>45950</v>
      </c>
      <c r="O16" t="s">
        <v>183</v>
      </c>
      <c r="P16" s="11">
        <v>464.92000000000201</v>
      </c>
      <c r="R16" t="s">
        <v>210</v>
      </c>
      <c r="S16" s="5">
        <v>45931</v>
      </c>
      <c r="T16" t="s">
        <v>146</v>
      </c>
      <c r="U16" s="11">
        <v>2735.6950000000002</v>
      </c>
      <c r="W16" t="s">
        <v>210</v>
      </c>
      <c r="X16" s="5">
        <v>45931</v>
      </c>
      <c r="Y16" t="s">
        <v>173</v>
      </c>
      <c r="Z16" s="11">
        <v>2355.3500000000099</v>
      </c>
      <c r="AB16" t="s">
        <v>225</v>
      </c>
      <c r="AC16" s="5">
        <v>45901</v>
      </c>
      <c r="AD16" t="s">
        <v>178</v>
      </c>
      <c r="AE16" s="11">
        <v>7080.4999999998599</v>
      </c>
    </row>
    <row r="17" spans="3:31">
      <c r="C17">
        <v>44</v>
      </c>
      <c r="D17" s="5">
        <v>45957</v>
      </c>
      <c r="E17" t="s">
        <v>134</v>
      </c>
      <c r="F17" s="11">
        <v>344.08</v>
      </c>
      <c r="H17">
        <v>44</v>
      </c>
      <c r="I17" s="5">
        <v>45957</v>
      </c>
      <c r="J17" t="s">
        <v>176</v>
      </c>
      <c r="K17" s="11">
        <v>58.799999999999898</v>
      </c>
      <c r="M17">
        <v>43</v>
      </c>
      <c r="N17" s="5">
        <v>45950</v>
      </c>
      <c r="O17" t="s">
        <v>179</v>
      </c>
      <c r="P17" s="11">
        <v>2579.8200000000202</v>
      </c>
      <c r="R17" t="s">
        <v>210</v>
      </c>
      <c r="S17" s="5">
        <v>45931</v>
      </c>
      <c r="T17" t="s">
        <v>145</v>
      </c>
      <c r="U17" s="11">
        <v>1520.29</v>
      </c>
      <c r="W17" t="s">
        <v>210</v>
      </c>
      <c r="X17" s="5">
        <v>45931</v>
      </c>
      <c r="Y17" t="s">
        <v>172</v>
      </c>
      <c r="Z17" s="11">
        <v>314.42000000000098</v>
      </c>
      <c r="AB17" t="s">
        <v>225</v>
      </c>
      <c r="AC17" s="5">
        <v>45901</v>
      </c>
      <c r="AD17" t="s">
        <v>179</v>
      </c>
      <c r="AE17" s="11">
        <v>11219.470000000099</v>
      </c>
    </row>
    <row r="18" spans="3:31">
      <c r="C18">
        <v>44</v>
      </c>
      <c r="D18" s="5">
        <v>45957</v>
      </c>
      <c r="E18" t="s">
        <v>133</v>
      </c>
      <c r="F18" s="11">
        <v>338.67</v>
      </c>
      <c r="H18">
        <v>44</v>
      </c>
      <c r="I18" s="5">
        <v>45957</v>
      </c>
      <c r="J18" t="s">
        <v>165</v>
      </c>
      <c r="K18" s="11">
        <v>497.25</v>
      </c>
      <c r="M18">
        <v>43</v>
      </c>
      <c r="N18" s="5">
        <v>45950</v>
      </c>
      <c r="O18" t="s">
        <v>182</v>
      </c>
      <c r="P18" s="11">
        <v>1777.49999999998</v>
      </c>
      <c r="R18" t="s">
        <v>210</v>
      </c>
      <c r="S18" s="5">
        <v>45931</v>
      </c>
      <c r="T18" t="s">
        <v>119</v>
      </c>
      <c r="U18" s="11">
        <v>1782.84</v>
      </c>
      <c r="W18" t="s">
        <v>210</v>
      </c>
      <c r="X18" s="5">
        <v>45931</v>
      </c>
      <c r="Y18" t="s">
        <v>164</v>
      </c>
      <c r="Z18" s="11">
        <v>78.000000000000099</v>
      </c>
      <c r="AB18" t="s">
        <v>225</v>
      </c>
      <c r="AC18" s="5">
        <v>45901</v>
      </c>
      <c r="AD18" t="s">
        <v>185</v>
      </c>
      <c r="AE18" s="11">
        <v>2796.75000000001</v>
      </c>
    </row>
    <row r="19" spans="3:31">
      <c r="C19">
        <v>44</v>
      </c>
      <c r="D19" s="5">
        <v>45957</v>
      </c>
      <c r="E19" t="s">
        <v>145</v>
      </c>
      <c r="F19" s="11">
        <v>440.21</v>
      </c>
      <c r="H19">
        <v>44</v>
      </c>
      <c r="I19" s="5">
        <v>45957</v>
      </c>
      <c r="J19" t="s">
        <v>172</v>
      </c>
      <c r="K19" s="11">
        <v>57.71</v>
      </c>
      <c r="M19">
        <v>43</v>
      </c>
      <c r="N19" s="5">
        <v>45950</v>
      </c>
      <c r="O19" t="s">
        <v>185</v>
      </c>
      <c r="P19" s="11">
        <v>456.95</v>
      </c>
      <c r="R19" t="s">
        <v>210</v>
      </c>
      <c r="S19" s="5">
        <v>45931</v>
      </c>
      <c r="T19" t="s">
        <v>127</v>
      </c>
      <c r="U19" s="11">
        <v>1027.26</v>
      </c>
      <c r="W19" t="s">
        <v>210</v>
      </c>
      <c r="X19" s="5">
        <v>45931</v>
      </c>
      <c r="Y19" t="s">
        <v>158</v>
      </c>
      <c r="Z19" s="11">
        <v>3224.7600000000102</v>
      </c>
      <c r="AB19" t="s">
        <v>225</v>
      </c>
      <c r="AC19" s="5">
        <v>45901</v>
      </c>
      <c r="AD19" t="s">
        <v>182</v>
      </c>
      <c r="AE19" s="11">
        <v>6585.6500000001697</v>
      </c>
    </row>
    <row r="20" spans="3:31">
      <c r="C20">
        <v>44</v>
      </c>
      <c r="D20" s="5">
        <v>45957</v>
      </c>
      <c r="E20" t="s">
        <v>138</v>
      </c>
      <c r="F20" s="11">
        <v>441.48</v>
      </c>
      <c r="H20">
        <v>44</v>
      </c>
      <c r="I20" s="5">
        <v>45957</v>
      </c>
      <c r="J20" t="s">
        <v>204</v>
      </c>
      <c r="K20" s="11">
        <v>32.61</v>
      </c>
      <c r="M20">
        <v>43</v>
      </c>
      <c r="N20" s="5">
        <v>45950</v>
      </c>
      <c r="O20" t="s">
        <v>178</v>
      </c>
      <c r="P20" s="11">
        <v>1844.50000000001</v>
      </c>
      <c r="R20" t="s">
        <v>210</v>
      </c>
      <c r="S20" s="5">
        <v>45931</v>
      </c>
      <c r="T20" t="s">
        <v>126</v>
      </c>
      <c r="U20" s="11">
        <v>528.07000000000005</v>
      </c>
      <c r="W20" t="s">
        <v>210</v>
      </c>
      <c r="X20" s="5">
        <v>45931</v>
      </c>
      <c r="Y20" t="s">
        <v>204</v>
      </c>
      <c r="Z20" s="11">
        <v>32.61</v>
      </c>
      <c r="AB20" t="s">
        <v>225</v>
      </c>
      <c r="AC20" s="5">
        <v>45901</v>
      </c>
      <c r="AD20" t="s">
        <v>184</v>
      </c>
      <c r="AE20" s="11">
        <v>2109.08</v>
      </c>
    </row>
    <row r="21" spans="3:31">
      <c r="C21">
        <v>44</v>
      </c>
      <c r="D21" s="5">
        <v>45957</v>
      </c>
      <c r="E21" t="s">
        <v>111</v>
      </c>
      <c r="F21" s="11">
        <v>286.62</v>
      </c>
      <c r="H21">
        <v>43</v>
      </c>
      <c r="I21" s="5">
        <v>45950</v>
      </c>
      <c r="J21" t="s">
        <v>174</v>
      </c>
      <c r="K21" s="11">
        <v>625.46999999999798</v>
      </c>
      <c r="M21">
        <v>43</v>
      </c>
      <c r="N21" s="5">
        <v>45950</v>
      </c>
      <c r="O21" t="s">
        <v>184</v>
      </c>
      <c r="P21" s="11">
        <v>483.50999999999902</v>
      </c>
      <c r="R21" t="s">
        <v>210</v>
      </c>
      <c r="S21" s="5">
        <v>45931</v>
      </c>
      <c r="T21" t="s">
        <v>118</v>
      </c>
      <c r="U21" s="11">
        <v>820.78999999999905</v>
      </c>
      <c r="W21" t="s">
        <v>225</v>
      </c>
      <c r="X21" s="5">
        <v>45901</v>
      </c>
      <c r="Y21" t="s">
        <v>160</v>
      </c>
      <c r="Z21" s="11">
        <v>16614.1700000003</v>
      </c>
      <c r="AB21" t="s">
        <v>225</v>
      </c>
      <c r="AC21" s="5">
        <v>45901</v>
      </c>
      <c r="AD21" t="s">
        <v>181</v>
      </c>
      <c r="AE21" s="11">
        <v>1238.43</v>
      </c>
    </row>
    <row r="22" spans="3:31">
      <c r="C22">
        <v>44</v>
      </c>
      <c r="D22" s="5">
        <v>45957</v>
      </c>
      <c r="E22" t="s">
        <v>135</v>
      </c>
      <c r="F22" s="11">
        <v>48.82</v>
      </c>
      <c r="H22">
        <v>43</v>
      </c>
      <c r="I22" s="5">
        <v>45950</v>
      </c>
      <c r="J22" t="s">
        <v>163</v>
      </c>
      <c r="K22" s="11">
        <v>391.88000000000198</v>
      </c>
      <c r="M22">
        <v>43</v>
      </c>
      <c r="N22" s="5">
        <v>45950</v>
      </c>
      <c r="O22" t="s">
        <v>180</v>
      </c>
      <c r="P22" s="11">
        <v>166.85</v>
      </c>
      <c r="R22" t="s">
        <v>210</v>
      </c>
      <c r="S22" s="5">
        <v>45931</v>
      </c>
      <c r="T22" t="s">
        <v>113</v>
      </c>
      <c r="U22" s="11">
        <v>927.5</v>
      </c>
      <c r="W22" t="s">
        <v>225</v>
      </c>
      <c r="X22" s="5">
        <v>45901</v>
      </c>
      <c r="Y22" t="s">
        <v>173</v>
      </c>
      <c r="Z22" s="11">
        <v>2796.75000000001</v>
      </c>
      <c r="AB22" t="s">
        <v>225</v>
      </c>
      <c r="AC22" s="5">
        <v>45901</v>
      </c>
      <c r="AD22" t="s">
        <v>183</v>
      </c>
      <c r="AE22" s="11">
        <v>3171.8699999999599</v>
      </c>
    </row>
    <row r="23" spans="3:31">
      <c r="C23">
        <v>44</v>
      </c>
      <c r="D23" s="5">
        <v>45957</v>
      </c>
      <c r="E23" t="s">
        <v>128</v>
      </c>
      <c r="F23" s="11">
        <v>160.71</v>
      </c>
      <c r="H23">
        <v>43</v>
      </c>
      <c r="I23" s="5">
        <v>45950</v>
      </c>
      <c r="J23" t="s">
        <v>171</v>
      </c>
      <c r="K23" s="11">
        <v>607.5</v>
      </c>
      <c r="M23">
        <v>42</v>
      </c>
      <c r="N23" s="5">
        <v>45943</v>
      </c>
      <c r="O23" t="s">
        <v>182</v>
      </c>
      <c r="P23" s="11">
        <v>1658.49999999999</v>
      </c>
      <c r="R23" t="s">
        <v>210</v>
      </c>
      <c r="S23" s="5">
        <v>45931</v>
      </c>
      <c r="T23" t="s">
        <v>124</v>
      </c>
      <c r="U23" s="11">
        <v>1879.03</v>
      </c>
      <c r="W23" t="s">
        <v>225</v>
      </c>
      <c r="X23" s="5">
        <v>45901</v>
      </c>
      <c r="Y23" t="s">
        <v>158</v>
      </c>
      <c r="Z23" s="11">
        <v>1644.79999999999</v>
      </c>
      <c r="AB23" t="s">
        <v>225</v>
      </c>
      <c r="AC23" s="5">
        <v>45901</v>
      </c>
      <c r="AD23" t="s">
        <v>180</v>
      </c>
      <c r="AE23" s="11">
        <v>1281.8</v>
      </c>
    </row>
    <row r="24" spans="3:31">
      <c r="C24">
        <v>44</v>
      </c>
      <c r="D24" s="5">
        <v>45957</v>
      </c>
      <c r="E24" t="s">
        <v>140</v>
      </c>
      <c r="F24" s="11">
        <v>77.84</v>
      </c>
      <c r="H24">
        <v>43</v>
      </c>
      <c r="I24" s="5">
        <v>45950</v>
      </c>
      <c r="J24" t="s">
        <v>160</v>
      </c>
      <c r="K24" s="11">
        <v>3606.4200000000101</v>
      </c>
      <c r="M24">
        <v>42</v>
      </c>
      <c r="N24" s="5">
        <v>45943</v>
      </c>
      <c r="O24" t="s">
        <v>179</v>
      </c>
      <c r="P24" s="11">
        <v>2890.79000000002</v>
      </c>
      <c r="R24" t="s">
        <v>210</v>
      </c>
      <c r="S24" s="5">
        <v>45931</v>
      </c>
      <c r="T24" t="s">
        <v>139</v>
      </c>
      <c r="U24" s="11">
        <v>1001.1</v>
      </c>
      <c r="W24" t="s">
        <v>225</v>
      </c>
      <c r="X24" s="5">
        <v>45901</v>
      </c>
      <c r="Y24" t="s">
        <v>169</v>
      </c>
      <c r="Z24" s="11">
        <v>6585.6500000001697</v>
      </c>
      <c r="AB24" t="s">
        <v>225</v>
      </c>
      <c r="AC24" s="5">
        <v>45901</v>
      </c>
      <c r="AD24" t="s">
        <v>186</v>
      </c>
      <c r="AE24" s="11">
        <v>2.2000000000000002</v>
      </c>
    </row>
    <row r="25" spans="3:31">
      <c r="C25">
        <v>44</v>
      </c>
      <c r="D25" s="5">
        <v>45957</v>
      </c>
      <c r="E25" t="s">
        <v>118</v>
      </c>
      <c r="F25" s="11">
        <v>173.39</v>
      </c>
      <c r="H25">
        <v>43</v>
      </c>
      <c r="I25" s="5">
        <v>45950</v>
      </c>
      <c r="J25" t="s">
        <v>169</v>
      </c>
      <c r="K25" s="11">
        <v>1777.49999999998</v>
      </c>
      <c r="M25">
        <v>42</v>
      </c>
      <c r="N25" s="5">
        <v>45943</v>
      </c>
      <c r="O25" t="s">
        <v>178</v>
      </c>
      <c r="P25" s="11">
        <v>1806.30000000001</v>
      </c>
      <c r="R25" t="s">
        <v>210</v>
      </c>
      <c r="S25" s="5">
        <v>45931</v>
      </c>
      <c r="T25" t="s">
        <v>123</v>
      </c>
      <c r="U25" s="11">
        <v>2028.27</v>
      </c>
      <c r="W25" t="s">
        <v>225</v>
      </c>
      <c r="X25" s="5">
        <v>45901</v>
      </c>
      <c r="Y25" t="s">
        <v>168</v>
      </c>
      <c r="Z25" s="11">
        <v>1848.39</v>
      </c>
      <c r="AB25" t="s">
        <v>226</v>
      </c>
      <c r="AC25" s="5">
        <v>45870</v>
      </c>
      <c r="AD25" t="s">
        <v>181</v>
      </c>
      <c r="AE25" s="11">
        <v>3629.98000000002</v>
      </c>
    </row>
    <row r="26" spans="3:31">
      <c r="C26">
        <v>44</v>
      </c>
      <c r="D26" s="5">
        <v>45957</v>
      </c>
      <c r="E26" t="s">
        <v>125</v>
      </c>
      <c r="F26" s="11">
        <v>66.069999999999993</v>
      </c>
      <c r="H26">
        <v>43</v>
      </c>
      <c r="I26" s="5">
        <v>45950</v>
      </c>
      <c r="J26" t="s">
        <v>173</v>
      </c>
      <c r="K26" s="11">
        <v>456.95</v>
      </c>
      <c r="M26">
        <v>42</v>
      </c>
      <c r="N26" s="5">
        <v>45943</v>
      </c>
      <c r="O26" t="s">
        <v>185</v>
      </c>
      <c r="P26" s="11">
        <v>507</v>
      </c>
      <c r="R26" t="s">
        <v>210</v>
      </c>
      <c r="S26" s="5">
        <v>45931</v>
      </c>
      <c r="T26" t="s">
        <v>143</v>
      </c>
      <c r="U26" s="11">
        <v>3979.3849999999802</v>
      </c>
      <c r="W26" t="s">
        <v>225</v>
      </c>
      <c r="X26" s="5">
        <v>45901</v>
      </c>
      <c r="Y26" t="s">
        <v>174</v>
      </c>
      <c r="Z26" s="11">
        <v>2535.26999999999</v>
      </c>
      <c r="AB26" t="s">
        <v>226</v>
      </c>
      <c r="AC26" s="5">
        <v>45870</v>
      </c>
      <c r="AD26" t="s">
        <v>185</v>
      </c>
      <c r="AE26" s="11">
        <v>3137.6500000000201</v>
      </c>
    </row>
    <row r="27" spans="3:31">
      <c r="C27">
        <v>44</v>
      </c>
      <c r="D27" s="5">
        <v>45957</v>
      </c>
      <c r="E27" t="s">
        <v>122</v>
      </c>
      <c r="F27" s="11">
        <v>230.78</v>
      </c>
      <c r="H27">
        <v>43</v>
      </c>
      <c r="I27" s="5">
        <v>45950</v>
      </c>
      <c r="J27" t="s">
        <v>158</v>
      </c>
      <c r="K27" s="11">
        <v>817.89999999999895</v>
      </c>
      <c r="M27">
        <v>42</v>
      </c>
      <c r="N27" s="5">
        <v>45943</v>
      </c>
      <c r="O27" t="s">
        <v>183</v>
      </c>
      <c r="P27" s="11">
        <v>593.74</v>
      </c>
      <c r="R27" t="s">
        <v>210</v>
      </c>
      <c r="S27" s="5">
        <v>45931</v>
      </c>
      <c r="T27" t="s">
        <v>150</v>
      </c>
      <c r="U27" s="11">
        <v>282.45</v>
      </c>
      <c r="W27" t="s">
        <v>225</v>
      </c>
      <c r="X27" s="5">
        <v>45901</v>
      </c>
      <c r="Y27" t="s">
        <v>163</v>
      </c>
      <c r="Z27" s="11">
        <v>2048.4699999999598</v>
      </c>
      <c r="AB27" t="s">
        <v>226</v>
      </c>
      <c r="AC27" s="5">
        <v>45870</v>
      </c>
      <c r="AD27" t="s">
        <v>180</v>
      </c>
      <c r="AE27" s="11">
        <v>1820.8999999999901</v>
      </c>
    </row>
    <row r="28" spans="3:31">
      <c r="C28">
        <v>44</v>
      </c>
      <c r="D28" s="5">
        <v>45957</v>
      </c>
      <c r="E28" t="s">
        <v>143</v>
      </c>
      <c r="F28" s="11">
        <v>1379.405</v>
      </c>
      <c r="H28">
        <v>43</v>
      </c>
      <c r="I28" s="5">
        <v>45950</v>
      </c>
      <c r="J28" t="s">
        <v>168</v>
      </c>
      <c r="K28" s="11">
        <v>411.86999999999898</v>
      </c>
      <c r="M28">
        <v>42</v>
      </c>
      <c r="N28" s="5">
        <v>45943</v>
      </c>
      <c r="O28" t="s">
        <v>181</v>
      </c>
      <c r="P28" s="11">
        <v>1338.4400000000101</v>
      </c>
      <c r="R28" t="s">
        <v>210</v>
      </c>
      <c r="S28" s="5">
        <v>45931</v>
      </c>
      <c r="T28" t="s">
        <v>136</v>
      </c>
      <c r="U28" s="11">
        <v>350.17</v>
      </c>
      <c r="W28" t="s">
        <v>225</v>
      </c>
      <c r="X28" s="5">
        <v>45901</v>
      </c>
      <c r="Y28" t="s">
        <v>171</v>
      </c>
      <c r="Z28" s="11">
        <v>2561.5799999999799</v>
      </c>
      <c r="AB28" t="s">
        <v>226</v>
      </c>
      <c r="AC28" s="5">
        <v>45870</v>
      </c>
      <c r="AD28" t="s">
        <v>182</v>
      </c>
      <c r="AE28" s="11">
        <v>2913.24999999996</v>
      </c>
    </row>
    <row r="29" spans="3:31">
      <c r="C29">
        <v>44</v>
      </c>
      <c r="D29" s="5">
        <v>45957</v>
      </c>
      <c r="E29" t="s">
        <v>141</v>
      </c>
      <c r="F29" s="11">
        <v>615.21</v>
      </c>
      <c r="H29">
        <v>43</v>
      </c>
      <c r="I29" s="5">
        <v>45950</v>
      </c>
      <c r="J29" t="s">
        <v>170</v>
      </c>
      <c r="K29" s="11">
        <v>22</v>
      </c>
      <c r="M29">
        <v>42</v>
      </c>
      <c r="N29" s="5">
        <v>45943</v>
      </c>
      <c r="O29" t="s">
        <v>180</v>
      </c>
      <c r="P29" s="11">
        <v>253.85</v>
      </c>
      <c r="R29" t="s">
        <v>210</v>
      </c>
      <c r="S29" s="5">
        <v>45931</v>
      </c>
      <c r="T29" t="s">
        <v>112</v>
      </c>
      <c r="U29" s="11">
        <v>432.33</v>
      </c>
      <c r="W29" t="s">
        <v>225</v>
      </c>
      <c r="X29" s="5">
        <v>45901</v>
      </c>
      <c r="Y29" t="s">
        <v>165</v>
      </c>
      <c r="Z29" s="11">
        <v>1281.8</v>
      </c>
      <c r="AB29" t="s">
        <v>226</v>
      </c>
      <c r="AC29" s="5">
        <v>45870</v>
      </c>
      <c r="AD29" t="s">
        <v>184</v>
      </c>
      <c r="AE29" s="11">
        <v>1420.88</v>
      </c>
    </row>
    <row r="30" spans="3:31">
      <c r="C30">
        <v>44</v>
      </c>
      <c r="D30" s="5">
        <v>45957</v>
      </c>
      <c r="E30" t="s">
        <v>142</v>
      </c>
      <c r="F30" s="11">
        <v>275.82</v>
      </c>
      <c r="H30">
        <v>43</v>
      </c>
      <c r="I30" s="5">
        <v>45950</v>
      </c>
      <c r="J30" t="s">
        <v>165</v>
      </c>
      <c r="K30" s="11">
        <v>166.85</v>
      </c>
      <c r="M30">
        <v>42</v>
      </c>
      <c r="N30" s="5">
        <v>45943</v>
      </c>
      <c r="O30" t="s">
        <v>184</v>
      </c>
      <c r="P30" s="11">
        <v>613.41999999999803</v>
      </c>
      <c r="R30" t="s">
        <v>210</v>
      </c>
      <c r="S30" s="5">
        <v>45931</v>
      </c>
      <c r="T30" t="s">
        <v>149</v>
      </c>
      <c r="U30" s="11">
        <v>452.7</v>
      </c>
      <c r="W30" t="s">
        <v>225</v>
      </c>
      <c r="X30" s="5">
        <v>45901</v>
      </c>
      <c r="Y30" t="s">
        <v>176</v>
      </c>
      <c r="Z30" s="11">
        <v>636.20000000000095</v>
      </c>
      <c r="AB30" t="s">
        <v>226</v>
      </c>
      <c r="AC30" s="5">
        <v>45870</v>
      </c>
      <c r="AD30" t="s">
        <v>183</v>
      </c>
      <c r="AE30" s="11">
        <v>1770.6499999999801</v>
      </c>
    </row>
    <row r="31" spans="3:31">
      <c r="C31">
        <v>44</v>
      </c>
      <c r="D31" s="5">
        <v>45957</v>
      </c>
      <c r="E31" t="s">
        <v>119</v>
      </c>
      <c r="F31" s="11">
        <v>379.87</v>
      </c>
      <c r="H31">
        <v>43</v>
      </c>
      <c r="I31" s="5">
        <v>45950</v>
      </c>
      <c r="J31" t="s">
        <v>164</v>
      </c>
      <c r="K31" s="11">
        <v>15.6</v>
      </c>
      <c r="M31">
        <v>42</v>
      </c>
      <c r="N31" s="5">
        <v>45943</v>
      </c>
      <c r="O31" t="s">
        <v>186</v>
      </c>
      <c r="P31" s="11">
        <v>17.600000000000001</v>
      </c>
      <c r="R31" t="s">
        <v>210</v>
      </c>
      <c r="S31" s="5">
        <v>45931</v>
      </c>
      <c r="T31" t="s">
        <v>121</v>
      </c>
      <c r="U31" s="11">
        <v>692.3</v>
      </c>
      <c r="W31" t="s">
        <v>225</v>
      </c>
      <c r="X31" s="5">
        <v>45901</v>
      </c>
      <c r="Y31" t="s">
        <v>172</v>
      </c>
      <c r="Z31" s="11">
        <v>260.69</v>
      </c>
      <c r="AB31" t="s">
        <v>226</v>
      </c>
      <c r="AC31" s="5">
        <v>45870</v>
      </c>
      <c r="AD31" t="s">
        <v>179</v>
      </c>
      <c r="AE31" s="11">
        <v>8140.6599999999798</v>
      </c>
    </row>
    <row r="32" spans="3:31">
      <c r="C32">
        <v>44</v>
      </c>
      <c r="D32" s="5">
        <v>45957</v>
      </c>
      <c r="E32" t="s">
        <v>123</v>
      </c>
      <c r="F32" s="11">
        <v>505.46</v>
      </c>
      <c r="H32">
        <v>43</v>
      </c>
      <c r="I32" s="5">
        <v>45950</v>
      </c>
      <c r="J32" t="s">
        <v>176</v>
      </c>
      <c r="K32" s="11">
        <v>35.44</v>
      </c>
      <c r="M32">
        <v>41</v>
      </c>
      <c r="N32" s="5">
        <v>45936</v>
      </c>
      <c r="O32" t="s">
        <v>184</v>
      </c>
      <c r="P32" s="11">
        <v>464.26999999999799</v>
      </c>
      <c r="R32" t="s">
        <v>210</v>
      </c>
      <c r="S32" s="5">
        <v>45931</v>
      </c>
      <c r="T32" t="s">
        <v>122</v>
      </c>
      <c r="U32" s="11">
        <v>952.6</v>
      </c>
      <c r="W32" t="s">
        <v>225</v>
      </c>
      <c r="X32" s="5">
        <v>45901</v>
      </c>
      <c r="Y32" t="s">
        <v>164</v>
      </c>
      <c r="Z32" s="11">
        <v>79.200000000000102</v>
      </c>
      <c r="AB32" t="s">
        <v>226</v>
      </c>
      <c r="AC32" s="5">
        <v>45870</v>
      </c>
      <c r="AD32" t="s">
        <v>178</v>
      </c>
      <c r="AE32" s="11">
        <v>5212.1999999999098</v>
      </c>
    </row>
    <row r="33" spans="3:31">
      <c r="C33">
        <v>44</v>
      </c>
      <c r="D33" s="5">
        <v>45957</v>
      </c>
      <c r="E33" t="s">
        <v>137</v>
      </c>
      <c r="F33" s="11">
        <v>78.849999999999994</v>
      </c>
      <c r="H33">
        <v>43</v>
      </c>
      <c r="I33" s="5">
        <v>45950</v>
      </c>
      <c r="J33" t="s">
        <v>172</v>
      </c>
      <c r="K33" s="11">
        <v>71.64</v>
      </c>
      <c r="M33">
        <v>41</v>
      </c>
      <c r="N33" s="5">
        <v>45936</v>
      </c>
      <c r="O33" t="s">
        <v>185</v>
      </c>
      <c r="P33" s="11">
        <v>588.24999999999898</v>
      </c>
      <c r="R33" t="s">
        <v>210</v>
      </c>
      <c r="S33" s="5">
        <v>45931</v>
      </c>
      <c r="T33" t="s">
        <v>140</v>
      </c>
      <c r="U33" s="11">
        <v>277.20999999999998</v>
      </c>
      <c r="W33" t="s">
        <v>225</v>
      </c>
      <c r="X33" s="5">
        <v>45901</v>
      </c>
      <c r="Y33" t="s">
        <v>170</v>
      </c>
      <c r="Z33" s="11">
        <v>408</v>
      </c>
      <c r="AB33" t="s">
        <v>211</v>
      </c>
      <c r="AC33" s="5">
        <v>45962</v>
      </c>
      <c r="AD33" t="s">
        <v>181</v>
      </c>
      <c r="AE33" s="11">
        <v>6164.75</v>
      </c>
    </row>
    <row r="34" spans="3:31">
      <c r="C34">
        <v>44</v>
      </c>
      <c r="D34" s="5">
        <v>45957</v>
      </c>
      <c r="E34" t="s">
        <v>116</v>
      </c>
      <c r="F34" s="11">
        <v>90.15</v>
      </c>
      <c r="H34">
        <v>42</v>
      </c>
      <c r="I34" s="5">
        <v>45943</v>
      </c>
      <c r="J34" t="s">
        <v>169</v>
      </c>
      <c r="K34" s="11">
        <v>1658.49999999999</v>
      </c>
      <c r="M34">
        <v>41</v>
      </c>
      <c r="N34" s="5">
        <v>45936</v>
      </c>
      <c r="O34" t="s">
        <v>182</v>
      </c>
      <c r="P34" s="11">
        <v>1511.8999999999901</v>
      </c>
      <c r="R34" t="s">
        <v>210</v>
      </c>
      <c r="S34" s="5">
        <v>45931</v>
      </c>
      <c r="T34" t="s">
        <v>137</v>
      </c>
      <c r="U34" s="11">
        <v>334.39</v>
      </c>
      <c r="W34" t="s">
        <v>225</v>
      </c>
      <c r="X34" s="5">
        <v>45901</v>
      </c>
      <c r="Y34" t="s">
        <v>159</v>
      </c>
      <c r="Z34" s="11">
        <v>43.2</v>
      </c>
      <c r="AB34" t="s">
        <v>211</v>
      </c>
      <c r="AC34" s="5">
        <v>45962</v>
      </c>
      <c r="AD34" t="s">
        <v>179</v>
      </c>
      <c r="AE34" s="11">
        <v>10803.799999999799</v>
      </c>
    </row>
    <row r="35" spans="3:31">
      <c r="C35">
        <v>44</v>
      </c>
      <c r="D35" s="5">
        <v>45957</v>
      </c>
      <c r="E35" t="s">
        <v>127</v>
      </c>
      <c r="F35" s="11">
        <v>262.61</v>
      </c>
      <c r="H35">
        <v>42</v>
      </c>
      <c r="I35" s="5">
        <v>45943</v>
      </c>
      <c r="J35" t="s">
        <v>160</v>
      </c>
      <c r="K35" s="11">
        <v>2946.1500000000101</v>
      </c>
      <c r="M35">
        <v>41</v>
      </c>
      <c r="N35" s="5">
        <v>45936</v>
      </c>
      <c r="O35" t="s">
        <v>181</v>
      </c>
      <c r="P35" s="11">
        <v>1474.81</v>
      </c>
      <c r="R35" t="s">
        <v>210</v>
      </c>
      <c r="S35" s="5">
        <v>45931</v>
      </c>
      <c r="T35" t="s">
        <v>142</v>
      </c>
      <c r="U35" s="11">
        <v>723.46000000000095</v>
      </c>
      <c r="W35" t="s">
        <v>225</v>
      </c>
      <c r="X35" s="5">
        <v>45901</v>
      </c>
      <c r="Y35" t="s">
        <v>167</v>
      </c>
      <c r="Z35" s="11">
        <v>401.33</v>
      </c>
      <c r="AB35" t="s">
        <v>211</v>
      </c>
      <c r="AC35" s="5">
        <v>45962</v>
      </c>
      <c r="AD35" t="s">
        <v>182</v>
      </c>
      <c r="AE35" s="11">
        <v>7984.1300000002602</v>
      </c>
    </row>
    <row r="36" spans="3:31">
      <c r="C36">
        <v>44</v>
      </c>
      <c r="D36" s="5">
        <v>45957</v>
      </c>
      <c r="E36" t="s">
        <v>121</v>
      </c>
      <c r="F36" s="11">
        <v>322.86</v>
      </c>
      <c r="H36">
        <v>42</v>
      </c>
      <c r="I36" s="5">
        <v>45943</v>
      </c>
      <c r="J36" t="s">
        <v>158</v>
      </c>
      <c r="K36" s="11">
        <v>1768.54000000001</v>
      </c>
      <c r="M36">
        <v>41</v>
      </c>
      <c r="N36" s="5">
        <v>45936</v>
      </c>
      <c r="O36" t="s">
        <v>179</v>
      </c>
      <c r="P36" s="11">
        <v>2379.1000000000099</v>
      </c>
      <c r="R36" t="s">
        <v>210</v>
      </c>
      <c r="S36" s="5">
        <v>45931</v>
      </c>
      <c r="T36" t="s">
        <v>116</v>
      </c>
      <c r="U36" s="11">
        <v>385.07</v>
      </c>
      <c r="W36" t="s">
        <v>225</v>
      </c>
      <c r="X36" s="5">
        <v>45901</v>
      </c>
      <c r="Y36" t="s">
        <v>227</v>
      </c>
      <c r="Z36" s="11"/>
      <c r="AB36" t="s">
        <v>211</v>
      </c>
      <c r="AC36" s="5">
        <v>45962</v>
      </c>
      <c r="AD36" t="s">
        <v>178</v>
      </c>
      <c r="AE36" s="11">
        <v>7412.16999999985</v>
      </c>
    </row>
    <row r="37" spans="3:31">
      <c r="C37">
        <v>44</v>
      </c>
      <c r="D37" s="5">
        <v>45957</v>
      </c>
      <c r="E37" t="s">
        <v>126</v>
      </c>
      <c r="F37" s="11">
        <v>105.03</v>
      </c>
      <c r="H37">
        <v>42</v>
      </c>
      <c r="I37" s="5">
        <v>45943</v>
      </c>
      <c r="J37" t="s">
        <v>173</v>
      </c>
      <c r="K37" s="11">
        <v>507</v>
      </c>
      <c r="M37">
        <v>41</v>
      </c>
      <c r="N37" s="5">
        <v>45936</v>
      </c>
      <c r="O37" t="s">
        <v>178</v>
      </c>
      <c r="P37" s="11">
        <v>1404.20000000001</v>
      </c>
      <c r="R37" t="s">
        <v>210</v>
      </c>
      <c r="S37" s="5">
        <v>45931</v>
      </c>
      <c r="T37" t="s">
        <v>128</v>
      </c>
      <c r="U37" s="11">
        <v>714.23</v>
      </c>
      <c r="W37" t="s">
        <v>226</v>
      </c>
      <c r="X37" s="5">
        <v>45870</v>
      </c>
      <c r="Y37" t="s">
        <v>174</v>
      </c>
      <c r="Z37" s="11">
        <v>2156.16</v>
      </c>
      <c r="AB37" t="s">
        <v>211</v>
      </c>
      <c r="AC37" s="5">
        <v>45962</v>
      </c>
      <c r="AD37" t="s">
        <v>185</v>
      </c>
      <c r="AE37" s="11">
        <v>2225.25000000001</v>
      </c>
    </row>
    <row r="38" spans="3:31">
      <c r="C38">
        <v>44</v>
      </c>
      <c r="D38" s="5">
        <v>45957</v>
      </c>
      <c r="E38" t="s">
        <v>120</v>
      </c>
      <c r="F38" s="11">
        <v>237.2</v>
      </c>
      <c r="H38">
        <v>42</v>
      </c>
      <c r="I38" s="5">
        <v>45943</v>
      </c>
      <c r="J38" t="s">
        <v>163</v>
      </c>
      <c r="K38" s="11">
        <v>420.50000000000199</v>
      </c>
      <c r="M38">
        <v>41</v>
      </c>
      <c r="N38" s="5">
        <v>45936</v>
      </c>
      <c r="O38" t="s">
        <v>183</v>
      </c>
      <c r="P38" s="11">
        <v>374.55</v>
      </c>
      <c r="R38" t="s">
        <v>210</v>
      </c>
      <c r="S38" s="5">
        <v>45931</v>
      </c>
      <c r="T38" t="s">
        <v>135</v>
      </c>
      <c r="U38" s="11">
        <v>210.48</v>
      </c>
      <c r="W38" t="s">
        <v>226</v>
      </c>
      <c r="X38" s="5">
        <v>45870</v>
      </c>
      <c r="Y38" t="s">
        <v>173</v>
      </c>
      <c r="Z38" s="11">
        <v>3137.6500000000201</v>
      </c>
      <c r="AB38" t="s">
        <v>211</v>
      </c>
      <c r="AC38" s="5">
        <v>45962</v>
      </c>
      <c r="AD38" t="s">
        <v>184</v>
      </c>
      <c r="AE38" s="11">
        <v>1884.6924999999901</v>
      </c>
    </row>
    <row r="39" spans="3:31">
      <c r="C39">
        <v>44</v>
      </c>
      <c r="D39" s="5">
        <v>45957</v>
      </c>
      <c r="E39" t="s">
        <v>132</v>
      </c>
      <c r="F39" s="11">
        <v>304.63</v>
      </c>
      <c r="H39">
        <v>42</v>
      </c>
      <c r="I39" s="5">
        <v>45943</v>
      </c>
      <c r="J39" t="s">
        <v>170</v>
      </c>
      <c r="K39" s="11">
        <v>26</v>
      </c>
      <c r="M39">
        <v>41</v>
      </c>
      <c r="N39" s="5">
        <v>45936</v>
      </c>
      <c r="O39" t="s">
        <v>180</v>
      </c>
      <c r="P39" s="11">
        <v>188.2</v>
      </c>
      <c r="R39" t="s">
        <v>210</v>
      </c>
      <c r="S39" s="5">
        <v>45931</v>
      </c>
      <c r="T39" t="s">
        <v>125</v>
      </c>
      <c r="U39" s="11">
        <v>224.6</v>
      </c>
      <c r="W39" t="s">
        <v>226</v>
      </c>
      <c r="X39" s="5">
        <v>45870</v>
      </c>
      <c r="Y39" t="s">
        <v>165</v>
      </c>
      <c r="Z39" s="11">
        <v>1820.8999999999901</v>
      </c>
      <c r="AB39" t="s">
        <v>211</v>
      </c>
      <c r="AC39" s="5">
        <v>45962</v>
      </c>
      <c r="AD39" t="s">
        <v>183</v>
      </c>
      <c r="AE39" s="11">
        <v>2365.7799999999602</v>
      </c>
    </row>
    <row r="40" spans="3:31">
      <c r="C40">
        <v>44</v>
      </c>
      <c r="D40" s="5">
        <v>45957</v>
      </c>
      <c r="E40" t="s">
        <v>113</v>
      </c>
      <c r="F40" s="11">
        <v>212.4</v>
      </c>
      <c r="H40">
        <v>42</v>
      </c>
      <c r="I40" s="5">
        <v>45943</v>
      </c>
      <c r="J40" t="s">
        <v>171</v>
      </c>
      <c r="K40" s="11">
        <v>325.8</v>
      </c>
      <c r="M40">
        <v>40</v>
      </c>
      <c r="N40" s="5">
        <v>45929</v>
      </c>
      <c r="O40" t="s">
        <v>184</v>
      </c>
      <c r="P40" s="11">
        <v>505.40999999999798</v>
      </c>
      <c r="R40" t="s">
        <v>210</v>
      </c>
      <c r="S40" s="5">
        <v>45931</v>
      </c>
      <c r="T40" t="s">
        <v>132</v>
      </c>
      <c r="U40" s="11">
        <v>789.11</v>
      </c>
      <c r="W40" t="s">
        <v>226</v>
      </c>
      <c r="X40" s="5">
        <v>45870</v>
      </c>
      <c r="Y40" t="s">
        <v>171</v>
      </c>
      <c r="Z40" s="11">
        <v>1473.82</v>
      </c>
      <c r="AB40" t="s">
        <v>211</v>
      </c>
      <c r="AC40" s="5">
        <v>45962</v>
      </c>
      <c r="AD40" t="s">
        <v>180</v>
      </c>
      <c r="AE40" s="11">
        <v>1543.6000000000099</v>
      </c>
    </row>
    <row r="41" spans="3:31">
      <c r="C41">
        <v>44</v>
      </c>
      <c r="D41" s="5">
        <v>45957</v>
      </c>
      <c r="E41" t="s">
        <v>124</v>
      </c>
      <c r="F41" s="11">
        <v>456.86</v>
      </c>
      <c r="H41">
        <v>42</v>
      </c>
      <c r="I41" s="5">
        <v>45943</v>
      </c>
      <c r="J41" t="s">
        <v>174</v>
      </c>
      <c r="K41" s="11">
        <v>1012.64</v>
      </c>
      <c r="M41">
        <v>40</v>
      </c>
      <c r="N41" s="5">
        <v>45929</v>
      </c>
      <c r="O41" t="s">
        <v>183</v>
      </c>
      <c r="P41" s="11">
        <v>592.75</v>
      </c>
      <c r="R41" t="s">
        <v>210</v>
      </c>
      <c r="S41" s="5">
        <v>45931</v>
      </c>
      <c r="T41" t="s">
        <v>120</v>
      </c>
      <c r="U41" s="11">
        <v>769.96</v>
      </c>
      <c r="W41" t="s">
        <v>226</v>
      </c>
      <c r="X41" s="5">
        <v>45870</v>
      </c>
      <c r="Y41" t="s">
        <v>169</v>
      </c>
      <c r="Z41" s="11">
        <v>2913.24999999996</v>
      </c>
      <c r="AB41" t="s">
        <v>211</v>
      </c>
      <c r="AC41" s="5">
        <v>45962</v>
      </c>
      <c r="AD41" t="s">
        <v>186</v>
      </c>
      <c r="AE41" s="11">
        <v>951.22500000000298</v>
      </c>
    </row>
    <row r="42" spans="3:31">
      <c r="C42">
        <v>43</v>
      </c>
      <c r="D42" s="5">
        <v>45950</v>
      </c>
      <c r="E42" t="s">
        <v>150</v>
      </c>
      <c r="F42" s="11">
        <v>63.06</v>
      </c>
      <c r="H42">
        <v>42</v>
      </c>
      <c r="I42" s="5">
        <v>45943</v>
      </c>
      <c r="J42" t="s">
        <v>176</v>
      </c>
      <c r="K42" s="11">
        <v>118.44</v>
      </c>
      <c r="M42">
        <v>40</v>
      </c>
      <c r="N42" s="5">
        <v>45929</v>
      </c>
      <c r="O42" t="s">
        <v>179</v>
      </c>
      <c r="P42" s="11">
        <v>2354.66</v>
      </c>
      <c r="R42" t="s">
        <v>225</v>
      </c>
      <c r="S42" s="5">
        <v>45901</v>
      </c>
      <c r="T42" t="s">
        <v>117</v>
      </c>
      <c r="U42" s="11">
        <v>1390.35</v>
      </c>
      <c r="W42" t="s">
        <v>226</v>
      </c>
      <c r="X42" s="5">
        <v>45870</v>
      </c>
      <c r="Y42" t="s">
        <v>168</v>
      </c>
      <c r="Z42" s="11">
        <v>1287.55</v>
      </c>
      <c r="AB42" t="s">
        <v>213</v>
      </c>
      <c r="AC42" s="5">
        <v>45992</v>
      </c>
      <c r="AD42" t="s">
        <v>181</v>
      </c>
      <c r="AE42" s="11">
        <v>6268.2300000000296</v>
      </c>
    </row>
    <row r="43" spans="3:31">
      <c r="C43">
        <v>43</v>
      </c>
      <c r="D43" s="5">
        <v>45950</v>
      </c>
      <c r="E43" t="s">
        <v>139</v>
      </c>
      <c r="F43" s="11">
        <v>223.13</v>
      </c>
      <c r="H43">
        <v>42</v>
      </c>
      <c r="I43" s="5">
        <v>45943</v>
      </c>
      <c r="J43" t="s">
        <v>164</v>
      </c>
      <c r="K43" s="11">
        <v>28.8</v>
      </c>
      <c r="M43">
        <v>40</v>
      </c>
      <c r="N43" s="5">
        <v>45929</v>
      </c>
      <c r="O43" t="s">
        <v>182</v>
      </c>
      <c r="P43" s="11">
        <v>1494.0999999999899</v>
      </c>
      <c r="R43" t="s">
        <v>225</v>
      </c>
      <c r="S43" s="5">
        <v>45901</v>
      </c>
      <c r="T43" t="s">
        <v>150</v>
      </c>
      <c r="U43" s="11">
        <v>428.63</v>
      </c>
      <c r="W43" t="s">
        <v>226</v>
      </c>
      <c r="X43" s="5">
        <v>45870</v>
      </c>
      <c r="Y43" t="s">
        <v>163</v>
      </c>
      <c r="Z43" s="11">
        <v>1231.6499999999801</v>
      </c>
      <c r="AB43" t="s">
        <v>213</v>
      </c>
      <c r="AC43" s="5">
        <v>45992</v>
      </c>
      <c r="AD43" t="s">
        <v>183</v>
      </c>
      <c r="AE43" s="11">
        <v>1776.52999999998</v>
      </c>
    </row>
    <row r="44" spans="3:31">
      <c r="C44">
        <v>43</v>
      </c>
      <c r="D44" s="5">
        <v>45950</v>
      </c>
      <c r="E44" t="s">
        <v>219</v>
      </c>
      <c r="F44" s="11">
        <v>256.43</v>
      </c>
      <c r="H44">
        <v>42</v>
      </c>
      <c r="I44" s="5">
        <v>45943</v>
      </c>
      <c r="J44" t="s">
        <v>165</v>
      </c>
      <c r="K44" s="11">
        <v>253.85</v>
      </c>
      <c r="M44">
        <v>40</v>
      </c>
      <c r="N44" s="5">
        <v>45929</v>
      </c>
      <c r="O44" t="s">
        <v>181</v>
      </c>
      <c r="P44" s="11">
        <v>1237.3599999999999</v>
      </c>
      <c r="R44" t="s">
        <v>225</v>
      </c>
      <c r="S44" s="5">
        <v>45901</v>
      </c>
      <c r="T44" t="s">
        <v>129</v>
      </c>
      <c r="U44" s="11">
        <v>465.69</v>
      </c>
      <c r="W44" t="s">
        <v>226</v>
      </c>
      <c r="X44" s="5">
        <v>45870</v>
      </c>
      <c r="Y44" t="s">
        <v>160</v>
      </c>
      <c r="Z44" s="11">
        <v>12017.52</v>
      </c>
      <c r="AB44" t="s">
        <v>213</v>
      </c>
      <c r="AC44" s="5">
        <v>45992</v>
      </c>
      <c r="AD44" t="s">
        <v>179</v>
      </c>
      <c r="AE44" s="11">
        <v>10584.380000000099</v>
      </c>
    </row>
    <row r="45" spans="3:31">
      <c r="C45">
        <v>43</v>
      </c>
      <c r="D45" s="5">
        <v>45950</v>
      </c>
      <c r="E45" t="s">
        <v>136</v>
      </c>
      <c r="F45" s="11">
        <v>81.239999999999995</v>
      </c>
      <c r="H45">
        <v>42</v>
      </c>
      <c r="I45" s="5">
        <v>45943</v>
      </c>
      <c r="J45" t="s">
        <v>168</v>
      </c>
      <c r="K45" s="11">
        <v>501.97999999999701</v>
      </c>
      <c r="M45">
        <v>40</v>
      </c>
      <c r="N45" s="5">
        <v>45929</v>
      </c>
      <c r="O45" t="s">
        <v>178</v>
      </c>
      <c r="P45" s="11">
        <v>1529.1500000000101</v>
      </c>
      <c r="R45" t="s">
        <v>225</v>
      </c>
      <c r="S45" s="5">
        <v>45901</v>
      </c>
      <c r="T45" t="s">
        <v>118</v>
      </c>
      <c r="U45" s="11">
        <v>959.21</v>
      </c>
      <c r="W45" t="s">
        <v>226</v>
      </c>
      <c r="X45" s="5">
        <v>45870</v>
      </c>
      <c r="Y45" t="s">
        <v>158</v>
      </c>
      <c r="Z45" s="11">
        <v>1335.3399999999899</v>
      </c>
      <c r="AB45" t="s">
        <v>213</v>
      </c>
      <c r="AC45" s="5">
        <v>45992</v>
      </c>
      <c r="AD45" t="s">
        <v>182</v>
      </c>
      <c r="AE45" s="11">
        <v>6828.6900000001597</v>
      </c>
    </row>
    <row r="46" spans="3:31">
      <c r="C46">
        <v>43</v>
      </c>
      <c r="D46" s="5">
        <v>45950</v>
      </c>
      <c r="E46" t="s">
        <v>117</v>
      </c>
      <c r="F46" s="11">
        <v>255.6</v>
      </c>
      <c r="H46">
        <v>42</v>
      </c>
      <c r="I46" s="5">
        <v>45943</v>
      </c>
      <c r="J46" t="s">
        <v>172</v>
      </c>
      <c r="K46" s="11">
        <v>111.44</v>
      </c>
      <c r="M46">
        <v>40</v>
      </c>
      <c r="N46" s="5">
        <v>45929</v>
      </c>
      <c r="O46" t="s">
        <v>185</v>
      </c>
      <c r="P46" s="11">
        <v>658.54999999999905</v>
      </c>
      <c r="R46" t="s">
        <v>225</v>
      </c>
      <c r="S46" s="5">
        <v>45901</v>
      </c>
      <c r="T46" t="s">
        <v>116</v>
      </c>
      <c r="U46" s="11">
        <v>662.87000000000103</v>
      </c>
      <c r="W46" t="s">
        <v>226</v>
      </c>
      <c r="X46" s="5">
        <v>45870</v>
      </c>
      <c r="Y46" t="s">
        <v>170</v>
      </c>
      <c r="Z46" s="11">
        <v>238</v>
      </c>
      <c r="AB46" t="s">
        <v>213</v>
      </c>
      <c r="AC46" s="5">
        <v>45992</v>
      </c>
      <c r="AD46" t="s">
        <v>178</v>
      </c>
      <c r="AE46" s="11">
        <v>7187.0099999998502</v>
      </c>
    </row>
    <row r="47" spans="3:31">
      <c r="C47">
        <v>43</v>
      </c>
      <c r="D47" s="5">
        <v>45950</v>
      </c>
      <c r="E47" t="s">
        <v>111</v>
      </c>
      <c r="F47" s="11">
        <v>298.64</v>
      </c>
      <c r="H47">
        <v>41</v>
      </c>
      <c r="I47" s="5">
        <v>45936</v>
      </c>
      <c r="J47" t="s">
        <v>168</v>
      </c>
      <c r="K47" s="11">
        <v>414.51999999999799</v>
      </c>
      <c r="M47">
        <v>40</v>
      </c>
      <c r="N47" s="5">
        <v>45929</v>
      </c>
      <c r="O47" t="s">
        <v>180</v>
      </c>
      <c r="P47" s="11">
        <v>222.7</v>
      </c>
      <c r="R47" t="s">
        <v>225</v>
      </c>
      <c r="S47" s="5">
        <v>45901</v>
      </c>
      <c r="T47" t="s">
        <v>136</v>
      </c>
      <c r="U47" s="11">
        <v>412.01</v>
      </c>
      <c r="W47" t="s">
        <v>226</v>
      </c>
      <c r="X47" s="5">
        <v>45870</v>
      </c>
      <c r="Y47" t="s">
        <v>176</v>
      </c>
      <c r="Z47" s="11">
        <v>256.60000000000099</v>
      </c>
      <c r="AB47" t="s">
        <v>213</v>
      </c>
      <c r="AC47" s="5">
        <v>45992</v>
      </c>
      <c r="AD47" t="s">
        <v>184</v>
      </c>
      <c r="AE47" s="11">
        <v>1629.51</v>
      </c>
    </row>
    <row r="48" spans="3:31">
      <c r="C48">
        <v>43</v>
      </c>
      <c r="D48" s="5">
        <v>45950</v>
      </c>
      <c r="E48" t="s">
        <v>114</v>
      </c>
      <c r="F48" s="11">
        <v>258.14999999999998</v>
      </c>
      <c r="H48">
        <v>41</v>
      </c>
      <c r="I48" s="5">
        <v>45936</v>
      </c>
      <c r="J48" t="s">
        <v>173</v>
      </c>
      <c r="K48" s="11">
        <v>588.24999999999898</v>
      </c>
      <c r="M48">
        <v>40</v>
      </c>
      <c r="N48" s="5">
        <v>45929</v>
      </c>
      <c r="O48" t="s">
        <v>186</v>
      </c>
      <c r="P48" s="11">
        <v>2.2000000000000002</v>
      </c>
      <c r="R48" t="s">
        <v>225</v>
      </c>
      <c r="S48" s="5">
        <v>45901</v>
      </c>
      <c r="T48" t="s">
        <v>219</v>
      </c>
      <c r="U48" s="11">
        <v>1813.06</v>
      </c>
      <c r="W48" t="s">
        <v>226</v>
      </c>
      <c r="X48" s="5">
        <v>45870</v>
      </c>
      <c r="Y48" t="s">
        <v>164</v>
      </c>
      <c r="Z48" s="11">
        <v>44.4</v>
      </c>
      <c r="AB48" t="s">
        <v>213</v>
      </c>
      <c r="AC48" s="5">
        <v>45992</v>
      </c>
      <c r="AD48" t="s">
        <v>185</v>
      </c>
      <c r="AE48" s="11">
        <v>2697.5500000000202</v>
      </c>
    </row>
    <row r="49" spans="3:31">
      <c r="C49">
        <v>43</v>
      </c>
      <c r="D49" s="5">
        <v>45950</v>
      </c>
      <c r="E49" t="s">
        <v>149</v>
      </c>
      <c r="F49" s="11">
        <v>106.09</v>
      </c>
      <c r="H49">
        <v>41</v>
      </c>
      <c r="I49" s="5">
        <v>45936</v>
      </c>
      <c r="J49" t="s">
        <v>169</v>
      </c>
      <c r="K49" s="11">
        <v>1511.8999999999901</v>
      </c>
      <c r="M49">
        <v>39</v>
      </c>
      <c r="N49" s="5">
        <v>45922</v>
      </c>
      <c r="O49" t="s">
        <v>179</v>
      </c>
      <c r="P49" s="11">
        <v>2347.6999999999998</v>
      </c>
      <c r="R49" t="s">
        <v>225</v>
      </c>
      <c r="S49" s="5">
        <v>45901</v>
      </c>
      <c r="T49" t="s">
        <v>122</v>
      </c>
      <c r="U49" s="11">
        <v>1254.99</v>
      </c>
      <c r="W49" t="s">
        <v>226</v>
      </c>
      <c r="X49" s="5">
        <v>45870</v>
      </c>
      <c r="Y49" t="s">
        <v>172</v>
      </c>
      <c r="Z49" s="11">
        <v>133.33000000000001</v>
      </c>
      <c r="AB49" t="s">
        <v>213</v>
      </c>
      <c r="AC49" s="5">
        <v>45992</v>
      </c>
      <c r="AD49" t="s">
        <v>186</v>
      </c>
      <c r="AE49" s="11">
        <v>211.5</v>
      </c>
    </row>
    <row r="50" spans="3:31">
      <c r="C50">
        <v>43</v>
      </c>
      <c r="D50" s="5">
        <v>45950</v>
      </c>
      <c r="E50" t="s">
        <v>146</v>
      </c>
      <c r="F50" s="11">
        <v>526.45000000000005</v>
      </c>
      <c r="H50">
        <v>41</v>
      </c>
      <c r="I50" s="5">
        <v>45936</v>
      </c>
      <c r="J50" t="s">
        <v>171</v>
      </c>
      <c r="K50" s="11">
        <v>762.74000000000206</v>
      </c>
      <c r="M50">
        <v>39</v>
      </c>
      <c r="N50" s="5">
        <v>45922</v>
      </c>
      <c r="O50" t="s">
        <v>183</v>
      </c>
      <c r="P50" s="11">
        <v>685.99999999999898</v>
      </c>
      <c r="R50" t="s">
        <v>225</v>
      </c>
      <c r="S50" s="5">
        <v>45901</v>
      </c>
      <c r="T50" t="s">
        <v>139</v>
      </c>
      <c r="U50" s="11">
        <v>1211.21</v>
      </c>
      <c r="W50" t="s">
        <v>211</v>
      </c>
      <c r="X50" s="5">
        <v>45962</v>
      </c>
      <c r="Y50" t="s">
        <v>171</v>
      </c>
      <c r="Z50" s="11">
        <v>2232.75</v>
      </c>
      <c r="AB50" t="s">
        <v>213</v>
      </c>
      <c r="AC50" s="5">
        <v>45992</v>
      </c>
      <c r="AD50" t="s">
        <v>180</v>
      </c>
      <c r="AE50" s="11">
        <v>1411.2</v>
      </c>
    </row>
    <row r="51" spans="3:31">
      <c r="C51">
        <v>43</v>
      </c>
      <c r="D51" s="5">
        <v>45950</v>
      </c>
      <c r="E51" t="s">
        <v>112</v>
      </c>
      <c r="F51" s="11">
        <v>72.23</v>
      </c>
      <c r="H51">
        <v>41</v>
      </c>
      <c r="I51" s="5">
        <v>45936</v>
      </c>
      <c r="J51" t="s">
        <v>174</v>
      </c>
      <c r="K51" s="11">
        <v>712.07</v>
      </c>
      <c r="M51">
        <v>39</v>
      </c>
      <c r="N51" s="5">
        <v>45922</v>
      </c>
      <c r="O51" t="s">
        <v>181</v>
      </c>
      <c r="P51" s="11">
        <v>333.63</v>
      </c>
      <c r="R51" t="s">
        <v>225</v>
      </c>
      <c r="S51" s="5">
        <v>45901</v>
      </c>
      <c r="T51" t="s">
        <v>114</v>
      </c>
      <c r="U51" s="11">
        <v>1208.8399999999999</v>
      </c>
      <c r="W51" t="s">
        <v>211</v>
      </c>
      <c r="X51" s="5">
        <v>45962</v>
      </c>
      <c r="Y51" t="s">
        <v>160</v>
      </c>
      <c r="Z51" s="11">
        <v>14854.55</v>
      </c>
      <c r="AB51" t="s">
        <v>215</v>
      </c>
      <c r="AC51" s="5">
        <v>46054</v>
      </c>
      <c r="AD51" t="s">
        <v>179</v>
      </c>
      <c r="AE51" s="11">
        <v>12848.75</v>
      </c>
    </row>
    <row r="52" spans="3:31">
      <c r="C52">
        <v>43</v>
      </c>
      <c r="D52" s="5">
        <v>45950</v>
      </c>
      <c r="E52" t="s">
        <v>145</v>
      </c>
      <c r="F52" s="11">
        <v>287.51</v>
      </c>
      <c r="H52">
        <v>41</v>
      </c>
      <c r="I52" s="5">
        <v>45936</v>
      </c>
      <c r="J52" t="s">
        <v>160</v>
      </c>
      <c r="K52" s="11">
        <v>3484.34</v>
      </c>
      <c r="M52">
        <v>39</v>
      </c>
      <c r="N52" s="5">
        <v>45922</v>
      </c>
      <c r="O52" t="s">
        <v>184</v>
      </c>
      <c r="P52" s="11">
        <v>500.16999999999899</v>
      </c>
      <c r="R52" t="s">
        <v>225</v>
      </c>
      <c r="S52" s="5">
        <v>45901</v>
      </c>
      <c r="T52" t="s">
        <v>132</v>
      </c>
      <c r="U52" s="11">
        <v>915.97000000000105</v>
      </c>
      <c r="W52" t="s">
        <v>211</v>
      </c>
      <c r="X52" s="5">
        <v>45962</v>
      </c>
      <c r="Y52" t="s">
        <v>174</v>
      </c>
      <c r="Z52" s="11">
        <v>2120.48000000001</v>
      </c>
      <c r="AB52" t="s">
        <v>215</v>
      </c>
      <c r="AC52" s="5">
        <v>46054</v>
      </c>
      <c r="AD52" t="s">
        <v>181</v>
      </c>
      <c r="AE52" s="11">
        <v>6490.1000000000604</v>
      </c>
    </row>
    <row r="53" spans="3:31">
      <c r="C53">
        <v>43</v>
      </c>
      <c r="D53" s="5">
        <v>45950</v>
      </c>
      <c r="E53" t="s">
        <v>118</v>
      </c>
      <c r="F53" s="11">
        <v>164.38</v>
      </c>
      <c r="H53">
        <v>41</v>
      </c>
      <c r="I53" s="5">
        <v>45936</v>
      </c>
      <c r="J53" t="s">
        <v>158</v>
      </c>
      <c r="K53" s="11">
        <v>298.95999999999998</v>
      </c>
      <c r="M53">
        <v>39</v>
      </c>
      <c r="N53" s="5">
        <v>45922</v>
      </c>
      <c r="O53" t="s">
        <v>178</v>
      </c>
      <c r="P53" s="11">
        <v>1547.00000000001</v>
      </c>
      <c r="R53" t="s">
        <v>225</v>
      </c>
      <c r="S53" s="5">
        <v>45901</v>
      </c>
      <c r="T53" t="s">
        <v>140</v>
      </c>
      <c r="U53" s="11">
        <v>368.92</v>
      </c>
      <c r="W53" t="s">
        <v>211</v>
      </c>
      <c r="X53" s="5">
        <v>45962</v>
      </c>
      <c r="Y53" t="s">
        <v>169</v>
      </c>
      <c r="Z53" s="11">
        <v>7984.1300000002602</v>
      </c>
      <c r="AB53" t="s">
        <v>215</v>
      </c>
      <c r="AC53" s="5">
        <v>46054</v>
      </c>
      <c r="AD53" t="s">
        <v>183</v>
      </c>
      <c r="AE53" s="11">
        <v>1857.6399999999801</v>
      </c>
    </row>
    <row r="54" spans="3:31">
      <c r="C54">
        <v>43</v>
      </c>
      <c r="D54" s="5">
        <v>45950</v>
      </c>
      <c r="E54" t="s">
        <v>138</v>
      </c>
      <c r="F54" s="11">
        <v>390.52</v>
      </c>
      <c r="H54">
        <v>41</v>
      </c>
      <c r="I54" s="5">
        <v>45936</v>
      </c>
      <c r="J54" t="s">
        <v>170</v>
      </c>
      <c r="K54" s="11">
        <v>72</v>
      </c>
      <c r="M54">
        <v>39</v>
      </c>
      <c r="N54" s="5">
        <v>45922</v>
      </c>
      <c r="O54" t="s">
        <v>180</v>
      </c>
      <c r="P54" s="11">
        <v>665.95000000000095</v>
      </c>
      <c r="R54" t="s">
        <v>225</v>
      </c>
      <c r="S54" s="5">
        <v>45901</v>
      </c>
      <c r="T54" t="s">
        <v>128</v>
      </c>
      <c r="U54" s="11">
        <v>962.89000000000101</v>
      </c>
      <c r="W54" t="s">
        <v>211</v>
      </c>
      <c r="X54" s="5">
        <v>45962</v>
      </c>
      <c r="Y54" t="s">
        <v>173</v>
      </c>
      <c r="Z54" s="11">
        <v>2225.25000000001</v>
      </c>
      <c r="AB54" t="s">
        <v>215</v>
      </c>
      <c r="AC54" s="5">
        <v>46054</v>
      </c>
      <c r="AD54" t="s">
        <v>182</v>
      </c>
      <c r="AE54" s="11">
        <v>8957.5600000003196</v>
      </c>
    </row>
    <row r="55" spans="3:31">
      <c r="C55">
        <v>43</v>
      </c>
      <c r="D55" s="5">
        <v>45950</v>
      </c>
      <c r="E55" t="s">
        <v>134</v>
      </c>
      <c r="F55" s="11">
        <v>298.18</v>
      </c>
      <c r="H55">
        <v>41</v>
      </c>
      <c r="I55" s="5">
        <v>45936</v>
      </c>
      <c r="J55" t="s">
        <v>165</v>
      </c>
      <c r="K55" s="11">
        <v>188.2</v>
      </c>
      <c r="M55">
        <v>39</v>
      </c>
      <c r="N55" s="5">
        <v>45922</v>
      </c>
      <c r="O55" t="s">
        <v>182</v>
      </c>
      <c r="P55" s="11">
        <v>1407.74999999999</v>
      </c>
      <c r="R55" t="s">
        <v>225</v>
      </c>
      <c r="S55" s="5">
        <v>45901</v>
      </c>
      <c r="T55" t="s">
        <v>119</v>
      </c>
      <c r="U55" s="11">
        <v>1942.14</v>
      </c>
      <c r="W55" t="s">
        <v>211</v>
      </c>
      <c r="X55" s="5">
        <v>45962</v>
      </c>
      <c r="Y55" t="s">
        <v>168</v>
      </c>
      <c r="Z55" s="11">
        <v>1520.5799999999899</v>
      </c>
      <c r="AB55" t="s">
        <v>215</v>
      </c>
      <c r="AC55" s="5">
        <v>46054</v>
      </c>
      <c r="AD55" t="s">
        <v>178</v>
      </c>
      <c r="AE55" s="11">
        <v>9180.8499999999403</v>
      </c>
    </row>
    <row r="56" spans="3:31">
      <c r="C56">
        <v>43</v>
      </c>
      <c r="D56" s="5">
        <v>45950</v>
      </c>
      <c r="E56" t="s">
        <v>129</v>
      </c>
      <c r="F56" s="11">
        <v>371.08</v>
      </c>
      <c r="H56">
        <v>41</v>
      </c>
      <c r="I56" s="5">
        <v>45936</v>
      </c>
      <c r="J56" t="s">
        <v>163</v>
      </c>
      <c r="K56" s="11">
        <v>224.43</v>
      </c>
      <c r="M56">
        <v>39</v>
      </c>
      <c r="N56" s="5">
        <v>45922</v>
      </c>
      <c r="O56" t="s">
        <v>185</v>
      </c>
      <c r="P56" s="11">
        <v>635.599999999999</v>
      </c>
      <c r="R56" t="s">
        <v>225</v>
      </c>
      <c r="S56" s="5">
        <v>45901</v>
      </c>
      <c r="T56" t="s">
        <v>134</v>
      </c>
      <c r="U56" s="11">
        <v>1551.33</v>
      </c>
      <c r="W56" t="s">
        <v>211</v>
      </c>
      <c r="X56" s="5">
        <v>45962</v>
      </c>
      <c r="Y56" t="s">
        <v>176</v>
      </c>
      <c r="Z56" s="11">
        <v>528.43999999999801</v>
      </c>
      <c r="AB56" t="s">
        <v>215</v>
      </c>
      <c r="AC56" s="5">
        <v>46054</v>
      </c>
      <c r="AD56" t="s">
        <v>184</v>
      </c>
      <c r="AE56" s="11">
        <v>2617.0799999999899</v>
      </c>
    </row>
    <row r="57" spans="3:31">
      <c r="C57">
        <v>43</v>
      </c>
      <c r="D57" s="5">
        <v>45950</v>
      </c>
      <c r="E57" t="s">
        <v>133</v>
      </c>
      <c r="F57" s="11">
        <v>289.08999999999997</v>
      </c>
      <c r="H57">
        <v>41</v>
      </c>
      <c r="I57" s="5">
        <v>45936</v>
      </c>
      <c r="J57" t="s">
        <v>176</v>
      </c>
      <c r="K57" s="11">
        <v>73.319999999999993</v>
      </c>
      <c r="M57">
        <v>38</v>
      </c>
      <c r="N57" s="5">
        <v>45915</v>
      </c>
      <c r="O57" t="s">
        <v>184</v>
      </c>
      <c r="P57" s="11">
        <v>430.41999999999899</v>
      </c>
      <c r="R57" t="s">
        <v>225</v>
      </c>
      <c r="S57" s="5">
        <v>45901</v>
      </c>
      <c r="T57" t="s">
        <v>111</v>
      </c>
      <c r="U57" s="11">
        <v>1343.57</v>
      </c>
      <c r="W57" t="s">
        <v>211</v>
      </c>
      <c r="X57" s="5">
        <v>45962</v>
      </c>
      <c r="Y57" t="s">
        <v>198</v>
      </c>
      <c r="Z57" s="11">
        <v>3053.54</v>
      </c>
      <c r="AB57" t="s">
        <v>215</v>
      </c>
      <c r="AC57" s="5">
        <v>46054</v>
      </c>
      <c r="AD57" t="s">
        <v>185</v>
      </c>
      <c r="AE57" s="11">
        <v>4625.9500000000298</v>
      </c>
    </row>
    <row r="58" spans="3:31">
      <c r="C58">
        <v>43</v>
      </c>
      <c r="D58" s="5">
        <v>45950</v>
      </c>
      <c r="E58" t="s">
        <v>141</v>
      </c>
      <c r="F58" s="11">
        <v>601.45000000000005</v>
      </c>
      <c r="H58">
        <v>41</v>
      </c>
      <c r="I58" s="5">
        <v>45936</v>
      </c>
      <c r="J58" t="s">
        <v>164</v>
      </c>
      <c r="K58" s="11">
        <v>4.8</v>
      </c>
      <c r="M58">
        <v>38</v>
      </c>
      <c r="N58" s="5">
        <v>45915</v>
      </c>
      <c r="O58" t="s">
        <v>185</v>
      </c>
      <c r="P58" s="11">
        <v>598.44999999999902</v>
      </c>
      <c r="R58" t="s">
        <v>225</v>
      </c>
      <c r="S58" s="5">
        <v>45901</v>
      </c>
      <c r="T58" t="s">
        <v>125</v>
      </c>
      <c r="U58" s="11">
        <v>313.31</v>
      </c>
      <c r="W58" t="s">
        <v>211</v>
      </c>
      <c r="X58" s="5">
        <v>45962</v>
      </c>
      <c r="Y58" t="s">
        <v>158</v>
      </c>
      <c r="Z58" s="11">
        <v>2119.4</v>
      </c>
      <c r="AB58" t="s">
        <v>215</v>
      </c>
      <c r="AC58" s="5">
        <v>46054</v>
      </c>
      <c r="AD58" t="s">
        <v>186</v>
      </c>
      <c r="AE58" s="11"/>
    </row>
    <row r="59" spans="3:31">
      <c r="C59">
        <v>43</v>
      </c>
      <c r="D59" s="5">
        <v>45950</v>
      </c>
      <c r="E59" t="s">
        <v>137</v>
      </c>
      <c r="F59" s="11">
        <v>96.74</v>
      </c>
      <c r="H59">
        <v>41</v>
      </c>
      <c r="I59" s="5">
        <v>45936</v>
      </c>
      <c r="J59" t="s">
        <v>172</v>
      </c>
      <c r="K59" s="11">
        <v>49.75</v>
      </c>
      <c r="M59">
        <v>38</v>
      </c>
      <c r="N59" s="5">
        <v>45915</v>
      </c>
      <c r="O59" t="s">
        <v>182</v>
      </c>
      <c r="P59" s="11">
        <v>1402.1499999999901</v>
      </c>
      <c r="R59" t="s">
        <v>225</v>
      </c>
      <c r="S59" s="5">
        <v>45901</v>
      </c>
      <c r="T59" t="s">
        <v>133</v>
      </c>
      <c r="U59" s="11">
        <v>1588.8</v>
      </c>
      <c r="W59" t="s">
        <v>211</v>
      </c>
      <c r="X59" s="5">
        <v>45962</v>
      </c>
      <c r="Y59" t="s">
        <v>163</v>
      </c>
      <c r="Z59" s="11">
        <v>1470.53999999998</v>
      </c>
      <c r="AB59" t="s">
        <v>215</v>
      </c>
      <c r="AC59" s="5">
        <v>46054</v>
      </c>
      <c r="AD59" t="s">
        <v>180</v>
      </c>
      <c r="AE59" s="11">
        <v>16.899999999999999</v>
      </c>
    </row>
    <row r="60" spans="3:31">
      <c r="C60">
        <v>43</v>
      </c>
      <c r="D60" s="5">
        <v>45950</v>
      </c>
      <c r="E60" t="s">
        <v>128</v>
      </c>
      <c r="F60" s="11">
        <v>166.75</v>
      </c>
      <c r="H60">
        <v>40</v>
      </c>
      <c r="I60" s="5">
        <v>45929</v>
      </c>
      <c r="J60" t="s">
        <v>168</v>
      </c>
      <c r="K60" s="11">
        <v>445.70999999999799</v>
      </c>
      <c r="M60">
        <v>38</v>
      </c>
      <c r="N60" s="5">
        <v>45915</v>
      </c>
      <c r="O60" t="s">
        <v>178</v>
      </c>
      <c r="P60" s="11">
        <v>1386.3500000000099</v>
      </c>
      <c r="R60" t="s">
        <v>225</v>
      </c>
      <c r="S60" s="5">
        <v>45901</v>
      </c>
      <c r="T60" t="s">
        <v>149</v>
      </c>
      <c r="U60" s="11">
        <v>692.87000000000103</v>
      </c>
      <c r="W60" t="s">
        <v>211</v>
      </c>
      <c r="X60" s="5">
        <v>45962</v>
      </c>
      <c r="Y60" t="s">
        <v>170</v>
      </c>
      <c r="Z60" s="11">
        <v>284</v>
      </c>
      <c r="AB60" t="s">
        <v>199</v>
      </c>
      <c r="AC60" s="5">
        <v>46082</v>
      </c>
      <c r="AD60" t="s">
        <v>182</v>
      </c>
      <c r="AE60" s="11">
        <v>9696.6900000001406</v>
      </c>
    </row>
    <row r="61" spans="3:31">
      <c r="C61">
        <v>43</v>
      </c>
      <c r="D61" s="5">
        <v>45950</v>
      </c>
      <c r="E61" t="s">
        <v>143</v>
      </c>
      <c r="F61" s="11">
        <v>1336.77</v>
      </c>
      <c r="H61">
        <v>40</v>
      </c>
      <c r="I61" s="5">
        <v>45929</v>
      </c>
      <c r="J61" t="s">
        <v>170</v>
      </c>
      <c r="K61" s="11">
        <v>80</v>
      </c>
      <c r="M61">
        <v>38</v>
      </c>
      <c r="N61" s="5">
        <v>45915</v>
      </c>
      <c r="O61" t="s">
        <v>179</v>
      </c>
      <c r="P61" s="11">
        <v>2433.4500000000098</v>
      </c>
      <c r="R61" t="s">
        <v>225</v>
      </c>
      <c r="S61" s="5">
        <v>45901</v>
      </c>
      <c r="T61" t="s">
        <v>123</v>
      </c>
      <c r="U61" s="11">
        <v>2078.77</v>
      </c>
      <c r="W61" t="s">
        <v>211</v>
      </c>
      <c r="X61" s="5">
        <v>45962</v>
      </c>
      <c r="Y61" t="s">
        <v>165</v>
      </c>
      <c r="Z61" s="11">
        <v>1543.6000000000099</v>
      </c>
      <c r="AB61" t="s">
        <v>199</v>
      </c>
      <c r="AC61" s="5">
        <v>46082</v>
      </c>
      <c r="AD61" t="s">
        <v>178</v>
      </c>
      <c r="AE61" s="11">
        <v>11071.8500000001</v>
      </c>
    </row>
    <row r="62" spans="3:31">
      <c r="C62">
        <v>43</v>
      </c>
      <c r="D62" s="5">
        <v>45950</v>
      </c>
      <c r="E62" t="s">
        <v>135</v>
      </c>
      <c r="F62" s="11">
        <v>56.65</v>
      </c>
      <c r="H62">
        <v>40</v>
      </c>
      <c r="I62" s="5">
        <v>45929</v>
      </c>
      <c r="J62" t="s">
        <v>160</v>
      </c>
      <c r="K62" s="11">
        <v>3570.8899999999899</v>
      </c>
      <c r="M62">
        <v>38</v>
      </c>
      <c r="N62" s="5">
        <v>45915</v>
      </c>
      <c r="O62" t="s">
        <v>181</v>
      </c>
      <c r="P62" s="11">
        <v>1154.04</v>
      </c>
      <c r="R62" t="s">
        <v>225</v>
      </c>
      <c r="S62" s="5">
        <v>45901</v>
      </c>
      <c r="T62" t="s">
        <v>138</v>
      </c>
      <c r="U62" s="11">
        <v>2292.2199999999898</v>
      </c>
      <c r="W62" t="s">
        <v>211</v>
      </c>
      <c r="X62" s="5">
        <v>45962</v>
      </c>
      <c r="Y62" t="s">
        <v>172</v>
      </c>
      <c r="Z62" s="11">
        <v>328.35000000000099</v>
      </c>
      <c r="AB62" t="s">
        <v>199</v>
      </c>
      <c r="AC62" s="5">
        <v>46082</v>
      </c>
      <c r="AD62" t="s">
        <v>179</v>
      </c>
      <c r="AE62" s="11">
        <v>15960.700000000201</v>
      </c>
    </row>
    <row r="63" spans="3:31">
      <c r="C63">
        <v>43</v>
      </c>
      <c r="D63" s="5">
        <v>45950</v>
      </c>
      <c r="E63" t="s">
        <v>140</v>
      </c>
      <c r="F63" s="11">
        <v>62.93</v>
      </c>
      <c r="H63">
        <v>40</v>
      </c>
      <c r="I63" s="5">
        <v>45929</v>
      </c>
      <c r="J63" t="s">
        <v>169</v>
      </c>
      <c r="K63" s="11">
        <v>1494.0999999999899</v>
      </c>
      <c r="M63">
        <v>38</v>
      </c>
      <c r="N63" s="5">
        <v>45915</v>
      </c>
      <c r="O63" t="s">
        <v>183</v>
      </c>
      <c r="P63" s="11">
        <v>647.5</v>
      </c>
      <c r="R63" t="s">
        <v>225</v>
      </c>
      <c r="S63" s="5">
        <v>45901</v>
      </c>
      <c r="T63" t="s">
        <v>127</v>
      </c>
      <c r="U63" s="11">
        <v>1297.8399999999999</v>
      </c>
      <c r="W63" t="s">
        <v>211</v>
      </c>
      <c r="X63" s="5">
        <v>45962</v>
      </c>
      <c r="Y63" t="s">
        <v>164</v>
      </c>
      <c r="Z63" s="11">
        <v>82.800000000000097</v>
      </c>
      <c r="AB63" t="s">
        <v>199</v>
      </c>
      <c r="AC63" s="5">
        <v>46082</v>
      </c>
      <c r="AD63" t="s">
        <v>181</v>
      </c>
      <c r="AE63" s="11">
        <v>8254.3300000000108</v>
      </c>
    </row>
    <row r="64" spans="3:31">
      <c r="C64">
        <v>43</v>
      </c>
      <c r="D64" s="5">
        <v>45950</v>
      </c>
      <c r="E64" t="s">
        <v>121</v>
      </c>
      <c r="F64" s="11">
        <v>140.4</v>
      </c>
      <c r="H64">
        <v>40</v>
      </c>
      <c r="I64" s="5">
        <v>45929</v>
      </c>
      <c r="J64" t="s">
        <v>174</v>
      </c>
      <c r="K64" s="11">
        <v>703.96000000000095</v>
      </c>
      <c r="M64">
        <v>38</v>
      </c>
      <c r="N64" s="5">
        <v>45915</v>
      </c>
      <c r="O64" t="s">
        <v>180</v>
      </c>
      <c r="P64" s="11">
        <v>217.3</v>
      </c>
      <c r="R64" t="s">
        <v>225</v>
      </c>
      <c r="S64" s="5">
        <v>45901</v>
      </c>
      <c r="T64" t="s">
        <v>141</v>
      </c>
      <c r="U64" s="11">
        <v>2382.20999999998</v>
      </c>
      <c r="W64" t="s">
        <v>211</v>
      </c>
      <c r="X64" s="5">
        <v>45962</v>
      </c>
      <c r="Y64" t="s">
        <v>204</v>
      </c>
      <c r="Z64" s="11">
        <v>35.762500000000003</v>
      </c>
      <c r="AB64" t="s">
        <v>199</v>
      </c>
      <c r="AC64" s="5">
        <v>46082</v>
      </c>
      <c r="AD64" t="s">
        <v>184</v>
      </c>
      <c r="AE64" s="11">
        <v>2592.3400000000101</v>
      </c>
    </row>
    <row r="65" spans="3:31">
      <c r="C65">
        <v>43</v>
      </c>
      <c r="D65" s="5">
        <v>45950</v>
      </c>
      <c r="E65" t="s">
        <v>119</v>
      </c>
      <c r="F65" s="11">
        <v>378.36</v>
      </c>
      <c r="H65">
        <v>40</v>
      </c>
      <c r="I65" s="5">
        <v>45929</v>
      </c>
      <c r="J65" t="s">
        <v>158</v>
      </c>
      <c r="K65" s="11">
        <v>315.12</v>
      </c>
      <c r="M65">
        <v>37</v>
      </c>
      <c r="N65" s="5">
        <v>45908</v>
      </c>
      <c r="O65" t="s">
        <v>182</v>
      </c>
      <c r="P65" s="11">
        <v>1299.0999999999899</v>
      </c>
      <c r="R65" t="s">
        <v>225</v>
      </c>
      <c r="S65" s="5">
        <v>45901</v>
      </c>
      <c r="T65" t="s">
        <v>121</v>
      </c>
      <c r="U65" s="11">
        <v>427.82</v>
      </c>
      <c r="W65" t="s">
        <v>211</v>
      </c>
      <c r="X65" s="5">
        <v>45962</v>
      </c>
      <c r="Y65" t="s">
        <v>175</v>
      </c>
      <c r="Z65" s="11">
        <v>951.22500000000298</v>
      </c>
      <c r="AB65" t="s">
        <v>199</v>
      </c>
      <c r="AC65" s="5">
        <v>46082</v>
      </c>
      <c r="AD65" t="s">
        <v>183</v>
      </c>
      <c r="AE65" s="11">
        <v>2479.6099999999701</v>
      </c>
    </row>
    <row r="66" spans="3:31">
      <c r="C66">
        <v>43</v>
      </c>
      <c r="D66" s="5">
        <v>45950</v>
      </c>
      <c r="E66" t="s">
        <v>122</v>
      </c>
      <c r="F66" s="11">
        <v>239.26</v>
      </c>
      <c r="H66">
        <v>40</v>
      </c>
      <c r="I66" s="5">
        <v>45929</v>
      </c>
      <c r="J66" t="s">
        <v>164</v>
      </c>
      <c r="K66" s="11">
        <v>14.4</v>
      </c>
      <c r="M66">
        <v>37</v>
      </c>
      <c r="N66" s="5">
        <v>45908</v>
      </c>
      <c r="O66" t="s">
        <v>183</v>
      </c>
      <c r="P66" s="11">
        <v>789.70999999999799</v>
      </c>
      <c r="R66" t="s">
        <v>225</v>
      </c>
      <c r="S66" s="5">
        <v>45901</v>
      </c>
      <c r="T66" t="s">
        <v>126</v>
      </c>
      <c r="U66" s="11">
        <v>534.6</v>
      </c>
      <c r="W66" t="s">
        <v>213</v>
      </c>
      <c r="X66" s="5">
        <v>45992</v>
      </c>
      <c r="Y66" t="s">
        <v>174</v>
      </c>
      <c r="Z66" s="11">
        <v>882.04999999999495</v>
      </c>
      <c r="AB66" t="s">
        <v>199</v>
      </c>
      <c r="AC66" s="5">
        <v>46082</v>
      </c>
      <c r="AD66" t="s">
        <v>185</v>
      </c>
      <c r="AE66" s="11">
        <v>5288.6999999999798</v>
      </c>
    </row>
    <row r="67" spans="3:31">
      <c r="C67">
        <v>43</v>
      </c>
      <c r="D67" s="5">
        <v>45950</v>
      </c>
      <c r="E67" t="s">
        <v>116</v>
      </c>
      <c r="F67" s="11">
        <v>87.08</v>
      </c>
      <c r="H67">
        <v>40</v>
      </c>
      <c r="I67" s="5">
        <v>45929</v>
      </c>
      <c r="J67" t="s">
        <v>173</v>
      </c>
      <c r="K67" s="11">
        <v>658.54999999999905</v>
      </c>
      <c r="M67">
        <v>37</v>
      </c>
      <c r="N67" s="5">
        <v>45908</v>
      </c>
      <c r="O67" t="s">
        <v>185</v>
      </c>
      <c r="P67" s="11">
        <v>490.6</v>
      </c>
      <c r="R67" t="s">
        <v>225</v>
      </c>
      <c r="S67" s="5">
        <v>45901</v>
      </c>
      <c r="T67" t="s">
        <v>135</v>
      </c>
      <c r="U67" s="11">
        <v>346.55</v>
      </c>
      <c r="W67" t="s">
        <v>213</v>
      </c>
      <c r="X67" s="5">
        <v>45992</v>
      </c>
      <c r="Y67" t="s">
        <v>163</v>
      </c>
      <c r="Z67" s="11">
        <v>1123.5699999999899</v>
      </c>
      <c r="AB67" t="s">
        <v>199</v>
      </c>
      <c r="AC67" s="5">
        <v>46082</v>
      </c>
      <c r="AD67" t="s">
        <v>180</v>
      </c>
      <c r="AE67" s="11">
        <v>647.50000000000102</v>
      </c>
    </row>
    <row r="68" spans="3:31">
      <c r="C68">
        <v>43</v>
      </c>
      <c r="D68" s="5">
        <v>45950</v>
      </c>
      <c r="E68" t="s">
        <v>125</v>
      </c>
      <c r="F68" s="11">
        <v>48.86</v>
      </c>
      <c r="H68">
        <v>40</v>
      </c>
      <c r="I68" s="5">
        <v>45929</v>
      </c>
      <c r="J68" t="s">
        <v>171</v>
      </c>
      <c r="K68" s="11">
        <v>533.400000000001</v>
      </c>
      <c r="M68">
        <v>37</v>
      </c>
      <c r="N68" s="5">
        <v>45908</v>
      </c>
      <c r="O68" t="s">
        <v>179</v>
      </c>
      <c r="P68" s="11">
        <v>2695.3200000000102</v>
      </c>
      <c r="R68" t="s">
        <v>225</v>
      </c>
      <c r="S68" s="5">
        <v>45901</v>
      </c>
      <c r="T68" t="s">
        <v>124</v>
      </c>
      <c r="U68" s="11">
        <v>2046.6199999999899</v>
      </c>
      <c r="W68" t="s">
        <v>213</v>
      </c>
      <c r="X68" s="5">
        <v>45992</v>
      </c>
      <c r="Y68" t="s">
        <v>158</v>
      </c>
      <c r="Z68" s="11">
        <v>3745.8299999999899</v>
      </c>
      <c r="AB68" t="s">
        <v>200</v>
      </c>
      <c r="AC68" s="5">
        <v>46113</v>
      </c>
      <c r="AD68" t="s">
        <v>178</v>
      </c>
      <c r="AE68" s="11">
        <v>9752.2000000000098</v>
      </c>
    </row>
    <row r="69" spans="3:31">
      <c r="C69">
        <v>43</v>
      </c>
      <c r="D69" s="5">
        <v>45950</v>
      </c>
      <c r="E69" t="s">
        <v>142</v>
      </c>
      <c r="F69" s="11">
        <v>125.76</v>
      </c>
      <c r="H69">
        <v>40</v>
      </c>
      <c r="I69" s="5">
        <v>45929</v>
      </c>
      <c r="J69" t="s">
        <v>176</v>
      </c>
      <c r="K69" s="11">
        <v>105.28</v>
      </c>
      <c r="M69">
        <v>37</v>
      </c>
      <c r="N69" s="5">
        <v>45908</v>
      </c>
      <c r="O69" t="s">
        <v>178</v>
      </c>
      <c r="P69" s="11">
        <v>1683.8500000000099</v>
      </c>
      <c r="R69" t="s">
        <v>225</v>
      </c>
      <c r="S69" s="5">
        <v>45901</v>
      </c>
      <c r="T69" t="s">
        <v>145</v>
      </c>
      <c r="U69" s="11">
        <v>1789.46</v>
      </c>
      <c r="W69" t="s">
        <v>213</v>
      </c>
      <c r="X69" s="5">
        <v>45992</v>
      </c>
      <c r="Y69" t="s">
        <v>169</v>
      </c>
      <c r="Z69" s="11">
        <v>6828.6900000001597</v>
      </c>
      <c r="AB69" t="s">
        <v>200</v>
      </c>
      <c r="AC69" s="5">
        <v>46113</v>
      </c>
      <c r="AD69" t="s">
        <v>181</v>
      </c>
      <c r="AE69" s="11">
        <v>7010.2700000000596</v>
      </c>
    </row>
    <row r="70" spans="3:31">
      <c r="C70">
        <v>43</v>
      </c>
      <c r="D70" s="5">
        <v>45950</v>
      </c>
      <c r="E70" t="s">
        <v>126</v>
      </c>
      <c r="F70" s="11">
        <v>182.7</v>
      </c>
      <c r="H70">
        <v>40</v>
      </c>
      <c r="I70" s="5">
        <v>45929</v>
      </c>
      <c r="J70" t="s">
        <v>165</v>
      </c>
      <c r="K70" s="11">
        <v>222.7</v>
      </c>
      <c r="M70">
        <v>37</v>
      </c>
      <c r="N70" s="5">
        <v>45908</v>
      </c>
      <c r="O70" t="s">
        <v>181</v>
      </c>
      <c r="P70" s="11">
        <v>1085.21</v>
      </c>
      <c r="R70" t="s">
        <v>225</v>
      </c>
      <c r="S70" s="5">
        <v>45901</v>
      </c>
      <c r="T70" t="s">
        <v>137</v>
      </c>
      <c r="U70" s="11">
        <v>382.74</v>
      </c>
      <c r="W70" t="s">
        <v>213</v>
      </c>
      <c r="X70" s="5">
        <v>45992</v>
      </c>
      <c r="Y70" t="s">
        <v>164</v>
      </c>
      <c r="Z70" s="11">
        <v>128.4</v>
      </c>
      <c r="AB70" t="s">
        <v>200</v>
      </c>
      <c r="AC70" s="5">
        <v>46113</v>
      </c>
      <c r="AD70" t="s">
        <v>185</v>
      </c>
      <c r="AE70" s="11">
        <v>3824.9000000000101</v>
      </c>
    </row>
    <row r="71" spans="3:31">
      <c r="C71">
        <v>43</v>
      </c>
      <c r="D71" s="5">
        <v>45950</v>
      </c>
      <c r="E71" t="s">
        <v>123</v>
      </c>
      <c r="F71" s="11">
        <v>398.14</v>
      </c>
      <c r="H71">
        <v>40</v>
      </c>
      <c r="I71" s="5">
        <v>45929</v>
      </c>
      <c r="J71" t="s">
        <v>163</v>
      </c>
      <c r="K71" s="11">
        <v>393.07000000000198</v>
      </c>
      <c r="M71">
        <v>37</v>
      </c>
      <c r="N71" s="5">
        <v>45908</v>
      </c>
      <c r="O71" t="s">
        <v>184</v>
      </c>
      <c r="P71" s="11">
        <v>417.02999999999901</v>
      </c>
      <c r="R71" t="s">
        <v>225</v>
      </c>
      <c r="S71" s="5">
        <v>45901</v>
      </c>
      <c r="T71" t="s">
        <v>113</v>
      </c>
      <c r="U71" s="11">
        <v>1241.52</v>
      </c>
      <c r="W71" t="s">
        <v>213</v>
      </c>
      <c r="X71" s="5">
        <v>45992</v>
      </c>
      <c r="Y71" t="s">
        <v>160</v>
      </c>
      <c r="Z71" s="11">
        <v>13306.200000000201</v>
      </c>
      <c r="AB71" t="s">
        <v>200</v>
      </c>
      <c r="AC71" s="5">
        <v>46113</v>
      </c>
      <c r="AD71" t="s">
        <v>183</v>
      </c>
      <c r="AE71" s="11">
        <v>2630.1099999999401</v>
      </c>
    </row>
    <row r="72" spans="3:31">
      <c r="C72">
        <v>43</v>
      </c>
      <c r="D72" s="5">
        <v>45950</v>
      </c>
      <c r="E72" t="s">
        <v>120</v>
      </c>
      <c r="F72" s="11">
        <v>214.26</v>
      </c>
      <c r="H72">
        <v>40</v>
      </c>
      <c r="I72" s="5">
        <v>45929</v>
      </c>
      <c r="J72" t="s">
        <v>172</v>
      </c>
      <c r="K72" s="11">
        <v>59.7</v>
      </c>
      <c r="M72">
        <v>37</v>
      </c>
      <c r="N72" s="5">
        <v>45908</v>
      </c>
      <c r="O72" t="s">
        <v>180</v>
      </c>
      <c r="P72" s="11">
        <v>45</v>
      </c>
      <c r="R72" t="s">
        <v>225</v>
      </c>
      <c r="S72" s="5">
        <v>45901</v>
      </c>
      <c r="T72" t="s">
        <v>146</v>
      </c>
      <c r="U72" s="11">
        <v>2617.4899999999898</v>
      </c>
      <c r="W72" t="s">
        <v>213</v>
      </c>
      <c r="X72" s="5">
        <v>45992</v>
      </c>
      <c r="Y72" t="s">
        <v>171</v>
      </c>
      <c r="Z72" s="11">
        <v>2643.54000000003</v>
      </c>
      <c r="AB72" t="s">
        <v>200</v>
      </c>
      <c r="AC72" s="5">
        <v>46113</v>
      </c>
      <c r="AD72" t="s">
        <v>182</v>
      </c>
      <c r="AE72" s="11">
        <v>7878.8599999996704</v>
      </c>
    </row>
    <row r="73" spans="3:31">
      <c r="C73">
        <v>43</v>
      </c>
      <c r="D73" s="5">
        <v>45950</v>
      </c>
      <c r="E73" t="s">
        <v>124</v>
      </c>
      <c r="F73" s="11">
        <v>396.72</v>
      </c>
      <c r="H73">
        <v>39</v>
      </c>
      <c r="I73" s="5">
        <v>45922</v>
      </c>
      <c r="J73" t="s">
        <v>160</v>
      </c>
      <c r="K73" s="11">
        <v>3583.6199999999899</v>
      </c>
      <c r="M73">
        <v>36</v>
      </c>
      <c r="N73" s="5">
        <v>45901</v>
      </c>
      <c r="O73" t="s">
        <v>178</v>
      </c>
      <c r="P73" s="11">
        <v>1445.8500000000099</v>
      </c>
      <c r="R73" t="s">
        <v>225</v>
      </c>
      <c r="S73" s="5">
        <v>45901</v>
      </c>
      <c r="T73" t="s">
        <v>142</v>
      </c>
      <c r="U73" s="11">
        <v>560.73</v>
      </c>
      <c r="W73" t="s">
        <v>213</v>
      </c>
      <c r="X73" s="5">
        <v>45992</v>
      </c>
      <c r="Y73" t="s">
        <v>198</v>
      </c>
      <c r="Z73" s="11">
        <v>3462.00000000001</v>
      </c>
      <c r="AB73" t="s">
        <v>200</v>
      </c>
      <c r="AC73" s="5">
        <v>46113</v>
      </c>
      <c r="AD73" t="s">
        <v>180</v>
      </c>
      <c r="AE73" s="11">
        <v>511.35</v>
      </c>
    </row>
    <row r="74" spans="3:31">
      <c r="C74">
        <v>43</v>
      </c>
      <c r="D74" s="5">
        <v>45950</v>
      </c>
      <c r="E74" t="s">
        <v>132</v>
      </c>
      <c r="F74" s="11">
        <v>128.44999999999999</v>
      </c>
      <c r="H74">
        <v>39</v>
      </c>
      <c r="I74" s="5">
        <v>45922</v>
      </c>
      <c r="J74" t="s">
        <v>163</v>
      </c>
      <c r="K74" s="11">
        <v>463.92000000000201</v>
      </c>
      <c r="M74">
        <v>36</v>
      </c>
      <c r="N74" s="5">
        <v>45901</v>
      </c>
      <c r="O74" t="s">
        <v>179</v>
      </c>
      <c r="P74" s="11">
        <v>2261.92</v>
      </c>
      <c r="R74" t="s">
        <v>225</v>
      </c>
      <c r="S74" s="5">
        <v>45901</v>
      </c>
      <c r="T74" t="s">
        <v>112</v>
      </c>
      <c r="U74" s="11">
        <v>575.47000000000105</v>
      </c>
      <c r="W74" t="s">
        <v>213</v>
      </c>
      <c r="X74" s="5">
        <v>45992</v>
      </c>
      <c r="Y74" t="s">
        <v>168</v>
      </c>
      <c r="Z74" s="11">
        <v>1351.65</v>
      </c>
      <c r="AB74" t="s">
        <v>200</v>
      </c>
      <c r="AC74" s="5">
        <v>46113</v>
      </c>
      <c r="AD74" t="s">
        <v>184</v>
      </c>
      <c r="AE74" s="11">
        <v>1900.48999999998</v>
      </c>
    </row>
    <row r="75" spans="3:31">
      <c r="C75">
        <v>43</v>
      </c>
      <c r="D75" s="5">
        <v>45950</v>
      </c>
      <c r="E75" t="s">
        <v>113</v>
      </c>
      <c r="F75" s="11">
        <v>177.58</v>
      </c>
      <c r="H75">
        <v>39</v>
      </c>
      <c r="I75" s="5">
        <v>45922</v>
      </c>
      <c r="J75" t="s">
        <v>174</v>
      </c>
      <c r="K75" s="11">
        <v>528.88</v>
      </c>
      <c r="M75">
        <v>36</v>
      </c>
      <c r="N75" s="5">
        <v>45901</v>
      </c>
      <c r="O75" t="s">
        <v>185</v>
      </c>
      <c r="P75" s="11">
        <v>537.29999999999995</v>
      </c>
      <c r="R75" t="s">
        <v>226</v>
      </c>
      <c r="S75" s="5">
        <v>45870</v>
      </c>
      <c r="T75" t="s">
        <v>113</v>
      </c>
      <c r="U75" s="11">
        <v>1629.09</v>
      </c>
      <c r="W75" t="s">
        <v>213</v>
      </c>
      <c r="X75" s="5">
        <v>45992</v>
      </c>
      <c r="Y75" t="s">
        <v>173</v>
      </c>
      <c r="Z75" s="11">
        <v>2697.5500000000202</v>
      </c>
      <c r="AB75" t="s">
        <v>200</v>
      </c>
      <c r="AC75" s="5">
        <v>46113</v>
      </c>
      <c r="AD75" t="s">
        <v>179</v>
      </c>
      <c r="AE75" s="11">
        <v>13645.0899999999</v>
      </c>
    </row>
    <row r="76" spans="3:31">
      <c r="C76">
        <v>43</v>
      </c>
      <c r="D76" s="5">
        <v>45950</v>
      </c>
      <c r="E76" t="s">
        <v>127</v>
      </c>
      <c r="F76" s="11">
        <v>226.38</v>
      </c>
      <c r="H76">
        <v>39</v>
      </c>
      <c r="I76" s="5">
        <v>45922</v>
      </c>
      <c r="J76" t="s">
        <v>167</v>
      </c>
      <c r="K76" s="11">
        <v>401.33</v>
      </c>
      <c r="M76">
        <v>36</v>
      </c>
      <c r="N76" s="5">
        <v>45901</v>
      </c>
      <c r="O76" t="s">
        <v>182</v>
      </c>
      <c r="P76" s="11">
        <v>1327.45</v>
      </c>
      <c r="R76" t="s">
        <v>226</v>
      </c>
      <c r="S76" s="5">
        <v>45870</v>
      </c>
      <c r="T76" t="s">
        <v>219</v>
      </c>
      <c r="U76" s="11">
        <v>1679.39</v>
      </c>
      <c r="W76" t="s">
        <v>213</v>
      </c>
      <c r="X76" s="5">
        <v>45992</v>
      </c>
      <c r="Y76" t="s">
        <v>175</v>
      </c>
      <c r="Z76" s="11">
        <v>211.5</v>
      </c>
      <c r="AB76" t="s">
        <v>200</v>
      </c>
      <c r="AC76" s="5">
        <v>46113</v>
      </c>
      <c r="AD76" t="s">
        <v>202</v>
      </c>
      <c r="AE76" s="11">
        <v>1189.2</v>
      </c>
    </row>
    <row r="77" spans="3:31" ht="18.75">
      <c r="C77">
        <v>42</v>
      </c>
      <c r="D77" s="5">
        <v>45943</v>
      </c>
      <c r="E77" t="s">
        <v>139</v>
      </c>
      <c r="F77" s="11">
        <v>216.54</v>
      </c>
      <c r="H77">
        <v>39</v>
      </c>
      <c r="I77" s="5">
        <v>45922</v>
      </c>
      <c r="J77" t="s">
        <v>158</v>
      </c>
      <c r="K77" s="11">
        <v>311.08</v>
      </c>
      <c r="M77">
        <v>36</v>
      </c>
      <c r="N77" s="5">
        <v>45901</v>
      </c>
      <c r="O77" t="s">
        <v>184</v>
      </c>
      <c r="P77" s="11">
        <v>453.849999999999</v>
      </c>
      <c r="R77" t="s">
        <v>226</v>
      </c>
      <c r="S77" s="5">
        <v>45870</v>
      </c>
      <c r="T77" t="s">
        <v>129</v>
      </c>
      <c r="U77" s="11">
        <v>1384.77</v>
      </c>
      <c r="W77" t="s">
        <v>213</v>
      </c>
      <c r="X77" s="5">
        <v>45992</v>
      </c>
      <c r="Y77" t="s">
        <v>165</v>
      </c>
      <c r="Z77" s="11">
        <v>1411.2</v>
      </c>
      <c r="AB77" t="s">
        <v>203</v>
      </c>
      <c r="AC77" s="5">
        <v>46143</v>
      </c>
      <c r="AD77" t="s">
        <v>178</v>
      </c>
      <c r="AE77" s="11">
        <v>9580.4500000000207</v>
      </c>
    </row>
    <row r="78" spans="3:31" ht="18.75">
      <c r="C78">
        <v>42</v>
      </c>
      <c r="D78" s="5">
        <v>45943</v>
      </c>
      <c r="E78" t="s">
        <v>150</v>
      </c>
      <c r="F78" s="11">
        <v>81.62</v>
      </c>
      <c r="H78">
        <v>39</v>
      </c>
      <c r="I78" s="5">
        <v>45922</v>
      </c>
      <c r="J78" t="s">
        <v>168</v>
      </c>
      <c r="K78" s="11">
        <v>422.55999999999801</v>
      </c>
      <c r="M78">
        <v>36</v>
      </c>
      <c r="N78" s="5">
        <v>45901</v>
      </c>
      <c r="O78" t="s">
        <v>181</v>
      </c>
      <c r="P78" s="11">
        <v>1190.76</v>
      </c>
      <c r="R78" t="s">
        <v>226</v>
      </c>
      <c r="S78" s="5">
        <v>45870</v>
      </c>
      <c r="T78" t="s">
        <v>117</v>
      </c>
      <c r="U78" s="11">
        <v>1082.3699999999999</v>
      </c>
      <c r="W78" t="s">
        <v>213</v>
      </c>
      <c r="X78" s="5">
        <v>45992</v>
      </c>
      <c r="Y78" t="s">
        <v>176</v>
      </c>
      <c r="Z78" s="11">
        <v>362.55999999999898</v>
      </c>
      <c r="AB78" t="s">
        <v>203</v>
      </c>
      <c r="AC78" s="5">
        <v>46143</v>
      </c>
      <c r="AD78" t="s">
        <v>179</v>
      </c>
      <c r="AE78" s="11">
        <v>12822.6099999997</v>
      </c>
    </row>
    <row r="79" spans="3:31" ht="18.75">
      <c r="C79">
        <v>42</v>
      </c>
      <c r="D79" s="5">
        <v>45943</v>
      </c>
      <c r="E79" t="s">
        <v>121</v>
      </c>
      <c r="F79" s="11">
        <v>108.4</v>
      </c>
      <c r="H79">
        <v>39</v>
      </c>
      <c r="I79" s="5">
        <v>45922</v>
      </c>
      <c r="J79" t="s">
        <v>171</v>
      </c>
      <c r="K79" s="11">
        <v>233.16</v>
      </c>
      <c r="M79">
        <v>36</v>
      </c>
      <c r="N79" s="5">
        <v>45901</v>
      </c>
      <c r="O79" t="s">
        <v>183</v>
      </c>
      <c r="P79" s="11">
        <v>625.29999999999802</v>
      </c>
      <c r="R79" t="s">
        <v>226</v>
      </c>
      <c r="S79" s="5">
        <v>45870</v>
      </c>
      <c r="T79" t="s">
        <v>150</v>
      </c>
      <c r="U79" s="11">
        <v>306.01</v>
      </c>
      <c r="W79" t="s">
        <v>213</v>
      </c>
      <c r="X79" s="5">
        <v>45992</v>
      </c>
      <c r="Y79" t="s">
        <v>170</v>
      </c>
      <c r="Z79" s="11">
        <v>162</v>
      </c>
      <c r="AB79" t="s">
        <v>203</v>
      </c>
      <c r="AC79" s="5">
        <v>46143</v>
      </c>
      <c r="AD79" t="s">
        <v>184</v>
      </c>
      <c r="AE79" s="11">
        <v>2432.1099999999901</v>
      </c>
    </row>
    <row r="80" spans="3:31" ht="18.75">
      <c r="C80">
        <v>42</v>
      </c>
      <c r="D80" s="5">
        <v>45943</v>
      </c>
      <c r="E80" t="s">
        <v>117</v>
      </c>
      <c r="F80" s="11">
        <v>315.36</v>
      </c>
      <c r="H80">
        <v>39</v>
      </c>
      <c r="I80" s="5">
        <v>45922</v>
      </c>
      <c r="J80" t="s">
        <v>165</v>
      </c>
      <c r="K80" s="11">
        <v>665.95000000000095</v>
      </c>
      <c r="M80">
        <v>36</v>
      </c>
      <c r="N80" s="5">
        <v>45901</v>
      </c>
      <c r="O80" t="s">
        <v>180</v>
      </c>
      <c r="P80" s="11">
        <v>181.95</v>
      </c>
      <c r="R80" t="s">
        <v>226</v>
      </c>
      <c r="S80" s="5">
        <v>45870</v>
      </c>
      <c r="T80" t="s">
        <v>111</v>
      </c>
      <c r="U80" s="11">
        <v>803.85999999999899</v>
      </c>
      <c r="W80" t="s">
        <v>213</v>
      </c>
      <c r="X80" s="5">
        <v>45992</v>
      </c>
      <c r="Y80" t="s">
        <v>172</v>
      </c>
      <c r="Z80" s="11">
        <v>276.61000000000098</v>
      </c>
      <c r="AB80" t="s">
        <v>203</v>
      </c>
      <c r="AC80" s="5">
        <v>46143</v>
      </c>
      <c r="AD80" t="s">
        <v>182</v>
      </c>
      <c r="AE80" s="11">
        <v>6801.41999999981</v>
      </c>
    </row>
    <row r="81" spans="3:31" ht="18.75">
      <c r="C81">
        <v>42</v>
      </c>
      <c r="D81" s="5">
        <v>45943</v>
      </c>
      <c r="E81" t="s">
        <v>136</v>
      </c>
      <c r="F81" s="11">
        <v>72.89</v>
      </c>
      <c r="H81">
        <v>39</v>
      </c>
      <c r="I81" s="5">
        <v>45922</v>
      </c>
      <c r="J81" t="s">
        <v>170</v>
      </c>
      <c r="K81" s="11">
        <v>100</v>
      </c>
      <c r="M81">
        <v>35</v>
      </c>
      <c r="N81" s="5">
        <v>45894</v>
      </c>
      <c r="O81" t="s">
        <v>185</v>
      </c>
      <c r="P81" s="11">
        <v>425.4</v>
      </c>
      <c r="R81" t="s">
        <v>226</v>
      </c>
      <c r="S81" s="5">
        <v>45870</v>
      </c>
      <c r="T81" t="s">
        <v>139</v>
      </c>
      <c r="U81" s="11">
        <v>1112.73</v>
      </c>
      <c r="W81" t="s">
        <v>213</v>
      </c>
      <c r="X81" s="5">
        <v>45992</v>
      </c>
      <c r="Y81" t="s">
        <v>204</v>
      </c>
      <c r="Z81" s="11">
        <v>1.25</v>
      </c>
      <c r="AB81" t="s">
        <v>203</v>
      </c>
      <c r="AC81" s="5">
        <v>46143</v>
      </c>
      <c r="AD81" t="s">
        <v>181</v>
      </c>
      <c r="AE81" s="11">
        <v>6196.5200000000204</v>
      </c>
    </row>
    <row r="82" spans="3:31" ht="18.75">
      <c r="C82">
        <v>42</v>
      </c>
      <c r="D82" s="5">
        <v>45943</v>
      </c>
      <c r="E82" t="s">
        <v>114</v>
      </c>
      <c r="F82" s="11">
        <v>243</v>
      </c>
      <c r="H82">
        <v>39</v>
      </c>
      <c r="I82" s="5">
        <v>45922</v>
      </c>
      <c r="J82" t="s">
        <v>169</v>
      </c>
      <c r="K82" s="11">
        <v>1407.74999999999</v>
      </c>
      <c r="M82">
        <v>35</v>
      </c>
      <c r="N82" s="5">
        <v>45894</v>
      </c>
      <c r="O82" t="s">
        <v>181</v>
      </c>
      <c r="P82" s="11">
        <v>1119.02</v>
      </c>
      <c r="R82" t="s">
        <v>226</v>
      </c>
      <c r="S82" s="5">
        <v>45870</v>
      </c>
      <c r="T82" t="s">
        <v>118</v>
      </c>
      <c r="U82" s="11">
        <v>771.24999999999898</v>
      </c>
      <c r="W82" t="s">
        <v>215</v>
      </c>
      <c r="X82" s="5">
        <v>46054</v>
      </c>
      <c r="Y82" t="s">
        <v>160</v>
      </c>
      <c r="Z82" s="11">
        <v>19931.8800000007</v>
      </c>
      <c r="AB82" t="s">
        <v>203</v>
      </c>
      <c r="AC82" s="5">
        <v>46143</v>
      </c>
      <c r="AD82" t="s">
        <v>183</v>
      </c>
      <c r="AE82" s="11">
        <v>1820.7999999999799</v>
      </c>
    </row>
    <row r="83" spans="3:31" ht="18.75">
      <c r="C83">
        <v>42</v>
      </c>
      <c r="D83" s="5">
        <v>45943</v>
      </c>
      <c r="E83" t="s">
        <v>129</v>
      </c>
      <c r="F83" s="11">
        <v>408.4</v>
      </c>
      <c r="H83">
        <v>39</v>
      </c>
      <c r="I83" s="5">
        <v>45922</v>
      </c>
      <c r="J83" t="s">
        <v>173</v>
      </c>
      <c r="K83" s="11">
        <v>635.599999999999</v>
      </c>
      <c r="M83">
        <v>35</v>
      </c>
      <c r="N83" s="5">
        <v>45894</v>
      </c>
      <c r="O83" t="s">
        <v>180</v>
      </c>
      <c r="P83" s="11">
        <v>455</v>
      </c>
      <c r="R83" t="s">
        <v>226</v>
      </c>
      <c r="S83" s="5">
        <v>45870</v>
      </c>
      <c r="T83" t="s">
        <v>116</v>
      </c>
      <c r="U83" s="11">
        <v>293.83999999999997</v>
      </c>
      <c r="W83" t="s">
        <v>215</v>
      </c>
      <c r="X83" s="5">
        <v>46054</v>
      </c>
      <c r="Y83" t="s">
        <v>171</v>
      </c>
      <c r="Z83" s="11">
        <v>3180.55</v>
      </c>
      <c r="AB83" t="s">
        <v>203</v>
      </c>
      <c r="AC83" s="5">
        <v>46143</v>
      </c>
      <c r="AD83" t="s">
        <v>185</v>
      </c>
      <c r="AE83" s="11">
        <v>2503.2000000000098</v>
      </c>
    </row>
    <row r="84" spans="3:31" ht="18.75">
      <c r="C84">
        <v>42</v>
      </c>
      <c r="D84" s="5">
        <v>45943</v>
      </c>
      <c r="E84" t="s">
        <v>219</v>
      </c>
      <c r="F84" s="11">
        <v>265.56</v>
      </c>
      <c r="H84">
        <v>39</v>
      </c>
      <c r="I84" s="5">
        <v>45922</v>
      </c>
      <c r="J84" t="s">
        <v>176</v>
      </c>
      <c r="K84" s="11">
        <v>102.88</v>
      </c>
      <c r="M84">
        <v>35</v>
      </c>
      <c r="N84" s="5">
        <v>45894</v>
      </c>
      <c r="O84" t="s">
        <v>184</v>
      </c>
      <c r="P84" s="11">
        <v>457.79999999999802</v>
      </c>
      <c r="R84" t="s">
        <v>226</v>
      </c>
      <c r="S84" s="5">
        <v>45870</v>
      </c>
      <c r="T84" t="s">
        <v>136</v>
      </c>
      <c r="U84" s="11">
        <v>232.36</v>
      </c>
      <c r="W84" t="s">
        <v>215</v>
      </c>
      <c r="X84" s="5">
        <v>46054</v>
      </c>
      <c r="Y84" t="s">
        <v>163</v>
      </c>
      <c r="Z84" s="11">
        <v>1155.8399999999899</v>
      </c>
      <c r="AB84" t="s">
        <v>203</v>
      </c>
      <c r="AC84" s="5">
        <v>46143</v>
      </c>
      <c r="AD84" t="s">
        <v>180</v>
      </c>
      <c r="AE84" s="11">
        <v>786.65000000000202</v>
      </c>
    </row>
    <row r="85" spans="3:31" ht="18.75">
      <c r="C85">
        <v>42</v>
      </c>
      <c r="D85" s="5">
        <v>45943</v>
      </c>
      <c r="E85" t="s">
        <v>146</v>
      </c>
      <c r="F85" s="11">
        <v>773.770000000001</v>
      </c>
      <c r="H85">
        <v>39</v>
      </c>
      <c r="I85" s="5">
        <v>45922</v>
      </c>
      <c r="J85" t="s">
        <v>164</v>
      </c>
      <c r="K85" s="11">
        <v>19.2</v>
      </c>
      <c r="M85">
        <v>35</v>
      </c>
      <c r="N85" s="5">
        <v>45894</v>
      </c>
      <c r="O85" t="s">
        <v>179</v>
      </c>
      <c r="P85" s="11">
        <v>2192.25000000001</v>
      </c>
      <c r="R85" t="s">
        <v>226</v>
      </c>
      <c r="S85" s="5">
        <v>45870</v>
      </c>
      <c r="T85" t="s">
        <v>141</v>
      </c>
      <c r="U85" s="11">
        <v>1374.36</v>
      </c>
      <c r="W85" t="s">
        <v>215</v>
      </c>
      <c r="X85" s="5">
        <v>46054</v>
      </c>
      <c r="Y85" t="s">
        <v>169</v>
      </c>
      <c r="Z85" s="11">
        <v>8957.5600000003196</v>
      </c>
      <c r="AB85" t="s">
        <v>203</v>
      </c>
      <c r="AC85" s="5">
        <v>46143</v>
      </c>
      <c r="AD85" t="s">
        <v>202</v>
      </c>
      <c r="AE85" s="11">
        <v>1361.08</v>
      </c>
    </row>
    <row r="86" spans="3:31" ht="18.75">
      <c r="C86">
        <v>42</v>
      </c>
      <c r="D86" s="5">
        <v>45943</v>
      </c>
      <c r="E86" t="s">
        <v>149</v>
      </c>
      <c r="F86" s="11">
        <v>106.76</v>
      </c>
      <c r="H86">
        <v>39</v>
      </c>
      <c r="I86" s="5">
        <v>45922</v>
      </c>
      <c r="J86" t="s">
        <v>172</v>
      </c>
      <c r="K86" s="11">
        <v>77.61</v>
      </c>
      <c r="M86">
        <v>35</v>
      </c>
      <c r="N86" s="5">
        <v>45894</v>
      </c>
      <c r="O86" t="s">
        <v>178</v>
      </c>
      <c r="P86" s="11">
        <v>1445.8500000000099</v>
      </c>
      <c r="R86" t="s">
        <v>226</v>
      </c>
      <c r="S86" s="5">
        <v>45870</v>
      </c>
      <c r="T86" t="s">
        <v>114</v>
      </c>
      <c r="U86" s="11">
        <v>1006.9</v>
      </c>
      <c r="W86" t="s">
        <v>215</v>
      </c>
      <c r="X86" s="5">
        <v>46054</v>
      </c>
      <c r="Y86" t="s">
        <v>168</v>
      </c>
      <c r="Z86" s="11">
        <v>1632.0699999999899</v>
      </c>
      <c r="AB86" t="s">
        <v>205</v>
      </c>
      <c r="AC86" s="5">
        <v>46174</v>
      </c>
      <c r="AD86" t="s">
        <v>182</v>
      </c>
      <c r="AE86" s="240">
        <v>7847.7999999997528</v>
      </c>
    </row>
    <row r="87" spans="3:31" ht="18.75">
      <c r="C87">
        <v>42</v>
      </c>
      <c r="D87" s="5">
        <v>45943</v>
      </c>
      <c r="E87" t="s">
        <v>111</v>
      </c>
      <c r="F87" s="11">
        <v>255.41</v>
      </c>
      <c r="H87">
        <v>39</v>
      </c>
      <c r="I87" s="5">
        <v>45922</v>
      </c>
      <c r="J87" t="s">
        <v>227</v>
      </c>
      <c r="K87" s="11"/>
      <c r="M87">
        <v>35</v>
      </c>
      <c r="N87" s="5">
        <v>45894</v>
      </c>
      <c r="O87" t="s">
        <v>183</v>
      </c>
      <c r="P87" s="11">
        <v>604.69000000000005</v>
      </c>
      <c r="R87" t="s">
        <v>226</v>
      </c>
      <c r="S87" s="5">
        <v>45870</v>
      </c>
      <c r="T87" t="s">
        <v>128</v>
      </c>
      <c r="U87" s="11">
        <v>855.99</v>
      </c>
      <c r="W87" t="s">
        <v>215</v>
      </c>
      <c r="X87" s="5">
        <v>46054</v>
      </c>
      <c r="Y87" t="s">
        <v>176</v>
      </c>
      <c r="Z87" s="11">
        <v>607.80000000000098</v>
      </c>
      <c r="AB87" t="s">
        <v>205</v>
      </c>
      <c r="AC87" s="5">
        <v>46174</v>
      </c>
      <c r="AD87" t="s">
        <v>185</v>
      </c>
      <c r="AE87" s="240">
        <v>3555.6500000000133</v>
      </c>
    </row>
    <row r="88" spans="3:31" ht="18.75">
      <c r="C88">
        <v>42</v>
      </c>
      <c r="D88" s="5">
        <v>45943</v>
      </c>
      <c r="E88" t="s">
        <v>119</v>
      </c>
      <c r="F88" s="11">
        <v>407.77</v>
      </c>
      <c r="H88">
        <v>38</v>
      </c>
      <c r="I88" s="5">
        <v>45915</v>
      </c>
      <c r="J88" t="s">
        <v>168</v>
      </c>
      <c r="K88" s="11">
        <v>366.73999999999899</v>
      </c>
      <c r="M88">
        <v>35</v>
      </c>
      <c r="N88" s="5">
        <v>45894</v>
      </c>
      <c r="O88" t="s">
        <v>182</v>
      </c>
      <c r="P88" s="11">
        <v>921.20000000000402</v>
      </c>
      <c r="R88" t="s">
        <v>226</v>
      </c>
      <c r="S88" s="5">
        <v>45870</v>
      </c>
      <c r="T88" t="s">
        <v>149</v>
      </c>
      <c r="U88" s="11">
        <v>460.31</v>
      </c>
      <c r="W88" t="s">
        <v>215</v>
      </c>
      <c r="X88" s="5">
        <v>46054</v>
      </c>
      <c r="Y88" t="s">
        <v>198</v>
      </c>
      <c r="Z88" s="11">
        <v>1211.1600000000101</v>
      </c>
      <c r="AB88" t="s">
        <v>205</v>
      </c>
      <c r="AC88" s="5">
        <v>46174</v>
      </c>
      <c r="AD88" t="s">
        <v>184</v>
      </c>
      <c r="AE88" s="240">
        <v>2185.0099999999866</v>
      </c>
    </row>
    <row r="89" spans="3:31" ht="18.75">
      <c r="C89">
        <v>42</v>
      </c>
      <c r="D89" s="5">
        <v>45943</v>
      </c>
      <c r="E89" t="s">
        <v>112</v>
      </c>
      <c r="F89" s="11">
        <v>82.89</v>
      </c>
      <c r="H89">
        <v>38</v>
      </c>
      <c r="I89" s="5">
        <v>45915</v>
      </c>
      <c r="J89" t="s">
        <v>173</v>
      </c>
      <c r="K89" s="11">
        <v>598.44999999999902</v>
      </c>
      <c r="M89">
        <v>45</v>
      </c>
      <c r="N89" s="5">
        <v>45964</v>
      </c>
      <c r="O89" t="s">
        <v>181</v>
      </c>
      <c r="P89" s="11">
        <v>1653.77</v>
      </c>
      <c r="R89" t="s">
        <v>226</v>
      </c>
      <c r="S89" s="5">
        <v>45870</v>
      </c>
      <c r="T89" t="s">
        <v>119</v>
      </c>
      <c r="U89" s="11">
        <v>1545.4</v>
      </c>
      <c r="W89" t="s">
        <v>215</v>
      </c>
      <c r="X89" s="5">
        <v>46054</v>
      </c>
      <c r="Y89" t="s">
        <v>174</v>
      </c>
      <c r="Z89" s="11">
        <v>2098.3899999999899</v>
      </c>
      <c r="AB89" t="s">
        <v>205</v>
      </c>
      <c r="AC89" s="5">
        <v>46174</v>
      </c>
      <c r="AD89" t="s">
        <v>179</v>
      </c>
      <c r="AE89" s="240">
        <v>13997.879999999808</v>
      </c>
    </row>
    <row r="90" spans="3:31" ht="18.75">
      <c r="C90">
        <v>42</v>
      </c>
      <c r="D90" s="5">
        <v>45943</v>
      </c>
      <c r="E90" t="s">
        <v>138</v>
      </c>
      <c r="F90" s="11">
        <v>427.26</v>
      </c>
      <c r="H90">
        <v>38</v>
      </c>
      <c r="I90" s="5">
        <v>45915</v>
      </c>
      <c r="J90" t="s">
        <v>169</v>
      </c>
      <c r="K90" s="11">
        <v>1402.1499999999901</v>
      </c>
      <c r="M90">
        <v>45</v>
      </c>
      <c r="N90" s="5">
        <v>45964</v>
      </c>
      <c r="O90" t="s">
        <v>179</v>
      </c>
      <c r="P90" s="11">
        <v>2855.1500000000101</v>
      </c>
      <c r="R90" t="s">
        <v>226</v>
      </c>
      <c r="S90" s="5">
        <v>45870</v>
      </c>
      <c r="T90" t="s">
        <v>140</v>
      </c>
      <c r="U90" s="11">
        <v>236.56</v>
      </c>
      <c r="W90" t="s">
        <v>215</v>
      </c>
      <c r="X90" s="5">
        <v>46054</v>
      </c>
      <c r="Y90" t="s">
        <v>158</v>
      </c>
      <c r="Z90" s="11">
        <v>2072.51999999999</v>
      </c>
      <c r="AB90" t="s">
        <v>205</v>
      </c>
      <c r="AC90" s="5">
        <v>46174</v>
      </c>
      <c r="AD90" t="s">
        <v>181</v>
      </c>
      <c r="AE90" s="240">
        <v>6919.4700000000012</v>
      </c>
    </row>
    <row r="91" spans="3:31" ht="18.75">
      <c r="C91">
        <v>42</v>
      </c>
      <c r="D91" s="5">
        <v>45943</v>
      </c>
      <c r="E91" t="s">
        <v>133</v>
      </c>
      <c r="F91" s="11">
        <v>319.8</v>
      </c>
      <c r="H91">
        <v>38</v>
      </c>
      <c r="I91" s="5">
        <v>45915</v>
      </c>
      <c r="J91" t="s">
        <v>160</v>
      </c>
      <c r="K91" s="11">
        <v>3457.4400000000101</v>
      </c>
      <c r="M91">
        <v>45</v>
      </c>
      <c r="N91" s="5">
        <v>45964</v>
      </c>
      <c r="O91" t="s">
        <v>182</v>
      </c>
      <c r="P91" s="11">
        <v>1786.24999999998</v>
      </c>
      <c r="R91" t="s">
        <v>226</v>
      </c>
      <c r="S91" s="5">
        <v>45870</v>
      </c>
      <c r="T91" t="s">
        <v>126</v>
      </c>
      <c r="U91" s="11">
        <v>229.61</v>
      </c>
      <c r="W91" t="s">
        <v>215</v>
      </c>
      <c r="X91" s="5">
        <v>46054</v>
      </c>
      <c r="Y91" t="s">
        <v>173</v>
      </c>
      <c r="Z91" s="11">
        <v>4625.9500000000298</v>
      </c>
      <c r="AB91" t="s">
        <v>205</v>
      </c>
      <c r="AC91" s="5">
        <v>46174</v>
      </c>
      <c r="AD91" t="s">
        <v>178</v>
      </c>
      <c r="AE91" s="240">
        <v>9964.8000000000284</v>
      </c>
    </row>
    <row r="92" spans="3:31" ht="18.75">
      <c r="C92">
        <v>42</v>
      </c>
      <c r="D92" s="5">
        <v>45943</v>
      </c>
      <c r="E92" t="s">
        <v>140</v>
      </c>
      <c r="F92" s="11">
        <v>70.319999999999993</v>
      </c>
      <c r="H92">
        <v>38</v>
      </c>
      <c r="I92" s="5">
        <v>45915</v>
      </c>
      <c r="J92" t="s">
        <v>174</v>
      </c>
      <c r="K92" s="11">
        <v>272.16000000000003</v>
      </c>
      <c r="M92">
        <v>45</v>
      </c>
      <c r="N92" s="5">
        <v>45964</v>
      </c>
      <c r="O92" t="s">
        <v>178</v>
      </c>
      <c r="P92" s="11">
        <v>2003.56</v>
      </c>
      <c r="R92" t="s">
        <v>226</v>
      </c>
      <c r="S92" s="5">
        <v>45870</v>
      </c>
      <c r="T92" t="s">
        <v>135</v>
      </c>
      <c r="U92" s="11">
        <v>191.37</v>
      </c>
      <c r="W92" t="s">
        <v>215</v>
      </c>
      <c r="X92" s="5">
        <v>46054</v>
      </c>
      <c r="Y92" t="s">
        <v>175</v>
      </c>
      <c r="Z92" s="11"/>
      <c r="AB92" t="s">
        <v>205</v>
      </c>
      <c r="AC92" s="5">
        <v>46174</v>
      </c>
      <c r="AD92" t="s">
        <v>180</v>
      </c>
      <c r="AE92" s="240">
        <v>880.75000000000227</v>
      </c>
    </row>
    <row r="93" spans="3:31" ht="18.75">
      <c r="C93">
        <v>42</v>
      </c>
      <c r="D93" s="5">
        <v>45943</v>
      </c>
      <c r="E93" t="s">
        <v>127</v>
      </c>
      <c r="F93" s="11">
        <v>204.93</v>
      </c>
      <c r="H93">
        <v>38</v>
      </c>
      <c r="I93" s="5">
        <v>45915</v>
      </c>
      <c r="J93" t="s">
        <v>163</v>
      </c>
      <c r="K93" s="11">
        <v>434.020000000001</v>
      </c>
      <c r="M93">
        <v>45</v>
      </c>
      <c r="N93" s="5">
        <v>45964</v>
      </c>
      <c r="O93" t="s">
        <v>185</v>
      </c>
      <c r="P93" s="11">
        <v>556.44999999999902</v>
      </c>
      <c r="R93" t="s">
        <v>226</v>
      </c>
      <c r="S93" s="5">
        <v>45870</v>
      </c>
      <c r="T93" t="s">
        <v>127</v>
      </c>
      <c r="U93" s="11">
        <v>874.56000000000301</v>
      </c>
      <c r="W93" t="s">
        <v>215</v>
      </c>
      <c r="X93" s="5">
        <v>46054</v>
      </c>
      <c r="Y93" t="s">
        <v>170</v>
      </c>
      <c r="Z93" s="11">
        <v>88</v>
      </c>
      <c r="AB93" t="s">
        <v>205</v>
      </c>
      <c r="AC93" s="5">
        <v>46174</v>
      </c>
      <c r="AD93" t="s">
        <v>183</v>
      </c>
      <c r="AE93" s="240">
        <v>2000.3299999999692</v>
      </c>
    </row>
    <row r="94" spans="3:31" ht="18.75">
      <c r="C94">
        <v>42</v>
      </c>
      <c r="D94" s="5">
        <v>45943</v>
      </c>
      <c r="E94" t="s">
        <v>134</v>
      </c>
      <c r="F94" s="11">
        <v>311.19</v>
      </c>
      <c r="H94">
        <v>38</v>
      </c>
      <c r="I94" s="5">
        <v>45915</v>
      </c>
      <c r="J94" t="s">
        <v>171</v>
      </c>
      <c r="K94" s="11">
        <v>881.88000000000204</v>
      </c>
      <c r="M94">
        <v>45</v>
      </c>
      <c r="N94" s="5">
        <v>45964</v>
      </c>
      <c r="O94" t="s">
        <v>184</v>
      </c>
      <c r="P94" s="11">
        <v>448</v>
      </c>
      <c r="R94" t="s">
        <v>226</v>
      </c>
      <c r="S94" s="5">
        <v>45870</v>
      </c>
      <c r="T94" t="s">
        <v>122</v>
      </c>
      <c r="U94" s="11">
        <v>753.28</v>
      </c>
      <c r="W94" t="s">
        <v>215</v>
      </c>
      <c r="X94" s="5">
        <v>46054</v>
      </c>
      <c r="Y94" t="s">
        <v>201</v>
      </c>
      <c r="Z94" s="11">
        <v>708.40000000000202</v>
      </c>
      <c r="AB94" t="s">
        <v>205</v>
      </c>
      <c r="AC94" s="5">
        <v>46174</v>
      </c>
      <c r="AD94" t="s">
        <v>202</v>
      </c>
      <c r="AE94" s="240">
        <v>1440.5600000000013</v>
      </c>
    </row>
    <row r="95" spans="3:31" ht="18.75">
      <c r="C95">
        <v>42</v>
      </c>
      <c r="D95" s="5">
        <v>45943</v>
      </c>
      <c r="E95" t="s">
        <v>126</v>
      </c>
      <c r="F95" s="11">
        <v>119.74</v>
      </c>
      <c r="H95">
        <v>38</v>
      </c>
      <c r="I95" s="5">
        <v>45915</v>
      </c>
      <c r="J95" t="s">
        <v>158</v>
      </c>
      <c r="K95" s="11">
        <v>319.16000000000003</v>
      </c>
      <c r="M95">
        <v>45</v>
      </c>
      <c r="N95" s="5">
        <v>45964</v>
      </c>
      <c r="O95" t="s">
        <v>183</v>
      </c>
      <c r="P95" s="11">
        <v>685.78999999999905</v>
      </c>
      <c r="R95" t="s">
        <v>226</v>
      </c>
      <c r="S95" s="5">
        <v>45870</v>
      </c>
      <c r="T95" t="s">
        <v>125</v>
      </c>
      <c r="U95" s="11">
        <v>302.55</v>
      </c>
      <c r="W95" t="s">
        <v>215</v>
      </c>
      <c r="X95" s="5">
        <v>46054</v>
      </c>
      <c r="Y95" t="s">
        <v>172</v>
      </c>
      <c r="Z95" s="11">
        <v>276.61000000000098</v>
      </c>
    </row>
    <row r="96" spans="3:31" ht="18.75">
      <c r="C96">
        <v>42</v>
      </c>
      <c r="D96" s="5">
        <v>45943</v>
      </c>
      <c r="E96" t="s">
        <v>145</v>
      </c>
      <c r="F96" s="11">
        <v>395.01</v>
      </c>
      <c r="H96">
        <v>38</v>
      </c>
      <c r="I96" s="5">
        <v>45915</v>
      </c>
      <c r="J96" t="s">
        <v>170</v>
      </c>
      <c r="K96" s="11">
        <v>94</v>
      </c>
      <c r="M96">
        <v>45</v>
      </c>
      <c r="N96" s="5">
        <v>45964</v>
      </c>
      <c r="O96" t="s">
        <v>180</v>
      </c>
      <c r="P96" s="11">
        <v>123.1</v>
      </c>
      <c r="R96" t="s">
        <v>226</v>
      </c>
      <c r="S96" s="5">
        <v>45870</v>
      </c>
      <c r="T96" t="s">
        <v>138</v>
      </c>
      <c r="U96" s="11">
        <v>1486.14</v>
      </c>
      <c r="W96" t="s">
        <v>215</v>
      </c>
      <c r="X96" s="5">
        <v>46054</v>
      </c>
      <c r="Y96" t="s">
        <v>165</v>
      </c>
      <c r="Z96" s="11">
        <v>16.899999999999999</v>
      </c>
    </row>
    <row r="97" spans="3:26" ht="18.75">
      <c r="C97">
        <v>42</v>
      </c>
      <c r="D97" s="5">
        <v>45943</v>
      </c>
      <c r="E97" t="s">
        <v>125</v>
      </c>
      <c r="F97" s="11">
        <v>45.7</v>
      </c>
      <c r="H97">
        <v>38</v>
      </c>
      <c r="I97" s="5">
        <v>45915</v>
      </c>
      <c r="J97" t="s">
        <v>176</v>
      </c>
      <c r="K97" s="11">
        <v>91.88</v>
      </c>
      <c r="M97">
        <v>34</v>
      </c>
      <c r="N97" s="5">
        <v>45887</v>
      </c>
      <c r="O97" t="s">
        <v>185</v>
      </c>
      <c r="P97" s="11">
        <v>887.79999999999905</v>
      </c>
      <c r="R97" t="s">
        <v>226</v>
      </c>
      <c r="S97" s="5">
        <v>45870</v>
      </c>
      <c r="T97" t="s">
        <v>137</v>
      </c>
      <c r="U97" s="11">
        <v>228.88</v>
      </c>
      <c r="W97" t="s">
        <v>215</v>
      </c>
      <c r="X97" s="5">
        <v>46054</v>
      </c>
      <c r="Y97" t="s">
        <v>159</v>
      </c>
      <c r="Z97" s="11">
        <v>25.2</v>
      </c>
    </row>
    <row r="98" spans="3:26" ht="18.75">
      <c r="C98">
        <v>42</v>
      </c>
      <c r="D98" s="5">
        <v>45943</v>
      </c>
      <c r="E98" t="s">
        <v>135</v>
      </c>
      <c r="F98" s="11">
        <v>54.23</v>
      </c>
      <c r="H98">
        <v>38</v>
      </c>
      <c r="I98" s="5">
        <v>45915</v>
      </c>
      <c r="J98" t="s">
        <v>164</v>
      </c>
      <c r="K98" s="11">
        <v>27.6</v>
      </c>
      <c r="M98">
        <v>34</v>
      </c>
      <c r="N98" s="5">
        <v>45887</v>
      </c>
      <c r="O98" t="s">
        <v>182</v>
      </c>
      <c r="P98" s="11">
        <v>661.050000000002</v>
      </c>
      <c r="R98" t="s">
        <v>226</v>
      </c>
      <c r="S98" s="5">
        <v>45870</v>
      </c>
      <c r="T98" t="s">
        <v>134</v>
      </c>
      <c r="U98" s="11">
        <v>1244.6500000000001</v>
      </c>
      <c r="W98" t="s">
        <v>215</v>
      </c>
      <c r="X98" s="5">
        <v>46054</v>
      </c>
      <c r="Y98" t="s">
        <v>164</v>
      </c>
      <c r="Z98" s="11">
        <v>6</v>
      </c>
    </row>
    <row r="99" spans="3:26" ht="18.75">
      <c r="C99">
        <v>42</v>
      </c>
      <c r="D99" s="5">
        <v>45943</v>
      </c>
      <c r="E99" t="s">
        <v>137</v>
      </c>
      <c r="F99" s="11">
        <v>79.28</v>
      </c>
      <c r="H99">
        <v>38</v>
      </c>
      <c r="I99" s="5">
        <v>45915</v>
      </c>
      <c r="J99" t="s">
        <v>172</v>
      </c>
      <c r="K99" s="11">
        <v>63.68</v>
      </c>
      <c r="M99">
        <v>34</v>
      </c>
      <c r="N99" s="5">
        <v>45887</v>
      </c>
      <c r="O99" t="s">
        <v>183</v>
      </c>
      <c r="P99" s="11">
        <v>346.75000000000102</v>
      </c>
      <c r="R99" t="s">
        <v>226</v>
      </c>
      <c r="S99" s="5">
        <v>45870</v>
      </c>
      <c r="T99" t="s">
        <v>121</v>
      </c>
      <c r="U99" s="11">
        <v>346.06</v>
      </c>
      <c r="W99" t="s">
        <v>199</v>
      </c>
      <c r="X99" s="5">
        <v>46082</v>
      </c>
      <c r="Y99" t="s">
        <v>169</v>
      </c>
      <c r="Z99" s="11">
        <v>9696.6900000001406</v>
      </c>
    </row>
    <row r="100" spans="3:26" ht="18.75">
      <c r="C100">
        <v>42</v>
      </c>
      <c r="D100" s="5">
        <v>45943</v>
      </c>
      <c r="E100" t="s">
        <v>123</v>
      </c>
      <c r="F100" s="11">
        <v>403.51</v>
      </c>
      <c r="H100">
        <v>38</v>
      </c>
      <c r="I100" s="5">
        <v>45915</v>
      </c>
      <c r="J100" t="s">
        <v>165</v>
      </c>
      <c r="K100" s="11">
        <v>217.3</v>
      </c>
      <c r="M100">
        <v>34</v>
      </c>
      <c r="N100" s="5">
        <v>45887</v>
      </c>
      <c r="O100" t="s">
        <v>178</v>
      </c>
      <c r="P100" s="11">
        <v>1326.8500000000099</v>
      </c>
      <c r="R100" t="s">
        <v>226</v>
      </c>
      <c r="S100" s="5">
        <v>45870</v>
      </c>
      <c r="T100" t="s">
        <v>133</v>
      </c>
      <c r="U100" s="11">
        <v>1223.58</v>
      </c>
      <c r="W100" t="s">
        <v>199</v>
      </c>
      <c r="X100" s="5">
        <v>46082</v>
      </c>
      <c r="Y100" t="s">
        <v>160</v>
      </c>
      <c r="Z100" s="11">
        <v>23531.950000001099</v>
      </c>
    </row>
    <row r="101" spans="3:26" ht="18.75">
      <c r="C101">
        <v>42</v>
      </c>
      <c r="D101" s="5">
        <v>45943</v>
      </c>
      <c r="E101" t="s">
        <v>118</v>
      </c>
      <c r="F101" s="11">
        <v>196.91</v>
      </c>
      <c r="H101">
        <v>38</v>
      </c>
      <c r="I101" s="5">
        <v>45915</v>
      </c>
      <c r="J101" t="s">
        <v>159</v>
      </c>
      <c r="K101" s="11">
        <v>43.2</v>
      </c>
      <c r="M101">
        <v>34</v>
      </c>
      <c r="N101" s="5">
        <v>45887</v>
      </c>
      <c r="O101" t="s">
        <v>179</v>
      </c>
      <c r="P101" s="11">
        <v>2110.7200000000098</v>
      </c>
      <c r="R101" t="s">
        <v>226</v>
      </c>
      <c r="S101" s="5">
        <v>45870</v>
      </c>
      <c r="T101" t="s">
        <v>123</v>
      </c>
      <c r="U101" s="11">
        <v>1517.69</v>
      </c>
      <c r="W101" t="s">
        <v>199</v>
      </c>
      <c r="X101" s="5">
        <v>46082</v>
      </c>
      <c r="Y101" t="s">
        <v>174</v>
      </c>
      <c r="Z101" s="11">
        <v>3089.19</v>
      </c>
    </row>
    <row r="102" spans="3:26" ht="18.75">
      <c r="C102">
        <v>42</v>
      </c>
      <c r="D102" s="5">
        <v>45943</v>
      </c>
      <c r="E102" t="s">
        <v>141</v>
      </c>
      <c r="F102" s="11">
        <v>722.38</v>
      </c>
      <c r="H102">
        <v>37</v>
      </c>
      <c r="I102" s="5">
        <v>45908</v>
      </c>
      <c r="J102" t="s">
        <v>169</v>
      </c>
      <c r="K102" s="11">
        <v>1299.0999999999899</v>
      </c>
      <c r="M102">
        <v>34</v>
      </c>
      <c r="N102" s="5">
        <v>45887</v>
      </c>
      <c r="O102" t="s">
        <v>180</v>
      </c>
      <c r="P102" s="11">
        <v>393.6</v>
      </c>
      <c r="R102" t="s">
        <v>226</v>
      </c>
      <c r="S102" s="5">
        <v>45870</v>
      </c>
      <c r="T102" t="s">
        <v>132</v>
      </c>
      <c r="U102" s="11">
        <v>588.73</v>
      </c>
      <c r="W102" t="s">
        <v>199</v>
      </c>
      <c r="X102" s="5">
        <v>46082</v>
      </c>
      <c r="Y102" t="s">
        <v>168</v>
      </c>
      <c r="Z102" s="11">
        <v>2101.9399999999901</v>
      </c>
    </row>
    <row r="103" spans="3:26" ht="18.75">
      <c r="C103">
        <v>42</v>
      </c>
      <c r="D103" s="5">
        <v>45943</v>
      </c>
      <c r="E103" t="s">
        <v>113</v>
      </c>
      <c r="F103" s="11">
        <v>185.41</v>
      </c>
      <c r="H103">
        <v>37</v>
      </c>
      <c r="I103" s="5">
        <v>45908</v>
      </c>
      <c r="J103" t="s">
        <v>163</v>
      </c>
      <c r="K103" s="11">
        <v>421.31000000000103</v>
      </c>
      <c r="M103">
        <v>34</v>
      </c>
      <c r="N103" s="5">
        <v>45887</v>
      </c>
      <c r="O103" t="s">
        <v>181</v>
      </c>
      <c r="P103" s="11">
        <v>976.99999999999795</v>
      </c>
      <c r="R103" t="s">
        <v>226</v>
      </c>
      <c r="S103" s="5">
        <v>45870</v>
      </c>
      <c r="T103" t="s">
        <v>124</v>
      </c>
      <c r="U103" s="11">
        <v>1415.57</v>
      </c>
      <c r="W103" t="s">
        <v>199</v>
      </c>
      <c r="X103" s="5">
        <v>46082</v>
      </c>
      <c r="Y103" t="s">
        <v>158</v>
      </c>
      <c r="Z103" s="11">
        <v>3231.99999999998</v>
      </c>
    </row>
    <row r="104" spans="3:26" ht="18.75">
      <c r="C104">
        <v>42</v>
      </c>
      <c r="D104" s="5">
        <v>45943</v>
      </c>
      <c r="E104" t="s">
        <v>142</v>
      </c>
      <c r="F104" s="11">
        <v>174.66</v>
      </c>
      <c r="H104">
        <v>37</v>
      </c>
      <c r="I104" s="5">
        <v>45908</v>
      </c>
      <c r="J104" t="s">
        <v>173</v>
      </c>
      <c r="K104" s="11">
        <v>490.6</v>
      </c>
      <c r="M104">
        <v>34</v>
      </c>
      <c r="N104" s="5">
        <v>45887</v>
      </c>
      <c r="O104" t="s">
        <v>184</v>
      </c>
      <c r="P104" s="11">
        <v>387.13999999999902</v>
      </c>
      <c r="R104" t="s">
        <v>226</v>
      </c>
      <c r="S104" s="5">
        <v>45870</v>
      </c>
      <c r="T104" t="s">
        <v>146</v>
      </c>
      <c r="U104" s="11">
        <v>1577.88</v>
      </c>
      <c r="W104" t="s">
        <v>199</v>
      </c>
      <c r="X104" s="5">
        <v>46082</v>
      </c>
      <c r="Y104" t="s">
        <v>176</v>
      </c>
      <c r="Z104" s="11">
        <v>460.43999999999699</v>
      </c>
    </row>
    <row r="105" spans="3:26" ht="18.75">
      <c r="C105">
        <v>42</v>
      </c>
      <c r="D105" s="5">
        <v>45943</v>
      </c>
      <c r="E105" t="s">
        <v>122</v>
      </c>
      <c r="F105" s="11">
        <v>235.81</v>
      </c>
      <c r="H105">
        <v>37</v>
      </c>
      <c r="I105" s="5">
        <v>45908</v>
      </c>
      <c r="J105" t="s">
        <v>176</v>
      </c>
      <c r="K105" s="11">
        <v>208.8</v>
      </c>
      <c r="M105">
        <v>46</v>
      </c>
      <c r="N105" s="5">
        <v>45971</v>
      </c>
      <c r="O105" t="s">
        <v>183</v>
      </c>
      <c r="P105" s="11">
        <v>498.76000000000101</v>
      </c>
      <c r="R105" t="s">
        <v>226</v>
      </c>
      <c r="S105" s="5">
        <v>45870</v>
      </c>
      <c r="T105" t="s">
        <v>145</v>
      </c>
      <c r="U105" s="11">
        <v>913.68</v>
      </c>
      <c r="W105" t="s">
        <v>199</v>
      </c>
      <c r="X105" s="5">
        <v>46082</v>
      </c>
      <c r="Y105" t="s">
        <v>173</v>
      </c>
      <c r="Z105" s="11">
        <v>5288.6999999999798</v>
      </c>
    </row>
    <row r="106" spans="3:26" ht="18.75">
      <c r="C106">
        <v>42</v>
      </c>
      <c r="D106" s="5">
        <v>45943</v>
      </c>
      <c r="E106" t="s">
        <v>143</v>
      </c>
      <c r="F106" s="11">
        <v>1146.07</v>
      </c>
      <c r="H106">
        <v>37</v>
      </c>
      <c r="I106" s="5">
        <v>45908</v>
      </c>
      <c r="J106" t="s">
        <v>160</v>
      </c>
      <c r="K106" s="11">
        <v>4104.45</v>
      </c>
      <c r="M106">
        <v>46</v>
      </c>
      <c r="N106" s="5">
        <v>45971</v>
      </c>
      <c r="O106" t="s">
        <v>184</v>
      </c>
      <c r="P106" s="11">
        <v>453.93</v>
      </c>
      <c r="R106" t="s">
        <v>226</v>
      </c>
      <c r="S106" s="5">
        <v>45870</v>
      </c>
      <c r="T106" t="s">
        <v>142</v>
      </c>
      <c r="U106" s="11">
        <v>376.75</v>
      </c>
      <c r="W106" t="s">
        <v>199</v>
      </c>
      <c r="X106" s="5">
        <v>46082</v>
      </c>
      <c r="Y106" t="s">
        <v>171</v>
      </c>
      <c r="Z106" s="11">
        <v>2750.4199999999901</v>
      </c>
    </row>
    <row r="107" spans="3:26" ht="18.75">
      <c r="C107">
        <v>42</v>
      </c>
      <c r="D107" s="5">
        <v>45943</v>
      </c>
      <c r="E107" t="s">
        <v>116</v>
      </c>
      <c r="F107" s="11">
        <v>93.61</v>
      </c>
      <c r="H107">
        <v>37</v>
      </c>
      <c r="I107" s="5">
        <v>45908</v>
      </c>
      <c r="J107" t="s">
        <v>171</v>
      </c>
      <c r="K107" s="11">
        <v>763.28999999999905</v>
      </c>
      <c r="M107">
        <v>46</v>
      </c>
      <c r="N107" s="5">
        <v>45971</v>
      </c>
      <c r="O107" t="s">
        <v>182</v>
      </c>
      <c r="P107" s="11">
        <v>1533.8499999999799</v>
      </c>
      <c r="R107" t="s">
        <v>211</v>
      </c>
      <c r="S107" s="5">
        <v>45962</v>
      </c>
      <c r="T107" t="s">
        <v>117</v>
      </c>
      <c r="U107" s="11">
        <v>1046.8900000000001</v>
      </c>
      <c r="W107" t="s">
        <v>199</v>
      </c>
      <c r="X107" s="5">
        <v>46082</v>
      </c>
      <c r="Y107" t="s">
        <v>198</v>
      </c>
      <c r="Z107" s="11">
        <v>1749.8200000000099</v>
      </c>
    </row>
    <row r="108" spans="3:26" ht="18.75">
      <c r="C108">
        <v>42</v>
      </c>
      <c r="D108" s="5">
        <v>45943</v>
      </c>
      <c r="E108" t="s">
        <v>120</v>
      </c>
      <c r="F108" s="11">
        <v>318.5</v>
      </c>
      <c r="H108">
        <v>37</v>
      </c>
      <c r="I108" s="5">
        <v>45908</v>
      </c>
      <c r="J108" t="s">
        <v>158</v>
      </c>
      <c r="K108" s="11">
        <v>274.72000000000003</v>
      </c>
      <c r="M108">
        <v>46</v>
      </c>
      <c r="N108" s="5">
        <v>45971</v>
      </c>
      <c r="O108" t="s">
        <v>179</v>
      </c>
      <c r="P108" s="11">
        <v>2347.3000000000202</v>
      </c>
      <c r="R108" t="s">
        <v>211</v>
      </c>
      <c r="S108" s="5">
        <v>45962</v>
      </c>
      <c r="T108" t="s">
        <v>150</v>
      </c>
      <c r="U108" s="11">
        <v>263.05</v>
      </c>
      <c r="W108" t="s">
        <v>199</v>
      </c>
      <c r="X108" s="5">
        <v>46082</v>
      </c>
      <c r="Y108" t="s">
        <v>201</v>
      </c>
      <c r="Z108" s="11">
        <v>304.92</v>
      </c>
    </row>
    <row r="109" spans="3:26" ht="18.75">
      <c r="C109">
        <v>42</v>
      </c>
      <c r="D109" s="5">
        <v>45943</v>
      </c>
      <c r="E109" t="s">
        <v>124</v>
      </c>
      <c r="F109" s="11">
        <v>447.6</v>
      </c>
      <c r="H109">
        <v>37</v>
      </c>
      <c r="I109" s="5">
        <v>45908</v>
      </c>
      <c r="J109" t="s">
        <v>170</v>
      </c>
      <c r="K109" s="11">
        <v>144</v>
      </c>
      <c r="M109">
        <v>46</v>
      </c>
      <c r="N109" s="5">
        <v>45971</v>
      </c>
      <c r="O109" t="s">
        <v>185</v>
      </c>
      <c r="P109" s="11">
        <v>482.49999999999898</v>
      </c>
      <c r="R109" t="s">
        <v>211</v>
      </c>
      <c r="S109" s="5">
        <v>45962</v>
      </c>
      <c r="T109" t="s">
        <v>143</v>
      </c>
      <c r="U109" s="11">
        <v>7049.1599999999498</v>
      </c>
      <c r="W109" t="s">
        <v>199</v>
      </c>
      <c r="X109" s="5">
        <v>46082</v>
      </c>
      <c r="Y109" t="s">
        <v>170</v>
      </c>
      <c r="Z109" s="11">
        <v>554</v>
      </c>
    </row>
    <row r="110" spans="3:26" ht="18.75">
      <c r="C110">
        <v>42</v>
      </c>
      <c r="D110" s="5">
        <v>45943</v>
      </c>
      <c r="E110" t="s">
        <v>132</v>
      </c>
      <c r="F110" s="11">
        <v>196.21</v>
      </c>
      <c r="H110">
        <v>37</v>
      </c>
      <c r="I110" s="5">
        <v>45908</v>
      </c>
      <c r="J110" t="s">
        <v>174</v>
      </c>
      <c r="K110" s="11">
        <v>321.92</v>
      </c>
      <c r="M110">
        <v>46</v>
      </c>
      <c r="N110" s="5">
        <v>45971</v>
      </c>
      <c r="O110" t="s">
        <v>186</v>
      </c>
      <c r="P110" s="11">
        <v>238.875</v>
      </c>
      <c r="R110" t="s">
        <v>211</v>
      </c>
      <c r="S110" s="5">
        <v>45962</v>
      </c>
      <c r="T110" t="s">
        <v>136</v>
      </c>
      <c r="U110" s="11">
        <v>356.69499999999999</v>
      </c>
      <c r="W110" t="s">
        <v>199</v>
      </c>
      <c r="X110" s="5">
        <v>46082</v>
      </c>
      <c r="Y110" t="s">
        <v>163</v>
      </c>
      <c r="Z110" s="11">
        <v>1461.5699999999799</v>
      </c>
    </row>
    <row r="111" spans="3:26" ht="18.75">
      <c r="C111">
        <v>42</v>
      </c>
      <c r="D111" s="5">
        <v>45943</v>
      </c>
      <c r="E111" t="s">
        <v>128</v>
      </c>
      <c r="F111" s="11">
        <v>193.14</v>
      </c>
      <c r="H111">
        <v>37</v>
      </c>
      <c r="I111" s="5">
        <v>45908</v>
      </c>
      <c r="J111" t="s">
        <v>164</v>
      </c>
      <c r="K111" s="11">
        <v>15.6</v>
      </c>
      <c r="M111">
        <v>46</v>
      </c>
      <c r="N111" s="5">
        <v>45971</v>
      </c>
      <c r="O111" t="s">
        <v>181</v>
      </c>
      <c r="P111" s="11">
        <v>1397.76</v>
      </c>
      <c r="R111" t="s">
        <v>211</v>
      </c>
      <c r="S111" s="5">
        <v>45962</v>
      </c>
      <c r="T111" t="s">
        <v>112</v>
      </c>
      <c r="U111" s="11">
        <v>303.47000000000003</v>
      </c>
      <c r="W111" t="s">
        <v>199</v>
      </c>
      <c r="X111" s="5">
        <v>46082</v>
      </c>
      <c r="Y111" t="s">
        <v>165</v>
      </c>
      <c r="Z111" s="11">
        <v>647.50000000000102</v>
      </c>
    </row>
    <row r="112" spans="3:26" ht="18.75">
      <c r="C112">
        <v>41</v>
      </c>
      <c r="D112" s="5">
        <v>45936</v>
      </c>
      <c r="E112" t="s">
        <v>118</v>
      </c>
      <c r="F112" s="11">
        <v>203.41</v>
      </c>
      <c r="H112">
        <v>37</v>
      </c>
      <c r="I112" s="5">
        <v>45908</v>
      </c>
      <c r="J112" t="s">
        <v>168</v>
      </c>
      <c r="K112" s="11">
        <v>401.10999999999899</v>
      </c>
      <c r="M112">
        <v>46</v>
      </c>
      <c r="N112" s="5">
        <v>45971</v>
      </c>
      <c r="O112" t="s">
        <v>178</v>
      </c>
      <c r="P112" s="11">
        <v>1671.95000000001</v>
      </c>
      <c r="R112" t="s">
        <v>211</v>
      </c>
      <c r="S112" s="5">
        <v>45962</v>
      </c>
      <c r="T112" t="s">
        <v>116</v>
      </c>
      <c r="U112" s="11">
        <v>371.29</v>
      </c>
      <c r="W112" t="s">
        <v>199</v>
      </c>
      <c r="X112" s="5">
        <v>46082</v>
      </c>
      <c r="Y112" t="s">
        <v>172</v>
      </c>
      <c r="Z112" s="11">
        <v>177.11</v>
      </c>
    </row>
    <row r="113" spans="3:26" ht="18.75">
      <c r="C113">
        <v>41</v>
      </c>
      <c r="D113" s="5">
        <v>45936</v>
      </c>
      <c r="E113" t="s">
        <v>117</v>
      </c>
      <c r="F113" s="11">
        <v>222.57</v>
      </c>
      <c r="H113">
        <v>37</v>
      </c>
      <c r="I113" s="5">
        <v>45908</v>
      </c>
      <c r="J113" t="s">
        <v>165</v>
      </c>
      <c r="K113" s="11">
        <v>45</v>
      </c>
      <c r="M113">
        <v>46</v>
      </c>
      <c r="N113" s="5">
        <v>45971</v>
      </c>
      <c r="O113" t="s">
        <v>180</v>
      </c>
      <c r="P113" s="11">
        <v>407.8</v>
      </c>
      <c r="R113" t="s">
        <v>211</v>
      </c>
      <c r="S113" s="5">
        <v>45962</v>
      </c>
      <c r="T113" t="s">
        <v>146</v>
      </c>
      <c r="U113" s="11">
        <v>2364.835</v>
      </c>
      <c r="W113" t="s">
        <v>199</v>
      </c>
      <c r="X113" s="5">
        <v>46082</v>
      </c>
      <c r="Y113" t="s">
        <v>204</v>
      </c>
      <c r="Z113" s="11">
        <v>8.3699999999999992</v>
      </c>
    </row>
    <row r="114" spans="3:26" ht="18.75">
      <c r="C114">
        <v>41</v>
      </c>
      <c r="D114" s="5">
        <v>45936</v>
      </c>
      <c r="E114" t="s">
        <v>150</v>
      </c>
      <c r="F114" s="11">
        <v>83.64</v>
      </c>
      <c r="H114">
        <v>37</v>
      </c>
      <c r="I114" s="5">
        <v>45908</v>
      </c>
      <c r="J114" t="s">
        <v>172</v>
      </c>
      <c r="K114" s="11">
        <v>15.92</v>
      </c>
      <c r="M114">
        <v>47</v>
      </c>
      <c r="N114" s="5">
        <v>45978</v>
      </c>
      <c r="O114" t="s">
        <v>181</v>
      </c>
      <c r="P114" s="11">
        <v>1571.68</v>
      </c>
      <c r="R114" t="s">
        <v>211</v>
      </c>
      <c r="S114" s="5">
        <v>45962</v>
      </c>
      <c r="T114" t="s">
        <v>145</v>
      </c>
      <c r="U114" s="11">
        <v>1377.85</v>
      </c>
      <c r="W114" t="s">
        <v>199</v>
      </c>
      <c r="X114" s="5">
        <v>46082</v>
      </c>
      <c r="Y114" t="s">
        <v>167</v>
      </c>
      <c r="Z114" s="11">
        <v>664.900000000001</v>
      </c>
    </row>
    <row r="115" spans="3:26" ht="18.75">
      <c r="C115">
        <v>41</v>
      </c>
      <c r="D115" s="5">
        <v>45936</v>
      </c>
      <c r="E115" t="s">
        <v>139</v>
      </c>
      <c r="F115" s="11">
        <v>206.82</v>
      </c>
      <c r="H115">
        <v>36</v>
      </c>
      <c r="I115" s="5">
        <v>45901</v>
      </c>
      <c r="J115" t="s">
        <v>160</v>
      </c>
      <c r="K115" s="11">
        <v>3283.05</v>
      </c>
      <c r="M115">
        <v>47</v>
      </c>
      <c r="N115" s="5">
        <v>45978</v>
      </c>
      <c r="O115" t="s">
        <v>178</v>
      </c>
      <c r="P115" s="11">
        <v>2100.41</v>
      </c>
      <c r="R115" t="s">
        <v>211</v>
      </c>
      <c r="S115" s="5">
        <v>45962</v>
      </c>
      <c r="T115" t="s">
        <v>147</v>
      </c>
      <c r="U115" s="11">
        <v>1265.3</v>
      </c>
      <c r="W115" t="s">
        <v>199</v>
      </c>
      <c r="X115" s="5">
        <v>46082</v>
      </c>
      <c r="Y115" t="s">
        <v>164</v>
      </c>
      <c r="Z115" s="11">
        <v>3.6</v>
      </c>
    </row>
    <row r="116" spans="3:26" ht="18.75">
      <c r="C116">
        <v>41</v>
      </c>
      <c r="D116" s="5">
        <v>45936</v>
      </c>
      <c r="E116" t="s">
        <v>219</v>
      </c>
      <c r="F116" s="11">
        <v>371.98</v>
      </c>
      <c r="H116">
        <v>36</v>
      </c>
      <c r="I116" s="5">
        <v>45901</v>
      </c>
      <c r="J116" t="s">
        <v>173</v>
      </c>
      <c r="K116" s="11">
        <v>537.29999999999995</v>
      </c>
      <c r="M116">
        <v>47</v>
      </c>
      <c r="N116" s="5">
        <v>45978</v>
      </c>
      <c r="O116" t="s">
        <v>184</v>
      </c>
      <c r="P116" s="11">
        <v>419.15249999999901</v>
      </c>
      <c r="R116" t="s">
        <v>211</v>
      </c>
      <c r="S116" s="5">
        <v>45962</v>
      </c>
      <c r="T116" t="s">
        <v>133</v>
      </c>
      <c r="U116" s="11">
        <v>1222.73</v>
      </c>
      <c r="W116" t="s">
        <v>199</v>
      </c>
      <c r="X116" s="5">
        <v>46082</v>
      </c>
      <c r="Y116" t="s">
        <v>207</v>
      </c>
      <c r="Z116" s="11">
        <v>268.60000000000002</v>
      </c>
    </row>
    <row r="117" spans="3:26" ht="18.75">
      <c r="C117">
        <v>41</v>
      </c>
      <c r="D117" s="5">
        <v>45936</v>
      </c>
      <c r="E117" t="s">
        <v>119</v>
      </c>
      <c r="F117" s="11">
        <v>420.52</v>
      </c>
      <c r="H117">
        <v>36</v>
      </c>
      <c r="I117" s="5">
        <v>45901</v>
      </c>
      <c r="J117" t="s">
        <v>158</v>
      </c>
      <c r="K117" s="11">
        <v>424.72</v>
      </c>
      <c r="M117">
        <v>47</v>
      </c>
      <c r="N117" s="5">
        <v>45978</v>
      </c>
      <c r="O117" t="s">
        <v>179</v>
      </c>
      <c r="P117" s="11">
        <v>3055.1899999999901</v>
      </c>
      <c r="R117" t="s">
        <v>211</v>
      </c>
      <c r="S117" s="5">
        <v>45962</v>
      </c>
      <c r="T117" t="s">
        <v>129</v>
      </c>
      <c r="U117" s="11">
        <v>1884.2750000000001</v>
      </c>
      <c r="W117" t="s">
        <v>200</v>
      </c>
      <c r="X117" s="5">
        <v>46113</v>
      </c>
      <c r="Y117" t="s">
        <v>160</v>
      </c>
      <c r="Z117" s="11">
        <v>20025.530000000701</v>
      </c>
    </row>
    <row r="118" spans="3:26" ht="18.75">
      <c r="C118">
        <v>41</v>
      </c>
      <c r="D118" s="5">
        <v>45936</v>
      </c>
      <c r="E118" t="s">
        <v>114</v>
      </c>
      <c r="F118" s="11">
        <v>285.97000000000003</v>
      </c>
      <c r="H118">
        <v>36</v>
      </c>
      <c r="I118" s="5">
        <v>45901</v>
      </c>
      <c r="J118" t="s">
        <v>169</v>
      </c>
      <c r="K118" s="11">
        <v>1327.45</v>
      </c>
      <c r="M118">
        <v>47</v>
      </c>
      <c r="N118" s="5">
        <v>45978</v>
      </c>
      <c r="O118" t="s">
        <v>182</v>
      </c>
      <c r="P118" s="11">
        <v>1939.0499999999699</v>
      </c>
      <c r="R118" t="s">
        <v>211</v>
      </c>
      <c r="S118" s="5">
        <v>45962</v>
      </c>
      <c r="T118" t="s">
        <v>141</v>
      </c>
      <c r="U118" s="11">
        <v>2405.5499999999802</v>
      </c>
      <c r="W118" t="s">
        <v>200</v>
      </c>
      <c r="X118" s="5">
        <v>46113</v>
      </c>
      <c r="Y118" t="s">
        <v>171</v>
      </c>
      <c r="Z118" s="11">
        <v>1955.38</v>
      </c>
    </row>
    <row r="119" spans="3:26" ht="18.75">
      <c r="C119">
        <v>41</v>
      </c>
      <c r="D119" s="5">
        <v>45936</v>
      </c>
      <c r="E119" t="s">
        <v>136</v>
      </c>
      <c r="F119" s="11">
        <v>121.84</v>
      </c>
      <c r="H119">
        <v>36</v>
      </c>
      <c r="I119" s="5">
        <v>45901</v>
      </c>
      <c r="J119" t="s">
        <v>168</v>
      </c>
      <c r="K119" s="11">
        <v>386.18999999999897</v>
      </c>
      <c r="M119">
        <v>47</v>
      </c>
      <c r="N119" s="5">
        <v>45978</v>
      </c>
      <c r="O119" t="s">
        <v>185</v>
      </c>
      <c r="P119" s="11">
        <v>663.49999999999898</v>
      </c>
      <c r="R119" t="s">
        <v>211</v>
      </c>
      <c r="S119" s="5">
        <v>45962</v>
      </c>
      <c r="T119" t="s">
        <v>134</v>
      </c>
      <c r="U119" s="11">
        <v>1400.42</v>
      </c>
      <c r="W119" t="s">
        <v>200</v>
      </c>
      <c r="X119" s="5">
        <v>46113</v>
      </c>
      <c r="Y119" t="s">
        <v>173</v>
      </c>
      <c r="Z119" s="11">
        <v>3824.9000000000101</v>
      </c>
    </row>
    <row r="120" spans="3:26" ht="18.75">
      <c r="C120">
        <v>41</v>
      </c>
      <c r="D120" s="5">
        <v>45936</v>
      </c>
      <c r="E120" t="s">
        <v>112</v>
      </c>
      <c r="F120" s="11">
        <v>194.79</v>
      </c>
      <c r="H120">
        <v>36</v>
      </c>
      <c r="I120" s="5">
        <v>45901</v>
      </c>
      <c r="J120" t="s">
        <v>174</v>
      </c>
      <c r="K120" s="11">
        <v>841.69</v>
      </c>
      <c r="M120">
        <v>47</v>
      </c>
      <c r="N120" s="5">
        <v>45978</v>
      </c>
      <c r="O120" t="s">
        <v>183</v>
      </c>
      <c r="P120" s="11">
        <v>622.09000000000106</v>
      </c>
      <c r="R120" t="s">
        <v>211</v>
      </c>
      <c r="S120" s="5">
        <v>45962</v>
      </c>
      <c r="T120" t="s">
        <v>128</v>
      </c>
      <c r="U120" s="11">
        <v>689.26</v>
      </c>
      <c r="W120" t="s">
        <v>200</v>
      </c>
      <c r="X120" s="5">
        <v>46113</v>
      </c>
      <c r="Y120" t="s">
        <v>176</v>
      </c>
      <c r="Z120" s="11">
        <v>715.32000000000505</v>
      </c>
    </row>
    <row r="121" spans="3:26" ht="18.75">
      <c r="C121">
        <v>41</v>
      </c>
      <c r="D121" s="5">
        <v>45936</v>
      </c>
      <c r="E121" t="s">
        <v>126</v>
      </c>
      <c r="F121" s="11">
        <v>111.59</v>
      </c>
      <c r="H121">
        <v>36</v>
      </c>
      <c r="I121" s="5">
        <v>45901</v>
      </c>
      <c r="J121" t="s">
        <v>163</v>
      </c>
      <c r="K121" s="11">
        <v>438.06000000000103</v>
      </c>
      <c r="M121">
        <v>47</v>
      </c>
      <c r="N121" s="5">
        <v>45978</v>
      </c>
      <c r="O121" t="s">
        <v>186</v>
      </c>
      <c r="P121" s="11">
        <v>380.54999999999899</v>
      </c>
      <c r="R121" t="s">
        <v>211</v>
      </c>
      <c r="S121" s="5">
        <v>45962</v>
      </c>
      <c r="T121" t="s">
        <v>113</v>
      </c>
      <c r="U121" s="11">
        <v>796.729999999999</v>
      </c>
      <c r="W121" t="s">
        <v>200</v>
      </c>
      <c r="X121" s="5">
        <v>46113</v>
      </c>
      <c r="Y121" t="s">
        <v>163</v>
      </c>
      <c r="Z121" s="11">
        <v>1417.70999999998</v>
      </c>
    </row>
    <row r="122" spans="3:26" ht="18.75">
      <c r="C122">
        <v>41</v>
      </c>
      <c r="D122" s="5">
        <v>45936</v>
      </c>
      <c r="E122" t="s">
        <v>149</v>
      </c>
      <c r="F122" s="11">
        <v>106.73</v>
      </c>
      <c r="H122">
        <v>36</v>
      </c>
      <c r="I122" s="5">
        <v>45901</v>
      </c>
      <c r="J122" t="s">
        <v>171</v>
      </c>
      <c r="K122" s="11">
        <v>349.07</v>
      </c>
      <c r="M122">
        <v>47</v>
      </c>
      <c r="N122" s="5">
        <v>45978</v>
      </c>
      <c r="O122" t="s">
        <v>180</v>
      </c>
      <c r="P122" s="11">
        <v>85.45</v>
      </c>
      <c r="R122" t="s">
        <v>211</v>
      </c>
      <c r="S122" s="5">
        <v>45962</v>
      </c>
      <c r="T122" t="s">
        <v>135</v>
      </c>
      <c r="U122" s="11">
        <v>265.14999999999998</v>
      </c>
      <c r="W122" t="s">
        <v>200</v>
      </c>
      <c r="X122" s="5">
        <v>46113</v>
      </c>
      <c r="Y122" t="s">
        <v>169</v>
      </c>
      <c r="Z122" s="11">
        <v>7878.8599999996704</v>
      </c>
    </row>
    <row r="123" spans="3:26" ht="18.75">
      <c r="C123">
        <v>41</v>
      </c>
      <c r="D123" s="5">
        <v>45936</v>
      </c>
      <c r="E123" t="s">
        <v>146</v>
      </c>
      <c r="F123" s="11">
        <v>547.4</v>
      </c>
      <c r="H123">
        <v>36</v>
      </c>
      <c r="I123" s="5">
        <v>45901</v>
      </c>
      <c r="J123" t="s">
        <v>165</v>
      </c>
      <c r="K123" s="11">
        <v>181.95</v>
      </c>
      <c r="M123">
        <v>48</v>
      </c>
      <c r="N123" s="5">
        <v>45985</v>
      </c>
      <c r="O123" t="s">
        <v>181</v>
      </c>
      <c r="P123" s="11">
        <v>1541.54</v>
      </c>
      <c r="R123" t="s">
        <v>211</v>
      </c>
      <c r="S123" s="5">
        <v>45962</v>
      </c>
      <c r="T123" t="s">
        <v>122</v>
      </c>
      <c r="U123" s="11">
        <v>1048.4449999999999</v>
      </c>
      <c r="W123" t="s">
        <v>200</v>
      </c>
      <c r="X123" s="5">
        <v>46113</v>
      </c>
      <c r="Y123" t="s">
        <v>165</v>
      </c>
      <c r="Z123" s="11">
        <v>511.35</v>
      </c>
    </row>
    <row r="124" spans="3:26" ht="18.75">
      <c r="C124">
        <v>41</v>
      </c>
      <c r="D124" s="5">
        <v>45936</v>
      </c>
      <c r="E124" t="s">
        <v>127</v>
      </c>
      <c r="F124" s="11">
        <v>204.22</v>
      </c>
      <c r="H124">
        <v>36</v>
      </c>
      <c r="I124" s="5">
        <v>45901</v>
      </c>
      <c r="J124" t="s">
        <v>176</v>
      </c>
      <c r="K124" s="11">
        <v>168.04</v>
      </c>
      <c r="M124">
        <v>48</v>
      </c>
      <c r="N124" s="5">
        <v>45985</v>
      </c>
      <c r="O124" t="s">
        <v>182</v>
      </c>
      <c r="P124" s="11">
        <v>2046.3699999999801</v>
      </c>
      <c r="R124" t="s">
        <v>211</v>
      </c>
      <c r="S124" s="5">
        <v>45962</v>
      </c>
      <c r="T124" t="s">
        <v>139</v>
      </c>
      <c r="U124" s="11">
        <v>1000.475</v>
      </c>
      <c r="W124" t="s">
        <v>200</v>
      </c>
      <c r="X124" s="5">
        <v>46113</v>
      </c>
      <c r="Y124" t="s">
        <v>198</v>
      </c>
      <c r="Z124" s="11">
        <v>1849.1000000000099</v>
      </c>
    </row>
    <row r="125" spans="3:26" ht="18.75">
      <c r="C125">
        <v>41</v>
      </c>
      <c r="D125" s="5">
        <v>45936</v>
      </c>
      <c r="E125" t="s">
        <v>111</v>
      </c>
      <c r="F125" s="11">
        <v>268.23</v>
      </c>
      <c r="H125">
        <v>36</v>
      </c>
      <c r="I125" s="5">
        <v>45901</v>
      </c>
      <c r="J125" t="s">
        <v>172</v>
      </c>
      <c r="K125" s="11">
        <v>67.66</v>
      </c>
      <c r="M125">
        <v>48</v>
      </c>
      <c r="N125" s="5">
        <v>45985</v>
      </c>
      <c r="O125" t="s">
        <v>185</v>
      </c>
      <c r="P125" s="11">
        <v>522.79999999999905</v>
      </c>
      <c r="R125" t="s">
        <v>211</v>
      </c>
      <c r="S125" s="5">
        <v>45962</v>
      </c>
      <c r="T125" t="s">
        <v>140</v>
      </c>
      <c r="U125" s="11">
        <v>540.16499999999996</v>
      </c>
      <c r="W125" t="s">
        <v>200</v>
      </c>
      <c r="X125" s="5">
        <v>46113</v>
      </c>
      <c r="Y125" t="s">
        <v>170</v>
      </c>
      <c r="Z125" s="11">
        <v>256</v>
      </c>
    </row>
    <row r="126" spans="3:26" ht="18.75">
      <c r="C126">
        <v>41</v>
      </c>
      <c r="D126" s="5">
        <v>45936</v>
      </c>
      <c r="E126" t="s">
        <v>129</v>
      </c>
      <c r="F126" s="11">
        <v>423.3</v>
      </c>
      <c r="H126">
        <v>36</v>
      </c>
      <c r="I126" s="5">
        <v>45901</v>
      </c>
      <c r="J126" t="s">
        <v>164</v>
      </c>
      <c r="K126" s="11">
        <v>7.2</v>
      </c>
      <c r="M126">
        <v>48</v>
      </c>
      <c r="N126" s="5">
        <v>45985</v>
      </c>
      <c r="O126" t="s">
        <v>186</v>
      </c>
      <c r="P126" s="11">
        <v>331.79999999999899</v>
      </c>
      <c r="R126" t="s">
        <v>211</v>
      </c>
      <c r="S126" s="5">
        <v>45962</v>
      </c>
      <c r="T126" t="s">
        <v>118</v>
      </c>
      <c r="U126" s="11">
        <v>874.51999999999896</v>
      </c>
      <c r="W126" t="s">
        <v>200</v>
      </c>
      <c r="X126" s="5">
        <v>46113</v>
      </c>
      <c r="Y126" t="s">
        <v>204</v>
      </c>
      <c r="Z126" s="11">
        <v>1727.5699999999799</v>
      </c>
    </row>
    <row r="127" spans="3:26" ht="18.75">
      <c r="C127">
        <v>41</v>
      </c>
      <c r="D127" s="5">
        <v>45936</v>
      </c>
      <c r="E127" t="s">
        <v>138</v>
      </c>
      <c r="F127" s="11">
        <v>476.02</v>
      </c>
      <c r="H127">
        <v>36</v>
      </c>
      <c r="I127" s="5">
        <v>45901</v>
      </c>
      <c r="J127" t="s">
        <v>170</v>
      </c>
      <c r="K127" s="11">
        <v>12</v>
      </c>
      <c r="M127">
        <v>48</v>
      </c>
      <c r="N127" s="5">
        <v>45985</v>
      </c>
      <c r="O127" t="s">
        <v>179</v>
      </c>
      <c r="P127" s="11">
        <v>2546.1600000000099</v>
      </c>
      <c r="R127" t="s">
        <v>211</v>
      </c>
      <c r="S127" s="5">
        <v>45962</v>
      </c>
      <c r="T127" t="s">
        <v>127</v>
      </c>
      <c r="U127" s="11">
        <v>1025.93</v>
      </c>
      <c r="W127" t="s">
        <v>200</v>
      </c>
      <c r="X127" s="5">
        <v>46113</v>
      </c>
      <c r="Y127" t="s">
        <v>158</v>
      </c>
      <c r="Z127" s="11">
        <v>2682.5599999999799</v>
      </c>
    </row>
    <row r="128" spans="3:26" ht="18.75">
      <c r="C128">
        <v>41</v>
      </c>
      <c r="D128" s="5">
        <v>45936</v>
      </c>
      <c r="E128" t="s">
        <v>121</v>
      </c>
      <c r="F128" s="11">
        <v>120.64</v>
      </c>
      <c r="H128">
        <v>35</v>
      </c>
      <c r="I128" s="5">
        <v>45894</v>
      </c>
      <c r="J128" t="s">
        <v>173</v>
      </c>
      <c r="K128" s="11">
        <v>425.4</v>
      </c>
      <c r="M128">
        <v>48</v>
      </c>
      <c r="N128" s="5">
        <v>45985</v>
      </c>
      <c r="O128" t="s">
        <v>178</v>
      </c>
      <c r="P128" s="11">
        <v>1636.25000000001</v>
      </c>
      <c r="R128" t="s">
        <v>211</v>
      </c>
      <c r="S128" s="5">
        <v>45962</v>
      </c>
      <c r="T128" t="s">
        <v>114</v>
      </c>
      <c r="U128" s="11">
        <v>934.99</v>
      </c>
      <c r="W128" t="s">
        <v>200</v>
      </c>
      <c r="X128" s="5">
        <v>46113</v>
      </c>
      <c r="Y128" t="s">
        <v>174</v>
      </c>
      <c r="Z128" s="11">
        <v>3222.6100000000101</v>
      </c>
    </row>
    <row r="129" spans="3:26" ht="18.75">
      <c r="C129">
        <v>41</v>
      </c>
      <c r="D129" s="5">
        <v>45936</v>
      </c>
      <c r="E129" t="s">
        <v>134</v>
      </c>
      <c r="F129" s="11">
        <v>278.19</v>
      </c>
      <c r="H129">
        <v>35</v>
      </c>
      <c r="I129" s="5">
        <v>45894</v>
      </c>
      <c r="J129" t="s">
        <v>174</v>
      </c>
      <c r="K129" s="11">
        <v>516.28999999999905</v>
      </c>
      <c r="M129">
        <v>48</v>
      </c>
      <c r="N129" s="5">
        <v>45985</v>
      </c>
      <c r="O129" t="s">
        <v>180</v>
      </c>
      <c r="P129" s="11">
        <v>927.25000000000205</v>
      </c>
      <c r="R129" t="s">
        <v>211</v>
      </c>
      <c r="S129" s="5">
        <v>45962</v>
      </c>
      <c r="T129" t="s">
        <v>126</v>
      </c>
      <c r="U129" s="11">
        <v>468.76499999999999</v>
      </c>
      <c r="W129" t="s">
        <v>200</v>
      </c>
      <c r="X129" s="5">
        <v>46113</v>
      </c>
      <c r="Y129" t="s">
        <v>172</v>
      </c>
      <c r="Z129" s="11">
        <v>129.35</v>
      </c>
    </row>
    <row r="130" spans="3:26" ht="18.75">
      <c r="C130">
        <v>41</v>
      </c>
      <c r="D130" s="5">
        <v>45936</v>
      </c>
      <c r="E130" t="s">
        <v>113</v>
      </c>
      <c r="F130" s="11">
        <v>234.54</v>
      </c>
      <c r="H130">
        <v>35</v>
      </c>
      <c r="I130" s="5">
        <v>45894</v>
      </c>
      <c r="J130" t="s">
        <v>171</v>
      </c>
      <c r="K130" s="11">
        <v>602.73</v>
      </c>
      <c r="M130">
        <v>48</v>
      </c>
      <c r="N130" s="5">
        <v>45985</v>
      </c>
      <c r="O130" t="s">
        <v>184</v>
      </c>
      <c r="P130" s="11">
        <v>563.60999999999899</v>
      </c>
      <c r="R130" t="s">
        <v>211</v>
      </c>
      <c r="S130" s="5">
        <v>45962</v>
      </c>
      <c r="T130" t="s">
        <v>149</v>
      </c>
      <c r="U130" s="11">
        <v>568.16999999999996</v>
      </c>
      <c r="W130" t="s">
        <v>200</v>
      </c>
      <c r="X130" s="5">
        <v>46113</v>
      </c>
      <c r="Y130" t="s">
        <v>168</v>
      </c>
      <c r="Z130" s="11">
        <v>43.57</v>
      </c>
    </row>
    <row r="131" spans="3:26" ht="18.75">
      <c r="C131">
        <v>41</v>
      </c>
      <c r="D131" s="5">
        <v>45936</v>
      </c>
      <c r="E131" t="s">
        <v>122</v>
      </c>
      <c r="F131" s="11">
        <v>246.75</v>
      </c>
      <c r="H131">
        <v>35</v>
      </c>
      <c r="I131" s="5">
        <v>45894</v>
      </c>
      <c r="J131" t="s">
        <v>165</v>
      </c>
      <c r="K131" s="11">
        <v>455</v>
      </c>
      <c r="M131">
        <v>48</v>
      </c>
      <c r="N131" s="5">
        <v>45985</v>
      </c>
      <c r="O131" t="s">
        <v>183</v>
      </c>
      <c r="P131" s="11">
        <v>559.14000000000101</v>
      </c>
      <c r="R131" t="s">
        <v>211</v>
      </c>
      <c r="S131" s="5">
        <v>45962</v>
      </c>
      <c r="T131" t="s">
        <v>125</v>
      </c>
      <c r="U131" s="11">
        <v>250.06</v>
      </c>
      <c r="W131" t="s">
        <v>200</v>
      </c>
      <c r="X131" s="5">
        <v>46113</v>
      </c>
      <c r="Y131" t="s">
        <v>206</v>
      </c>
      <c r="Z131" s="11">
        <v>1537.68</v>
      </c>
    </row>
    <row r="132" spans="3:26" ht="18.75">
      <c r="C132">
        <v>41</v>
      </c>
      <c r="D132" s="5">
        <v>45936</v>
      </c>
      <c r="E132" t="s">
        <v>140</v>
      </c>
      <c r="F132" s="11">
        <v>66.12</v>
      </c>
      <c r="H132">
        <v>35</v>
      </c>
      <c r="I132" s="5">
        <v>45894</v>
      </c>
      <c r="J132" t="s">
        <v>168</v>
      </c>
      <c r="K132" s="11">
        <v>408.04999999999802</v>
      </c>
      <c r="M132">
        <v>49</v>
      </c>
      <c r="N132" s="5">
        <v>45992</v>
      </c>
      <c r="O132" t="s">
        <v>181</v>
      </c>
      <c r="P132" s="11">
        <v>1956.79</v>
      </c>
      <c r="R132" t="s">
        <v>211</v>
      </c>
      <c r="S132" s="5">
        <v>45962</v>
      </c>
      <c r="T132" t="s">
        <v>138</v>
      </c>
      <c r="U132" s="11">
        <v>1858.155</v>
      </c>
      <c r="W132" t="s">
        <v>200</v>
      </c>
      <c r="X132" s="5">
        <v>46113</v>
      </c>
      <c r="Y132" t="s">
        <v>164</v>
      </c>
      <c r="Z132" s="11">
        <v>2.4</v>
      </c>
    </row>
    <row r="133" spans="3:26" ht="18.75">
      <c r="C133">
        <v>41</v>
      </c>
      <c r="D133" s="5">
        <v>45936</v>
      </c>
      <c r="E133" t="s">
        <v>137</v>
      </c>
      <c r="F133" s="11">
        <v>79.52</v>
      </c>
      <c r="H133">
        <v>35</v>
      </c>
      <c r="I133" s="5">
        <v>45894</v>
      </c>
      <c r="J133" t="s">
        <v>160</v>
      </c>
      <c r="K133" s="11">
        <v>3436.0999999999899</v>
      </c>
      <c r="M133">
        <v>49</v>
      </c>
      <c r="N133" s="5">
        <v>45992</v>
      </c>
      <c r="O133" t="s">
        <v>183</v>
      </c>
      <c r="P133" s="11">
        <v>510.110000000002</v>
      </c>
      <c r="R133" t="s">
        <v>211</v>
      </c>
      <c r="S133" s="5">
        <v>45962</v>
      </c>
      <c r="T133" t="s">
        <v>123</v>
      </c>
      <c r="U133" s="11">
        <v>1994.43</v>
      </c>
      <c r="W133" t="s">
        <v>200</v>
      </c>
      <c r="X133" s="5">
        <v>46113</v>
      </c>
      <c r="Y133" t="s">
        <v>207</v>
      </c>
      <c r="Z133" s="11">
        <v>323.89999999999998</v>
      </c>
    </row>
    <row r="134" spans="3:26" ht="18.75">
      <c r="C134">
        <v>41</v>
      </c>
      <c r="D134" s="5">
        <v>45936</v>
      </c>
      <c r="E134" t="s">
        <v>141</v>
      </c>
      <c r="F134" s="11">
        <v>617.29000000000099</v>
      </c>
      <c r="H134">
        <v>35</v>
      </c>
      <c r="I134" s="5">
        <v>45894</v>
      </c>
      <c r="J134" t="s">
        <v>163</v>
      </c>
      <c r="K134" s="11">
        <v>474.13000000000198</v>
      </c>
      <c r="M134">
        <v>49</v>
      </c>
      <c r="N134" s="5">
        <v>45992</v>
      </c>
      <c r="O134" t="s">
        <v>179</v>
      </c>
      <c r="P134" s="11">
        <v>3065.1599999999899</v>
      </c>
      <c r="R134" t="s">
        <v>211</v>
      </c>
      <c r="S134" s="5">
        <v>45962</v>
      </c>
      <c r="T134" t="s">
        <v>119</v>
      </c>
      <c r="U134" s="11">
        <v>1591.415</v>
      </c>
      <c r="W134" t="s">
        <v>200</v>
      </c>
      <c r="X134" s="5">
        <v>46113</v>
      </c>
      <c r="Y134" t="s">
        <v>209</v>
      </c>
      <c r="Z134" s="11">
        <v>238.680000000001</v>
      </c>
    </row>
    <row r="135" spans="3:26" ht="18.75">
      <c r="C135">
        <v>41</v>
      </c>
      <c r="D135" s="5">
        <v>45936</v>
      </c>
      <c r="E135" t="s">
        <v>124</v>
      </c>
      <c r="F135" s="11">
        <v>441.93000000000097</v>
      </c>
      <c r="H135">
        <v>35</v>
      </c>
      <c r="I135" s="5">
        <v>45894</v>
      </c>
      <c r="J135" t="s">
        <v>169</v>
      </c>
      <c r="K135" s="11">
        <v>921.20000000000402</v>
      </c>
      <c r="M135">
        <v>49</v>
      </c>
      <c r="N135" s="5">
        <v>45992</v>
      </c>
      <c r="O135" t="s">
        <v>182</v>
      </c>
      <c r="P135" s="11">
        <v>2367.3199999999702</v>
      </c>
      <c r="R135" t="s">
        <v>211</v>
      </c>
      <c r="S135" s="5">
        <v>45962</v>
      </c>
      <c r="T135" t="s">
        <v>132</v>
      </c>
      <c r="U135" s="11">
        <v>721.17</v>
      </c>
      <c r="W135" t="s">
        <v>203</v>
      </c>
      <c r="X135" s="5">
        <v>46143</v>
      </c>
      <c r="Y135" t="s">
        <v>160</v>
      </c>
      <c r="Z135" s="11">
        <v>21061.780000000999</v>
      </c>
    </row>
    <row r="136" spans="3:26" ht="18.75">
      <c r="C136">
        <v>41</v>
      </c>
      <c r="D136" s="5">
        <v>45936</v>
      </c>
      <c r="E136" t="s">
        <v>133</v>
      </c>
      <c r="F136" s="11">
        <v>347.24</v>
      </c>
      <c r="H136">
        <v>35</v>
      </c>
      <c r="I136" s="5">
        <v>45894</v>
      </c>
      <c r="J136" t="s">
        <v>158</v>
      </c>
      <c r="K136" s="11">
        <v>202</v>
      </c>
      <c r="M136">
        <v>49</v>
      </c>
      <c r="N136" s="5">
        <v>45992</v>
      </c>
      <c r="O136" t="s">
        <v>178</v>
      </c>
      <c r="P136" s="11">
        <v>2223.36</v>
      </c>
      <c r="R136" t="s">
        <v>211</v>
      </c>
      <c r="S136" s="5">
        <v>45962</v>
      </c>
      <c r="T136" t="s">
        <v>111</v>
      </c>
      <c r="U136" s="11">
        <v>914.77250000000004</v>
      </c>
      <c r="W136" t="s">
        <v>203</v>
      </c>
      <c r="X136" s="5">
        <v>46143</v>
      </c>
      <c r="Y136" t="s">
        <v>204</v>
      </c>
      <c r="Z136" s="11">
        <v>2385.5299999999802</v>
      </c>
    </row>
    <row r="137" spans="3:26" ht="18.75">
      <c r="C137">
        <v>41</v>
      </c>
      <c r="D137" s="5">
        <v>45936</v>
      </c>
      <c r="E137" t="s">
        <v>142</v>
      </c>
      <c r="F137" s="11">
        <v>147.22</v>
      </c>
      <c r="H137">
        <v>35</v>
      </c>
      <c r="I137" s="5">
        <v>45894</v>
      </c>
      <c r="J137" t="s">
        <v>164</v>
      </c>
      <c r="K137" s="11">
        <v>26.4</v>
      </c>
      <c r="M137">
        <v>49</v>
      </c>
      <c r="N137" s="5">
        <v>45992</v>
      </c>
      <c r="O137" t="s">
        <v>184</v>
      </c>
      <c r="P137" s="11">
        <v>482.099999999999</v>
      </c>
      <c r="R137" t="s">
        <v>211</v>
      </c>
      <c r="S137" s="5">
        <v>45962</v>
      </c>
      <c r="T137" t="s">
        <v>137</v>
      </c>
      <c r="U137" s="11">
        <v>356.065</v>
      </c>
      <c r="W137" t="s">
        <v>203</v>
      </c>
      <c r="X137" s="5">
        <v>46143</v>
      </c>
      <c r="Y137" t="s">
        <v>169</v>
      </c>
      <c r="Z137" s="11">
        <v>6801.41999999981</v>
      </c>
    </row>
    <row r="138" spans="3:26" ht="18.75">
      <c r="C138">
        <v>41</v>
      </c>
      <c r="D138" s="5">
        <v>45936</v>
      </c>
      <c r="E138" t="s">
        <v>123</v>
      </c>
      <c r="F138" s="11">
        <v>542.78</v>
      </c>
      <c r="H138">
        <v>35</v>
      </c>
      <c r="I138" s="5">
        <v>45894</v>
      </c>
      <c r="J138" t="s">
        <v>176</v>
      </c>
      <c r="K138" s="11">
        <v>48.16</v>
      </c>
      <c r="M138">
        <v>49</v>
      </c>
      <c r="N138" s="5">
        <v>45992</v>
      </c>
      <c r="O138" t="s">
        <v>185</v>
      </c>
      <c r="P138" s="11">
        <v>792.349999999999</v>
      </c>
      <c r="R138" t="s">
        <v>211</v>
      </c>
      <c r="S138" s="5">
        <v>45962</v>
      </c>
      <c r="T138" t="s">
        <v>142</v>
      </c>
      <c r="U138" s="11">
        <v>818.9</v>
      </c>
      <c r="W138" t="s">
        <v>203</v>
      </c>
      <c r="X138" s="5">
        <v>46143</v>
      </c>
      <c r="Y138" t="s">
        <v>198</v>
      </c>
      <c r="Z138" s="11">
        <v>2756.28999999999</v>
      </c>
    </row>
    <row r="139" spans="3:26" ht="18.75">
      <c r="C139">
        <v>41</v>
      </c>
      <c r="D139" s="5">
        <v>45936</v>
      </c>
      <c r="E139" t="s">
        <v>116</v>
      </c>
      <c r="F139" s="11">
        <v>114.23</v>
      </c>
      <c r="H139">
        <v>35</v>
      </c>
      <c r="I139" s="5">
        <v>45894</v>
      </c>
      <c r="J139" t="s">
        <v>172</v>
      </c>
      <c r="K139" s="11">
        <v>49.75</v>
      </c>
      <c r="M139">
        <v>49</v>
      </c>
      <c r="N139" s="5">
        <v>45992</v>
      </c>
      <c r="O139" t="s">
        <v>186</v>
      </c>
      <c r="P139" s="11">
        <v>348.55</v>
      </c>
      <c r="R139" t="s">
        <v>211</v>
      </c>
      <c r="S139" s="5">
        <v>45962</v>
      </c>
      <c r="T139" t="s">
        <v>121</v>
      </c>
      <c r="U139" s="11">
        <v>604.37</v>
      </c>
      <c r="W139" t="s">
        <v>203</v>
      </c>
      <c r="X139" s="5">
        <v>46143</v>
      </c>
      <c r="Y139" t="s">
        <v>171</v>
      </c>
      <c r="Z139" s="11">
        <v>1726.71999999999</v>
      </c>
    </row>
    <row r="140" spans="3:26" ht="18.75">
      <c r="C140">
        <v>41</v>
      </c>
      <c r="D140" s="5">
        <v>45936</v>
      </c>
      <c r="E140" t="s">
        <v>128</v>
      </c>
      <c r="F140" s="11">
        <v>193.63</v>
      </c>
      <c r="H140">
        <v>35</v>
      </c>
      <c r="I140" s="5">
        <v>45894</v>
      </c>
      <c r="J140" t="s">
        <v>170</v>
      </c>
      <c r="K140" s="11">
        <v>56</v>
      </c>
      <c r="M140">
        <v>49</v>
      </c>
      <c r="N140" s="5">
        <v>45992</v>
      </c>
      <c r="O140" t="s">
        <v>180</v>
      </c>
      <c r="P140" s="11">
        <v>287.60000000000002</v>
      </c>
      <c r="R140" t="s">
        <v>211</v>
      </c>
      <c r="S140" s="5">
        <v>45962</v>
      </c>
      <c r="T140" t="s">
        <v>120</v>
      </c>
      <c r="U140" s="11">
        <v>542.05499999999995</v>
      </c>
      <c r="W140" t="s">
        <v>203</v>
      </c>
      <c r="X140" s="5">
        <v>46143</v>
      </c>
      <c r="Y140" t="s">
        <v>163</v>
      </c>
      <c r="Z140" s="11">
        <v>1135.19999999999</v>
      </c>
    </row>
    <row r="141" spans="3:26" ht="18.75">
      <c r="C141">
        <v>41</v>
      </c>
      <c r="D141" s="5">
        <v>45936</v>
      </c>
      <c r="E141" t="s">
        <v>145</v>
      </c>
      <c r="F141" s="11">
        <v>333.16</v>
      </c>
      <c r="H141">
        <v>45</v>
      </c>
      <c r="I141" s="5">
        <v>45964</v>
      </c>
      <c r="J141" t="s">
        <v>171</v>
      </c>
      <c r="K141" s="11">
        <v>780.13000000000295</v>
      </c>
      <c r="M141">
        <v>50</v>
      </c>
      <c r="N141" s="5">
        <v>45999</v>
      </c>
      <c r="O141" t="s">
        <v>178</v>
      </c>
      <c r="P141" s="11">
        <v>2214.75</v>
      </c>
      <c r="R141" t="s">
        <v>211</v>
      </c>
      <c r="S141" s="5">
        <v>45962</v>
      </c>
      <c r="T141" t="s">
        <v>124</v>
      </c>
      <c r="U141" s="11">
        <v>2035.1</v>
      </c>
      <c r="W141" t="s">
        <v>203</v>
      </c>
      <c r="X141" s="5">
        <v>46143</v>
      </c>
      <c r="Y141" t="s">
        <v>176</v>
      </c>
      <c r="Z141" s="11">
        <v>328.91999999999899</v>
      </c>
    </row>
    <row r="142" spans="3:26" ht="18.75">
      <c r="C142">
        <v>41</v>
      </c>
      <c r="D142" s="5">
        <v>45936</v>
      </c>
      <c r="E142" t="s">
        <v>135</v>
      </c>
      <c r="F142" s="11">
        <v>50.78</v>
      </c>
      <c r="H142">
        <v>45</v>
      </c>
      <c r="I142" s="5">
        <v>45964</v>
      </c>
      <c r="J142" t="s">
        <v>160</v>
      </c>
      <c r="K142" s="11">
        <v>3840.0099999999902</v>
      </c>
      <c r="M142">
        <v>50</v>
      </c>
      <c r="N142" s="5">
        <v>45999</v>
      </c>
      <c r="O142" t="s">
        <v>182</v>
      </c>
      <c r="P142" s="11">
        <v>1987.3399999999799</v>
      </c>
      <c r="R142" t="s">
        <v>211</v>
      </c>
      <c r="S142" s="5">
        <v>45962</v>
      </c>
      <c r="T142" t="s">
        <v>148</v>
      </c>
      <c r="U142" s="11">
        <v>65.97</v>
      </c>
      <c r="W142" t="s">
        <v>203</v>
      </c>
      <c r="X142" s="5">
        <v>46143</v>
      </c>
      <c r="Y142" t="s">
        <v>158</v>
      </c>
      <c r="Z142" s="11">
        <v>1341.27999999999</v>
      </c>
    </row>
    <row r="143" spans="3:26" ht="18.75">
      <c r="C143">
        <v>41</v>
      </c>
      <c r="D143" s="5">
        <v>45936</v>
      </c>
      <c r="E143" t="s">
        <v>125</v>
      </c>
      <c r="F143" s="11">
        <v>63.97</v>
      </c>
      <c r="H143">
        <v>45</v>
      </c>
      <c r="I143" s="5">
        <v>45964</v>
      </c>
      <c r="J143" t="s">
        <v>174</v>
      </c>
      <c r="K143" s="11">
        <v>382.27999999999901</v>
      </c>
      <c r="M143">
        <v>50</v>
      </c>
      <c r="N143" s="5">
        <v>45999</v>
      </c>
      <c r="O143" t="s">
        <v>181</v>
      </c>
      <c r="P143" s="11">
        <v>2152.1600000000099</v>
      </c>
      <c r="R143" t="s">
        <v>211</v>
      </c>
      <c r="S143" s="5">
        <v>45962</v>
      </c>
      <c r="T143" t="s">
        <v>151</v>
      </c>
      <c r="U143" s="11">
        <v>58.82</v>
      </c>
      <c r="W143" t="s">
        <v>203</v>
      </c>
      <c r="X143" s="5">
        <v>46143</v>
      </c>
      <c r="Y143" t="s">
        <v>173</v>
      </c>
      <c r="Z143" s="11">
        <v>2503.2000000000098</v>
      </c>
    </row>
    <row r="144" spans="3:26" ht="18.75">
      <c r="C144">
        <v>41</v>
      </c>
      <c r="D144" s="5">
        <v>45936</v>
      </c>
      <c r="E144" t="s">
        <v>132</v>
      </c>
      <c r="F144" s="11">
        <v>159.82</v>
      </c>
      <c r="H144">
        <v>45</v>
      </c>
      <c r="I144" s="5">
        <v>45964</v>
      </c>
      <c r="J144" t="s">
        <v>169</v>
      </c>
      <c r="K144" s="11">
        <v>1786.24999999998</v>
      </c>
      <c r="M144">
        <v>50</v>
      </c>
      <c r="N144" s="5">
        <v>45999</v>
      </c>
      <c r="O144" t="s">
        <v>179</v>
      </c>
      <c r="P144" s="11">
        <v>3211.5800000000199</v>
      </c>
      <c r="R144" t="s">
        <v>213</v>
      </c>
      <c r="S144" s="5">
        <v>45992</v>
      </c>
      <c r="T144" t="s">
        <v>117</v>
      </c>
      <c r="U144" s="11">
        <v>869.87000000000103</v>
      </c>
      <c r="W144" t="s">
        <v>203</v>
      </c>
      <c r="X144" s="5">
        <v>46143</v>
      </c>
      <c r="Y144" t="s">
        <v>168</v>
      </c>
      <c r="Z144" s="11">
        <v>46.58</v>
      </c>
    </row>
    <row r="145" spans="3:26" ht="18.75">
      <c r="C145">
        <v>41</v>
      </c>
      <c r="D145" s="5">
        <v>45936</v>
      </c>
      <c r="E145" t="s">
        <v>143</v>
      </c>
      <c r="F145" s="11">
        <v>98.44</v>
      </c>
      <c r="H145">
        <v>45</v>
      </c>
      <c r="I145" s="5">
        <v>45964</v>
      </c>
      <c r="J145" t="s">
        <v>173</v>
      </c>
      <c r="K145" s="11">
        <v>556.44999999999902</v>
      </c>
      <c r="M145">
        <v>50</v>
      </c>
      <c r="N145" s="5">
        <v>45999</v>
      </c>
      <c r="O145" t="s">
        <v>184</v>
      </c>
      <c r="P145" s="11">
        <v>494.409999999999</v>
      </c>
      <c r="R145" t="s">
        <v>213</v>
      </c>
      <c r="S145" s="5">
        <v>45992</v>
      </c>
      <c r="T145" t="s">
        <v>114</v>
      </c>
      <c r="U145" s="11">
        <v>348.98</v>
      </c>
      <c r="W145" t="s">
        <v>203</v>
      </c>
      <c r="X145" s="5">
        <v>46143</v>
      </c>
      <c r="Y145" t="s">
        <v>165</v>
      </c>
      <c r="Z145" s="11">
        <v>786.65000000000202</v>
      </c>
    </row>
    <row r="146" spans="3:26" ht="18.75">
      <c r="C146">
        <v>40</v>
      </c>
      <c r="D146" s="5">
        <v>45929</v>
      </c>
      <c r="E146" t="s">
        <v>139</v>
      </c>
      <c r="F146" s="11">
        <v>223.76</v>
      </c>
      <c r="H146">
        <v>45</v>
      </c>
      <c r="I146" s="5">
        <v>45964</v>
      </c>
      <c r="J146" t="s">
        <v>168</v>
      </c>
      <c r="K146" s="11">
        <v>344.47</v>
      </c>
      <c r="M146">
        <v>50</v>
      </c>
      <c r="N146" s="5">
        <v>45999</v>
      </c>
      <c r="O146" t="s">
        <v>183</v>
      </c>
      <c r="P146" s="11">
        <v>525.08000000000197</v>
      </c>
      <c r="R146" t="s">
        <v>213</v>
      </c>
      <c r="S146" s="5">
        <v>45992</v>
      </c>
      <c r="T146" t="s">
        <v>150</v>
      </c>
      <c r="U146" s="11">
        <v>70.64</v>
      </c>
      <c r="W146" t="s">
        <v>203</v>
      </c>
      <c r="X146" s="5">
        <v>46143</v>
      </c>
      <c r="Y146" t="s">
        <v>206</v>
      </c>
      <c r="Z146" s="11">
        <v>1361.08</v>
      </c>
    </row>
    <row r="147" spans="3:26" ht="18.75">
      <c r="C147">
        <v>40</v>
      </c>
      <c r="D147" s="5">
        <v>45929</v>
      </c>
      <c r="E147" t="s">
        <v>150</v>
      </c>
      <c r="F147" s="11">
        <v>54.74</v>
      </c>
      <c r="H147">
        <v>45</v>
      </c>
      <c r="I147" s="5">
        <v>45964</v>
      </c>
      <c r="J147" t="s">
        <v>176</v>
      </c>
      <c r="K147" s="11">
        <v>180.52</v>
      </c>
      <c r="M147">
        <v>50</v>
      </c>
      <c r="N147" s="5">
        <v>45999</v>
      </c>
      <c r="O147" t="s">
        <v>185</v>
      </c>
      <c r="P147" s="11">
        <v>730.94999999999902</v>
      </c>
      <c r="R147" t="s">
        <v>213</v>
      </c>
      <c r="S147" s="5">
        <v>45992</v>
      </c>
      <c r="T147" t="s">
        <v>129</v>
      </c>
      <c r="U147" s="11">
        <v>432.96</v>
      </c>
      <c r="W147" t="s">
        <v>203</v>
      </c>
      <c r="X147" s="5">
        <v>46143</v>
      </c>
      <c r="Y147" t="s">
        <v>209</v>
      </c>
      <c r="Z147" s="11">
        <v>325.08</v>
      </c>
    </row>
    <row r="148" spans="3:26" ht="18.75">
      <c r="C148">
        <v>40</v>
      </c>
      <c r="D148" s="5">
        <v>45929</v>
      </c>
      <c r="E148" t="s">
        <v>118</v>
      </c>
      <c r="F148" s="11">
        <v>168.74</v>
      </c>
      <c r="H148">
        <v>45</v>
      </c>
      <c r="I148" s="5">
        <v>45964</v>
      </c>
      <c r="J148" t="s">
        <v>198</v>
      </c>
      <c r="K148" s="11">
        <v>1126.42</v>
      </c>
      <c r="M148">
        <v>50</v>
      </c>
      <c r="N148" s="5">
        <v>45999</v>
      </c>
      <c r="O148" t="s">
        <v>180</v>
      </c>
      <c r="P148" s="11">
        <v>412.7</v>
      </c>
      <c r="R148" t="s">
        <v>213</v>
      </c>
      <c r="S148" s="5">
        <v>45992</v>
      </c>
      <c r="T148" t="s">
        <v>112</v>
      </c>
      <c r="U148" s="11">
        <v>64.08</v>
      </c>
      <c r="W148" t="s">
        <v>203</v>
      </c>
      <c r="X148" s="5">
        <v>46143</v>
      </c>
      <c r="Y148" t="s">
        <v>170</v>
      </c>
      <c r="Z148" s="11">
        <v>28</v>
      </c>
    </row>
    <row r="149" spans="3:26" ht="18.75">
      <c r="C149">
        <v>40</v>
      </c>
      <c r="D149" s="5">
        <v>45929</v>
      </c>
      <c r="E149" t="s">
        <v>114</v>
      </c>
      <c r="F149" s="11">
        <v>303.58</v>
      </c>
      <c r="H149">
        <v>45</v>
      </c>
      <c r="I149" s="5">
        <v>45964</v>
      </c>
      <c r="J149" t="s">
        <v>158</v>
      </c>
      <c r="K149" s="11">
        <v>383.64</v>
      </c>
      <c r="M149">
        <v>50</v>
      </c>
      <c r="N149" s="5">
        <v>45999</v>
      </c>
      <c r="O149" t="s">
        <v>186</v>
      </c>
      <c r="P149" s="11">
        <v>330.75</v>
      </c>
      <c r="R149" t="s">
        <v>213</v>
      </c>
      <c r="S149" s="5">
        <v>45992</v>
      </c>
      <c r="T149" t="s">
        <v>146</v>
      </c>
      <c r="U149" s="11">
        <v>251.12</v>
      </c>
      <c r="W149" t="s">
        <v>203</v>
      </c>
      <c r="X149" s="5">
        <v>46143</v>
      </c>
      <c r="Y149" t="s">
        <v>164</v>
      </c>
      <c r="Z149" s="11">
        <v>3.6</v>
      </c>
    </row>
    <row r="150" spans="3:26" ht="18.75">
      <c r="C150">
        <v>40</v>
      </c>
      <c r="D150" s="5">
        <v>45929</v>
      </c>
      <c r="E150" t="s">
        <v>129</v>
      </c>
      <c r="F150" s="11">
        <v>456.18</v>
      </c>
      <c r="H150">
        <v>45</v>
      </c>
      <c r="I150" s="5">
        <v>45964</v>
      </c>
      <c r="J150" t="s">
        <v>163</v>
      </c>
      <c r="K150" s="11">
        <v>385.67000000000201</v>
      </c>
      <c r="M150">
        <v>51</v>
      </c>
      <c r="N150" s="5">
        <v>46006</v>
      </c>
      <c r="O150" t="s">
        <v>183</v>
      </c>
      <c r="P150" s="11">
        <v>482.22000000000202</v>
      </c>
      <c r="R150" t="s">
        <v>213</v>
      </c>
      <c r="S150" s="5">
        <v>45992</v>
      </c>
      <c r="T150" t="s">
        <v>136</v>
      </c>
      <c r="U150" s="11">
        <v>62.89</v>
      </c>
      <c r="W150" t="s">
        <v>203</v>
      </c>
      <c r="X150" s="5">
        <v>46143</v>
      </c>
      <c r="Y150" t="s">
        <v>167</v>
      </c>
      <c r="Z150" s="11">
        <v>688.39000000000101</v>
      </c>
    </row>
    <row r="151" spans="3:26" ht="18.75">
      <c r="C151">
        <v>40</v>
      </c>
      <c r="D151" s="5">
        <v>45929</v>
      </c>
      <c r="E151" t="s">
        <v>117</v>
      </c>
      <c r="F151" s="11">
        <v>260.19</v>
      </c>
      <c r="H151">
        <v>45</v>
      </c>
      <c r="I151" s="5">
        <v>45964</v>
      </c>
      <c r="J151" t="s">
        <v>170</v>
      </c>
      <c r="K151" s="11">
        <v>110</v>
      </c>
      <c r="M151">
        <v>51</v>
      </c>
      <c r="N151" s="5">
        <v>46006</v>
      </c>
      <c r="O151" t="s">
        <v>179</v>
      </c>
      <c r="P151" s="11">
        <v>2902.97999999999</v>
      </c>
      <c r="R151" t="s">
        <v>213</v>
      </c>
      <c r="S151" s="5">
        <v>45992</v>
      </c>
      <c r="T151" t="s">
        <v>141</v>
      </c>
      <c r="U151" s="11">
        <v>236.95</v>
      </c>
      <c r="W151" t="s">
        <v>203</v>
      </c>
      <c r="X151" s="5">
        <v>46143</v>
      </c>
      <c r="Y151" t="s">
        <v>174</v>
      </c>
      <c r="Z151" s="11">
        <v>1025.1199999999999</v>
      </c>
    </row>
    <row r="152" spans="3:26" ht="18.75">
      <c r="C152">
        <v>40</v>
      </c>
      <c r="D152" s="5">
        <v>45929</v>
      </c>
      <c r="E152" t="s">
        <v>136</v>
      </c>
      <c r="F152" s="11">
        <v>84.46</v>
      </c>
      <c r="H152">
        <v>45</v>
      </c>
      <c r="I152" s="5">
        <v>45964</v>
      </c>
      <c r="J152" t="s">
        <v>165</v>
      </c>
      <c r="K152" s="11">
        <v>123.1</v>
      </c>
      <c r="M152">
        <v>51</v>
      </c>
      <c r="N152" s="5">
        <v>46006</v>
      </c>
      <c r="O152" t="s">
        <v>181</v>
      </c>
      <c r="P152" s="11">
        <v>1526.48</v>
      </c>
      <c r="R152" t="s">
        <v>213</v>
      </c>
      <c r="S152" s="5">
        <v>45992</v>
      </c>
      <c r="T152" t="s">
        <v>140</v>
      </c>
      <c r="U152" s="11">
        <v>38.79</v>
      </c>
      <c r="W152" t="s">
        <v>205</v>
      </c>
      <c r="X152" s="5">
        <v>46174</v>
      </c>
      <c r="Y152" t="s">
        <v>169</v>
      </c>
      <c r="Z152" s="240">
        <v>7822.5999999997512</v>
      </c>
    </row>
    <row r="153" spans="3:26" ht="18.75">
      <c r="C153">
        <v>40</v>
      </c>
      <c r="D153" s="5">
        <v>45929</v>
      </c>
      <c r="E153" t="s">
        <v>119</v>
      </c>
      <c r="F153" s="11">
        <v>504.18</v>
      </c>
      <c r="H153">
        <v>45</v>
      </c>
      <c r="I153" s="5">
        <v>45964</v>
      </c>
      <c r="J153" t="s">
        <v>172</v>
      </c>
      <c r="K153" s="11">
        <v>93.529999999999902</v>
      </c>
      <c r="M153">
        <v>51</v>
      </c>
      <c r="N153" s="5">
        <v>46006</v>
      </c>
      <c r="O153" t="s">
        <v>182</v>
      </c>
      <c r="P153" s="11">
        <v>1871.47999999999</v>
      </c>
      <c r="R153" t="s">
        <v>213</v>
      </c>
      <c r="S153" s="5">
        <v>45992</v>
      </c>
      <c r="T153" t="s">
        <v>138</v>
      </c>
      <c r="U153" s="11">
        <v>256.3</v>
      </c>
      <c r="W153" t="s">
        <v>205</v>
      </c>
      <c r="X153" s="5">
        <v>46174</v>
      </c>
      <c r="Y153" t="s">
        <v>173</v>
      </c>
      <c r="Z153" s="240">
        <v>3555.6500000000133</v>
      </c>
    </row>
    <row r="154" spans="3:26" ht="18.75">
      <c r="C154">
        <v>40</v>
      </c>
      <c r="D154" s="5">
        <v>45929</v>
      </c>
      <c r="E154" t="s">
        <v>111</v>
      </c>
      <c r="F154" s="11">
        <v>339.71</v>
      </c>
      <c r="H154">
        <v>45</v>
      </c>
      <c r="I154" s="5">
        <v>45964</v>
      </c>
      <c r="J154" t="s">
        <v>164</v>
      </c>
      <c r="K154" s="11">
        <v>9.6</v>
      </c>
      <c r="M154">
        <v>51</v>
      </c>
      <c r="N154" s="5">
        <v>46006</v>
      </c>
      <c r="O154" t="s">
        <v>185</v>
      </c>
      <c r="P154" s="11">
        <v>791.79999999999905</v>
      </c>
      <c r="R154" t="s">
        <v>213</v>
      </c>
      <c r="S154" s="5">
        <v>45992</v>
      </c>
      <c r="T154" t="s">
        <v>139</v>
      </c>
      <c r="U154" s="11">
        <v>328.47</v>
      </c>
      <c r="W154" t="s">
        <v>205</v>
      </c>
      <c r="X154" s="5">
        <v>46174</v>
      </c>
      <c r="Y154" t="s">
        <v>204</v>
      </c>
      <c r="Z154" s="240">
        <v>2176.359999999986</v>
      </c>
    </row>
    <row r="155" spans="3:26" ht="18.75">
      <c r="C155">
        <v>40</v>
      </c>
      <c r="D155" s="5">
        <v>45929</v>
      </c>
      <c r="E155" t="s">
        <v>140</v>
      </c>
      <c r="F155" s="11">
        <v>71.37</v>
      </c>
      <c r="H155">
        <v>45</v>
      </c>
      <c r="I155" s="5">
        <v>45964</v>
      </c>
      <c r="J155" t="s">
        <v>204</v>
      </c>
      <c r="K155" s="11">
        <v>10</v>
      </c>
      <c r="M155">
        <v>51</v>
      </c>
      <c r="N155" s="5">
        <v>46006</v>
      </c>
      <c r="O155" t="s">
        <v>180</v>
      </c>
      <c r="P155" s="11">
        <v>327.39999999999998</v>
      </c>
      <c r="R155" t="s">
        <v>213</v>
      </c>
      <c r="S155" s="5">
        <v>45992</v>
      </c>
      <c r="T155" t="s">
        <v>127</v>
      </c>
      <c r="U155" s="11">
        <v>1036.1099999999999</v>
      </c>
      <c r="W155" t="s">
        <v>205</v>
      </c>
      <c r="X155" s="5">
        <v>46174</v>
      </c>
      <c r="Y155" t="s">
        <v>160</v>
      </c>
      <c r="Z155" s="240">
        <v>23248.180000001277</v>
      </c>
    </row>
    <row r="156" spans="3:26" ht="18.75">
      <c r="C156">
        <v>40</v>
      </c>
      <c r="D156" s="5">
        <v>45929</v>
      </c>
      <c r="E156" t="s">
        <v>138</v>
      </c>
      <c r="F156" s="11">
        <v>412.33</v>
      </c>
      <c r="H156">
        <v>34</v>
      </c>
      <c r="I156" s="5">
        <v>45887</v>
      </c>
      <c r="J156" t="s">
        <v>173</v>
      </c>
      <c r="K156" s="11">
        <v>887.79999999999905</v>
      </c>
      <c r="M156">
        <v>51</v>
      </c>
      <c r="N156" s="5">
        <v>46006</v>
      </c>
      <c r="O156" t="s">
        <v>178</v>
      </c>
      <c r="P156" s="11">
        <v>1874.25000000001</v>
      </c>
      <c r="R156" t="s">
        <v>213</v>
      </c>
      <c r="S156" s="5">
        <v>45992</v>
      </c>
      <c r="T156" t="s">
        <v>126</v>
      </c>
      <c r="U156" s="11">
        <v>370.09</v>
      </c>
      <c r="W156" t="s">
        <v>205</v>
      </c>
      <c r="X156" s="5">
        <v>46174</v>
      </c>
      <c r="Y156" t="s">
        <v>174</v>
      </c>
      <c r="Z156" s="240">
        <v>1590.6199999999894</v>
      </c>
    </row>
    <row r="157" spans="3:26" ht="18.75">
      <c r="C157">
        <v>40</v>
      </c>
      <c r="D157" s="5">
        <v>45929</v>
      </c>
      <c r="E157" t="s">
        <v>116</v>
      </c>
      <c r="F157" s="11">
        <v>144.37</v>
      </c>
      <c r="H157">
        <v>34</v>
      </c>
      <c r="I157" s="5">
        <v>45887</v>
      </c>
      <c r="J157" t="s">
        <v>169</v>
      </c>
      <c r="K157" s="11">
        <v>661.050000000002</v>
      </c>
      <c r="M157">
        <v>51</v>
      </c>
      <c r="N157" s="5">
        <v>46006</v>
      </c>
      <c r="O157" t="s">
        <v>184</v>
      </c>
      <c r="P157" s="11">
        <v>440.45</v>
      </c>
      <c r="R157" t="s">
        <v>213</v>
      </c>
      <c r="S157" s="5">
        <v>45992</v>
      </c>
      <c r="T157" t="s">
        <v>125</v>
      </c>
      <c r="U157" s="11">
        <v>271.44</v>
      </c>
      <c r="W157" t="s">
        <v>205</v>
      </c>
      <c r="X157" s="5">
        <v>46174</v>
      </c>
      <c r="Y157" t="s">
        <v>167</v>
      </c>
      <c r="Z157" s="240">
        <v>1452.1200000000026</v>
      </c>
    </row>
    <row r="158" spans="3:26" ht="18.75">
      <c r="C158">
        <v>40</v>
      </c>
      <c r="D158" s="5">
        <v>45929</v>
      </c>
      <c r="E158" t="s">
        <v>141</v>
      </c>
      <c r="F158" s="11">
        <v>591.04</v>
      </c>
      <c r="H158">
        <v>34</v>
      </c>
      <c r="I158" s="5">
        <v>45887</v>
      </c>
      <c r="J158" t="s">
        <v>170</v>
      </c>
      <c r="K158" s="11">
        <v>64</v>
      </c>
      <c r="M158">
        <v>51</v>
      </c>
      <c r="N158" s="5">
        <v>46006</v>
      </c>
      <c r="O158" t="s">
        <v>186</v>
      </c>
      <c r="P158" s="11"/>
      <c r="R158" t="s">
        <v>213</v>
      </c>
      <c r="S158" s="5">
        <v>45992</v>
      </c>
      <c r="T158" t="s">
        <v>147</v>
      </c>
      <c r="U158" s="11">
        <v>159.41999999999999</v>
      </c>
      <c r="W158" t="s">
        <v>205</v>
      </c>
      <c r="X158" s="5">
        <v>46174</v>
      </c>
      <c r="Y158" t="s">
        <v>165</v>
      </c>
      <c r="Z158" s="240">
        <v>880.75000000000227</v>
      </c>
    </row>
    <row r="159" spans="3:26" ht="18.75">
      <c r="C159">
        <v>40</v>
      </c>
      <c r="D159" s="5">
        <v>45929</v>
      </c>
      <c r="E159" t="s">
        <v>135</v>
      </c>
      <c r="F159" s="11">
        <v>47.85</v>
      </c>
      <c r="H159">
        <v>34</v>
      </c>
      <c r="I159" s="5">
        <v>45887</v>
      </c>
      <c r="J159" t="s">
        <v>160</v>
      </c>
      <c r="K159" s="11">
        <v>3130.6000000000099</v>
      </c>
      <c r="M159">
        <v>52</v>
      </c>
      <c r="N159" s="5">
        <v>46013</v>
      </c>
      <c r="O159" t="s">
        <v>182</v>
      </c>
      <c r="P159" s="11">
        <v>602.54999999999905</v>
      </c>
      <c r="R159" t="s">
        <v>213</v>
      </c>
      <c r="S159" s="5">
        <v>45992</v>
      </c>
      <c r="T159" t="s">
        <v>134</v>
      </c>
      <c r="U159" s="11">
        <v>219.23</v>
      </c>
      <c r="W159" t="s">
        <v>205</v>
      </c>
      <c r="X159" s="5">
        <v>46174</v>
      </c>
      <c r="Y159" t="s">
        <v>176</v>
      </c>
      <c r="Z159" s="240">
        <v>531.59999999999764</v>
      </c>
    </row>
    <row r="160" spans="3:26" ht="18.75">
      <c r="C160">
        <v>40</v>
      </c>
      <c r="D160" s="5">
        <v>45929</v>
      </c>
      <c r="E160" t="s">
        <v>121</v>
      </c>
      <c r="F160" s="11">
        <v>107.49</v>
      </c>
      <c r="H160">
        <v>34</v>
      </c>
      <c r="I160" s="5">
        <v>45887</v>
      </c>
      <c r="J160" t="s">
        <v>158</v>
      </c>
      <c r="K160" s="11">
        <v>306.97000000000003</v>
      </c>
      <c r="M160">
        <v>52</v>
      </c>
      <c r="N160" s="5">
        <v>46013</v>
      </c>
      <c r="O160" t="s">
        <v>180</v>
      </c>
      <c r="P160" s="11">
        <v>383.5</v>
      </c>
      <c r="R160" t="s">
        <v>213</v>
      </c>
      <c r="S160" s="5">
        <v>45992</v>
      </c>
      <c r="T160" t="s">
        <v>149</v>
      </c>
      <c r="U160" s="11">
        <v>67.78</v>
      </c>
      <c r="W160" t="s">
        <v>205</v>
      </c>
      <c r="X160" s="5">
        <v>46174</v>
      </c>
      <c r="Y160" t="s">
        <v>198</v>
      </c>
      <c r="Z160" s="240">
        <v>2053.4900000000107</v>
      </c>
    </row>
    <row r="161" spans="3:26" ht="18.75">
      <c r="C161">
        <v>40</v>
      </c>
      <c r="D161" s="5">
        <v>45929</v>
      </c>
      <c r="E161" t="s">
        <v>149</v>
      </c>
      <c r="F161" s="11">
        <v>112.39</v>
      </c>
      <c r="H161">
        <v>34</v>
      </c>
      <c r="I161" s="5">
        <v>45887</v>
      </c>
      <c r="J161" t="s">
        <v>163</v>
      </c>
      <c r="K161" s="11">
        <v>225.47</v>
      </c>
      <c r="M161">
        <v>52</v>
      </c>
      <c r="N161" s="5">
        <v>46013</v>
      </c>
      <c r="O161" t="s">
        <v>178</v>
      </c>
      <c r="P161" s="11">
        <v>874.65000000000202</v>
      </c>
      <c r="R161" t="s">
        <v>213</v>
      </c>
      <c r="S161" s="5">
        <v>45992</v>
      </c>
      <c r="T161" t="s">
        <v>133</v>
      </c>
      <c r="U161" s="11">
        <v>124.18</v>
      </c>
      <c r="W161" t="s">
        <v>205</v>
      </c>
      <c r="X161" s="5">
        <v>46174</v>
      </c>
      <c r="Y161" t="s">
        <v>209</v>
      </c>
      <c r="Z161" s="240">
        <v>342.36000000000007</v>
      </c>
    </row>
    <row r="162" spans="3:26" ht="18.75">
      <c r="C162">
        <v>40</v>
      </c>
      <c r="D162" s="5">
        <v>45929</v>
      </c>
      <c r="E162" t="s">
        <v>125</v>
      </c>
      <c r="F162" s="11">
        <v>68.05</v>
      </c>
      <c r="H162">
        <v>34</v>
      </c>
      <c r="I162" s="5">
        <v>45887</v>
      </c>
      <c r="J162" t="s">
        <v>165</v>
      </c>
      <c r="K162" s="11">
        <v>393.6</v>
      </c>
      <c r="M162">
        <v>52</v>
      </c>
      <c r="N162" s="5">
        <v>46013</v>
      </c>
      <c r="O162" t="s">
        <v>179</v>
      </c>
      <c r="P162" s="11">
        <v>1404.66</v>
      </c>
      <c r="R162" t="s">
        <v>213</v>
      </c>
      <c r="S162" s="5">
        <v>45992</v>
      </c>
      <c r="T162" t="s">
        <v>121</v>
      </c>
      <c r="U162" s="11">
        <v>455.35</v>
      </c>
      <c r="W162" t="s">
        <v>205</v>
      </c>
      <c r="X162" s="5">
        <v>46174</v>
      </c>
      <c r="Y162" t="s">
        <v>206</v>
      </c>
      <c r="Z162" s="240">
        <v>1440.5600000000013</v>
      </c>
    </row>
    <row r="163" spans="3:26" ht="18.75">
      <c r="C163">
        <v>40</v>
      </c>
      <c r="D163" s="5">
        <v>45929</v>
      </c>
      <c r="E163" t="s">
        <v>123</v>
      </c>
      <c r="F163" s="11">
        <v>470.4</v>
      </c>
      <c r="H163">
        <v>34</v>
      </c>
      <c r="I163" s="5">
        <v>45887</v>
      </c>
      <c r="J163" t="s">
        <v>174</v>
      </c>
      <c r="K163" s="11">
        <v>956.50999999999794</v>
      </c>
      <c r="M163">
        <v>52</v>
      </c>
      <c r="N163" s="5">
        <v>46013</v>
      </c>
      <c r="O163" t="s">
        <v>181</v>
      </c>
      <c r="P163" s="11">
        <v>632.79999999999995</v>
      </c>
      <c r="R163" t="s">
        <v>213</v>
      </c>
      <c r="S163" s="5">
        <v>45992</v>
      </c>
      <c r="T163" t="s">
        <v>113</v>
      </c>
      <c r="U163" s="11">
        <v>121.64</v>
      </c>
      <c r="W163" t="s">
        <v>205</v>
      </c>
      <c r="X163" s="5">
        <v>46174</v>
      </c>
      <c r="Y163" t="s">
        <v>163</v>
      </c>
      <c r="Z163" s="240">
        <v>1100.3699999999869</v>
      </c>
    </row>
    <row r="164" spans="3:26" ht="18.75">
      <c r="C164">
        <v>40</v>
      </c>
      <c r="D164" s="5">
        <v>45929</v>
      </c>
      <c r="E164" t="s">
        <v>124</v>
      </c>
      <c r="F164" s="11">
        <v>458.25</v>
      </c>
      <c r="H164">
        <v>34</v>
      </c>
      <c r="I164" s="5">
        <v>45887</v>
      </c>
      <c r="J164" t="s">
        <v>176</v>
      </c>
      <c r="K164" s="11">
        <v>48.88</v>
      </c>
      <c r="M164">
        <v>52</v>
      </c>
      <c r="N164" s="5">
        <v>46013</v>
      </c>
      <c r="O164" t="s">
        <v>185</v>
      </c>
      <c r="P164" s="11">
        <v>382.45</v>
      </c>
      <c r="R164" t="s">
        <v>213</v>
      </c>
      <c r="S164" s="5">
        <v>45992</v>
      </c>
      <c r="T164" t="s">
        <v>128</v>
      </c>
      <c r="U164" s="11">
        <v>202.2</v>
      </c>
      <c r="W164" t="s">
        <v>205</v>
      </c>
      <c r="X164" s="5">
        <v>46174</v>
      </c>
      <c r="Y164" t="s">
        <v>170</v>
      </c>
      <c r="Z164" s="240">
        <v>20</v>
      </c>
    </row>
    <row r="165" spans="3:26" ht="18.75">
      <c r="C165">
        <v>40</v>
      </c>
      <c r="D165" s="5">
        <v>45929</v>
      </c>
      <c r="E165" t="s">
        <v>113</v>
      </c>
      <c r="F165" s="11">
        <v>296.87</v>
      </c>
      <c r="H165">
        <v>34</v>
      </c>
      <c r="I165" s="5">
        <v>45887</v>
      </c>
      <c r="J165" t="s">
        <v>168</v>
      </c>
      <c r="K165" s="11">
        <v>357.289999999999</v>
      </c>
      <c r="M165">
        <v>52</v>
      </c>
      <c r="N165" s="5">
        <v>46013</v>
      </c>
      <c r="O165" t="s">
        <v>183</v>
      </c>
      <c r="P165" s="11">
        <v>259.12</v>
      </c>
      <c r="R165" t="s">
        <v>213</v>
      </c>
      <c r="S165" s="5">
        <v>45992</v>
      </c>
      <c r="T165" t="s">
        <v>111</v>
      </c>
      <c r="U165" s="11">
        <v>152.32</v>
      </c>
      <c r="W165" t="s">
        <v>205</v>
      </c>
      <c r="X165" s="5">
        <v>46174</v>
      </c>
      <c r="Y165" t="s">
        <v>168</v>
      </c>
      <c r="Z165" s="240">
        <v>8.6500000000000021</v>
      </c>
    </row>
    <row r="166" spans="3:26" ht="18.75">
      <c r="C166">
        <v>40</v>
      </c>
      <c r="D166" s="5">
        <v>45929</v>
      </c>
      <c r="E166" t="s">
        <v>219</v>
      </c>
      <c r="F166" s="11">
        <v>396.04</v>
      </c>
      <c r="H166">
        <v>34</v>
      </c>
      <c r="I166" s="5">
        <v>45887</v>
      </c>
      <c r="J166" t="s">
        <v>164</v>
      </c>
      <c r="K166" s="11">
        <v>8.4</v>
      </c>
      <c r="M166">
        <v>52</v>
      </c>
      <c r="N166" s="5">
        <v>46013</v>
      </c>
      <c r="O166" t="s">
        <v>186</v>
      </c>
      <c r="P166" s="11">
        <v>211.5</v>
      </c>
      <c r="R166" t="s">
        <v>213</v>
      </c>
      <c r="S166" s="5">
        <v>45992</v>
      </c>
      <c r="T166" t="s">
        <v>123</v>
      </c>
      <c r="U166" s="11">
        <v>376.06</v>
      </c>
      <c r="W166" t="s">
        <v>205</v>
      </c>
      <c r="X166" s="5">
        <v>46174</v>
      </c>
      <c r="Y166" t="s">
        <v>164</v>
      </c>
      <c r="Z166" s="240">
        <v>6</v>
      </c>
    </row>
    <row r="167" spans="3:26" ht="18.75">
      <c r="C167">
        <v>40</v>
      </c>
      <c r="D167" s="5">
        <v>45929</v>
      </c>
      <c r="E167" t="s">
        <v>133</v>
      </c>
      <c r="F167" s="11">
        <v>331.6</v>
      </c>
      <c r="H167">
        <v>34</v>
      </c>
      <c r="I167" s="5">
        <v>45887</v>
      </c>
      <c r="J167" t="s">
        <v>172</v>
      </c>
      <c r="K167" s="11">
        <v>29.85</v>
      </c>
      <c r="M167">
        <v>52</v>
      </c>
      <c r="N167" s="5">
        <v>46013</v>
      </c>
      <c r="O167" t="s">
        <v>184</v>
      </c>
      <c r="P167" s="11">
        <v>212.55</v>
      </c>
      <c r="R167" t="s">
        <v>213</v>
      </c>
      <c r="S167" s="5">
        <v>45992</v>
      </c>
      <c r="T167" t="s">
        <v>135</v>
      </c>
      <c r="U167" s="11">
        <v>19.02</v>
      </c>
      <c r="W167" t="s">
        <v>205</v>
      </c>
      <c r="X167" s="5">
        <v>46174</v>
      </c>
      <c r="Y167" t="s">
        <v>171</v>
      </c>
      <c r="Z167" s="240">
        <v>1823.2400000000107</v>
      </c>
    </row>
    <row r="168" spans="3:26" ht="18.75">
      <c r="C168">
        <v>40</v>
      </c>
      <c r="D168" s="5">
        <v>45929</v>
      </c>
      <c r="E168" t="s">
        <v>137</v>
      </c>
      <c r="F168" s="11">
        <v>97.08</v>
      </c>
      <c r="H168">
        <v>34</v>
      </c>
      <c r="I168" s="5">
        <v>45887</v>
      </c>
      <c r="J168" t="s">
        <v>171</v>
      </c>
      <c r="K168" s="11">
        <v>20.49</v>
      </c>
      <c r="M168">
        <v>7</v>
      </c>
      <c r="N168" s="5">
        <v>46062</v>
      </c>
      <c r="O168" t="s">
        <v>180</v>
      </c>
      <c r="P168" s="11"/>
      <c r="R168" t="s">
        <v>213</v>
      </c>
      <c r="S168" s="5">
        <v>45992</v>
      </c>
      <c r="T168" t="s">
        <v>120</v>
      </c>
      <c r="U168" s="11">
        <v>570.52</v>
      </c>
      <c r="W168" t="s">
        <v>205</v>
      </c>
      <c r="X168" s="5">
        <v>46174</v>
      </c>
      <c r="Y168" t="s">
        <v>158</v>
      </c>
      <c r="Z168" s="240">
        <v>739.7</v>
      </c>
    </row>
    <row r="169" spans="3:26" ht="18.75">
      <c r="C169">
        <v>40</v>
      </c>
      <c r="D169" s="5">
        <v>45929</v>
      </c>
      <c r="E169" t="s">
        <v>134</v>
      </c>
      <c r="F169" s="11">
        <v>312</v>
      </c>
      <c r="H169">
        <v>46</v>
      </c>
      <c r="I169" s="5">
        <v>45971</v>
      </c>
      <c r="J169" t="s">
        <v>163</v>
      </c>
      <c r="K169" s="11">
        <v>300.56</v>
      </c>
      <c r="M169">
        <v>7</v>
      </c>
      <c r="N169" s="5">
        <v>46062</v>
      </c>
      <c r="O169" t="s">
        <v>183</v>
      </c>
      <c r="P169" s="11">
        <v>550.39000000000101</v>
      </c>
      <c r="R169" t="s">
        <v>213</v>
      </c>
      <c r="S169" s="5">
        <v>45992</v>
      </c>
      <c r="T169" t="s">
        <v>142</v>
      </c>
      <c r="U169" s="11">
        <v>113.5</v>
      </c>
    </row>
    <row r="170" spans="3:26" ht="18.75">
      <c r="C170">
        <v>40</v>
      </c>
      <c r="D170" s="5">
        <v>45929</v>
      </c>
      <c r="E170" t="s">
        <v>145</v>
      </c>
      <c r="F170" s="11">
        <v>322.83</v>
      </c>
      <c r="H170">
        <v>46</v>
      </c>
      <c r="I170" s="5">
        <v>45971</v>
      </c>
      <c r="J170" t="s">
        <v>168</v>
      </c>
      <c r="K170" s="11">
        <v>374.33</v>
      </c>
      <c r="M170">
        <v>7</v>
      </c>
      <c r="N170" s="5">
        <v>46062</v>
      </c>
      <c r="O170" t="s">
        <v>178</v>
      </c>
      <c r="P170" s="11">
        <v>2415.6999999999998</v>
      </c>
      <c r="R170" t="s">
        <v>213</v>
      </c>
      <c r="S170" s="5">
        <v>45992</v>
      </c>
      <c r="T170" t="s">
        <v>124</v>
      </c>
      <c r="U170" s="11">
        <v>443.5</v>
      </c>
    </row>
    <row r="171" spans="3:26" ht="18.75">
      <c r="C171">
        <v>40</v>
      </c>
      <c r="D171" s="5">
        <v>45929</v>
      </c>
      <c r="E171" t="s">
        <v>112</v>
      </c>
      <c r="F171" s="11">
        <v>162.71</v>
      </c>
      <c r="H171">
        <v>46</v>
      </c>
      <c r="I171" s="5">
        <v>45971</v>
      </c>
      <c r="J171" t="s">
        <v>169</v>
      </c>
      <c r="K171" s="11">
        <v>1533.8499999999799</v>
      </c>
      <c r="M171">
        <v>7</v>
      </c>
      <c r="N171" s="5">
        <v>46062</v>
      </c>
      <c r="O171" t="s">
        <v>179</v>
      </c>
      <c r="P171" s="11">
        <v>3343.9700000000098</v>
      </c>
      <c r="R171" t="s">
        <v>213</v>
      </c>
      <c r="S171" s="5">
        <v>45992</v>
      </c>
      <c r="T171" t="s">
        <v>145</v>
      </c>
      <c r="U171" s="11">
        <v>115.95</v>
      </c>
    </row>
    <row r="172" spans="3:26" ht="18.75">
      <c r="C172">
        <v>40</v>
      </c>
      <c r="D172" s="5">
        <v>45929</v>
      </c>
      <c r="E172" t="s">
        <v>142</v>
      </c>
      <c r="F172" s="11">
        <v>116.21</v>
      </c>
      <c r="H172">
        <v>46</v>
      </c>
      <c r="I172" s="5">
        <v>45971</v>
      </c>
      <c r="J172" t="s">
        <v>160</v>
      </c>
      <c r="K172" s="11">
        <v>3679.8900000000199</v>
      </c>
      <c r="M172">
        <v>7</v>
      </c>
      <c r="N172" s="5">
        <v>46062</v>
      </c>
      <c r="O172" t="s">
        <v>181</v>
      </c>
      <c r="P172" s="11">
        <v>1736.06</v>
      </c>
      <c r="R172" t="s">
        <v>213</v>
      </c>
      <c r="S172" s="5">
        <v>45992</v>
      </c>
      <c r="T172" t="s">
        <v>116</v>
      </c>
      <c r="U172" s="11">
        <v>100.98</v>
      </c>
    </row>
    <row r="173" spans="3:26" ht="18.75">
      <c r="C173">
        <v>40</v>
      </c>
      <c r="D173" s="5">
        <v>45929</v>
      </c>
      <c r="E173" t="s">
        <v>126</v>
      </c>
      <c r="F173" s="11">
        <v>119.06</v>
      </c>
      <c r="H173">
        <v>46</v>
      </c>
      <c r="I173" s="5">
        <v>45971</v>
      </c>
      <c r="J173" t="s">
        <v>173</v>
      </c>
      <c r="K173" s="11">
        <v>482.49999999999898</v>
      </c>
      <c r="M173">
        <v>7</v>
      </c>
      <c r="N173" s="5">
        <v>46062</v>
      </c>
      <c r="O173" t="s">
        <v>185</v>
      </c>
      <c r="P173" s="11">
        <v>1382.05</v>
      </c>
      <c r="R173" t="s">
        <v>213</v>
      </c>
      <c r="S173" s="5">
        <v>45992</v>
      </c>
      <c r="T173" t="s">
        <v>122</v>
      </c>
      <c r="U173" s="11">
        <v>203.25</v>
      </c>
    </row>
    <row r="174" spans="3:26" ht="18.75">
      <c r="C174">
        <v>40</v>
      </c>
      <c r="D174" s="5">
        <v>45929</v>
      </c>
      <c r="E174" t="s">
        <v>127</v>
      </c>
      <c r="F174" s="11">
        <v>282.76</v>
      </c>
      <c r="H174">
        <v>46</v>
      </c>
      <c r="I174" s="5">
        <v>45971</v>
      </c>
      <c r="J174" t="s">
        <v>176</v>
      </c>
      <c r="K174" s="11">
        <v>103</v>
      </c>
      <c r="M174">
        <v>7</v>
      </c>
      <c r="N174" s="5">
        <v>46062</v>
      </c>
      <c r="O174" t="s">
        <v>182</v>
      </c>
      <c r="P174" s="11">
        <v>2311.97999999997</v>
      </c>
      <c r="R174" t="s">
        <v>213</v>
      </c>
      <c r="S174" s="5">
        <v>45992</v>
      </c>
      <c r="T174" t="s">
        <v>137</v>
      </c>
      <c r="U174" s="11">
        <v>26.52</v>
      </c>
    </row>
    <row r="175" spans="3:26" ht="18.75">
      <c r="C175">
        <v>40</v>
      </c>
      <c r="D175" s="5">
        <v>45929</v>
      </c>
      <c r="E175" t="s">
        <v>146</v>
      </c>
      <c r="F175" s="11">
        <v>581.650000000001</v>
      </c>
      <c r="H175">
        <v>46</v>
      </c>
      <c r="I175" s="5">
        <v>45971</v>
      </c>
      <c r="J175" t="s">
        <v>175</v>
      </c>
      <c r="K175" s="11">
        <v>238.875</v>
      </c>
      <c r="M175">
        <v>7</v>
      </c>
      <c r="N175" s="5">
        <v>46062</v>
      </c>
      <c r="O175" t="s">
        <v>186</v>
      </c>
      <c r="P175" s="11"/>
      <c r="R175" t="s">
        <v>213</v>
      </c>
      <c r="S175" s="5">
        <v>45992</v>
      </c>
      <c r="T175" t="s">
        <v>118</v>
      </c>
      <c r="U175" s="11">
        <v>466.26</v>
      </c>
    </row>
    <row r="176" spans="3:26" ht="18.75">
      <c r="C176">
        <v>40</v>
      </c>
      <c r="D176" s="5">
        <v>45929</v>
      </c>
      <c r="E176" t="s">
        <v>128</v>
      </c>
      <c r="F176" s="11">
        <v>223.63</v>
      </c>
      <c r="H176">
        <v>46</v>
      </c>
      <c r="I176" s="5">
        <v>45971</v>
      </c>
      <c r="J176" t="s">
        <v>174</v>
      </c>
      <c r="K176" s="11">
        <v>706.98</v>
      </c>
      <c r="M176">
        <v>7</v>
      </c>
      <c r="N176" s="5">
        <v>46062</v>
      </c>
      <c r="O176" t="s">
        <v>184</v>
      </c>
      <c r="P176" s="11">
        <v>548.14999999999895</v>
      </c>
      <c r="R176" t="s">
        <v>213</v>
      </c>
      <c r="S176" s="5">
        <v>45992</v>
      </c>
      <c r="T176" t="s">
        <v>151</v>
      </c>
      <c r="U176" s="11">
        <v>2174.4499999999998</v>
      </c>
    </row>
    <row r="177" spans="3:21" ht="18.75">
      <c r="C177">
        <v>40</v>
      </c>
      <c r="D177" s="5">
        <v>45929</v>
      </c>
      <c r="E177" t="s">
        <v>132</v>
      </c>
      <c r="F177" s="11">
        <v>206.97</v>
      </c>
      <c r="H177">
        <v>46</v>
      </c>
      <c r="I177" s="5">
        <v>45971</v>
      </c>
      <c r="J177" t="s">
        <v>158</v>
      </c>
      <c r="K177" s="11">
        <v>339.36</v>
      </c>
      <c r="M177">
        <v>8</v>
      </c>
      <c r="N177" s="5">
        <v>46069</v>
      </c>
      <c r="O177" t="s">
        <v>182</v>
      </c>
      <c r="P177" s="11">
        <v>2077.45999999998</v>
      </c>
      <c r="R177" t="s">
        <v>213</v>
      </c>
      <c r="S177" s="5">
        <v>45992</v>
      </c>
      <c r="T177" t="s">
        <v>143</v>
      </c>
      <c r="U177" s="11">
        <v>1283.67</v>
      </c>
    </row>
    <row r="178" spans="3:21" ht="18.75">
      <c r="C178">
        <v>40</v>
      </c>
      <c r="D178" s="5">
        <v>45929</v>
      </c>
      <c r="E178" t="s">
        <v>122</v>
      </c>
      <c r="F178" s="11">
        <v>249.69</v>
      </c>
      <c r="H178">
        <v>46</v>
      </c>
      <c r="I178" s="5">
        <v>45971</v>
      </c>
      <c r="J178" t="s">
        <v>198</v>
      </c>
      <c r="K178" s="11">
        <v>343.36</v>
      </c>
      <c r="M178">
        <v>8</v>
      </c>
      <c r="N178" s="5">
        <v>46069</v>
      </c>
      <c r="O178" t="s">
        <v>181</v>
      </c>
      <c r="P178" s="11">
        <v>1385.86</v>
      </c>
      <c r="R178" t="s">
        <v>213</v>
      </c>
      <c r="S178" s="5">
        <v>45992</v>
      </c>
      <c r="T178" t="s">
        <v>132</v>
      </c>
      <c r="U178" s="11">
        <v>165.25</v>
      </c>
    </row>
    <row r="179" spans="3:21" ht="18.75">
      <c r="C179">
        <v>40</v>
      </c>
      <c r="D179" s="5">
        <v>45929</v>
      </c>
      <c r="E179" t="s">
        <v>143</v>
      </c>
      <c r="F179" s="11">
        <v>18.7</v>
      </c>
      <c r="H179">
        <v>46</v>
      </c>
      <c r="I179" s="5">
        <v>45971</v>
      </c>
      <c r="J179" t="s">
        <v>171</v>
      </c>
      <c r="K179" s="11">
        <v>347.42</v>
      </c>
      <c r="M179">
        <v>8</v>
      </c>
      <c r="N179" s="5">
        <v>46069</v>
      </c>
      <c r="O179" t="s">
        <v>185</v>
      </c>
      <c r="P179" s="11">
        <v>976.94999999999902</v>
      </c>
      <c r="R179" t="s">
        <v>213</v>
      </c>
      <c r="S179" s="5">
        <v>45992</v>
      </c>
      <c r="T179" t="s">
        <v>148</v>
      </c>
      <c r="U179" s="11">
        <v>85.46</v>
      </c>
    </row>
    <row r="180" spans="3:21" ht="18.75">
      <c r="C180">
        <v>39</v>
      </c>
      <c r="D180" s="5">
        <v>45922</v>
      </c>
      <c r="E180" t="s">
        <v>117</v>
      </c>
      <c r="F180" s="11">
        <v>440.73</v>
      </c>
      <c r="H180">
        <v>46</v>
      </c>
      <c r="I180" s="5">
        <v>45971</v>
      </c>
      <c r="J180" t="s">
        <v>172</v>
      </c>
      <c r="K180" s="11">
        <v>79.599999999999994</v>
      </c>
      <c r="M180">
        <v>8</v>
      </c>
      <c r="N180" s="5">
        <v>46069</v>
      </c>
      <c r="O180" t="s">
        <v>178</v>
      </c>
      <c r="P180" s="11">
        <v>1939.70000000001</v>
      </c>
      <c r="R180" t="s">
        <v>213</v>
      </c>
      <c r="S180" s="5">
        <v>45992</v>
      </c>
      <c r="T180" t="s">
        <v>119</v>
      </c>
      <c r="U180" s="11">
        <v>325.68</v>
      </c>
    </row>
    <row r="181" spans="3:21" ht="18.75">
      <c r="C181">
        <v>39</v>
      </c>
      <c r="D181" s="5">
        <v>45922</v>
      </c>
      <c r="E181" t="s">
        <v>118</v>
      </c>
      <c r="F181" s="11">
        <v>226.57</v>
      </c>
      <c r="H181">
        <v>46</v>
      </c>
      <c r="I181" s="5">
        <v>45971</v>
      </c>
      <c r="J181" t="s">
        <v>170</v>
      </c>
      <c r="K181" s="11">
        <v>70</v>
      </c>
      <c r="M181">
        <v>8</v>
      </c>
      <c r="N181" s="5">
        <v>46069</v>
      </c>
      <c r="O181" t="s">
        <v>179</v>
      </c>
      <c r="P181" s="11">
        <v>2877.01</v>
      </c>
      <c r="R181" t="s">
        <v>215</v>
      </c>
      <c r="S181" s="5">
        <v>46054</v>
      </c>
      <c r="T181" t="s">
        <v>117</v>
      </c>
      <c r="U181" s="11">
        <v>21.11</v>
      </c>
    </row>
    <row r="182" spans="3:21" ht="18.75">
      <c r="C182">
        <v>39</v>
      </c>
      <c r="D182" s="5">
        <v>45922</v>
      </c>
      <c r="E182" t="s">
        <v>149</v>
      </c>
      <c r="F182" s="11">
        <v>125.38</v>
      </c>
      <c r="H182">
        <v>46</v>
      </c>
      <c r="I182" s="5">
        <v>45971</v>
      </c>
      <c r="J182" t="s">
        <v>164</v>
      </c>
      <c r="K182" s="11">
        <v>25.2</v>
      </c>
      <c r="M182">
        <v>8</v>
      </c>
      <c r="N182" s="5">
        <v>46069</v>
      </c>
      <c r="O182" t="s">
        <v>180</v>
      </c>
      <c r="P182" s="11">
        <v>5.7</v>
      </c>
      <c r="R182" t="s">
        <v>215</v>
      </c>
      <c r="S182" s="5">
        <v>46054</v>
      </c>
      <c r="T182" t="s">
        <v>149</v>
      </c>
      <c r="U182" s="11">
        <v>237.71</v>
      </c>
    </row>
    <row r="183" spans="3:21" ht="18.75">
      <c r="C183">
        <v>39</v>
      </c>
      <c r="D183" s="5">
        <v>45922</v>
      </c>
      <c r="E183" t="s">
        <v>114</v>
      </c>
      <c r="F183" s="11">
        <v>254.29</v>
      </c>
      <c r="H183">
        <v>46</v>
      </c>
      <c r="I183" s="5">
        <v>45971</v>
      </c>
      <c r="J183" t="s">
        <v>165</v>
      </c>
      <c r="K183" s="11">
        <v>407.8</v>
      </c>
      <c r="M183">
        <v>8</v>
      </c>
      <c r="N183" s="5">
        <v>46069</v>
      </c>
      <c r="O183" t="s">
        <v>184</v>
      </c>
      <c r="P183" s="11">
        <v>478.02999999999798</v>
      </c>
      <c r="R183" t="s">
        <v>215</v>
      </c>
      <c r="S183" s="5">
        <v>46054</v>
      </c>
      <c r="T183" t="s">
        <v>114</v>
      </c>
      <c r="U183" s="11">
        <v>401.08</v>
      </c>
    </row>
    <row r="184" spans="3:21" ht="18.75">
      <c r="C184">
        <v>39</v>
      </c>
      <c r="D184" s="5">
        <v>45922</v>
      </c>
      <c r="E184" t="s">
        <v>129</v>
      </c>
      <c r="F184" s="11">
        <v>161.18</v>
      </c>
      <c r="H184">
        <v>47</v>
      </c>
      <c r="I184" s="5">
        <v>45978</v>
      </c>
      <c r="J184" t="s">
        <v>171</v>
      </c>
      <c r="K184" s="11">
        <v>386.28</v>
      </c>
      <c r="M184">
        <v>8</v>
      </c>
      <c r="N184" s="5">
        <v>46069</v>
      </c>
      <c r="O184" t="s">
        <v>183</v>
      </c>
      <c r="P184" s="11">
        <v>431.19000000000102</v>
      </c>
      <c r="R184" t="s">
        <v>215</v>
      </c>
      <c r="S184" s="5">
        <v>46054</v>
      </c>
      <c r="T184" t="s">
        <v>112</v>
      </c>
      <c r="U184" s="11">
        <v>119.13</v>
      </c>
    </row>
    <row r="185" spans="3:21" ht="18.75">
      <c r="C185">
        <v>39</v>
      </c>
      <c r="D185" s="5">
        <v>45922</v>
      </c>
      <c r="E185" t="s">
        <v>119</v>
      </c>
      <c r="F185" s="11">
        <v>366.12</v>
      </c>
      <c r="H185">
        <v>47</v>
      </c>
      <c r="I185" s="5">
        <v>45978</v>
      </c>
      <c r="J185" t="s">
        <v>160</v>
      </c>
      <c r="K185" s="11">
        <v>3996.3199999999702</v>
      </c>
      <c r="M185">
        <v>6</v>
      </c>
      <c r="N185" s="5">
        <v>46055</v>
      </c>
      <c r="O185" t="s">
        <v>181</v>
      </c>
      <c r="P185" s="11">
        <v>1873.51000000001</v>
      </c>
      <c r="R185" t="s">
        <v>215</v>
      </c>
      <c r="S185" s="5">
        <v>46054</v>
      </c>
      <c r="T185" t="s">
        <v>139</v>
      </c>
      <c r="U185" s="11">
        <v>229.81</v>
      </c>
    </row>
    <row r="186" spans="3:21" ht="18.75">
      <c r="C186">
        <v>39</v>
      </c>
      <c r="D186" s="5">
        <v>45922</v>
      </c>
      <c r="E186" t="s">
        <v>112</v>
      </c>
      <c r="F186" s="11">
        <v>137.51</v>
      </c>
      <c r="H186">
        <v>47</v>
      </c>
      <c r="I186" s="5">
        <v>45978</v>
      </c>
      <c r="J186" t="s">
        <v>168</v>
      </c>
      <c r="K186" s="11">
        <v>333.69</v>
      </c>
      <c r="M186">
        <v>6</v>
      </c>
      <c r="N186" s="5">
        <v>46055</v>
      </c>
      <c r="O186" t="s">
        <v>179</v>
      </c>
      <c r="P186" s="11">
        <v>3539.06</v>
      </c>
      <c r="R186" t="s">
        <v>215</v>
      </c>
      <c r="S186" s="5">
        <v>46054</v>
      </c>
      <c r="T186" t="s">
        <v>146</v>
      </c>
      <c r="U186" s="11"/>
    </row>
    <row r="187" spans="3:21" ht="18.75">
      <c r="C187">
        <v>39</v>
      </c>
      <c r="D187" s="5">
        <v>45922</v>
      </c>
      <c r="E187" t="s">
        <v>111</v>
      </c>
      <c r="F187" s="11">
        <v>279.98</v>
      </c>
      <c r="H187">
        <v>47</v>
      </c>
      <c r="I187" s="5">
        <v>45978</v>
      </c>
      <c r="J187" t="s">
        <v>169</v>
      </c>
      <c r="K187" s="11">
        <v>1939.0499999999699</v>
      </c>
      <c r="M187">
        <v>6</v>
      </c>
      <c r="N187" s="5">
        <v>46055</v>
      </c>
      <c r="O187" t="s">
        <v>183</v>
      </c>
      <c r="P187" s="11">
        <v>480.31</v>
      </c>
      <c r="R187" t="s">
        <v>215</v>
      </c>
      <c r="S187" s="5">
        <v>46054</v>
      </c>
      <c r="T187" t="s">
        <v>147</v>
      </c>
      <c r="U187" s="11">
        <v>535.08000000000004</v>
      </c>
    </row>
    <row r="188" spans="3:21" ht="18.75">
      <c r="C188">
        <v>39</v>
      </c>
      <c r="D188" s="5">
        <v>45922</v>
      </c>
      <c r="E188" t="s">
        <v>139</v>
      </c>
      <c r="F188" s="11">
        <v>327.14</v>
      </c>
      <c r="H188">
        <v>47</v>
      </c>
      <c r="I188" s="5">
        <v>45978</v>
      </c>
      <c r="J188" t="s">
        <v>174</v>
      </c>
      <c r="K188" s="11">
        <v>717.71999999999798</v>
      </c>
      <c r="M188">
        <v>6</v>
      </c>
      <c r="N188" s="5">
        <v>46055</v>
      </c>
      <c r="O188" t="s">
        <v>182</v>
      </c>
      <c r="P188" s="11">
        <v>2412.8199999999601</v>
      </c>
      <c r="R188" t="s">
        <v>215</v>
      </c>
      <c r="S188" s="5">
        <v>46054</v>
      </c>
      <c r="T188" t="s">
        <v>138</v>
      </c>
      <c r="U188" s="11">
        <v>539.92999999999995</v>
      </c>
    </row>
    <row r="189" spans="3:21" ht="18.75">
      <c r="C189">
        <v>39</v>
      </c>
      <c r="D189" s="5">
        <v>45922</v>
      </c>
      <c r="E189" t="s">
        <v>128</v>
      </c>
      <c r="F189" s="11">
        <v>214.27</v>
      </c>
      <c r="H189">
        <v>47</v>
      </c>
      <c r="I189" s="5">
        <v>45978</v>
      </c>
      <c r="J189" t="s">
        <v>173</v>
      </c>
      <c r="K189" s="11">
        <v>663.49999999999898</v>
      </c>
      <c r="M189">
        <v>6</v>
      </c>
      <c r="N189" s="5">
        <v>46055</v>
      </c>
      <c r="O189" t="s">
        <v>178</v>
      </c>
      <c r="P189" s="11">
        <v>2677.49999999999</v>
      </c>
      <c r="R189" t="s">
        <v>215</v>
      </c>
      <c r="S189" s="5">
        <v>46054</v>
      </c>
      <c r="T189" t="s">
        <v>143</v>
      </c>
      <c r="U189" s="11">
        <v>91.25</v>
      </c>
    </row>
    <row r="190" spans="3:21" ht="18.75">
      <c r="C190">
        <v>39</v>
      </c>
      <c r="D190" s="5">
        <v>45922</v>
      </c>
      <c r="E190" t="s">
        <v>121</v>
      </c>
      <c r="F190" s="11">
        <v>82.41</v>
      </c>
      <c r="H190">
        <v>47</v>
      </c>
      <c r="I190" s="5">
        <v>45978</v>
      </c>
      <c r="J190" t="s">
        <v>158</v>
      </c>
      <c r="K190" s="11">
        <v>552.32000000000096</v>
      </c>
      <c r="M190">
        <v>6</v>
      </c>
      <c r="N190" s="5">
        <v>46055</v>
      </c>
      <c r="O190" t="s">
        <v>184</v>
      </c>
      <c r="P190" s="11">
        <v>1012.51</v>
      </c>
      <c r="R190" t="s">
        <v>215</v>
      </c>
      <c r="S190" s="5">
        <v>46054</v>
      </c>
      <c r="T190" t="s">
        <v>111</v>
      </c>
      <c r="U190" s="11">
        <v>467.35</v>
      </c>
    </row>
    <row r="191" spans="3:21" ht="18.75">
      <c r="C191">
        <v>39</v>
      </c>
      <c r="D191" s="5">
        <v>45922</v>
      </c>
      <c r="E191" t="s">
        <v>150</v>
      </c>
      <c r="F191" s="11">
        <v>100.16</v>
      </c>
      <c r="H191">
        <v>47</v>
      </c>
      <c r="I191" s="5">
        <v>45978</v>
      </c>
      <c r="J191" t="s">
        <v>170</v>
      </c>
      <c r="K191" s="11">
        <v>42</v>
      </c>
      <c r="M191">
        <v>6</v>
      </c>
      <c r="N191" s="5">
        <v>46055</v>
      </c>
      <c r="O191" t="s">
        <v>185</v>
      </c>
      <c r="P191" s="11">
        <v>1272.5</v>
      </c>
      <c r="R191" t="s">
        <v>215</v>
      </c>
      <c r="S191" s="5">
        <v>46054</v>
      </c>
      <c r="T191" t="s">
        <v>151</v>
      </c>
      <c r="U191" s="11">
        <v>146.78</v>
      </c>
    </row>
    <row r="192" spans="3:21" ht="18.75">
      <c r="C192">
        <v>39</v>
      </c>
      <c r="D192" s="5">
        <v>45922</v>
      </c>
      <c r="E192" t="s">
        <v>116</v>
      </c>
      <c r="F192" s="11">
        <v>109.87</v>
      </c>
      <c r="H192">
        <v>47</v>
      </c>
      <c r="I192" s="5">
        <v>45978</v>
      </c>
      <c r="J192" t="s">
        <v>163</v>
      </c>
      <c r="K192" s="11">
        <v>420.53000000000202</v>
      </c>
      <c r="M192">
        <v>6</v>
      </c>
      <c r="N192" s="5">
        <v>46055</v>
      </c>
      <c r="O192" t="s">
        <v>186</v>
      </c>
      <c r="P192" s="11">
        <v>4.4000000000000004</v>
      </c>
      <c r="R192" t="s">
        <v>215</v>
      </c>
      <c r="S192" s="5">
        <v>46054</v>
      </c>
      <c r="T192" t="s">
        <v>119</v>
      </c>
      <c r="U192" s="11">
        <v>5.21</v>
      </c>
    </row>
    <row r="193" spans="3:21" ht="18.75">
      <c r="C193">
        <v>39</v>
      </c>
      <c r="D193" s="5">
        <v>45922</v>
      </c>
      <c r="E193" t="s">
        <v>138</v>
      </c>
      <c r="F193" s="11">
        <v>388.86</v>
      </c>
      <c r="H193">
        <v>47</v>
      </c>
      <c r="I193" s="5">
        <v>45978</v>
      </c>
      <c r="J193" t="s">
        <v>198</v>
      </c>
      <c r="K193" s="11">
        <v>1074.6400000000001</v>
      </c>
      <c r="M193">
        <v>6</v>
      </c>
      <c r="N193" s="5">
        <v>46055</v>
      </c>
      <c r="O193" t="s">
        <v>180</v>
      </c>
      <c r="P193" s="11">
        <v>11.4</v>
      </c>
      <c r="R193" t="s">
        <v>215</v>
      </c>
      <c r="S193" s="5">
        <v>46054</v>
      </c>
      <c r="T193" t="s">
        <v>129</v>
      </c>
      <c r="U193" s="11">
        <v>44.05</v>
      </c>
    </row>
    <row r="194" spans="3:21" ht="18.75">
      <c r="C194">
        <v>39</v>
      </c>
      <c r="D194" s="5">
        <v>45922</v>
      </c>
      <c r="E194" t="s">
        <v>141</v>
      </c>
      <c r="F194" s="11">
        <v>559.36000000000104</v>
      </c>
      <c r="H194">
        <v>47</v>
      </c>
      <c r="I194" s="5">
        <v>45978</v>
      </c>
      <c r="J194" t="s">
        <v>176</v>
      </c>
      <c r="K194" s="11">
        <v>139.16</v>
      </c>
      <c r="M194">
        <v>9</v>
      </c>
      <c r="N194" s="5">
        <v>46076</v>
      </c>
      <c r="O194" t="s">
        <v>182</v>
      </c>
      <c r="P194" s="11">
        <v>2155.2999999999802</v>
      </c>
      <c r="R194" t="s">
        <v>215</v>
      </c>
      <c r="S194" s="5">
        <v>46054</v>
      </c>
      <c r="T194" t="s">
        <v>145</v>
      </c>
      <c r="U194" s="11">
        <v>27.59</v>
      </c>
    </row>
    <row r="195" spans="3:21" ht="18.75">
      <c r="C195">
        <v>39</v>
      </c>
      <c r="D195" s="5">
        <v>45922</v>
      </c>
      <c r="E195" t="s">
        <v>134</v>
      </c>
      <c r="F195" s="11">
        <v>359.74</v>
      </c>
      <c r="H195">
        <v>47</v>
      </c>
      <c r="I195" s="5">
        <v>45978</v>
      </c>
      <c r="J195" t="s">
        <v>172</v>
      </c>
      <c r="K195" s="11">
        <v>59.7</v>
      </c>
      <c r="M195">
        <v>9</v>
      </c>
      <c r="N195" s="5">
        <v>46076</v>
      </c>
      <c r="O195" t="s">
        <v>179</v>
      </c>
      <c r="P195" s="11">
        <v>3088.70999999998</v>
      </c>
      <c r="R195" t="s">
        <v>215</v>
      </c>
      <c r="S195" s="5">
        <v>46054</v>
      </c>
      <c r="T195" t="s">
        <v>134</v>
      </c>
      <c r="U195" s="11">
        <v>5.29</v>
      </c>
    </row>
    <row r="196" spans="3:21" ht="18.75">
      <c r="C196">
        <v>39</v>
      </c>
      <c r="D196" s="5">
        <v>45922</v>
      </c>
      <c r="E196" t="s">
        <v>133</v>
      </c>
      <c r="F196" s="11">
        <v>330.24</v>
      </c>
      <c r="H196">
        <v>47</v>
      </c>
      <c r="I196" s="5">
        <v>45978</v>
      </c>
      <c r="J196" t="s">
        <v>175</v>
      </c>
      <c r="K196" s="11">
        <v>380.54999999999899</v>
      </c>
      <c r="M196">
        <v>9</v>
      </c>
      <c r="N196" s="5">
        <v>46076</v>
      </c>
      <c r="O196" t="s">
        <v>178</v>
      </c>
      <c r="P196" s="11">
        <v>2147.9500000000098</v>
      </c>
      <c r="R196" t="s">
        <v>215</v>
      </c>
      <c r="S196" s="5">
        <v>46054</v>
      </c>
      <c r="T196" t="s">
        <v>130</v>
      </c>
      <c r="U196" s="11">
        <v>87.26</v>
      </c>
    </row>
    <row r="197" spans="3:21" ht="18.75">
      <c r="C197">
        <v>39</v>
      </c>
      <c r="D197" s="5">
        <v>45922</v>
      </c>
      <c r="E197" t="s">
        <v>136</v>
      </c>
      <c r="F197" s="11">
        <v>61.53</v>
      </c>
      <c r="H197">
        <v>47</v>
      </c>
      <c r="I197" s="5">
        <v>45978</v>
      </c>
      <c r="J197" t="s">
        <v>164</v>
      </c>
      <c r="K197" s="11">
        <v>20.399999999999999</v>
      </c>
      <c r="M197">
        <v>9</v>
      </c>
      <c r="N197" s="5">
        <v>46076</v>
      </c>
      <c r="O197" t="s">
        <v>184</v>
      </c>
      <c r="P197" s="11">
        <v>578.38999999999896</v>
      </c>
      <c r="R197" t="s">
        <v>215</v>
      </c>
      <c r="S197" s="5">
        <v>46054</v>
      </c>
      <c r="T197" t="s">
        <v>133</v>
      </c>
      <c r="U197" s="11">
        <v>89.47</v>
      </c>
    </row>
    <row r="198" spans="3:21" ht="18.75">
      <c r="C198">
        <v>39</v>
      </c>
      <c r="D198" s="5">
        <v>45922</v>
      </c>
      <c r="E198" t="s">
        <v>124</v>
      </c>
      <c r="F198" s="11">
        <v>496.05000000000098</v>
      </c>
      <c r="H198">
        <v>47</v>
      </c>
      <c r="I198" s="5">
        <v>45978</v>
      </c>
      <c r="J198" t="s">
        <v>165</v>
      </c>
      <c r="K198" s="11">
        <v>85.45</v>
      </c>
      <c r="M198">
        <v>9</v>
      </c>
      <c r="N198" s="5">
        <v>46076</v>
      </c>
      <c r="O198" t="s">
        <v>181</v>
      </c>
      <c r="P198" s="11">
        <v>1494.67</v>
      </c>
      <c r="R198" t="s">
        <v>215</v>
      </c>
      <c r="S198" s="5">
        <v>46054</v>
      </c>
      <c r="T198" t="s">
        <v>141</v>
      </c>
      <c r="U198" s="11">
        <v>1209.72</v>
      </c>
    </row>
    <row r="199" spans="3:21" ht="18.75">
      <c r="C199">
        <v>39</v>
      </c>
      <c r="D199" s="5">
        <v>45922</v>
      </c>
      <c r="E199" t="s">
        <v>122</v>
      </c>
      <c r="F199" s="11">
        <v>332.73</v>
      </c>
      <c r="H199">
        <v>47</v>
      </c>
      <c r="I199" s="5">
        <v>45978</v>
      </c>
      <c r="J199" t="s">
        <v>204</v>
      </c>
      <c r="K199" s="11">
        <v>25.762499999999999</v>
      </c>
      <c r="M199">
        <v>9</v>
      </c>
      <c r="N199" s="5">
        <v>46076</v>
      </c>
      <c r="O199" t="s">
        <v>183</v>
      </c>
      <c r="P199" s="11">
        <v>395.75000000000102</v>
      </c>
      <c r="R199" t="s">
        <v>215</v>
      </c>
      <c r="S199" s="5">
        <v>46054</v>
      </c>
      <c r="T199" t="s">
        <v>137</v>
      </c>
      <c r="U199" s="11">
        <v>190.55</v>
      </c>
    </row>
    <row r="200" spans="3:21" ht="18.75">
      <c r="C200">
        <v>39</v>
      </c>
      <c r="D200" s="5">
        <v>45922</v>
      </c>
      <c r="E200" t="s">
        <v>137</v>
      </c>
      <c r="F200" s="11">
        <v>79.959999999999994</v>
      </c>
      <c r="H200">
        <v>48</v>
      </c>
      <c r="I200" s="5">
        <v>45985</v>
      </c>
      <c r="J200" t="s">
        <v>171</v>
      </c>
      <c r="K200" s="11">
        <v>718.92000000000098</v>
      </c>
      <c r="M200">
        <v>9</v>
      </c>
      <c r="N200" s="5">
        <v>46076</v>
      </c>
      <c r="O200" t="s">
        <v>180</v>
      </c>
      <c r="P200" s="11">
        <v>16.899999999999999</v>
      </c>
      <c r="R200" t="s">
        <v>215</v>
      </c>
      <c r="S200" s="5">
        <v>46054</v>
      </c>
      <c r="U200" s="11">
        <v>1800.13</v>
      </c>
    </row>
    <row r="201" spans="3:21" ht="18.75">
      <c r="C201">
        <v>39</v>
      </c>
      <c r="D201" s="5">
        <v>45922</v>
      </c>
      <c r="E201" t="s">
        <v>140</v>
      </c>
      <c r="F201" s="11">
        <v>74.84</v>
      </c>
      <c r="H201">
        <v>48</v>
      </c>
      <c r="I201" s="5">
        <v>45985</v>
      </c>
      <c r="J201" t="s">
        <v>169</v>
      </c>
      <c r="K201" s="11">
        <v>2046.3699999999801</v>
      </c>
      <c r="M201">
        <v>9</v>
      </c>
      <c r="N201" s="5">
        <v>46076</v>
      </c>
      <c r="O201" t="s">
        <v>185</v>
      </c>
      <c r="P201" s="11">
        <v>994.45</v>
      </c>
      <c r="R201" t="s">
        <v>215</v>
      </c>
      <c r="S201" s="5">
        <v>46054</v>
      </c>
      <c r="T201" t="s">
        <v>140</v>
      </c>
      <c r="U201" s="11">
        <v>384.52</v>
      </c>
    </row>
    <row r="202" spans="3:21" ht="18.75">
      <c r="C202">
        <v>39</v>
      </c>
      <c r="D202" s="5">
        <v>45922</v>
      </c>
      <c r="E202" t="s">
        <v>219</v>
      </c>
      <c r="F202" s="11">
        <v>415.21</v>
      </c>
      <c r="H202">
        <v>48</v>
      </c>
      <c r="I202" s="5">
        <v>45985</v>
      </c>
      <c r="J202" t="s">
        <v>173</v>
      </c>
      <c r="K202" s="11">
        <v>522.79999999999905</v>
      </c>
      <c r="M202">
        <v>10</v>
      </c>
      <c r="N202" s="5">
        <v>46083</v>
      </c>
      <c r="O202" t="s">
        <v>182</v>
      </c>
      <c r="P202" s="11">
        <v>2215.03999999997</v>
      </c>
      <c r="R202" t="s">
        <v>215</v>
      </c>
      <c r="S202" s="5">
        <v>46054</v>
      </c>
      <c r="T202" t="s">
        <v>116</v>
      </c>
      <c r="U202" s="11">
        <v>252.9</v>
      </c>
    </row>
    <row r="203" spans="3:21" ht="18.75">
      <c r="C203">
        <v>39</v>
      </c>
      <c r="D203" s="5">
        <v>45922</v>
      </c>
      <c r="E203" t="s">
        <v>125</v>
      </c>
      <c r="F203" s="11">
        <v>54.48</v>
      </c>
      <c r="H203">
        <v>48</v>
      </c>
      <c r="I203" s="5">
        <v>45985</v>
      </c>
      <c r="J203" t="s">
        <v>175</v>
      </c>
      <c r="K203" s="11">
        <v>331.79999999999899</v>
      </c>
      <c r="M203">
        <v>10</v>
      </c>
      <c r="N203" s="5">
        <v>46083</v>
      </c>
      <c r="O203" t="s">
        <v>178</v>
      </c>
      <c r="P203" s="11">
        <v>2225.3000000000102</v>
      </c>
      <c r="R203" t="s">
        <v>215</v>
      </c>
      <c r="S203" s="5">
        <v>46054</v>
      </c>
      <c r="T203" t="s">
        <v>142</v>
      </c>
      <c r="U203" s="11">
        <v>461.59</v>
      </c>
    </row>
    <row r="204" spans="3:21" ht="18.75">
      <c r="C204">
        <v>39</v>
      </c>
      <c r="D204" s="5">
        <v>45922</v>
      </c>
      <c r="E204" t="s">
        <v>142</v>
      </c>
      <c r="F204" s="11">
        <v>113.83</v>
      </c>
      <c r="H204">
        <v>48</v>
      </c>
      <c r="I204" s="5">
        <v>45985</v>
      </c>
      <c r="J204" t="s">
        <v>160</v>
      </c>
      <c r="K204" s="11">
        <v>3826.89</v>
      </c>
      <c r="M204">
        <v>10</v>
      </c>
      <c r="N204" s="5">
        <v>46083</v>
      </c>
      <c r="O204" t="s">
        <v>179</v>
      </c>
      <c r="P204" s="11">
        <v>3430.1800000000198</v>
      </c>
      <c r="R204" t="s">
        <v>215</v>
      </c>
      <c r="S204" s="5">
        <v>46054</v>
      </c>
      <c r="T204" t="s">
        <v>128</v>
      </c>
      <c r="U204" s="11">
        <v>329.06</v>
      </c>
    </row>
    <row r="205" spans="3:21" ht="18.75">
      <c r="C205">
        <v>39</v>
      </c>
      <c r="D205" s="5">
        <v>45922</v>
      </c>
      <c r="E205" t="s">
        <v>113</v>
      </c>
      <c r="F205" s="11">
        <v>313.37</v>
      </c>
      <c r="H205">
        <v>48</v>
      </c>
      <c r="I205" s="5">
        <v>45985</v>
      </c>
      <c r="J205" t="s">
        <v>165</v>
      </c>
      <c r="K205" s="11">
        <v>927.25000000000205</v>
      </c>
      <c r="M205">
        <v>10</v>
      </c>
      <c r="N205" s="5">
        <v>46083</v>
      </c>
      <c r="O205" t="s">
        <v>181</v>
      </c>
      <c r="P205" s="11">
        <v>1818.27</v>
      </c>
      <c r="R205" t="s">
        <v>215</v>
      </c>
      <c r="S205" s="5">
        <v>46054</v>
      </c>
      <c r="T205" t="s">
        <v>127</v>
      </c>
      <c r="U205" s="11">
        <v>1230.3499999999999</v>
      </c>
    </row>
    <row r="206" spans="3:21" ht="18.75">
      <c r="C206">
        <v>39</v>
      </c>
      <c r="D206" s="5">
        <v>45922</v>
      </c>
      <c r="E206" t="s">
        <v>146</v>
      </c>
      <c r="F206" s="11">
        <v>618.08000000000095</v>
      </c>
      <c r="H206">
        <v>48</v>
      </c>
      <c r="I206" s="5">
        <v>45985</v>
      </c>
      <c r="J206" t="s">
        <v>158</v>
      </c>
      <c r="K206" s="11">
        <v>355.52</v>
      </c>
      <c r="M206">
        <v>10</v>
      </c>
      <c r="N206" s="5">
        <v>46083</v>
      </c>
      <c r="O206" t="s">
        <v>184</v>
      </c>
      <c r="P206" s="11">
        <v>564.77999999999895</v>
      </c>
      <c r="R206" t="s">
        <v>215</v>
      </c>
      <c r="S206" s="5">
        <v>46054</v>
      </c>
      <c r="T206" t="s">
        <v>136</v>
      </c>
      <c r="U206" s="11">
        <v>305</v>
      </c>
    </row>
    <row r="207" spans="3:21" ht="18.75">
      <c r="C207">
        <v>39</v>
      </c>
      <c r="D207" s="5">
        <v>45922</v>
      </c>
      <c r="E207" t="s">
        <v>145</v>
      </c>
      <c r="F207" s="11">
        <v>353.25</v>
      </c>
      <c r="H207">
        <v>48</v>
      </c>
      <c r="I207" s="5">
        <v>45985</v>
      </c>
      <c r="J207" t="s">
        <v>174</v>
      </c>
      <c r="K207" s="11">
        <v>313.5</v>
      </c>
      <c r="M207">
        <v>10</v>
      </c>
      <c r="N207" s="5">
        <v>46083</v>
      </c>
      <c r="O207" t="s">
        <v>183</v>
      </c>
      <c r="P207" s="11">
        <v>588.18000000000097</v>
      </c>
      <c r="R207" t="s">
        <v>215</v>
      </c>
      <c r="S207" s="5">
        <v>46054</v>
      </c>
      <c r="T207" t="s">
        <v>126</v>
      </c>
      <c r="U207" s="11">
        <v>716.14</v>
      </c>
    </row>
    <row r="208" spans="3:21" ht="18.75">
      <c r="C208">
        <v>39</v>
      </c>
      <c r="D208" s="5">
        <v>45922</v>
      </c>
      <c r="E208" t="s">
        <v>123</v>
      </c>
      <c r="F208" s="11">
        <v>496.29000000000099</v>
      </c>
      <c r="H208">
        <v>48</v>
      </c>
      <c r="I208" s="5">
        <v>45985</v>
      </c>
      <c r="J208" t="s">
        <v>168</v>
      </c>
      <c r="K208" s="11">
        <v>468.08999999999901</v>
      </c>
      <c r="M208">
        <v>10</v>
      </c>
      <c r="N208" s="5">
        <v>46083</v>
      </c>
      <c r="O208" t="s">
        <v>185</v>
      </c>
      <c r="P208" s="11">
        <v>1270.6500000000001</v>
      </c>
      <c r="R208" t="s">
        <v>215</v>
      </c>
      <c r="S208" s="5">
        <v>46054</v>
      </c>
      <c r="T208" t="s">
        <v>135</v>
      </c>
      <c r="U208" s="11">
        <v>137.35</v>
      </c>
    </row>
    <row r="209" spans="3:21" ht="18.75">
      <c r="C209">
        <v>39</v>
      </c>
      <c r="D209" s="5">
        <v>45922</v>
      </c>
      <c r="E209" t="s">
        <v>135</v>
      </c>
      <c r="F209" s="11">
        <v>63.18</v>
      </c>
      <c r="H209">
        <v>48</v>
      </c>
      <c r="I209" s="5">
        <v>45985</v>
      </c>
      <c r="J209" t="s">
        <v>163</v>
      </c>
      <c r="K209" s="11">
        <v>363.780000000001</v>
      </c>
      <c r="M209">
        <v>10</v>
      </c>
      <c r="N209" s="5">
        <v>46083</v>
      </c>
      <c r="O209" t="s">
        <v>180</v>
      </c>
      <c r="P209" s="11"/>
      <c r="R209" t="s">
        <v>215</v>
      </c>
      <c r="S209" s="5">
        <v>46054</v>
      </c>
      <c r="T209" t="s">
        <v>118</v>
      </c>
      <c r="U209" s="11">
        <v>147.12</v>
      </c>
    </row>
    <row r="210" spans="3:21" ht="18.75">
      <c r="C210">
        <v>39</v>
      </c>
      <c r="D210" s="5">
        <v>45922</v>
      </c>
      <c r="E210" t="s">
        <v>126</v>
      </c>
      <c r="F210" s="11">
        <v>163.22999999999999</v>
      </c>
      <c r="H210">
        <v>48</v>
      </c>
      <c r="I210" s="5">
        <v>45985</v>
      </c>
      <c r="J210" t="s">
        <v>172</v>
      </c>
      <c r="K210" s="11">
        <v>95.519999999999897</v>
      </c>
      <c r="M210">
        <v>11</v>
      </c>
      <c r="N210" s="5">
        <v>46090</v>
      </c>
      <c r="O210" t="s">
        <v>179</v>
      </c>
      <c r="P210" s="11">
        <v>3342.29000000001</v>
      </c>
      <c r="R210" t="s">
        <v>215</v>
      </c>
      <c r="S210" s="5">
        <v>46054</v>
      </c>
      <c r="T210" t="s">
        <v>150</v>
      </c>
      <c r="U210" s="11">
        <v>40.65</v>
      </c>
    </row>
    <row r="211" spans="3:21" ht="18.75">
      <c r="C211">
        <v>39</v>
      </c>
      <c r="D211" s="5">
        <v>45922</v>
      </c>
      <c r="E211" t="s">
        <v>127</v>
      </c>
      <c r="F211" s="11">
        <v>283</v>
      </c>
      <c r="H211">
        <v>48</v>
      </c>
      <c r="I211" s="5">
        <v>45985</v>
      </c>
      <c r="J211" t="s">
        <v>176</v>
      </c>
      <c r="K211" s="11">
        <v>105.76</v>
      </c>
      <c r="M211">
        <v>11</v>
      </c>
      <c r="N211" s="5">
        <v>46090</v>
      </c>
      <c r="O211" t="s">
        <v>182</v>
      </c>
      <c r="P211" s="11">
        <v>2082.4699999999698</v>
      </c>
      <c r="R211" t="s">
        <v>215</v>
      </c>
      <c r="S211" s="5">
        <v>46054</v>
      </c>
      <c r="T211" t="s">
        <v>121</v>
      </c>
      <c r="U211" s="11">
        <v>175.85</v>
      </c>
    </row>
    <row r="212" spans="3:21" ht="18.75">
      <c r="C212">
        <v>39</v>
      </c>
      <c r="D212" s="5">
        <v>45922</v>
      </c>
      <c r="E212" t="s">
        <v>132</v>
      </c>
      <c r="F212" s="11">
        <v>155.26</v>
      </c>
      <c r="H212">
        <v>48</v>
      </c>
      <c r="I212" s="5">
        <v>45985</v>
      </c>
      <c r="J212" t="s">
        <v>164</v>
      </c>
      <c r="K212" s="11">
        <v>27.6</v>
      </c>
      <c r="M212">
        <v>11</v>
      </c>
      <c r="N212" s="5">
        <v>46090</v>
      </c>
      <c r="O212" t="s">
        <v>183</v>
      </c>
      <c r="P212" s="11">
        <v>511.57000000000102</v>
      </c>
      <c r="R212" t="s">
        <v>215</v>
      </c>
      <c r="S212" s="5">
        <v>46054</v>
      </c>
      <c r="T212" t="s">
        <v>122</v>
      </c>
      <c r="U212" s="11">
        <v>438.09</v>
      </c>
    </row>
    <row r="213" spans="3:21" ht="18.75">
      <c r="C213">
        <v>38</v>
      </c>
      <c r="D213" s="5">
        <v>45915</v>
      </c>
      <c r="E213" t="s">
        <v>118</v>
      </c>
      <c r="F213" s="11">
        <v>158.66</v>
      </c>
      <c r="H213">
        <v>48</v>
      </c>
      <c r="I213" s="5">
        <v>45985</v>
      </c>
      <c r="J213" t="s">
        <v>170</v>
      </c>
      <c r="K213" s="11">
        <v>62</v>
      </c>
      <c r="M213">
        <v>11</v>
      </c>
      <c r="N213" s="5">
        <v>46090</v>
      </c>
      <c r="O213" t="s">
        <v>178</v>
      </c>
      <c r="P213" s="11">
        <v>2290.75</v>
      </c>
      <c r="R213" t="s">
        <v>215</v>
      </c>
      <c r="S213" s="5">
        <v>46054</v>
      </c>
      <c r="T213" t="s">
        <v>125</v>
      </c>
      <c r="U213" s="11">
        <v>303.14</v>
      </c>
    </row>
    <row r="214" spans="3:21" ht="18.75">
      <c r="C214">
        <v>38</v>
      </c>
      <c r="D214" s="5">
        <v>45915</v>
      </c>
      <c r="E214" t="s">
        <v>112</v>
      </c>
      <c r="F214" s="11">
        <v>275.25</v>
      </c>
      <c r="H214">
        <v>48</v>
      </c>
      <c r="I214" s="5">
        <v>45985</v>
      </c>
      <c r="J214" t="s">
        <v>198</v>
      </c>
      <c r="K214" s="11">
        <v>509.12</v>
      </c>
      <c r="M214">
        <v>11</v>
      </c>
      <c r="N214" s="5">
        <v>46090</v>
      </c>
      <c r="O214" t="s">
        <v>184</v>
      </c>
      <c r="P214" s="11">
        <v>517.80999999999904</v>
      </c>
      <c r="R214" t="s">
        <v>215</v>
      </c>
      <c r="S214" s="5">
        <v>46054</v>
      </c>
      <c r="T214" t="s">
        <v>132</v>
      </c>
      <c r="U214" s="11">
        <v>193.56</v>
      </c>
    </row>
    <row r="215" spans="3:21" ht="18.75">
      <c r="C215">
        <v>38</v>
      </c>
      <c r="D215" s="5">
        <v>45915</v>
      </c>
      <c r="E215" t="s">
        <v>129</v>
      </c>
      <c r="F215" s="11">
        <v>429.99</v>
      </c>
      <c r="H215">
        <v>49</v>
      </c>
      <c r="I215" s="5">
        <v>45992</v>
      </c>
      <c r="J215" t="s">
        <v>174</v>
      </c>
      <c r="K215" s="11">
        <v>477.849999999999</v>
      </c>
      <c r="M215">
        <v>11</v>
      </c>
      <c r="N215" s="5">
        <v>46090</v>
      </c>
      <c r="O215" t="s">
        <v>181</v>
      </c>
      <c r="P215" s="11">
        <v>1729.51</v>
      </c>
      <c r="R215" t="s">
        <v>215</v>
      </c>
      <c r="S215" s="5">
        <v>46054</v>
      </c>
      <c r="T215" t="s">
        <v>113</v>
      </c>
      <c r="U215" s="11">
        <v>597.19000000000005</v>
      </c>
    </row>
    <row r="216" spans="3:21" ht="18.75">
      <c r="C216">
        <v>38</v>
      </c>
      <c r="D216" s="5">
        <v>45915</v>
      </c>
      <c r="E216" t="s">
        <v>117</v>
      </c>
      <c r="F216" s="11">
        <v>262.27999999999997</v>
      </c>
      <c r="H216">
        <v>49</v>
      </c>
      <c r="I216" s="5">
        <v>45992</v>
      </c>
      <c r="J216" t="s">
        <v>163</v>
      </c>
      <c r="K216" s="11">
        <v>344.43000000000097</v>
      </c>
      <c r="M216">
        <v>11</v>
      </c>
      <c r="N216" s="5">
        <v>46090</v>
      </c>
      <c r="O216" t="s">
        <v>185</v>
      </c>
      <c r="P216" s="11">
        <v>1247.7</v>
      </c>
      <c r="R216" t="s">
        <v>215</v>
      </c>
      <c r="S216" s="5">
        <v>46054</v>
      </c>
      <c r="T216" t="s">
        <v>148</v>
      </c>
      <c r="U216" s="11">
        <v>194.59</v>
      </c>
    </row>
    <row r="217" spans="3:21" ht="18.75">
      <c r="C217">
        <v>38</v>
      </c>
      <c r="D217" s="5">
        <v>45915</v>
      </c>
      <c r="E217" t="s">
        <v>139</v>
      </c>
      <c r="F217" s="11">
        <v>222.35</v>
      </c>
      <c r="H217">
        <v>49</v>
      </c>
      <c r="I217" s="5">
        <v>45992</v>
      </c>
      <c r="J217" t="s">
        <v>158</v>
      </c>
      <c r="K217" s="11">
        <v>371.68</v>
      </c>
      <c r="M217">
        <v>11</v>
      </c>
      <c r="N217" s="5">
        <v>46090</v>
      </c>
      <c r="O217" t="s">
        <v>180</v>
      </c>
      <c r="P217" s="11"/>
      <c r="R217" t="s">
        <v>215</v>
      </c>
      <c r="S217" s="5">
        <v>46054</v>
      </c>
      <c r="T217" t="s">
        <v>123</v>
      </c>
      <c r="U217" s="11">
        <v>792.18999999999903</v>
      </c>
    </row>
    <row r="218" spans="3:21" ht="18.75">
      <c r="C218">
        <v>38</v>
      </c>
      <c r="D218" s="5">
        <v>45915</v>
      </c>
      <c r="E218" t="s">
        <v>219</v>
      </c>
      <c r="F218" s="11">
        <v>368.77</v>
      </c>
      <c r="H218">
        <v>49</v>
      </c>
      <c r="I218" s="5">
        <v>45992</v>
      </c>
      <c r="J218" t="s">
        <v>169</v>
      </c>
      <c r="K218" s="11">
        <v>2367.3199999999702</v>
      </c>
      <c r="M218">
        <v>12</v>
      </c>
      <c r="N218" s="5">
        <v>46097</v>
      </c>
      <c r="O218" t="s">
        <v>185</v>
      </c>
      <c r="P218" s="11">
        <v>1213.25</v>
      </c>
      <c r="R218" t="s">
        <v>215</v>
      </c>
      <c r="S218" s="5">
        <v>46054</v>
      </c>
      <c r="T218" t="s">
        <v>124</v>
      </c>
      <c r="U218" s="11">
        <v>880.449999999998</v>
      </c>
    </row>
    <row r="219" spans="3:21" ht="18.75">
      <c r="C219">
        <v>38</v>
      </c>
      <c r="D219" s="5">
        <v>45915</v>
      </c>
      <c r="E219" t="s">
        <v>136</v>
      </c>
      <c r="F219" s="11">
        <v>99.19</v>
      </c>
      <c r="H219">
        <v>49</v>
      </c>
      <c r="I219" s="5">
        <v>45992</v>
      </c>
      <c r="J219" t="s">
        <v>164</v>
      </c>
      <c r="K219" s="11">
        <v>102</v>
      </c>
      <c r="M219">
        <v>12</v>
      </c>
      <c r="N219" s="5">
        <v>46097</v>
      </c>
      <c r="O219" t="s">
        <v>179</v>
      </c>
      <c r="P219" s="11">
        <v>3462.96</v>
      </c>
      <c r="R219" t="s">
        <v>215</v>
      </c>
      <c r="S219" s="5">
        <v>46054</v>
      </c>
      <c r="T219" t="s">
        <v>120</v>
      </c>
      <c r="U219" s="11">
        <v>301.91000000000003</v>
      </c>
    </row>
    <row r="220" spans="3:21" ht="18.75">
      <c r="C220">
        <v>38</v>
      </c>
      <c r="D220" s="5">
        <v>45915</v>
      </c>
      <c r="E220" t="s">
        <v>140</v>
      </c>
      <c r="F220" s="11">
        <v>81.260000000000005</v>
      </c>
      <c r="H220">
        <v>49</v>
      </c>
      <c r="I220" s="5">
        <v>45992</v>
      </c>
      <c r="J220" t="s">
        <v>160</v>
      </c>
      <c r="K220" s="11">
        <v>4478.4799999999796</v>
      </c>
      <c r="M220">
        <v>12</v>
      </c>
      <c r="N220" s="5">
        <v>46097</v>
      </c>
      <c r="O220" t="s">
        <v>183</v>
      </c>
      <c r="P220" s="11">
        <v>522.35000000000105</v>
      </c>
      <c r="R220" t="s">
        <v>199</v>
      </c>
      <c r="S220" s="5">
        <v>46082</v>
      </c>
      <c r="U220" s="11">
        <v>1250</v>
      </c>
    </row>
    <row r="221" spans="3:21" ht="18.75">
      <c r="C221">
        <v>38</v>
      </c>
      <c r="D221" s="5">
        <v>45915</v>
      </c>
      <c r="E221" t="s">
        <v>114</v>
      </c>
      <c r="F221" s="11">
        <v>270.33999999999997</v>
      </c>
      <c r="H221">
        <v>49</v>
      </c>
      <c r="I221" s="5">
        <v>45992</v>
      </c>
      <c r="J221" t="s">
        <v>171</v>
      </c>
      <c r="K221" s="11">
        <v>744.86</v>
      </c>
      <c r="M221">
        <v>12</v>
      </c>
      <c r="N221" s="5">
        <v>46097</v>
      </c>
      <c r="O221" t="s">
        <v>182</v>
      </c>
      <c r="P221" s="11">
        <v>2077.5600000000099</v>
      </c>
      <c r="R221" t="s">
        <v>199</v>
      </c>
      <c r="S221" s="5">
        <v>46082</v>
      </c>
      <c r="T221" t="s">
        <v>117</v>
      </c>
      <c r="U221" s="11">
        <v>734.72000000000105</v>
      </c>
    </row>
    <row r="222" spans="3:21" ht="18.75">
      <c r="C222">
        <v>38</v>
      </c>
      <c r="D222" s="5">
        <v>45915</v>
      </c>
      <c r="E222" t="s">
        <v>119</v>
      </c>
      <c r="F222" s="11">
        <v>437.85</v>
      </c>
      <c r="H222">
        <v>49</v>
      </c>
      <c r="I222" s="5">
        <v>45992</v>
      </c>
      <c r="J222" t="s">
        <v>198</v>
      </c>
      <c r="K222" s="11">
        <v>1172.44</v>
      </c>
      <c r="M222">
        <v>12</v>
      </c>
      <c r="N222" s="5">
        <v>46097</v>
      </c>
      <c r="O222" t="s">
        <v>184</v>
      </c>
      <c r="P222" s="11">
        <v>648.91999999999905</v>
      </c>
      <c r="R222" t="s">
        <v>199</v>
      </c>
      <c r="S222" s="5">
        <v>46082</v>
      </c>
      <c r="T222" t="s">
        <v>112</v>
      </c>
      <c r="U222" s="11">
        <v>369.48</v>
      </c>
    </row>
    <row r="223" spans="3:21" ht="18.75">
      <c r="C223">
        <v>38</v>
      </c>
      <c r="D223" s="5">
        <v>45915</v>
      </c>
      <c r="E223" t="s">
        <v>149</v>
      </c>
      <c r="F223" s="11">
        <v>144.22999999999999</v>
      </c>
      <c r="H223">
        <v>49</v>
      </c>
      <c r="I223" s="5">
        <v>45992</v>
      </c>
      <c r="J223" t="s">
        <v>168</v>
      </c>
      <c r="K223" s="11">
        <v>410.45999999999901</v>
      </c>
      <c r="M223">
        <v>12</v>
      </c>
      <c r="N223" s="5">
        <v>46097</v>
      </c>
      <c r="O223" t="s">
        <v>181</v>
      </c>
      <c r="P223" s="11">
        <v>1747.3699999999899</v>
      </c>
      <c r="R223" t="s">
        <v>199</v>
      </c>
      <c r="S223" s="5">
        <v>46082</v>
      </c>
      <c r="T223" t="s">
        <v>111</v>
      </c>
      <c r="U223" s="11">
        <v>966.6</v>
      </c>
    </row>
    <row r="224" spans="3:21" ht="18.75">
      <c r="C224">
        <v>38</v>
      </c>
      <c r="D224" s="5">
        <v>45915</v>
      </c>
      <c r="E224" t="s">
        <v>125</v>
      </c>
      <c r="F224" s="11">
        <v>57.41</v>
      </c>
      <c r="H224">
        <v>49</v>
      </c>
      <c r="I224" s="5">
        <v>45992</v>
      </c>
      <c r="J224" t="s">
        <v>173</v>
      </c>
      <c r="K224" s="11">
        <v>792.349999999999</v>
      </c>
      <c r="M224">
        <v>12</v>
      </c>
      <c r="N224" s="5">
        <v>46097</v>
      </c>
      <c r="O224" t="s">
        <v>180</v>
      </c>
      <c r="P224" s="11">
        <v>276.8</v>
      </c>
      <c r="R224" t="s">
        <v>199</v>
      </c>
      <c r="S224" s="5">
        <v>46082</v>
      </c>
      <c r="T224" t="s">
        <v>149</v>
      </c>
      <c r="U224" s="11">
        <v>751.6</v>
      </c>
    </row>
    <row r="225" spans="3:21" ht="18.75">
      <c r="C225">
        <v>38</v>
      </c>
      <c r="D225" s="5">
        <v>45915</v>
      </c>
      <c r="E225" t="s">
        <v>116</v>
      </c>
      <c r="F225" s="11">
        <v>131.63</v>
      </c>
      <c r="H225">
        <v>49</v>
      </c>
      <c r="I225" s="5">
        <v>45992</v>
      </c>
      <c r="J225" t="s">
        <v>175</v>
      </c>
      <c r="K225" s="11">
        <v>348.55</v>
      </c>
      <c r="M225">
        <v>12</v>
      </c>
      <c r="N225" s="5">
        <v>46097</v>
      </c>
      <c r="O225" t="s">
        <v>178</v>
      </c>
      <c r="P225" s="11">
        <v>2486</v>
      </c>
      <c r="R225" t="s">
        <v>199</v>
      </c>
      <c r="S225" s="5">
        <v>46082</v>
      </c>
      <c r="T225" t="s">
        <v>147</v>
      </c>
      <c r="U225" s="11">
        <v>1442.85</v>
      </c>
    </row>
    <row r="226" spans="3:21" ht="18.75">
      <c r="C226">
        <v>38</v>
      </c>
      <c r="D226" s="5">
        <v>45915</v>
      </c>
      <c r="E226" t="s">
        <v>121</v>
      </c>
      <c r="F226" s="11">
        <v>74.28</v>
      </c>
      <c r="H226">
        <v>49</v>
      </c>
      <c r="I226" s="5">
        <v>45992</v>
      </c>
      <c r="J226" t="s">
        <v>165</v>
      </c>
      <c r="K226" s="11">
        <v>287.60000000000002</v>
      </c>
      <c r="M226">
        <v>14</v>
      </c>
      <c r="N226" s="5">
        <v>46111</v>
      </c>
      <c r="O226" t="s">
        <v>179</v>
      </c>
      <c r="P226" s="11">
        <v>3637.26999999999</v>
      </c>
      <c r="R226" t="s">
        <v>199</v>
      </c>
      <c r="S226" s="5">
        <v>46082</v>
      </c>
      <c r="T226" t="s">
        <v>114</v>
      </c>
      <c r="U226" s="11">
        <v>1397.63</v>
      </c>
    </row>
    <row r="227" spans="3:21" ht="18.75">
      <c r="C227">
        <v>38</v>
      </c>
      <c r="D227" s="5">
        <v>45915</v>
      </c>
      <c r="E227" t="s">
        <v>135</v>
      </c>
      <c r="F227" s="11">
        <v>75.849999999999994</v>
      </c>
      <c r="H227">
        <v>49</v>
      </c>
      <c r="I227" s="5">
        <v>45992</v>
      </c>
      <c r="J227" t="s">
        <v>176</v>
      </c>
      <c r="K227" s="11">
        <v>53.68</v>
      </c>
      <c r="M227">
        <v>14</v>
      </c>
      <c r="N227" s="5">
        <v>46111</v>
      </c>
      <c r="O227" t="s">
        <v>184</v>
      </c>
      <c r="P227" s="11">
        <v>596.47999999999695</v>
      </c>
      <c r="R227" t="s">
        <v>199</v>
      </c>
      <c r="S227" s="5">
        <v>46082</v>
      </c>
      <c r="T227" t="s">
        <v>151</v>
      </c>
      <c r="U227" s="11">
        <v>3219.26999999997</v>
      </c>
    </row>
    <row r="228" spans="3:21" ht="18.75">
      <c r="C228">
        <v>38</v>
      </c>
      <c r="D228" s="5">
        <v>45915</v>
      </c>
      <c r="E228" t="s">
        <v>123</v>
      </c>
      <c r="F228" s="11">
        <v>367.99</v>
      </c>
      <c r="H228">
        <v>49</v>
      </c>
      <c r="I228" s="5">
        <v>45992</v>
      </c>
      <c r="J228" t="s">
        <v>170</v>
      </c>
      <c r="K228" s="11">
        <v>10</v>
      </c>
      <c r="M228">
        <v>14</v>
      </c>
      <c r="N228" s="5">
        <v>46111</v>
      </c>
      <c r="O228" t="s">
        <v>178</v>
      </c>
      <c r="P228" s="11">
        <v>2824.1299999999901</v>
      </c>
      <c r="R228" t="s">
        <v>199</v>
      </c>
      <c r="S228" s="5">
        <v>46082</v>
      </c>
      <c r="T228" t="s">
        <v>146</v>
      </c>
      <c r="U228" s="11">
        <v>2806.3099999999899</v>
      </c>
    </row>
    <row r="229" spans="3:21" ht="18.75">
      <c r="C229">
        <v>38</v>
      </c>
      <c r="D229" s="5">
        <v>45915</v>
      </c>
      <c r="E229" t="s">
        <v>138</v>
      </c>
      <c r="F229" s="11">
        <v>575.16000000000099</v>
      </c>
      <c r="H229">
        <v>49</v>
      </c>
      <c r="I229" s="5">
        <v>45992</v>
      </c>
      <c r="J229" t="s">
        <v>172</v>
      </c>
      <c r="K229" s="11">
        <v>71.64</v>
      </c>
      <c r="M229">
        <v>14</v>
      </c>
      <c r="N229" s="5">
        <v>46111</v>
      </c>
      <c r="O229" t="s">
        <v>182</v>
      </c>
      <c r="P229" s="11">
        <v>2151.9100000000099</v>
      </c>
      <c r="R229" t="s">
        <v>199</v>
      </c>
      <c r="S229" s="5">
        <v>46082</v>
      </c>
      <c r="T229" t="s">
        <v>129</v>
      </c>
      <c r="U229" s="11">
        <v>1808.77</v>
      </c>
    </row>
    <row r="230" spans="3:21" ht="18.75">
      <c r="C230">
        <v>38</v>
      </c>
      <c r="D230" s="5">
        <v>45915</v>
      </c>
      <c r="E230" t="s">
        <v>124</v>
      </c>
      <c r="F230" s="11">
        <v>375.75</v>
      </c>
      <c r="H230">
        <v>50</v>
      </c>
      <c r="I230" s="5">
        <v>45999</v>
      </c>
      <c r="J230" t="s">
        <v>160</v>
      </c>
      <c r="K230" s="11">
        <v>4559.5300000000097</v>
      </c>
      <c r="M230">
        <v>14</v>
      </c>
      <c r="N230" s="5">
        <v>46111</v>
      </c>
      <c r="O230" t="s">
        <v>181</v>
      </c>
      <c r="P230" s="11">
        <v>1829.88</v>
      </c>
      <c r="R230" t="s">
        <v>199</v>
      </c>
      <c r="S230" s="5">
        <v>46082</v>
      </c>
      <c r="T230" t="s">
        <v>141</v>
      </c>
      <c r="U230" s="11">
        <v>2561.9299999999898</v>
      </c>
    </row>
    <row r="231" spans="3:21" ht="18.75">
      <c r="C231">
        <v>38</v>
      </c>
      <c r="D231" s="5">
        <v>45915</v>
      </c>
      <c r="E231" t="s">
        <v>111</v>
      </c>
      <c r="F231" s="11">
        <v>297.51</v>
      </c>
      <c r="H231">
        <v>50</v>
      </c>
      <c r="I231" s="5">
        <v>45999</v>
      </c>
      <c r="J231" t="s">
        <v>169</v>
      </c>
      <c r="K231" s="11">
        <v>1987.3399999999799</v>
      </c>
      <c r="M231">
        <v>14</v>
      </c>
      <c r="N231" s="5">
        <v>46111</v>
      </c>
      <c r="O231" t="s">
        <v>183</v>
      </c>
      <c r="P231" s="11">
        <v>607.82000000000005</v>
      </c>
      <c r="R231" t="s">
        <v>199</v>
      </c>
      <c r="S231" s="5">
        <v>46082</v>
      </c>
      <c r="T231" t="s">
        <v>139</v>
      </c>
      <c r="U231" s="11">
        <v>894.23000000000104</v>
      </c>
    </row>
    <row r="232" spans="3:21" ht="18.75">
      <c r="C232">
        <v>38</v>
      </c>
      <c r="D232" s="5">
        <v>45915</v>
      </c>
      <c r="E232" t="s">
        <v>137</v>
      </c>
      <c r="F232" s="11">
        <v>87.76</v>
      </c>
      <c r="H232">
        <v>50</v>
      </c>
      <c r="I232" s="5">
        <v>45999</v>
      </c>
      <c r="J232" t="s">
        <v>198</v>
      </c>
      <c r="K232" s="11">
        <v>1956.36</v>
      </c>
      <c r="M232">
        <v>14</v>
      </c>
      <c r="N232" s="5">
        <v>46111</v>
      </c>
      <c r="O232" t="s">
        <v>185</v>
      </c>
      <c r="P232" s="11">
        <v>1227.75</v>
      </c>
      <c r="R232" t="s">
        <v>199</v>
      </c>
      <c r="S232" s="5">
        <v>46082</v>
      </c>
      <c r="T232" t="s">
        <v>134</v>
      </c>
      <c r="U232" s="11">
        <v>1428.42</v>
      </c>
    </row>
    <row r="233" spans="3:21" ht="18.75">
      <c r="C233">
        <v>38</v>
      </c>
      <c r="D233" s="5">
        <v>45915</v>
      </c>
      <c r="E233" t="s">
        <v>132</v>
      </c>
      <c r="F233" s="11">
        <v>200.41</v>
      </c>
      <c r="H233">
        <v>50</v>
      </c>
      <c r="I233" s="5">
        <v>45999</v>
      </c>
      <c r="J233" t="s">
        <v>168</v>
      </c>
      <c r="K233" s="11">
        <v>418.789999999999</v>
      </c>
      <c r="M233">
        <v>14</v>
      </c>
      <c r="N233" s="5">
        <v>46111</v>
      </c>
      <c r="O233" t="s">
        <v>180</v>
      </c>
      <c r="P233" s="11">
        <v>22.5</v>
      </c>
      <c r="R233" t="s">
        <v>199</v>
      </c>
      <c r="S233" s="5">
        <v>46082</v>
      </c>
      <c r="T233" t="s">
        <v>133</v>
      </c>
      <c r="U233" s="11">
        <v>887.97000000000105</v>
      </c>
    </row>
    <row r="234" spans="3:21" ht="18.75">
      <c r="C234">
        <v>38</v>
      </c>
      <c r="D234" s="5">
        <v>45915</v>
      </c>
      <c r="E234" t="s">
        <v>122</v>
      </c>
      <c r="F234" s="11">
        <v>210.48</v>
      </c>
      <c r="H234">
        <v>50</v>
      </c>
      <c r="I234" s="5">
        <v>45999</v>
      </c>
      <c r="J234" t="s">
        <v>171</v>
      </c>
      <c r="K234" s="11">
        <v>476.79999999999899</v>
      </c>
      <c r="M234">
        <v>13</v>
      </c>
      <c r="N234" s="5">
        <v>46104</v>
      </c>
      <c r="O234" t="s">
        <v>179</v>
      </c>
      <c r="P234" s="11">
        <v>3419.8499999999699</v>
      </c>
      <c r="R234" t="s">
        <v>199</v>
      </c>
      <c r="S234" s="5">
        <v>46082</v>
      </c>
      <c r="T234" t="s">
        <v>128</v>
      </c>
      <c r="U234" s="11">
        <v>840.71000000000095</v>
      </c>
    </row>
    <row r="235" spans="3:21" ht="18.75">
      <c r="C235">
        <v>38</v>
      </c>
      <c r="D235" s="5">
        <v>45915</v>
      </c>
      <c r="E235" t="s">
        <v>133</v>
      </c>
      <c r="F235" s="11">
        <v>396.29</v>
      </c>
      <c r="H235">
        <v>50</v>
      </c>
      <c r="I235" s="5">
        <v>45999</v>
      </c>
      <c r="J235" t="s">
        <v>176</v>
      </c>
      <c r="K235" s="11">
        <v>170.04</v>
      </c>
      <c r="M235">
        <v>13</v>
      </c>
      <c r="N235" s="5">
        <v>46104</v>
      </c>
      <c r="O235" t="s">
        <v>182</v>
      </c>
      <c r="P235" s="11">
        <v>2211.3000000000102</v>
      </c>
      <c r="R235" t="s">
        <v>199</v>
      </c>
      <c r="S235" s="5">
        <v>46082</v>
      </c>
      <c r="T235" t="s">
        <v>138</v>
      </c>
      <c r="U235" s="11">
        <v>1931.99</v>
      </c>
    </row>
    <row r="236" spans="3:21" ht="18.75">
      <c r="C236">
        <v>38</v>
      </c>
      <c r="D236" s="5">
        <v>45915</v>
      </c>
      <c r="E236" t="s">
        <v>150</v>
      </c>
      <c r="F236" s="11">
        <v>67.7</v>
      </c>
      <c r="H236">
        <v>50</v>
      </c>
      <c r="I236" s="5">
        <v>45999</v>
      </c>
      <c r="J236" t="s">
        <v>158</v>
      </c>
      <c r="K236" s="11">
        <v>585.79999999999995</v>
      </c>
      <c r="M236">
        <v>13</v>
      </c>
      <c r="N236" s="5">
        <v>46104</v>
      </c>
      <c r="O236" t="s">
        <v>184</v>
      </c>
      <c r="P236" s="11">
        <v>561.67999999999904</v>
      </c>
      <c r="R236" t="s">
        <v>199</v>
      </c>
      <c r="S236" s="5">
        <v>46082</v>
      </c>
      <c r="T236" t="s">
        <v>119</v>
      </c>
      <c r="U236" s="11">
        <v>1920.43</v>
      </c>
    </row>
    <row r="237" spans="3:21" ht="18.75">
      <c r="C237">
        <v>38</v>
      </c>
      <c r="D237" s="5">
        <v>45915</v>
      </c>
      <c r="E237" t="s">
        <v>141</v>
      </c>
      <c r="F237" s="11">
        <v>558.45000000000095</v>
      </c>
      <c r="H237">
        <v>50</v>
      </c>
      <c r="I237" s="5">
        <v>45999</v>
      </c>
      <c r="J237" t="s">
        <v>163</v>
      </c>
      <c r="K237" s="11">
        <v>330.24000000000098</v>
      </c>
      <c r="M237">
        <v>13</v>
      </c>
      <c r="N237" s="5">
        <v>46104</v>
      </c>
      <c r="O237" t="s">
        <v>183</v>
      </c>
      <c r="P237" s="11">
        <v>538.32000000000198</v>
      </c>
      <c r="R237" t="s">
        <v>199</v>
      </c>
      <c r="S237" s="5">
        <v>46082</v>
      </c>
      <c r="T237" t="s">
        <v>143</v>
      </c>
      <c r="U237" s="11">
        <v>6905.9899999998597</v>
      </c>
    </row>
    <row r="238" spans="3:21" ht="18.75">
      <c r="C238">
        <v>38</v>
      </c>
      <c r="D238" s="5">
        <v>45915</v>
      </c>
      <c r="E238" t="s">
        <v>142</v>
      </c>
      <c r="F238" s="11">
        <v>107.35</v>
      </c>
      <c r="H238">
        <v>50</v>
      </c>
      <c r="I238" s="5">
        <v>45999</v>
      </c>
      <c r="J238" t="s">
        <v>173</v>
      </c>
      <c r="K238" s="11">
        <v>730.94999999999902</v>
      </c>
      <c r="M238">
        <v>13</v>
      </c>
      <c r="N238" s="5">
        <v>46104</v>
      </c>
      <c r="O238" t="s">
        <v>185</v>
      </c>
      <c r="P238" s="11">
        <v>925.39999999999895</v>
      </c>
      <c r="R238" t="s">
        <v>199</v>
      </c>
      <c r="S238" s="5">
        <v>46082</v>
      </c>
      <c r="T238" t="s">
        <v>137</v>
      </c>
      <c r="U238" s="11">
        <v>375.39</v>
      </c>
    </row>
    <row r="239" spans="3:21" ht="18.75">
      <c r="C239">
        <v>38</v>
      </c>
      <c r="D239" s="5">
        <v>45915</v>
      </c>
      <c r="E239" t="s">
        <v>134</v>
      </c>
      <c r="F239" s="11">
        <v>370.48</v>
      </c>
      <c r="H239">
        <v>50</v>
      </c>
      <c r="I239" s="5">
        <v>45999</v>
      </c>
      <c r="J239" t="s">
        <v>165</v>
      </c>
      <c r="K239" s="11">
        <v>412.7</v>
      </c>
      <c r="M239">
        <v>13</v>
      </c>
      <c r="N239" s="5">
        <v>46104</v>
      </c>
      <c r="O239" t="s">
        <v>181</v>
      </c>
      <c r="P239" s="11">
        <v>1574.78</v>
      </c>
      <c r="R239" t="s">
        <v>199</v>
      </c>
      <c r="S239" s="5">
        <v>46082</v>
      </c>
      <c r="T239" t="s">
        <v>122</v>
      </c>
      <c r="U239" s="11">
        <v>1376.65</v>
      </c>
    </row>
    <row r="240" spans="3:21" ht="18.75">
      <c r="C240">
        <v>38</v>
      </c>
      <c r="D240" s="5">
        <v>45915</v>
      </c>
      <c r="E240" t="s">
        <v>128</v>
      </c>
      <c r="F240" s="11">
        <v>166.12</v>
      </c>
      <c r="H240">
        <v>50</v>
      </c>
      <c r="I240" s="5">
        <v>45999</v>
      </c>
      <c r="J240" t="s">
        <v>175</v>
      </c>
      <c r="K240" s="11">
        <v>330.75</v>
      </c>
      <c r="M240">
        <v>13</v>
      </c>
      <c r="N240" s="5">
        <v>46104</v>
      </c>
      <c r="O240" t="s">
        <v>178</v>
      </c>
      <c r="P240" s="11">
        <v>2447.4</v>
      </c>
      <c r="R240" t="s">
        <v>199</v>
      </c>
      <c r="S240" s="5">
        <v>46082</v>
      </c>
      <c r="T240" t="s">
        <v>130</v>
      </c>
      <c r="U240" s="11">
        <v>1180.6300000000001</v>
      </c>
    </row>
    <row r="241" spans="3:21" ht="18.75">
      <c r="C241">
        <v>38</v>
      </c>
      <c r="D241" s="5">
        <v>45915</v>
      </c>
      <c r="E241" t="s">
        <v>146</v>
      </c>
      <c r="F241" s="11">
        <v>501.39</v>
      </c>
      <c r="H241">
        <v>50</v>
      </c>
      <c r="I241" s="5">
        <v>45999</v>
      </c>
      <c r="J241" t="s">
        <v>164</v>
      </c>
      <c r="K241" s="11">
        <v>16.8</v>
      </c>
      <c r="M241">
        <v>13</v>
      </c>
      <c r="N241" s="5">
        <v>46104</v>
      </c>
      <c r="O241" t="s">
        <v>180</v>
      </c>
      <c r="P241" s="11">
        <v>244.1</v>
      </c>
      <c r="R241" t="s">
        <v>199</v>
      </c>
      <c r="S241" s="5">
        <v>46082</v>
      </c>
      <c r="T241" t="s">
        <v>136</v>
      </c>
      <c r="U241" s="11">
        <v>906.64</v>
      </c>
    </row>
    <row r="242" spans="3:21" ht="18.75">
      <c r="C242">
        <v>38</v>
      </c>
      <c r="D242" s="5">
        <v>45915</v>
      </c>
      <c r="E242" t="s">
        <v>145</v>
      </c>
      <c r="F242" s="11">
        <v>418.96</v>
      </c>
      <c r="H242">
        <v>50</v>
      </c>
      <c r="I242" s="5">
        <v>45999</v>
      </c>
      <c r="J242" t="s">
        <v>170</v>
      </c>
      <c r="K242" s="11">
        <v>8</v>
      </c>
      <c r="M242">
        <v>16</v>
      </c>
      <c r="N242" s="5">
        <v>46125</v>
      </c>
      <c r="O242" t="s">
        <v>184</v>
      </c>
      <c r="P242" s="11">
        <v>586.66999999999803</v>
      </c>
      <c r="R242" t="s">
        <v>199</v>
      </c>
      <c r="S242" s="5">
        <v>46082</v>
      </c>
      <c r="T242" t="s">
        <v>121</v>
      </c>
      <c r="U242" s="11">
        <v>771.31999999999903</v>
      </c>
    </row>
    <row r="243" spans="3:21" ht="18.75">
      <c r="C243">
        <v>38</v>
      </c>
      <c r="D243" s="5">
        <v>45915</v>
      </c>
      <c r="E243" t="s">
        <v>127</v>
      </c>
      <c r="F243" s="11">
        <v>284.86</v>
      </c>
      <c r="H243">
        <v>50</v>
      </c>
      <c r="I243" s="5">
        <v>45999</v>
      </c>
      <c r="J243" t="s">
        <v>172</v>
      </c>
      <c r="K243" s="11">
        <v>75.62</v>
      </c>
      <c r="M243">
        <v>16</v>
      </c>
      <c r="N243" s="5">
        <v>46125</v>
      </c>
      <c r="O243" t="s">
        <v>182</v>
      </c>
      <c r="P243" s="11">
        <v>1937.23000000002</v>
      </c>
      <c r="R243" t="s">
        <v>199</v>
      </c>
      <c r="S243" s="5">
        <v>46082</v>
      </c>
      <c r="T243" t="s">
        <v>145</v>
      </c>
      <c r="U243" s="11">
        <v>978.51000000000101</v>
      </c>
    </row>
    <row r="244" spans="3:21" ht="18.75">
      <c r="C244">
        <v>38</v>
      </c>
      <c r="D244" s="5">
        <v>45915</v>
      </c>
      <c r="E244" t="s">
        <v>126</v>
      </c>
      <c r="F244" s="11">
        <v>64.3</v>
      </c>
      <c r="H244">
        <v>51</v>
      </c>
      <c r="I244" s="5">
        <v>46006</v>
      </c>
      <c r="J244" t="s">
        <v>163</v>
      </c>
      <c r="K244" s="11">
        <v>288.94</v>
      </c>
      <c r="M244">
        <v>16</v>
      </c>
      <c r="N244" s="5">
        <v>46125</v>
      </c>
      <c r="O244" t="s">
        <v>183</v>
      </c>
      <c r="P244" s="11">
        <v>441.30000000000098</v>
      </c>
      <c r="R244" t="s">
        <v>199</v>
      </c>
      <c r="S244" s="5">
        <v>46082</v>
      </c>
      <c r="T244" t="s">
        <v>140</v>
      </c>
      <c r="U244" s="11">
        <v>347.45</v>
      </c>
    </row>
    <row r="245" spans="3:21" ht="18.75">
      <c r="C245">
        <v>38</v>
      </c>
      <c r="D245" s="5">
        <v>45915</v>
      </c>
      <c r="E245" t="s">
        <v>113</v>
      </c>
      <c r="F245" s="11">
        <v>129.36000000000001</v>
      </c>
      <c r="H245">
        <v>51</v>
      </c>
      <c r="I245" s="5">
        <v>46006</v>
      </c>
      <c r="J245" t="s">
        <v>160</v>
      </c>
      <c r="K245" s="11">
        <v>4268.1899999999596</v>
      </c>
      <c r="M245">
        <v>16</v>
      </c>
      <c r="N245" s="5">
        <v>46125</v>
      </c>
      <c r="O245" t="s">
        <v>179</v>
      </c>
      <c r="P245" s="11">
        <v>3153.7199999999898</v>
      </c>
      <c r="R245" t="s">
        <v>199</v>
      </c>
      <c r="S245" s="5">
        <v>46082</v>
      </c>
      <c r="T245" t="s">
        <v>150</v>
      </c>
      <c r="U245" s="11">
        <v>408.29</v>
      </c>
    </row>
    <row r="246" spans="3:21" ht="18.75">
      <c r="C246">
        <v>37</v>
      </c>
      <c r="D246" s="5">
        <v>45908</v>
      </c>
      <c r="E246" t="s">
        <v>150</v>
      </c>
      <c r="F246" s="11">
        <v>124.94</v>
      </c>
      <c r="H246">
        <v>51</v>
      </c>
      <c r="I246" s="5">
        <v>46006</v>
      </c>
      <c r="J246" t="s">
        <v>158</v>
      </c>
      <c r="K246" s="11">
        <v>509.04000000000099</v>
      </c>
      <c r="M246">
        <v>16</v>
      </c>
      <c r="N246" s="5">
        <v>46125</v>
      </c>
      <c r="O246" t="s">
        <v>181</v>
      </c>
      <c r="P246" s="11">
        <v>1679.6</v>
      </c>
      <c r="R246" t="s">
        <v>199</v>
      </c>
      <c r="S246" s="5">
        <v>46082</v>
      </c>
      <c r="T246" t="s">
        <v>135</v>
      </c>
      <c r="U246" s="11">
        <v>359.05</v>
      </c>
    </row>
    <row r="247" spans="3:21" ht="18.75">
      <c r="C247">
        <v>37</v>
      </c>
      <c r="D247" s="5">
        <v>45908</v>
      </c>
      <c r="E247" t="s">
        <v>117</v>
      </c>
      <c r="F247" s="11">
        <v>284.01</v>
      </c>
      <c r="H247">
        <v>51</v>
      </c>
      <c r="I247" s="5">
        <v>46006</v>
      </c>
      <c r="J247" t="s">
        <v>171</v>
      </c>
      <c r="K247" s="11">
        <v>789.07999999999902</v>
      </c>
      <c r="M247">
        <v>16</v>
      </c>
      <c r="N247" s="5">
        <v>46125</v>
      </c>
      <c r="O247" t="s">
        <v>178</v>
      </c>
      <c r="P247" s="11">
        <v>2092.1200000000099</v>
      </c>
      <c r="R247" t="s">
        <v>199</v>
      </c>
      <c r="S247" s="5">
        <v>46082</v>
      </c>
      <c r="T247" t="s">
        <v>148</v>
      </c>
      <c r="U247" s="11">
        <v>550.80999999999995</v>
      </c>
    </row>
    <row r="248" spans="3:21" ht="18.75">
      <c r="C248">
        <v>37</v>
      </c>
      <c r="D248" s="5">
        <v>45908</v>
      </c>
      <c r="E248" t="s">
        <v>136</v>
      </c>
      <c r="F248" s="11">
        <v>91.77</v>
      </c>
      <c r="H248">
        <v>51</v>
      </c>
      <c r="I248" s="5">
        <v>46006</v>
      </c>
      <c r="J248" t="s">
        <v>169</v>
      </c>
      <c r="K248" s="11">
        <v>1871.47999999999</v>
      </c>
      <c r="M248">
        <v>16</v>
      </c>
      <c r="N248" s="5">
        <v>46125</v>
      </c>
      <c r="O248" t="s">
        <v>185</v>
      </c>
      <c r="P248" s="11">
        <v>820.79999999999905</v>
      </c>
      <c r="R248" t="s">
        <v>199</v>
      </c>
      <c r="S248" s="5">
        <v>46082</v>
      </c>
      <c r="T248" t="s">
        <v>142</v>
      </c>
      <c r="U248" s="11">
        <v>959.57000000000096</v>
      </c>
    </row>
    <row r="249" spans="3:21" ht="18.75">
      <c r="C249">
        <v>37</v>
      </c>
      <c r="D249" s="5">
        <v>45908</v>
      </c>
      <c r="E249" t="s">
        <v>139</v>
      </c>
      <c r="F249" s="11">
        <v>244.79</v>
      </c>
      <c r="H249">
        <v>51</v>
      </c>
      <c r="I249" s="5">
        <v>46006</v>
      </c>
      <c r="J249" t="s">
        <v>173</v>
      </c>
      <c r="K249" s="11">
        <v>791.79999999999905</v>
      </c>
      <c r="M249">
        <v>16</v>
      </c>
      <c r="N249" s="5">
        <v>46125</v>
      </c>
      <c r="O249" t="s">
        <v>180</v>
      </c>
      <c r="P249" s="11">
        <v>158.69999999999999</v>
      </c>
      <c r="R249" t="s">
        <v>199</v>
      </c>
      <c r="S249" s="5">
        <v>46082</v>
      </c>
      <c r="T249" t="s">
        <v>116</v>
      </c>
      <c r="U249" s="11">
        <v>492.06</v>
      </c>
    </row>
    <row r="250" spans="3:21" ht="18.75">
      <c r="C250">
        <v>37</v>
      </c>
      <c r="D250" s="5">
        <v>45908</v>
      </c>
      <c r="E250" t="s">
        <v>129</v>
      </c>
      <c r="F250" s="11">
        <v>441.4</v>
      </c>
      <c r="H250">
        <v>51</v>
      </c>
      <c r="I250" s="5">
        <v>46006</v>
      </c>
      <c r="J250" t="s">
        <v>198</v>
      </c>
      <c r="K250" s="11">
        <v>333.2</v>
      </c>
      <c r="M250">
        <v>16</v>
      </c>
      <c r="N250" s="5">
        <v>46125</v>
      </c>
      <c r="O250" t="s">
        <v>202</v>
      </c>
      <c r="P250" s="11">
        <v>483.06000000000103</v>
      </c>
      <c r="R250" t="s">
        <v>199</v>
      </c>
      <c r="S250" s="5">
        <v>46082</v>
      </c>
      <c r="T250" t="s">
        <v>125</v>
      </c>
      <c r="U250" s="11">
        <v>337.79</v>
      </c>
    </row>
    <row r="251" spans="3:21" ht="18.75">
      <c r="C251">
        <v>37</v>
      </c>
      <c r="D251" s="5">
        <v>45908</v>
      </c>
      <c r="E251" t="s">
        <v>114</v>
      </c>
      <c r="F251" s="11">
        <v>259.41000000000003</v>
      </c>
      <c r="H251">
        <v>51</v>
      </c>
      <c r="I251" s="5">
        <v>46006</v>
      </c>
      <c r="J251" t="s">
        <v>165</v>
      </c>
      <c r="K251" s="11">
        <v>327.39999999999998</v>
      </c>
      <c r="M251">
        <v>15</v>
      </c>
      <c r="N251" s="5">
        <v>46118</v>
      </c>
      <c r="O251" t="s">
        <v>182</v>
      </c>
      <c r="P251" s="11">
        <v>1462.50000000001</v>
      </c>
      <c r="R251" t="s">
        <v>199</v>
      </c>
      <c r="S251" s="5">
        <v>46082</v>
      </c>
      <c r="T251" t="s">
        <v>118</v>
      </c>
      <c r="U251" s="11">
        <v>726.82999999999902</v>
      </c>
    </row>
    <row r="252" spans="3:21" ht="18.75">
      <c r="C252">
        <v>37</v>
      </c>
      <c r="D252" s="5">
        <v>45908</v>
      </c>
      <c r="E252" t="s">
        <v>118</v>
      </c>
      <c r="F252" s="11">
        <v>240.46</v>
      </c>
      <c r="H252">
        <v>51</v>
      </c>
      <c r="I252" s="5">
        <v>46006</v>
      </c>
      <c r="J252" t="s">
        <v>174</v>
      </c>
      <c r="K252" s="11">
        <v>404.20000000000101</v>
      </c>
      <c r="M252">
        <v>15</v>
      </c>
      <c r="N252" s="5">
        <v>46118</v>
      </c>
      <c r="O252" t="s">
        <v>179</v>
      </c>
      <c r="P252" s="11">
        <v>2658.99</v>
      </c>
      <c r="R252" t="s">
        <v>199</v>
      </c>
      <c r="S252" s="5">
        <v>46082</v>
      </c>
      <c r="T252" t="s">
        <v>132</v>
      </c>
      <c r="U252" s="11">
        <v>924.36000000000104</v>
      </c>
    </row>
    <row r="253" spans="3:21" ht="18.75">
      <c r="C253">
        <v>37</v>
      </c>
      <c r="D253" s="5">
        <v>45908</v>
      </c>
      <c r="E253" t="s">
        <v>116</v>
      </c>
      <c r="F253" s="11">
        <v>158.08000000000001</v>
      </c>
      <c r="H253">
        <v>51</v>
      </c>
      <c r="I253" s="5">
        <v>46006</v>
      </c>
      <c r="J253" t="s">
        <v>170</v>
      </c>
      <c r="K253" s="11">
        <v>104</v>
      </c>
      <c r="M253">
        <v>15</v>
      </c>
      <c r="N253" s="5">
        <v>46118</v>
      </c>
      <c r="O253" t="s">
        <v>184</v>
      </c>
      <c r="P253" s="11">
        <v>464.409999999999</v>
      </c>
      <c r="R253" t="s">
        <v>199</v>
      </c>
      <c r="S253" s="5">
        <v>46082</v>
      </c>
      <c r="T253" t="s">
        <v>123</v>
      </c>
      <c r="U253" s="11">
        <v>1319.24</v>
      </c>
    </row>
    <row r="254" spans="3:21" ht="18.75">
      <c r="C254">
        <v>37</v>
      </c>
      <c r="D254" s="5">
        <v>45908</v>
      </c>
      <c r="E254" t="s">
        <v>219</v>
      </c>
      <c r="F254" s="11">
        <v>388.36</v>
      </c>
      <c r="H254">
        <v>51</v>
      </c>
      <c r="I254" s="5">
        <v>46006</v>
      </c>
      <c r="J254" t="s">
        <v>168</v>
      </c>
      <c r="K254" s="11">
        <v>352.89</v>
      </c>
      <c r="M254">
        <v>15</v>
      </c>
      <c r="N254" s="5">
        <v>46118</v>
      </c>
      <c r="O254" t="s">
        <v>181</v>
      </c>
      <c r="P254" s="11">
        <v>1407.79</v>
      </c>
      <c r="R254" t="s">
        <v>199</v>
      </c>
      <c r="S254" s="5">
        <v>46082</v>
      </c>
      <c r="T254" t="s">
        <v>126</v>
      </c>
      <c r="U254" s="11">
        <v>874.84</v>
      </c>
    </row>
    <row r="255" spans="3:21" ht="18.75">
      <c r="C255">
        <v>37</v>
      </c>
      <c r="D255" s="5">
        <v>45908</v>
      </c>
      <c r="E255" t="s">
        <v>133</v>
      </c>
      <c r="F255" s="11">
        <v>379.18</v>
      </c>
      <c r="H255">
        <v>51</v>
      </c>
      <c r="I255" s="5">
        <v>46006</v>
      </c>
      <c r="J255" t="s">
        <v>176</v>
      </c>
      <c r="K255" s="11">
        <v>80.88</v>
      </c>
      <c r="M255">
        <v>15</v>
      </c>
      <c r="N255" s="5">
        <v>46118</v>
      </c>
      <c r="O255" t="s">
        <v>183</v>
      </c>
      <c r="P255" s="11">
        <v>449.60000000000099</v>
      </c>
      <c r="R255" t="s">
        <v>199</v>
      </c>
      <c r="S255" s="5">
        <v>46082</v>
      </c>
      <c r="T255" t="s">
        <v>127</v>
      </c>
      <c r="U255" s="11">
        <v>1362.03</v>
      </c>
    </row>
    <row r="256" spans="3:21" ht="18.75">
      <c r="C256">
        <v>37</v>
      </c>
      <c r="D256" s="5">
        <v>45908</v>
      </c>
      <c r="E256" t="s">
        <v>134</v>
      </c>
      <c r="F256" s="11">
        <v>360.08</v>
      </c>
      <c r="H256">
        <v>51</v>
      </c>
      <c r="I256" s="5">
        <v>46006</v>
      </c>
      <c r="J256" t="s">
        <v>175</v>
      </c>
      <c r="K256" s="11"/>
      <c r="M256">
        <v>15</v>
      </c>
      <c r="N256" s="5">
        <v>46118</v>
      </c>
      <c r="O256" t="s">
        <v>185</v>
      </c>
      <c r="P256" s="11">
        <v>781.94999999999902</v>
      </c>
      <c r="R256" t="s">
        <v>199</v>
      </c>
      <c r="S256" s="5">
        <v>46082</v>
      </c>
      <c r="T256" t="s">
        <v>124</v>
      </c>
      <c r="U256" s="11">
        <v>1087.5</v>
      </c>
    </row>
    <row r="257" spans="3:21" ht="18.75">
      <c r="C257">
        <v>37</v>
      </c>
      <c r="D257" s="5">
        <v>45908</v>
      </c>
      <c r="E257" t="s">
        <v>149</v>
      </c>
      <c r="F257" s="11">
        <v>167.03</v>
      </c>
      <c r="H257">
        <v>51</v>
      </c>
      <c r="I257" s="5">
        <v>46006</v>
      </c>
      <c r="J257" t="s">
        <v>164</v>
      </c>
      <c r="K257" s="11">
        <v>8.4</v>
      </c>
      <c r="M257">
        <v>15</v>
      </c>
      <c r="N257" s="5">
        <v>46118</v>
      </c>
      <c r="O257" t="s">
        <v>180</v>
      </c>
      <c r="P257" s="11">
        <v>74.599999999999994</v>
      </c>
      <c r="R257" t="s">
        <v>199</v>
      </c>
      <c r="S257" s="5">
        <v>46082</v>
      </c>
      <c r="T257" t="s">
        <v>120</v>
      </c>
      <c r="U257" s="11">
        <v>563.14</v>
      </c>
    </row>
    <row r="258" spans="3:21" ht="18.75">
      <c r="C258">
        <v>37</v>
      </c>
      <c r="D258" s="5">
        <v>45908</v>
      </c>
      <c r="E258" t="s">
        <v>128</v>
      </c>
      <c r="F258" s="11">
        <v>173.33</v>
      </c>
      <c r="H258">
        <v>51</v>
      </c>
      <c r="I258" s="5">
        <v>46006</v>
      </c>
      <c r="J258" t="s">
        <v>172</v>
      </c>
      <c r="K258" s="11">
        <v>87.56</v>
      </c>
      <c r="M258">
        <v>15</v>
      </c>
      <c r="N258" s="5">
        <v>46118</v>
      </c>
      <c r="O258" t="s">
        <v>178</v>
      </c>
      <c r="P258" s="11">
        <v>2023.00000000001</v>
      </c>
      <c r="R258" t="s">
        <v>199</v>
      </c>
      <c r="S258" s="5">
        <v>46082</v>
      </c>
      <c r="T258" t="s">
        <v>113</v>
      </c>
      <c r="U258" s="11">
        <v>868.14000000000101</v>
      </c>
    </row>
    <row r="259" spans="3:21" ht="18.75">
      <c r="C259">
        <v>37</v>
      </c>
      <c r="D259" s="5">
        <v>45908</v>
      </c>
      <c r="E259" t="s">
        <v>132</v>
      </c>
      <c r="F259" s="11">
        <v>166.54</v>
      </c>
      <c r="H259">
        <v>52</v>
      </c>
      <c r="I259" s="5">
        <v>46013</v>
      </c>
      <c r="J259" t="s">
        <v>169</v>
      </c>
      <c r="K259" s="11">
        <v>602.54999999999905</v>
      </c>
      <c r="M259">
        <v>17</v>
      </c>
      <c r="N259" s="5">
        <v>46132</v>
      </c>
      <c r="O259" t="s">
        <v>181</v>
      </c>
      <c r="P259" s="11">
        <v>1887.0600000000099</v>
      </c>
      <c r="R259" t="s">
        <v>200</v>
      </c>
      <c r="S259" s="5">
        <v>46113</v>
      </c>
      <c r="T259" t="s">
        <v>145</v>
      </c>
      <c r="U259" s="11">
        <v>819.64000000000101</v>
      </c>
    </row>
    <row r="260" spans="3:21" ht="18.75">
      <c r="C260">
        <v>37</v>
      </c>
      <c r="D260" s="5">
        <v>45908</v>
      </c>
      <c r="E260" t="s">
        <v>119</v>
      </c>
      <c r="F260" s="11">
        <v>451.89</v>
      </c>
      <c r="H260">
        <v>52</v>
      </c>
      <c r="I260" s="5">
        <v>46013</v>
      </c>
      <c r="J260" t="s">
        <v>165</v>
      </c>
      <c r="K260" s="11">
        <v>383.5</v>
      </c>
      <c r="M260">
        <v>17</v>
      </c>
      <c r="N260" s="5">
        <v>46132</v>
      </c>
      <c r="O260" t="s">
        <v>184</v>
      </c>
      <c r="P260" s="11">
        <v>555.71999999999798</v>
      </c>
      <c r="R260" t="s">
        <v>200</v>
      </c>
      <c r="S260" s="5">
        <v>46113</v>
      </c>
      <c r="T260" t="s">
        <v>117</v>
      </c>
      <c r="U260" s="11">
        <v>961.11000000000104</v>
      </c>
    </row>
    <row r="261" spans="3:21" ht="18.75">
      <c r="C261">
        <v>37</v>
      </c>
      <c r="D261" s="5">
        <v>45908</v>
      </c>
      <c r="E261" t="s">
        <v>111</v>
      </c>
      <c r="F261" s="11">
        <v>283.74</v>
      </c>
      <c r="H261">
        <v>52</v>
      </c>
      <c r="I261" s="5">
        <v>46013</v>
      </c>
      <c r="J261" t="s">
        <v>158</v>
      </c>
      <c r="K261" s="11">
        <v>2279.3100000000099</v>
      </c>
      <c r="M261">
        <v>17</v>
      </c>
      <c r="N261" s="5">
        <v>46132</v>
      </c>
      <c r="O261" t="s">
        <v>183</v>
      </c>
      <c r="P261" s="11">
        <v>589.33000000000095</v>
      </c>
      <c r="R261" t="s">
        <v>200</v>
      </c>
      <c r="S261" s="5">
        <v>46113</v>
      </c>
      <c r="T261" t="s">
        <v>111</v>
      </c>
      <c r="U261" s="11">
        <v>671.36</v>
      </c>
    </row>
    <row r="262" spans="3:21" ht="18.75">
      <c r="C262">
        <v>37</v>
      </c>
      <c r="D262" s="5">
        <v>45908</v>
      </c>
      <c r="E262" t="s">
        <v>140</v>
      </c>
      <c r="F262" s="11">
        <v>57.06</v>
      </c>
      <c r="H262">
        <v>52</v>
      </c>
      <c r="I262" s="5">
        <v>46013</v>
      </c>
      <c r="J262" t="s">
        <v>171</v>
      </c>
      <c r="K262" s="11">
        <v>632.79999999999995</v>
      </c>
      <c r="M262">
        <v>17</v>
      </c>
      <c r="N262" s="5">
        <v>46132</v>
      </c>
      <c r="O262" t="s">
        <v>178</v>
      </c>
      <c r="P262" s="11">
        <v>2555.15</v>
      </c>
      <c r="R262" t="s">
        <v>200</v>
      </c>
      <c r="S262" s="5">
        <v>46113</v>
      </c>
      <c r="T262" t="s">
        <v>138</v>
      </c>
      <c r="U262" s="11">
        <v>1709.66</v>
      </c>
    </row>
    <row r="263" spans="3:21" ht="18.75">
      <c r="C263">
        <v>37</v>
      </c>
      <c r="D263" s="5">
        <v>45908</v>
      </c>
      <c r="E263" t="s">
        <v>138</v>
      </c>
      <c r="F263" s="11">
        <v>516.41</v>
      </c>
      <c r="H263">
        <v>52</v>
      </c>
      <c r="I263" s="5">
        <v>46013</v>
      </c>
      <c r="J263" t="s">
        <v>173</v>
      </c>
      <c r="K263" s="11">
        <v>382.45</v>
      </c>
      <c r="M263">
        <v>17</v>
      </c>
      <c r="N263" s="5">
        <v>46132</v>
      </c>
      <c r="O263" t="s">
        <v>179</v>
      </c>
      <c r="P263" s="11">
        <v>3516.95999999999</v>
      </c>
      <c r="R263" t="s">
        <v>200</v>
      </c>
      <c r="S263" s="5">
        <v>46113</v>
      </c>
      <c r="T263" t="s">
        <v>141</v>
      </c>
      <c r="U263" s="11">
        <v>2133.48</v>
      </c>
    </row>
    <row r="264" spans="3:21" ht="18.75">
      <c r="C264">
        <v>37</v>
      </c>
      <c r="D264" s="5">
        <v>45908</v>
      </c>
      <c r="E264" t="s">
        <v>122</v>
      </c>
      <c r="F264" s="11">
        <v>262.33999999999997</v>
      </c>
      <c r="H264">
        <v>52</v>
      </c>
      <c r="I264" s="5">
        <v>46013</v>
      </c>
      <c r="J264" t="s">
        <v>163</v>
      </c>
      <c r="K264" s="11">
        <v>159.96</v>
      </c>
      <c r="M264">
        <v>17</v>
      </c>
      <c r="N264" s="5">
        <v>46132</v>
      </c>
      <c r="O264" t="s">
        <v>182</v>
      </c>
      <c r="P264" s="11">
        <v>2011.25000000002</v>
      </c>
      <c r="R264" t="s">
        <v>200</v>
      </c>
      <c r="S264" s="5">
        <v>46113</v>
      </c>
      <c r="T264" t="s">
        <v>143</v>
      </c>
      <c r="U264" s="11">
        <v>7221.6299999998701</v>
      </c>
    </row>
    <row r="265" spans="3:21" ht="18.75">
      <c r="C265">
        <v>37</v>
      </c>
      <c r="D265" s="5">
        <v>45908</v>
      </c>
      <c r="E265" t="s">
        <v>135</v>
      </c>
      <c r="F265" s="11">
        <v>105.48</v>
      </c>
      <c r="H265">
        <v>52</v>
      </c>
      <c r="I265" s="5">
        <v>46013</v>
      </c>
      <c r="J265" t="s">
        <v>175</v>
      </c>
      <c r="K265" s="11">
        <v>211.5</v>
      </c>
      <c r="M265">
        <v>17</v>
      </c>
      <c r="N265" s="5">
        <v>46132</v>
      </c>
      <c r="O265" t="s">
        <v>185</v>
      </c>
      <c r="P265" s="11">
        <v>957.099999999999</v>
      </c>
      <c r="R265" t="s">
        <v>200</v>
      </c>
      <c r="S265" s="5">
        <v>46113</v>
      </c>
      <c r="T265" t="s">
        <v>133</v>
      </c>
      <c r="U265" s="11">
        <v>1338.05</v>
      </c>
    </row>
    <row r="266" spans="3:21" ht="18.75">
      <c r="C266">
        <v>37</v>
      </c>
      <c r="D266" s="5">
        <v>45908</v>
      </c>
      <c r="E266" t="s">
        <v>137</v>
      </c>
      <c r="F266" s="11">
        <v>77.540000000000006</v>
      </c>
      <c r="H266">
        <v>52</v>
      </c>
      <c r="I266" s="5">
        <v>46013</v>
      </c>
      <c r="J266" t="s">
        <v>170</v>
      </c>
      <c r="K266" s="11">
        <v>40</v>
      </c>
      <c r="M266">
        <v>17</v>
      </c>
      <c r="N266" s="5">
        <v>46132</v>
      </c>
      <c r="O266" t="s">
        <v>202</v>
      </c>
      <c r="P266" s="11">
        <v>343.75</v>
      </c>
      <c r="R266" t="s">
        <v>200</v>
      </c>
      <c r="S266" s="5">
        <v>46113</v>
      </c>
      <c r="T266" t="s">
        <v>134</v>
      </c>
      <c r="U266" s="11">
        <v>1364.61</v>
      </c>
    </row>
    <row r="267" spans="3:21" ht="18.75">
      <c r="C267">
        <v>37</v>
      </c>
      <c r="D267" s="5">
        <v>45908</v>
      </c>
      <c r="E267" t="s">
        <v>125</v>
      </c>
      <c r="F267" s="11">
        <v>70.95</v>
      </c>
      <c r="H267">
        <v>52</v>
      </c>
      <c r="I267" s="5">
        <v>46013</v>
      </c>
      <c r="J267" t="s">
        <v>168</v>
      </c>
      <c r="K267" s="11">
        <v>169.51</v>
      </c>
      <c r="M267">
        <v>17</v>
      </c>
      <c r="N267" s="5">
        <v>46132</v>
      </c>
      <c r="O267" t="s">
        <v>180</v>
      </c>
      <c r="P267" s="11">
        <v>106.8</v>
      </c>
      <c r="R267" t="s">
        <v>200</v>
      </c>
      <c r="S267" s="5">
        <v>46113</v>
      </c>
      <c r="T267" t="s">
        <v>114</v>
      </c>
      <c r="U267" s="11">
        <v>1298.8499999999999</v>
      </c>
    </row>
    <row r="268" spans="3:21" ht="18.75">
      <c r="C268">
        <v>37</v>
      </c>
      <c r="D268" s="5">
        <v>45908</v>
      </c>
      <c r="E268" t="s">
        <v>121</v>
      </c>
      <c r="F268" s="11">
        <v>87.59</v>
      </c>
      <c r="H268">
        <v>52</v>
      </c>
      <c r="I268" s="5">
        <v>46013</v>
      </c>
      <c r="J268" t="s">
        <v>176</v>
      </c>
      <c r="K268" s="11">
        <v>57.96</v>
      </c>
      <c r="M268">
        <v>18</v>
      </c>
      <c r="N268" s="5">
        <v>46139</v>
      </c>
      <c r="O268" t="s">
        <v>182</v>
      </c>
      <c r="P268" s="11">
        <v>1603.5000000000125</v>
      </c>
      <c r="R268" t="s">
        <v>200</v>
      </c>
      <c r="S268" s="5">
        <v>46113</v>
      </c>
      <c r="T268" t="s">
        <v>151</v>
      </c>
      <c r="U268" s="11">
        <v>2888.95999999999</v>
      </c>
    </row>
    <row r="269" spans="3:21" ht="18.75">
      <c r="C269">
        <v>37</v>
      </c>
      <c r="D269" s="5">
        <v>45908</v>
      </c>
      <c r="E269" t="s">
        <v>127</v>
      </c>
      <c r="F269" s="11">
        <v>317.77</v>
      </c>
      <c r="H269">
        <v>52</v>
      </c>
      <c r="I269" s="5">
        <v>46013</v>
      </c>
      <c r="J269" t="s">
        <v>172</v>
      </c>
      <c r="K269" s="11">
        <v>41.79</v>
      </c>
      <c r="M269">
        <v>18</v>
      </c>
      <c r="N269" s="5">
        <v>46139</v>
      </c>
      <c r="O269" t="s">
        <v>179</v>
      </c>
      <c r="P269" s="11">
        <v>2983.5699999999988</v>
      </c>
      <c r="R269" t="s">
        <v>200</v>
      </c>
      <c r="S269" s="5">
        <v>46113</v>
      </c>
      <c r="T269" t="s">
        <v>119</v>
      </c>
      <c r="U269" s="11">
        <v>1465.31</v>
      </c>
    </row>
    <row r="270" spans="3:21" ht="18.75">
      <c r="C270">
        <v>37</v>
      </c>
      <c r="D270" s="5">
        <v>45908</v>
      </c>
      <c r="E270" t="s">
        <v>141</v>
      </c>
      <c r="F270" s="11">
        <v>475.9</v>
      </c>
      <c r="H270">
        <v>52</v>
      </c>
      <c r="I270" s="5">
        <v>46013</v>
      </c>
      <c r="J270" t="s">
        <v>204</v>
      </c>
      <c r="K270" s="11">
        <v>1.25</v>
      </c>
      <c r="M270">
        <v>18</v>
      </c>
      <c r="N270" s="5">
        <v>46139</v>
      </c>
      <c r="O270" t="s">
        <v>181</v>
      </c>
      <c r="P270" s="11">
        <v>1582.4300000000005</v>
      </c>
      <c r="R270" t="s">
        <v>200</v>
      </c>
      <c r="S270" s="5">
        <v>46113</v>
      </c>
      <c r="T270" t="s">
        <v>129</v>
      </c>
      <c r="U270" s="11">
        <v>1689.39</v>
      </c>
    </row>
    <row r="271" spans="3:21" ht="18.75">
      <c r="C271">
        <v>37</v>
      </c>
      <c r="D271" s="5">
        <v>45908</v>
      </c>
      <c r="E271" t="s">
        <v>126</v>
      </c>
      <c r="F271" s="11">
        <v>96.67</v>
      </c>
      <c r="H271">
        <v>52</v>
      </c>
      <c r="I271" s="5">
        <v>46013</v>
      </c>
      <c r="J271" t="s">
        <v>164</v>
      </c>
      <c r="K271" s="11">
        <v>1.2</v>
      </c>
      <c r="M271">
        <v>18</v>
      </c>
      <c r="N271" s="5">
        <v>46139</v>
      </c>
      <c r="O271" t="s">
        <v>183</v>
      </c>
      <c r="P271" s="11">
        <v>861.25000000000227</v>
      </c>
      <c r="R271" t="s">
        <v>200</v>
      </c>
      <c r="S271" s="5">
        <v>46113</v>
      </c>
      <c r="T271" t="s">
        <v>146</v>
      </c>
      <c r="U271" s="11">
        <v>2455.46</v>
      </c>
    </row>
    <row r="272" spans="3:21" ht="18.75">
      <c r="C272">
        <v>37</v>
      </c>
      <c r="D272" s="5">
        <v>45908</v>
      </c>
      <c r="E272" t="s">
        <v>123</v>
      </c>
      <c r="F272" s="11">
        <v>450.9</v>
      </c>
      <c r="H272">
        <v>7</v>
      </c>
      <c r="I272" s="5">
        <v>46062</v>
      </c>
      <c r="J272" t="s">
        <v>165</v>
      </c>
      <c r="K272" s="11"/>
      <c r="M272">
        <v>18</v>
      </c>
      <c r="N272" s="5">
        <v>46139</v>
      </c>
      <c r="O272" t="s">
        <v>185</v>
      </c>
      <c r="P272" s="11">
        <v>669</v>
      </c>
      <c r="R272" t="s">
        <v>200</v>
      </c>
      <c r="S272" s="5">
        <v>46113</v>
      </c>
      <c r="T272" t="s">
        <v>130</v>
      </c>
      <c r="U272" s="11">
        <v>1597.32</v>
      </c>
    </row>
    <row r="273" spans="3:21" ht="18.75">
      <c r="C273">
        <v>37</v>
      </c>
      <c r="D273" s="5">
        <v>45908</v>
      </c>
      <c r="E273" t="s">
        <v>142</v>
      </c>
      <c r="F273" s="11">
        <v>99.37</v>
      </c>
      <c r="H273">
        <v>7</v>
      </c>
      <c r="I273" s="5">
        <v>46062</v>
      </c>
      <c r="J273" t="s">
        <v>163</v>
      </c>
      <c r="K273" s="11">
        <v>334.11000000000098</v>
      </c>
      <c r="M273">
        <v>18</v>
      </c>
      <c r="N273" s="5">
        <v>46139</v>
      </c>
      <c r="O273" t="s">
        <v>178</v>
      </c>
      <c r="P273" s="11">
        <v>1880.2000000000096</v>
      </c>
      <c r="R273" t="s">
        <v>200</v>
      </c>
      <c r="S273" s="5">
        <v>46113</v>
      </c>
      <c r="T273" t="s">
        <v>147</v>
      </c>
      <c r="U273" s="11">
        <v>1402.62</v>
      </c>
    </row>
    <row r="274" spans="3:21" ht="18.75">
      <c r="C274">
        <v>37</v>
      </c>
      <c r="D274" s="5">
        <v>45908</v>
      </c>
      <c r="E274" t="s">
        <v>124</v>
      </c>
      <c r="F274" s="11">
        <v>431.52</v>
      </c>
      <c r="H274">
        <v>7</v>
      </c>
      <c r="I274" s="5">
        <v>46062</v>
      </c>
      <c r="J274" t="s">
        <v>160</v>
      </c>
      <c r="K274" s="11">
        <v>5246.5899999999601</v>
      </c>
      <c r="M274">
        <v>18</v>
      </c>
      <c r="N274" s="5">
        <v>46139</v>
      </c>
      <c r="O274" t="s">
        <v>184</v>
      </c>
      <c r="P274" s="11">
        <v>432.10999999999819</v>
      </c>
      <c r="R274" t="s">
        <v>200</v>
      </c>
      <c r="S274" s="5">
        <v>46113</v>
      </c>
      <c r="T274" t="s">
        <v>127</v>
      </c>
      <c r="U274" s="11">
        <v>1116.68</v>
      </c>
    </row>
    <row r="275" spans="3:21" ht="18.75">
      <c r="C275">
        <v>37</v>
      </c>
      <c r="D275" s="5">
        <v>45908</v>
      </c>
      <c r="E275" t="s">
        <v>146</v>
      </c>
      <c r="F275" s="11">
        <v>596.42999999999995</v>
      </c>
      <c r="H275">
        <v>7</v>
      </c>
      <c r="I275" s="5">
        <v>46062</v>
      </c>
      <c r="J275" t="s">
        <v>174</v>
      </c>
      <c r="K275" s="11">
        <v>813.65999999999701</v>
      </c>
      <c r="M275">
        <v>18</v>
      </c>
      <c r="N275" s="5">
        <v>46139</v>
      </c>
      <c r="O275" t="s">
        <v>180</v>
      </c>
      <c r="P275" s="11">
        <v>176.84999999999997</v>
      </c>
      <c r="R275" t="s">
        <v>200</v>
      </c>
      <c r="S275" s="5">
        <v>46113</v>
      </c>
      <c r="T275" t="s">
        <v>126</v>
      </c>
      <c r="U275" s="11">
        <v>511.93999999999897</v>
      </c>
    </row>
    <row r="276" spans="3:21" ht="18.75">
      <c r="C276">
        <v>37</v>
      </c>
      <c r="D276" s="5">
        <v>45908</v>
      </c>
      <c r="E276" t="s">
        <v>113</v>
      </c>
      <c r="F276" s="11">
        <v>176.98</v>
      </c>
      <c r="H276">
        <v>7</v>
      </c>
      <c r="I276" s="5">
        <v>46062</v>
      </c>
      <c r="J276" t="s">
        <v>173</v>
      </c>
      <c r="K276" s="11">
        <v>1382.05</v>
      </c>
      <c r="M276">
        <v>18</v>
      </c>
      <c r="N276" s="5">
        <v>46139</v>
      </c>
      <c r="O276" t="s">
        <v>202</v>
      </c>
      <c r="P276" s="11">
        <v>362.39000000000027</v>
      </c>
      <c r="R276" t="s">
        <v>200</v>
      </c>
      <c r="S276" s="5">
        <v>46113</v>
      </c>
      <c r="T276" t="s">
        <v>118</v>
      </c>
      <c r="U276" s="11">
        <v>759.93</v>
      </c>
    </row>
    <row r="277" spans="3:21" ht="18.75">
      <c r="C277">
        <v>37</v>
      </c>
      <c r="D277" s="5">
        <v>45908</v>
      </c>
      <c r="E277" t="s">
        <v>145</v>
      </c>
      <c r="F277" s="11">
        <v>467.9</v>
      </c>
      <c r="H277">
        <v>7</v>
      </c>
      <c r="I277" s="5">
        <v>46062</v>
      </c>
      <c r="J277" t="s">
        <v>169</v>
      </c>
      <c r="K277" s="11">
        <v>2311.97999999997</v>
      </c>
      <c r="M277">
        <v>20</v>
      </c>
      <c r="N277" s="5">
        <v>46153</v>
      </c>
      <c r="O277" t="s">
        <v>184</v>
      </c>
      <c r="P277" s="11">
        <v>510.54999999999899</v>
      </c>
      <c r="R277" t="s">
        <v>200</v>
      </c>
      <c r="S277" s="5">
        <v>46113</v>
      </c>
      <c r="T277" t="s">
        <v>113</v>
      </c>
      <c r="U277" s="11">
        <v>864.07000000000198</v>
      </c>
    </row>
    <row r="278" spans="3:21" ht="18.75">
      <c r="C278">
        <v>36</v>
      </c>
      <c r="D278" s="5">
        <v>45901</v>
      </c>
      <c r="E278" t="s">
        <v>117</v>
      </c>
      <c r="F278" s="11">
        <v>236.28</v>
      </c>
      <c r="H278">
        <v>7</v>
      </c>
      <c r="I278" s="5">
        <v>46062</v>
      </c>
      <c r="J278" t="s">
        <v>176</v>
      </c>
      <c r="K278" s="11">
        <v>188.28</v>
      </c>
      <c r="M278">
        <v>20</v>
      </c>
      <c r="N278" s="5">
        <v>46153</v>
      </c>
      <c r="O278" t="s">
        <v>182</v>
      </c>
      <c r="P278" s="11">
        <v>1545.1000000000122</v>
      </c>
      <c r="R278" t="s">
        <v>200</v>
      </c>
      <c r="S278" s="5">
        <v>46113</v>
      </c>
      <c r="T278" t="s">
        <v>121</v>
      </c>
      <c r="U278" s="11">
        <v>909.55</v>
      </c>
    </row>
    <row r="279" spans="3:21" ht="18.75">
      <c r="C279">
        <v>36</v>
      </c>
      <c r="D279" s="5">
        <v>45901</v>
      </c>
      <c r="E279" t="s">
        <v>150</v>
      </c>
      <c r="F279" s="11">
        <v>81.09</v>
      </c>
      <c r="H279">
        <v>7</v>
      </c>
      <c r="I279" s="5">
        <v>46062</v>
      </c>
      <c r="J279" t="s">
        <v>158</v>
      </c>
      <c r="K279" s="11">
        <v>513.08000000000095</v>
      </c>
      <c r="M279">
        <v>20</v>
      </c>
      <c r="N279" s="5">
        <v>46153</v>
      </c>
      <c r="O279" t="s">
        <v>183</v>
      </c>
      <c r="P279" s="11">
        <v>432.73000000000087</v>
      </c>
      <c r="R279" t="s">
        <v>200</v>
      </c>
      <c r="S279" s="5">
        <v>46113</v>
      </c>
      <c r="T279" t="s">
        <v>124</v>
      </c>
      <c r="U279" s="11">
        <v>1441.93</v>
      </c>
    </row>
    <row r="280" spans="3:21" ht="18.75">
      <c r="C280">
        <v>36</v>
      </c>
      <c r="D280" s="5">
        <v>45901</v>
      </c>
      <c r="E280" t="s">
        <v>129</v>
      </c>
      <c r="F280" s="11">
        <v>397.97</v>
      </c>
      <c r="H280">
        <v>7</v>
      </c>
      <c r="I280" s="5">
        <v>46062</v>
      </c>
      <c r="J280" t="s">
        <v>171</v>
      </c>
      <c r="K280" s="11">
        <v>922.399999999996</v>
      </c>
      <c r="M280">
        <v>20</v>
      </c>
      <c r="N280" s="5">
        <v>46153</v>
      </c>
      <c r="O280" t="s">
        <v>179</v>
      </c>
      <c r="P280" s="11">
        <v>2931.319999999997</v>
      </c>
      <c r="R280" t="s">
        <v>200</v>
      </c>
      <c r="S280" s="5">
        <v>46113</v>
      </c>
      <c r="T280" t="s">
        <v>123</v>
      </c>
      <c r="U280" s="11">
        <v>1870.1700000000101</v>
      </c>
    </row>
    <row r="281" spans="3:21" ht="18.75">
      <c r="C281">
        <v>36</v>
      </c>
      <c r="D281" s="5">
        <v>45901</v>
      </c>
      <c r="E281" t="s">
        <v>118</v>
      </c>
      <c r="F281" s="11">
        <v>247.48</v>
      </c>
      <c r="H281">
        <v>7</v>
      </c>
      <c r="I281" s="5">
        <v>46062</v>
      </c>
      <c r="J281" t="s">
        <v>175</v>
      </c>
      <c r="K281" s="11"/>
      <c r="M281">
        <v>20</v>
      </c>
      <c r="N281" s="5">
        <v>46153</v>
      </c>
      <c r="O281" t="s">
        <v>181</v>
      </c>
      <c r="P281" s="11">
        <v>1205.2599999999984</v>
      </c>
      <c r="R281" t="s">
        <v>200</v>
      </c>
      <c r="S281" s="5">
        <v>46113</v>
      </c>
      <c r="T281" t="s">
        <v>139</v>
      </c>
      <c r="U281" s="11">
        <v>1155.92</v>
      </c>
    </row>
    <row r="282" spans="3:21" ht="18.75">
      <c r="C282">
        <v>36</v>
      </c>
      <c r="D282" s="5">
        <v>45901</v>
      </c>
      <c r="E282" t="s">
        <v>116</v>
      </c>
      <c r="F282" s="11">
        <v>118.92</v>
      </c>
      <c r="H282">
        <v>7</v>
      </c>
      <c r="I282" s="5">
        <v>46062</v>
      </c>
      <c r="J282" t="s">
        <v>201</v>
      </c>
      <c r="K282" s="11">
        <v>67.760000000000005</v>
      </c>
      <c r="M282">
        <v>20</v>
      </c>
      <c r="N282" s="5">
        <v>46153</v>
      </c>
      <c r="O282" t="s">
        <v>178</v>
      </c>
      <c r="P282" s="11">
        <v>2255.0500000000047</v>
      </c>
      <c r="R282" t="s">
        <v>200</v>
      </c>
      <c r="S282" s="5">
        <v>46113</v>
      </c>
      <c r="T282" t="s">
        <v>228</v>
      </c>
      <c r="U282" s="11">
        <v>334.29</v>
      </c>
    </row>
    <row r="283" spans="3:21" ht="18.75">
      <c r="C283">
        <v>36</v>
      </c>
      <c r="D283" s="5">
        <v>45901</v>
      </c>
      <c r="E283" t="s">
        <v>136</v>
      </c>
      <c r="F283" s="11">
        <v>75.06</v>
      </c>
      <c r="H283">
        <v>7</v>
      </c>
      <c r="I283" s="5">
        <v>46062</v>
      </c>
      <c r="J283" t="s">
        <v>172</v>
      </c>
      <c r="K283" s="11">
        <v>105.47</v>
      </c>
      <c r="M283">
        <v>20</v>
      </c>
      <c r="N283" s="5">
        <v>46153</v>
      </c>
      <c r="O283" t="s">
        <v>180</v>
      </c>
      <c r="P283" s="11">
        <v>246.29999999999993</v>
      </c>
      <c r="R283" t="s">
        <v>200</v>
      </c>
      <c r="S283" s="5">
        <v>46113</v>
      </c>
      <c r="T283" t="s">
        <v>132</v>
      </c>
      <c r="U283" s="11">
        <v>679.82</v>
      </c>
    </row>
    <row r="284" spans="3:21" ht="18.75">
      <c r="C284">
        <v>36</v>
      </c>
      <c r="D284" s="5">
        <v>45901</v>
      </c>
      <c r="E284" t="s">
        <v>219</v>
      </c>
      <c r="F284" s="11">
        <v>407.66</v>
      </c>
      <c r="H284">
        <v>7</v>
      </c>
      <c r="I284" s="5">
        <v>46062</v>
      </c>
      <c r="J284" t="s">
        <v>170</v>
      </c>
      <c r="K284" s="11">
        <v>22</v>
      </c>
      <c r="M284">
        <v>20</v>
      </c>
      <c r="N284" s="5">
        <v>46153</v>
      </c>
      <c r="O284" t="s">
        <v>185</v>
      </c>
      <c r="P284" s="11">
        <v>846.19999999999868</v>
      </c>
      <c r="R284" t="s">
        <v>200</v>
      </c>
      <c r="S284" s="5">
        <v>46113</v>
      </c>
      <c r="T284" t="s">
        <v>149</v>
      </c>
      <c r="U284" s="11">
        <v>129.86000000000001</v>
      </c>
    </row>
    <row r="285" spans="3:21" ht="18.75">
      <c r="C285">
        <v>36</v>
      </c>
      <c r="D285" s="5">
        <v>45901</v>
      </c>
      <c r="E285" t="s">
        <v>122</v>
      </c>
      <c r="F285" s="11">
        <v>199.75</v>
      </c>
      <c r="H285">
        <v>7</v>
      </c>
      <c r="I285" s="5">
        <v>46062</v>
      </c>
      <c r="J285" t="s">
        <v>168</v>
      </c>
      <c r="K285" s="11">
        <v>374.92</v>
      </c>
      <c r="M285">
        <v>20</v>
      </c>
      <c r="N285" s="5">
        <v>46153</v>
      </c>
      <c r="O285" t="s">
        <v>202</v>
      </c>
      <c r="P285" s="11">
        <v>501.17999999999927</v>
      </c>
      <c r="R285" t="s">
        <v>200</v>
      </c>
      <c r="S285" s="5">
        <v>46113</v>
      </c>
      <c r="T285" t="s">
        <v>112</v>
      </c>
      <c r="U285" s="11">
        <v>271.08</v>
      </c>
    </row>
    <row r="286" spans="3:21" ht="18.75">
      <c r="C286">
        <v>36</v>
      </c>
      <c r="D286" s="5">
        <v>45901</v>
      </c>
      <c r="E286" t="s">
        <v>139</v>
      </c>
      <c r="F286" s="11">
        <v>267.91000000000003</v>
      </c>
      <c r="H286">
        <v>7</v>
      </c>
      <c r="I286" s="5">
        <v>46062</v>
      </c>
      <c r="J286" t="s">
        <v>164</v>
      </c>
      <c r="K286" s="11">
        <v>6</v>
      </c>
      <c r="M286">
        <v>19</v>
      </c>
      <c r="N286" s="5">
        <v>46146</v>
      </c>
      <c r="O286" t="s">
        <v>178</v>
      </c>
      <c r="P286" s="11">
        <v>2255.0500000000047</v>
      </c>
      <c r="R286" t="s">
        <v>200</v>
      </c>
      <c r="S286" s="5">
        <v>46113</v>
      </c>
      <c r="T286" t="s">
        <v>128</v>
      </c>
      <c r="U286" s="11">
        <v>510.19</v>
      </c>
    </row>
    <row r="287" spans="3:21" ht="18.75">
      <c r="C287">
        <v>36</v>
      </c>
      <c r="D287" s="5">
        <v>45901</v>
      </c>
      <c r="E287" t="s">
        <v>114</v>
      </c>
      <c r="F287" s="11">
        <v>229.3</v>
      </c>
      <c r="H287">
        <v>8</v>
      </c>
      <c r="I287" s="5">
        <v>46069</v>
      </c>
      <c r="J287" t="s">
        <v>169</v>
      </c>
      <c r="K287" s="11">
        <v>2077.45999999998</v>
      </c>
      <c r="M287">
        <v>19</v>
      </c>
      <c r="N287" s="5">
        <v>46146</v>
      </c>
      <c r="O287" t="s">
        <v>179</v>
      </c>
      <c r="P287" s="11">
        <v>3339.2100000000141</v>
      </c>
      <c r="R287" t="s">
        <v>200</v>
      </c>
      <c r="S287" s="5">
        <v>46113</v>
      </c>
      <c r="T287" t="s">
        <v>137</v>
      </c>
      <c r="U287" s="11">
        <v>281.26</v>
      </c>
    </row>
    <row r="288" spans="3:21" ht="18.75">
      <c r="C288">
        <v>36</v>
      </c>
      <c r="D288" s="5">
        <v>45901</v>
      </c>
      <c r="E288" t="s">
        <v>132</v>
      </c>
      <c r="F288" s="11">
        <v>186.79</v>
      </c>
      <c r="H288">
        <v>8</v>
      </c>
      <c r="I288" s="5">
        <v>46069</v>
      </c>
      <c r="J288" t="s">
        <v>171</v>
      </c>
      <c r="K288" s="11">
        <v>668.88000000000102</v>
      </c>
      <c r="M288">
        <v>19</v>
      </c>
      <c r="N288" s="5">
        <v>46146</v>
      </c>
      <c r="O288" t="s">
        <v>184</v>
      </c>
      <c r="P288" s="11">
        <v>626.38999999999794</v>
      </c>
      <c r="R288" t="s">
        <v>200</v>
      </c>
      <c r="S288" s="5">
        <v>46113</v>
      </c>
      <c r="T288" t="s">
        <v>120</v>
      </c>
      <c r="U288" s="11">
        <v>332.2</v>
      </c>
    </row>
    <row r="289" spans="3:21" ht="18.75">
      <c r="C289">
        <v>36</v>
      </c>
      <c r="D289" s="5">
        <v>45901</v>
      </c>
      <c r="E289" t="s">
        <v>140</v>
      </c>
      <c r="F289" s="11">
        <v>84.39</v>
      </c>
      <c r="H289">
        <v>8</v>
      </c>
      <c r="I289" s="5">
        <v>46069</v>
      </c>
      <c r="J289" t="s">
        <v>173</v>
      </c>
      <c r="K289" s="11">
        <v>976.94999999999902</v>
      </c>
      <c r="M289">
        <v>19</v>
      </c>
      <c r="N289" s="5">
        <v>46146</v>
      </c>
      <c r="O289" t="s">
        <v>182</v>
      </c>
      <c r="P289" s="11">
        <v>1681.420000000013</v>
      </c>
      <c r="R289" t="s">
        <v>200</v>
      </c>
      <c r="S289" s="5">
        <v>46113</v>
      </c>
      <c r="T289" t="s">
        <v>116</v>
      </c>
      <c r="U289" s="11">
        <v>389.91</v>
      </c>
    </row>
    <row r="290" spans="3:21" ht="18.75">
      <c r="C290">
        <v>36</v>
      </c>
      <c r="D290" s="5">
        <v>45901</v>
      </c>
      <c r="E290" t="s">
        <v>128</v>
      </c>
      <c r="F290" s="11">
        <v>185.54</v>
      </c>
      <c r="H290">
        <v>8</v>
      </c>
      <c r="I290" s="5">
        <v>46069</v>
      </c>
      <c r="J290" t="s">
        <v>160</v>
      </c>
      <c r="K290" s="11">
        <v>4344.0299999999697</v>
      </c>
      <c r="M290">
        <v>19</v>
      </c>
      <c r="N290" s="5">
        <v>46146</v>
      </c>
      <c r="O290" t="s">
        <v>181</v>
      </c>
      <c r="P290" s="11">
        <v>1780.8900000000062</v>
      </c>
      <c r="R290" t="s">
        <v>200</v>
      </c>
      <c r="S290" s="5">
        <v>46113</v>
      </c>
      <c r="T290" t="s">
        <v>122</v>
      </c>
      <c r="U290" s="11">
        <v>871.29000000000099</v>
      </c>
    </row>
    <row r="291" spans="3:21" ht="18.75">
      <c r="C291">
        <v>36</v>
      </c>
      <c r="D291" s="5">
        <v>45901</v>
      </c>
      <c r="E291" t="s">
        <v>119</v>
      </c>
      <c r="F291" s="11">
        <v>378.42</v>
      </c>
      <c r="H291">
        <v>8</v>
      </c>
      <c r="I291" s="5">
        <v>46069</v>
      </c>
      <c r="J291" t="s">
        <v>165</v>
      </c>
      <c r="K291" s="11">
        <v>5.7</v>
      </c>
      <c r="M291">
        <v>19</v>
      </c>
      <c r="N291" s="5">
        <v>46146</v>
      </c>
      <c r="O291" t="s">
        <v>183</v>
      </c>
      <c r="P291" s="11">
        <v>317.08000000000055</v>
      </c>
      <c r="R291" t="s">
        <v>200</v>
      </c>
      <c r="S291" s="5">
        <v>46113</v>
      </c>
      <c r="T291" t="s">
        <v>142</v>
      </c>
      <c r="U291" s="11">
        <v>506.49999999999898</v>
      </c>
    </row>
    <row r="292" spans="3:21" ht="18.75">
      <c r="C292">
        <v>36</v>
      </c>
      <c r="D292" s="5">
        <v>45901</v>
      </c>
      <c r="E292" t="s">
        <v>134</v>
      </c>
      <c r="F292" s="11">
        <v>284.44</v>
      </c>
      <c r="H292">
        <v>8</v>
      </c>
      <c r="I292" s="5">
        <v>46069</v>
      </c>
      <c r="J292" t="s">
        <v>201</v>
      </c>
      <c r="K292" s="11">
        <v>147.84</v>
      </c>
      <c r="M292">
        <v>19</v>
      </c>
      <c r="N292" s="5">
        <v>46146</v>
      </c>
      <c r="O292" t="s">
        <v>185</v>
      </c>
      <c r="P292" s="11">
        <v>591</v>
      </c>
      <c r="R292" t="s">
        <v>200</v>
      </c>
      <c r="S292" s="5">
        <v>46113</v>
      </c>
      <c r="T292" t="s">
        <v>148</v>
      </c>
      <c r="U292" s="11">
        <v>414.22</v>
      </c>
    </row>
    <row r="293" spans="3:21" ht="18.75">
      <c r="C293">
        <v>36</v>
      </c>
      <c r="D293" s="5">
        <v>45901</v>
      </c>
      <c r="E293" t="s">
        <v>111</v>
      </c>
      <c r="F293" s="11">
        <v>298.87</v>
      </c>
      <c r="H293">
        <v>8</v>
      </c>
      <c r="I293" s="5">
        <v>46069</v>
      </c>
      <c r="J293" t="s">
        <v>198</v>
      </c>
      <c r="K293" s="11">
        <v>309.39999999999998</v>
      </c>
      <c r="M293">
        <v>19</v>
      </c>
      <c r="N293" s="5">
        <v>46146</v>
      </c>
      <c r="O293" t="s">
        <v>180</v>
      </c>
      <c r="P293" s="11">
        <v>166.79999999999995</v>
      </c>
      <c r="R293" t="s">
        <v>200</v>
      </c>
      <c r="S293" s="5">
        <v>46113</v>
      </c>
      <c r="T293" t="s">
        <v>135</v>
      </c>
      <c r="U293" s="11">
        <v>292.23</v>
      </c>
    </row>
    <row r="294" spans="3:21" ht="18.75">
      <c r="C294">
        <v>36</v>
      </c>
      <c r="D294" s="5">
        <v>45901</v>
      </c>
      <c r="E294" t="s">
        <v>125</v>
      </c>
      <c r="F294" s="11">
        <v>62.42</v>
      </c>
      <c r="H294">
        <v>8</v>
      </c>
      <c r="I294" s="5">
        <v>46069</v>
      </c>
      <c r="J294" t="s">
        <v>174</v>
      </c>
      <c r="K294" s="11">
        <v>407.58</v>
      </c>
      <c r="M294">
        <v>19</v>
      </c>
      <c r="N294" s="5">
        <v>46146</v>
      </c>
      <c r="O294" t="s">
        <v>202</v>
      </c>
      <c r="P294" s="11">
        <v>285.75</v>
      </c>
      <c r="R294" t="s">
        <v>200</v>
      </c>
      <c r="S294" s="5">
        <v>46113</v>
      </c>
      <c r="T294" t="s">
        <v>131</v>
      </c>
      <c r="U294" s="11">
        <v>256.95999999999998</v>
      </c>
    </row>
    <row r="295" spans="3:21" ht="18.75">
      <c r="C295">
        <v>36</v>
      </c>
      <c r="D295" s="5">
        <v>45901</v>
      </c>
      <c r="E295" t="s">
        <v>133</v>
      </c>
      <c r="F295" s="11">
        <v>292.44</v>
      </c>
      <c r="H295">
        <v>8</v>
      </c>
      <c r="I295" s="5">
        <v>46069</v>
      </c>
      <c r="J295" t="s">
        <v>158</v>
      </c>
      <c r="K295" s="11">
        <v>472.68000000000097</v>
      </c>
      <c r="M295">
        <v>22</v>
      </c>
      <c r="N295" s="5">
        <v>46167</v>
      </c>
      <c r="O295" t="s">
        <v>184</v>
      </c>
      <c r="P295" s="11">
        <v>762.4199999999978</v>
      </c>
      <c r="R295" t="s">
        <v>200</v>
      </c>
      <c r="S295" s="5">
        <v>46113</v>
      </c>
      <c r="T295" t="s">
        <v>136</v>
      </c>
      <c r="U295" s="11">
        <v>458.28</v>
      </c>
    </row>
    <row r="296" spans="3:21" ht="18.75">
      <c r="C296">
        <v>36</v>
      </c>
      <c r="D296" s="5">
        <v>45901</v>
      </c>
      <c r="E296" t="s">
        <v>149</v>
      </c>
      <c r="F296" s="11">
        <v>143.84</v>
      </c>
      <c r="H296">
        <v>8</v>
      </c>
      <c r="I296" s="5">
        <v>46069</v>
      </c>
      <c r="J296" t="s">
        <v>168</v>
      </c>
      <c r="K296" s="11">
        <v>314.27</v>
      </c>
      <c r="M296">
        <v>22</v>
      </c>
      <c r="N296" s="5">
        <v>46167</v>
      </c>
      <c r="O296" t="s">
        <v>178</v>
      </c>
      <c r="P296" s="11">
        <v>2310.9000000000028</v>
      </c>
      <c r="R296" t="s">
        <v>200</v>
      </c>
      <c r="S296" s="5">
        <v>46113</v>
      </c>
      <c r="T296" t="s">
        <v>125</v>
      </c>
      <c r="U296" s="11">
        <v>238.98</v>
      </c>
    </row>
    <row r="297" spans="3:21" ht="18.75">
      <c r="C297">
        <v>36</v>
      </c>
      <c r="D297" s="5">
        <v>45901</v>
      </c>
      <c r="E297" t="s">
        <v>123</v>
      </c>
      <c r="F297" s="11">
        <v>471.57000000000102</v>
      </c>
      <c r="H297">
        <v>8</v>
      </c>
      <c r="I297" s="5">
        <v>46069</v>
      </c>
      <c r="J297" t="s">
        <v>172</v>
      </c>
      <c r="K297" s="11">
        <v>15.92</v>
      </c>
      <c r="M297">
        <v>22</v>
      </c>
      <c r="N297" s="5">
        <v>46167</v>
      </c>
      <c r="O297" t="s">
        <v>179</v>
      </c>
      <c r="P297" s="11">
        <v>2782.0700000000143</v>
      </c>
      <c r="R297" t="s">
        <v>200</v>
      </c>
      <c r="S297" s="5">
        <v>46113</v>
      </c>
      <c r="T297" t="s">
        <v>150</v>
      </c>
      <c r="U297" s="11">
        <v>338.5</v>
      </c>
    </row>
    <row r="298" spans="3:21" ht="18.75">
      <c r="C298">
        <v>36</v>
      </c>
      <c r="D298" s="5">
        <v>45901</v>
      </c>
      <c r="E298" t="s">
        <v>138</v>
      </c>
      <c r="F298" s="11">
        <v>527.95000000000095</v>
      </c>
      <c r="H298">
        <v>8</v>
      </c>
      <c r="I298" s="5">
        <v>46069</v>
      </c>
      <c r="J298" t="s">
        <v>176</v>
      </c>
      <c r="K298" s="11">
        <v>137.52000000000001</v>
      </c>
      <c r="M298">
        <v>22</v>
      </c>
      <c r="N298" s="5">
        <v>46167</v>
      </c>
      <c r="O298" t="s">
        <v>182</v>
      </c>
      <c r="P298" s="11">
        <v>1586.9000000000119</v>
      </c>
      <c r="R298" t="s">
        <v>200</v>
      </c>
      <c r="S298" s="5">
        <v>46113</v>
      </c>
      <c r="T298" t="s">
        <v>115</v>
      </c>
      <c r="U298" s="11">
        <v>1193.52</v>
      </c>
    </row>
    <row r="299" spans="3:21" ht="18.75">
      <c r="C299">
        <v>36</v>
      </c>
      <c r="D299" s="5">
        <v>45901</v>
      </c>
      <c r="E299" t="s">
        <v>127</v>
      </c>
      <c r="F299" s="11">
        <v>258.57</v>
      </c>
      <c r="H299">
        <v>8</v>
      </c>
      <c r="I299" s="5">
        <v>46069</v>
      </c>
      <c r="J299" t="s">
        <v>163</v>
      </c>
      <c r="K299" s="11">
        <v>287.67</v>
      </c>
      <c r="M299">
        <v>22</v>
      </c>
      <c r="N299" s="5">
        <v>46167</v>
      </c>
      <c r="O299" t="s">
        <v>183</v>
      </c>
      <c r="P299" s="11">
        <v>577.80000000000121</v>
      </c>
      <c r="R299" t="s">
        <v>200</v>
      </c>
      <c r="S299" s="5">
        <v>46113</v>
      </c>
      <c r="T299" t="s">
        <v>144</v>
      </c>
      <c r="U299" s="11">
        <v>1270.1199999999999</v>
      </c>
    </row>
    <row r="300" spans="3:21" ht="18.75">
      <c r="C300">
        <v>36</v>
      </c>
      <c r="D300" s="5">
        <v>45901</v>
      </c>
      <c r="E300" t="s">
        <v>141</v>
      </c>
      <c r="F300" s="11">
        <v>453.92000000000098</v>
      </c>
      <c r="H300">
        <v>8</v>
      </c>
      <c r="I300" s="5">
        <v>46069</v>
      </c>
      <c r="J300" t="s">
        <v>170</v>
      </c>
      <c r="K300" s="11">
        <v>6</v>
      </c>
      <c r="M300">
        <v>22</v>
      </c>
      <c r="N300" s="5">
        <v>46167</v>
      </c>
      <c r="O300" t="s">
        <v>181</v>
      </c>
      <c r="P300" s="11">
        <v>1233.9000000000037</v>
      </c>
      <c r="R300" t="s">
        <v>203</v>
      </c>
      <c r="S300" s="5">
        <v>46143</v>
      </c>
      <c r="T300" t="s">
        <v>117</v>
      </c>
      <c r="U300" s="11">
        <v>797.36</v>
      </c>
    </row>
    <row r="301" spans="3:21" ht="18.75">
      <c r="C301">
        <v>36</v>
      </c>
      <c r="D301" s="5">
        <v>45901</v>
      </c>
      <c r="E301" t="s">
        <v>121</v>
      </c>
      <c r="F301" s="11">
        <v>76.05</v>
      </c>
      <c r="H301">
        <v>6</v>
      </c>
      <c r="I301" s="5">
        <v>46055</v>
      </c>
      <c r="J301" t="s">
        <v>171</v>
      </c>
      <c r="K301" s="11">
        <v>842.59</v>
      </c>
      <c r="M301">
        <v>22</v>
      </c>
      <c r="N301" s="5">
        <v>46167</v>
      </c>
      <c r="O301" t="s">
        <v>185</v>
      </c>
      <c r="P301" s="11">
        <v>276</v>
      </c>
      <c r="R301" t="s">
        <v>203</v>
      </c>
      <c r="S301" s="5">
        <v>46143</v>
      </c>
      <c r="T301" t="s">
        <v>147</v>
      </c>
      <c r="U301" s="11">
        <v>1511.66</v>
      </c>
    </row>
    <row r="302" spans="3:21" ht="18.75">
      <c r="C302">
        <v>36</v>
      </c>
      <c r="D302" s="5">
        <v>45901</v>
      </c>
      <c r="E302" t="s">
        <v>126</v>
      </c>
      <c r="F302" s="11">
        <v>100.35</v>
      </c>
      <c r="H302">
        <v>6</v>
      </c>
      <c r="I302" s="5">
        <v>46055</v>
      </c>
      <c r="J302" t="s">
        <v>160</v>
      </c>
      <c r="K302" s="11">
        <v>5718.6799999999503</v>
      </c>
      <c r="M302">
        <v>22</v>
      </c>
      <c r="N302" s="5">
        <v>46167</v>
      </c>
      <c r="O302" t="s">
        <v>180</v>
      </c>
      <c r="P302" s="11">
        <v>194.19999999999987</v>
      </c>
      <c r="R302" t="s">
        <v>203</v>
      </c>
      <c r="S302" s="5">
        <v>46143</v>
      </c>
      <c r="T302" t="s">
        <v>121</v>
      </c>
      <c r="U302" s="11">
        <v>696.39</v>
      </c>
    </row>
    <row r="303" spans="3:21" ht="18.75">
      <c r="C303">
        <v>36</v>
      </c>
      <c r="D303" s="5">
        <v>45901</v>
      </c>
      <c r="E303" t="s">
        <v>135</v>
      </c>
      <c r="F303" s="11">
        <v>54.19</v>
      </c>
      <c r="H303">
        <v>6</v>
      </c>
      <c r="I303" s="5">
        <v>46055</v>
      </c>
      <c r="J303" t="s">
        <v>163</v>
      </c>
      <c r="K303" s="11">
        <v>267.02999999999997</v>
      </c>
      <c r="M303">
        <v>22</v>
      </c>
      <c r="N303" s="5">
        <v>46167</v>
      </c>
      <c r="O303" t="s">
        <v>202</v>
      </c>
      <c r="P303" s="11">
        <v>269.27000000000021</v>
      </c>
      <c r="R303" t="s">
        <v>203</v>
      </c>
      <c r="S303" s="5">
        <v>46143</v>
      </c>
      <c r="T303" t="s">
        <v>115</v>
      </c>
      <c r="U303" s="11">
        <v>1361.08</v>
      </c>
    </row>
    <row r="304" spans="3:21" ht="18.75">
      <c r="C304">
        <v>36</v>
      </c>
      <c r="D304" s="5">
        <v>45901</v>
      </c>
      <c r="E304" t="s">
        <v>124</v>
      </c>
      <c r="F304" s="11">
        <v>420.97</v>
      </c>
      <c r="H304">
        <v>6</v>
      </c>
      <c r="I304" s="5">
        <v>46055</v>
      </c>
      <c r="J304" t="s">
        <v>169</v>
      </c>
      <c r="K304" s="11">
        <v>2412.8199999999601</v>
      </c>
      <c r="M304">
        <v>23</v>
      </c>
      <c r="N304" s="5">
        <v>46174</v>
      </c>
      <c r="O304" t="s">
        <v>182</v>
      </c>
      <c r="P304" s="11">
        <v>2052.6000000000158</v>
      </c>
      <c r="R304" t="s">
        <v>203</v>
      </c>
      <c r="S304" s="5">
        <v>46143</v>
      </c>
      <c r="T304" t="s">
        <v>139</v>
      </c>
      <c r="U304" s="11">
        <v>893.64000000000101</v>
      </c>
    </row>
    <row r="305" spans="3:21" ht="18.75">
      <c r="C305">
        <v>36</v>
      </c>
      <c r="D305" s="5">
        <v>45901</v>
      </c>
      <c r="E305" t="s">
        <v>145</v>
      </c>
      <c r="F305" s="11">
        <v>290.92</v>
      </c>
      <c r="H305">
        <v>6</v>
      </c>
      <c r="I305" s="5">
        <v>46055</v>
      </c>
      <c r="J305" t="s">
        <v>168</v>
      </c>
      <c r="K305" s="11">
        <v>600.83999999999799</v>
      </c>
      <c r="M305">
        <v>23</v>
      </c>
      <c r="N305" s="5">
        <v>46174</v>
      </c>
      <c r="O305" t="s">
        <v>185</v>
      </c>
      <c r="P305" s="11">
        <v>932.44999999999902</v>
      </c>
      <c r="R305" t="s">
        <v>203</v>
      </c>
      <c r="S305" s="5">
        <v>46143</v>
      </c>
      <c r="T305" t="s">
        <v>144</v>
      </c>
      <c r="U305" s="11">
        <v>2021.47000000001</v>
      </c>
    </row>
    <row r="306" spans="3:21" ht="18.75">
      <c r="C306">
        <v>36</v>
      </c>
      <c r="D306" s="5">
        <v>45901</v>
      </c>
      <c r="E306" t="s">
        <v>137</v>
      </c>
      <c r="F306" s="11">
        <v>40.4</v>
      </c>
      <c r="H306">
        <v>6</v>
      </c>
      <c r="I306" s="5">
        <v>46055</v>
      </c>
      <c r="J306" t="s">
        <v>176</v>
      </c>
      <c r="K306" s="11">
        <v>161.28</v>
      </c>
      <c r="M306">
        <v>23</v>
      </c>
      <c r="N306" s="5">
        <v>46174</v>
      </c>
      <c r="O306" t="s">
        <v>184</v>
      </c>
      <c r="P306" s="11">
        <v>555.02999999999838</v>
      </c>
      <c r="R306" t="s">
        <v>203</v>
      </c>
      <c r="S306" s="5">
        <v>46143</v>
      </c>
      <c r="T306" t="s">
        <v>112</v>
      </c>
      <c r="U306" s="11">
        <v>320.05999999999898</v>
      </c>
    </row>
    <row r="307" spans="3:21" ht="18.75">
      <c r="C307">
        <v>36</v>
      </c>
      <c r="D307" s="5">
        <v>45901</v>
      </c>
      <c r="E307" t="s">
        <v>113</v>
      </c>
      <c r="F307" s="11">
        <v>442.51</v>
      </c>
      <c r="H307">
        <v>6</v>
      </c>
      <c r="I307" s="5">
        <v>46055</v>
      </c>
      <c r="J307" t="s">
        <v>198</v>
      </c>
      <c r="K307" s="11">
        <v>520.96</v>
      </c>
      <c r="M307">
        <v>23</v>
      </c>
      <c r="N307" s="5">
        <v>46174</v>
      </c>
      <c r="O307" t="s">
        <v>179</v>
      </c>
      <c r="P307" s="11">
        <v>3501.1599999999894</v>
      </c>
      <c r="R307" t="s">
        <v>203</v>
      </c>
      <c r="S307" s="5">
        <v>46143</v>
      </c>
      <c r="T307" t="s">
        <v>114</v>
      </c>
      <c r="U307" s="11">
        <v>1288.6099999999999</v>
      </c>
    </row>
    <row r="308" spans="3:21" ht="18.75">
      <c r="C308">
        <v>36</v>
      </c>
      <c r="D308" s="5">
        <v>45901</v>
      </c>
      <c r="E308" t="s">
        <v>146</v>
      </c>
      <c r="F308" s="11">
        <v>584.44000000000005</v>
      </c>
      <c r="H308">
        <v>6</v>
      </c>
      <c r="I308" s="5">
        <v>46055</v>
      </c>
      <c r="J308" t="s">
        <v>174</v>
      </c>
      <c r="K308" s="11">
        <v>509.960000000001</v>
      </c>
      <c r="M308">
        <v>23</v>
      </c>
      <c r="N308" s="5">
        <v>46174</v>
      </c>
      <c r="O308" t="s">
        <v>181</v>
      </c>
      <c r="P308" s="11">
        <v>1800.3599999999992</v>
      </c>
      <c r="R308" t="s">
        <v>203</v>
      </c>
      <c r="S308" s="5">
        <v>46143</v>
      </c>
      <c r="T308" t="s">
        <v>148</v>
      </c>
      <c r="U308" s="11">
        <v>451.47</v>
      </c>
    </row>
    <row r="309" spans="3:21" ht="18.75">
      <c r="C309">
        <v>36</v>
      </c>
      <c r="D309" s="5">
        <v>45901</v>
      </c>
      <c r="E309" t="s">
        <v>142</v>
      </c>
      <c r="F309" s="11">
        <v>123.97</v>
      </c>
      <c r="H309">
        <v>6</v>
      </c>
      <c r="I309" s="5">
        <v>46055</v>
      </c>
      <c r="J309" t="s">
        <v>158</v>
      </c>
      <c r="K309" s="11">
        <v>472.68000000000097</v>
      </c>
      <c r="M309">
        <v>23</v>
      </c>
      <c r="N309" s="5">
        <v>46174</v>
      </c>
      <c r="O309" t="s">
        <v>178</v>
      </c>
      <c r="P309" s="11">
        <v>2421.6499999999996</v>
      </c>
      <c r="R309" t="s">
        <v>203</v>
      </c>
      <c r="S309" s="5">
        <v>46143</v>
      </c>
      <c r="T309" t="s">
        <v>143</v>
      </c>
      <c r="U309" s="11">
        <v>4932.9199999999501</v>
      </c>
    </row>
    <row r="310" spans="3:21" ht="18.75">
      <c r="C310">
        <v>35</v>
      </c>
      <c r="D310" s="5">
        <v>45894</v>
      </c>
      <c r="E310" t="s">
        <v>113</v>
      </c>
      <c r="F310" s="11">
        <v>21.4</v>
      </c>
      <c r="H310">
        <v>6</v>
      </c>
      <c r="I310" s="5">
        <v>46055</v>
      </c>
      <c r="J310" t="s">
        <v>173</v>
      </c>
      <c r="K310" s="11">
        <v>1272.5</v>
      </c>
      <c r="M310">
        <v>23</v>
      </c>
      <c r="N310" s="5">
        <v>46174</v>
      </c>
      <c r="O310" t="s">
        <v>180</v>
      </c>
      <c r="P310" s="11">
        <v>112.3</v>
      </c>
      <c r="R310" t="s">
        <v>203</v>
      </c>
      <c r="S310" s="5">
        <v>46143</v>
      </c>
      <c r="T310" t="s">
        <v>146</v>
      </c>
      <c r="U310" s="11">
        <v>2321.4299999999998</v>
      </c>
    </row>
    <row r="311" spans="3:21" ht="18.75">
      <c r="C311">
        <v>35</v>
      </c>
      <c r="D311" s="5">
        <v>45894</v>
      </c>
      <c r="E311" t="s">
        <v>117</v>
      </c>
      <c r="F311" s="11">
        <v>316.49</v>
      </c>
      <c r="H311">
        <v>6</v>
      </c>
      <c r="I311" s="5">
        <v>46055</v>
      </c>
      <c r="J311" t="s">
        <v>175</v>
      </c>
      <c r="K311" s="11">
        <v>4.4000000000000004</v>
      </c>
      <c r="M311">
        <v>23</v>
      </c>
      <c r="N311" s="5">
        <v>46174</v>
      </c>
      <c r="O311" t="s">
        <v>183</v>
      </c>
      <c r="P311" s="11">
        <v>434.68000000000058</v>
      </c>
      <c r="R311" t="s">
        <v>203</v>
      </c>
      <c r="S311" s="5">
        <v>46143</v>
      </c>
      <c r="T311" t="s">
        <v>119</v>
      </c>
      <c r="U311" s="11">
        <v>1297.3</v>
      </c>
    </row>
    <row r="312" spans="3:21" ht="18.75">
      <c r="C312">
        <v>35</v>
      </c>
      <c r="D312" s="5">
        <v>45894</v>
      </c>
      <c r="E312" t="s">
        <v>114</v>
      </c>
      <c r="F312" s="11">
        <v>290.61</v>
      </c>
      <c r="H312">
        <v>6</v>
      </c>
      <c r="I312" s="5">
        <v>46055</v>
      </c>
      <c r="J312" t="s">
        <v>170</v>
      </c>
      <c r="K312" s="11">
        <v>52</v>
      </c>
      <c r="M312">
        <v>23</v>
      </c>
      <c r="N312" s="5">
        <v>46174</v>
      </c>
      <c r="O312" t="s">
        <v>202</v>
      </c>
      <c r="P312" s="11">
        <v>288.99999999999989</v>
      </c>
      <c r="R312" t="s">
        <v>203</v>
      </c>
      <c r="S312" s="5">
        <v>46143</v>
      </c>
      <c r="T312" t="s">
        <v>138</v>
      </c>
      <c r="U312" s="11">
        <v>1711.75</v>
      </c>
    </row>
    <row r="313" spans="3:21" ht="18.75">
      <c r="C313">
        <v>35</v>
      </c>
      <c r="D313" s="5">
        <v>45894</v>
      </c>
      <c r="E313" t="s">
        <v>150</v>
      </c>
      <c r="F313" s="11">
        <v>85.99</v>
      </c>
      <c r="H313">
        <v>6</v>
      </c>
      <c r="I313" s="5">
        <v>46055</v>
      </c>
      <c r="J313" t="s">
        <v>201</v>
      </c>
      <c r="K313" s="11">
        <v>314.16000000000003</v>
      </c>
      <c r="M313">
        <v>24</v>
      </c>
      <c r="N313" s="5">
        <v>46181</v>
      </c>
      <c r="O313" t="s">
        <v>181</v>
      </c>
      <c r="P313" s="11">
        <v>1866.3400000000038</v>
      </c>
      <c r="R313" t="s">
        <v>203</v>
      </c>
      <c r="S313" s="5">
        <v>46143</v>
      </c>
      <c r="T313" t="s">
        <v>145</v>
      </c>
      <c r="U313" s="11">
        <v>751.69000000000096</v>
      </c>
    </row>
    <row r="314" spans="3:21" ht="18.75">
      <c r="C314">
        <v>35</v>
      </c>
      <c r="D314" s="5">
        <v>45894</v>
      </c>
      <c r="E314" t="s">
        <v>139</v>
      </c>
      <c r="F314" s="11">
        <v>284.08</v>
      </c>
      <c r="H314">
        <v>6</v>
      </c>
      <c r="I314" s="5">
        <v>46055</v>
      </c>
      <c r="J314" t="s">
        <v>172</v>
      </c>
      <c r="K314" s="11">
        <v>97.509999999999906</v>
      </c>
      <c r="M314">
        <v>24</v>
      </c>
      <c r="N314" s="5">
        <v>46181</v>
      </c>
      <c r="O314" t="s">
        <v>182</v>
      </c>
      <c r="P314" s="11">
        <v>1966.3500000000167</v>
      </c>
      <c r="R314" t="s">
        <v>203</v>
      </c>
      <c r="S314" s="5">
        <v>46143</v>
      </c>
      <c r="T314" t="s">
        <v>137</v>
      </c>
      <c r="U314" s="11">
        <v>341.35</v>
      </c>
    </row>
    <row r="315" spans="3:21" ht="18.75">
      <c r="C315">
        <v>35</v>
      </c>
      <c r="D315" s="5">
        <v>45894</v>
      </c>
      <c r="E315" t="s">
        <v>129</v>
      </c>
      <c r="F315" s="11">
        <v>408.48</v>
      </c>
      <c r="H315">
        <v>6</v>
      </c>
      <c r="I315" s="5">
        <v>46055</v>
      </c>
      <c r="J315" t="s">
        <v>165</v>
      </c>
      <c r="K315" s="11">
        <v>11.4</v>
      </c>
      <c r="M315">
        <v>24</v>
      </c>
      <c r="N315" s="5">
        <v>46181</v>
      </c>
      <c r="O315" t="s">
        <v>184</v>
      </c>
      <c r="P315" s="11">
        <v>445.39999999999884</v>
      </c>
      <c r="R315" t="s">
        <v>203</v>
      </c>
      <c r="S315" s="5">
        <v>46143</v>
      </c>
      <c r="T315" t="s">
        <v>124</v>
      </c>
      <c r="U315" s="11">
        <v>1236.82</v>
      </c>
    </row>
    <row r="316" spans="3:21" ht="18.75">
      <c r="C316">
        <v>35</v>
      </c>
      <c r="D316" s="5">
        <v>45894</v>
      </c>
      <c r="E316" t="s">
        <v>118</v>
      </c>
      <c r="F316" s="11">
        <v>220.25</v>
      </c>
      <c r="H316">
        <v>6</v>
      </c>
      <c r="I316" s="5">
        <v>46055</v>
      </c>
      <c r="J316" t="s">
        <v>159</v>
      </c>
      <c r="K316" s="11">
        <v>25.2</v>
      </c>
      <c r="M316">
        <v>24</v>
      </c>
      <c r="N316" s="5">
        <v>46181</v>
      </c>
      <c r="O316" t="s">
        <v>185</v>
      </c>
      <c r="P316" s="11">
        <v>855.99999999999886</v>
      </c>
      <c r="R316" t="s">
        <v>203</v>
      </c>
      <c r="S316" s="5">
        <v>46143</v>
      </c>
      <c r="T316" t="s">
        <v>128</v>
      </c>
      <c r="U316" s="11">
        <v>573.63</v>
      </c>
    </row>
    <row r="317" spans="3:21" ht="18.75">
      <c r="C317">
        <v>35</v>
      </c>
      <c r="D317" s="5">
        <v>45894</v>
      </c>
      <c r="E317" t="s">
        <v>138</v>
      </c>
      <c r="F317" s="11">
        <v>423.53</v>
      </c>
      <c r="H317">
        <v>9</v>
      </c>
      <c r="I317" s="5">
        <v>46076</v>
      </c>
      <c r="J317" t="s">
        <v>169</v>
      </c>
      <c r="K317" s="11">
        <v>2155.2999999999802</v>
      </c>
      <c r="M317">
        <v>24</v>
      </c>
      <c r="N317" s="5">
        <v>46181</v>
      </c>
      <c r="O317" t="s">
        <v>179</v>
      </c>
      <c r="P317" s="11">
        <v>3473.3500000000527</v>
      </c>
      <c r="R317" t="s">
        <v>203</v>
      </c>
      <c r="S317" s="5">
        <v>46143</v>
      </c>
      <c r="T317" t="s">
        <v>131</v>
      </c>
      <c r="U317" s="11">
        <v>1021.77</v>
      </c>
    </row>
    <row r="318" spans="3:21" ht="18.75">
      <c r="C318">
        <v>35</v>
      </c>
      <c r="D318" s="5">
        <v>45894</v>
      </c>
      <c r="E318" t="s">
        <v>136</v>
      </c>
      <c r="F318" s="11">
        <v>63.13</v>
      </c>
      <c r="H318">
        <v>9</v>
      </c>
      <c r="I318" s="5">
        <v>46076</v>
      </c>
      <c r="J318" t="s">
        <v>160</v>
      </c>
      <c r="K318" s="11">
        <v>4622.5799999999399</v>
      </c>
      <c r="M318">
        <v>24</v>
      </c>
      <c r="N318" s="5">
        <v>46181</v>
      </c>
      <c r="O318" t="s">
        <v>180</v>
      </c>
      <c r="P318" s="11">
        <v>210.19999999999985</v>
      </c>
      <c r="R318" t="s">
        <v>203</v>
      </c>
      <c r="S318" s="5">
        <v>46143</v>
      </c>
      <c r="T318" t="s">
        <v>151</v>
      </c>
      <c r="U318" s="11">
        <v>2693.5299999999902</v>
      </c>
    </row>
    <row r="319" spans="3:21" ht="18.75">
      <c r="C319">
        <v>35</v>
      </c>
      <c r="D319" s="5">
        <v>45894</v>
      </c>
      <c r="E319" t="s">
        <v>128</v>
      </c>
      <c r="F319" s="11">
        <v>244.54</v>
      </c>
      <c r="H319">
        <v>9</v>
      </c>
      <c r="I319" s="5">
        <v>46076</v>
      </c>
      <c r="J319" t="s">
        <v>168</v>
      </c>
      <c r="K319" s="11">
        <v>342.04</v>
      </c>
      <c r="M319">
        <v>24</v>
      </c>
      <c r="N319" s="5">
        <v>46181</v>
      </c>
      <c r="O319" t="s">
        <v>178</v>
      </c>
      <c r="P319" s="11">
        <v>2631.4999999999945</v>
      </c>
      <c r="R319" t="s">
        <v>203</v>
      </c>
      <c r="S319" s="5">
        <v>46143</v>
      </c>
      <c r="T319" t="s">
        <v>118</v>
      </c>
      <c r="U319" s="11">
        <v>671.06999999999903</v>
      </c>
    </row>
    <row r="320" spans="3:21" ht="18.75">
      <c r="C320">
        <v>35</v>
      </c>
      <c r="D320" s="5">
        <v>45894</v>
      </c>
      <c r="E320" t="s">
        <v>141</v>
      </c>
      <c r="F320" s="11">
        <v>379.9</v>
      </c>
      <c r="H320">
        <v>9</v>
      </c>
      <c r="I320" s="5">
        <v>46076</v>
      </c>
      <c r="J320" t="s">
        <v>171</v>
      </c>
      <c r="K320" s="11">
        <v>746.680000000002</v>
      </c>
      <c r="M320">
        <v>24</v>
      </c>
      <c r="N320" s="5">
        <v>46181</v>
      </c>
      <c r="O320" t="s">
        <v>183</v>
      </c>
      <c r="P320" s="11">
        <v>492.53000000000037</v>
      </c>
      <c r="R320" t="s">
        <v>203</v>
      </c>
      <c r="S320" s="5">
        <v>46143</v>
      </c>
      <c r="T320" t="s">
        <v>130</v>
      </c>
      <c r="U320" s="11">
        <v>1178.7</v>
      </c>
    </row>
    <row r="321" spans="3:21" ht="18.75">
      <c r="C321">
        <v>35</v>
      </c>
      <c r="D321" s="5">
        <v>45894</v>
      </c>
      <c r="E321" t="s">
        <v>116</v>
      </c>
      <c r="F321" s="11">
        <v>95.54</v>
      </c>
      <c r="H321">
        <v>9</v>
      </c>
      <c r="I321" s="5">
        <v>46076</v>
      </c>
      <c r="J321" t="s">
        <v>176</v>
      </c>
      <c r="K321" s="11">
        <v>120.72</v>
      </c>
      <c r="M321">
        <v>24</v>
      </c>
      <c r="N321" s="5">
        <v>46181</v>
      </c>
      <c r="O321" t="s">
        <v>202</v>
      </c>
      <c r="P321" s="11">
        <v>373.26999999999987</v>
      </c>
      <c r="R321" t="s">
        <v>203</v>
      </c>
      <c r="S321" s="5">
        <v>46143</v>
      </c>
      <c r="T321" t="s">
        <v>122</v>
      </c>
      <c r="U321" s="11">
        <v>923.09000000000106</v>
      </c>
    </row>
    <row r="322" spans="3:21" ht="18.75">
      <c r="C322">
        <v>35</v>
      </c>
      <c r="D322" s="5">
        <v>45894</v>
      </c>
      <c r="E322" t="s">
        <v>149</v>
      </c>
      <c r="F322" s="11">
        <v>121.84</v>
      </c>
      <c r="H322">
        <v>9</v>
      </c>
      <c r="I322" s="5">
        <v>46076</v>
      </c>
      <c r="J322" t="s">
        <v>198</v>
      </c>
      <c r="K322" s="11">
        <v>380.8</v>
      </c>
      <c r="M322">
        <v>26</v>
      </c>
      <c r="N322" s="5">
        <v>46195</v>
      </c>
      <c r="O322" t="s">
        <v>182</v>
      </c>
      <c r="P322" s="240">
        <v>1966.4500000000178</v>
      </c>
      <c r="R322" t="s">
        <v>203</v>
      </c>
      <c r="S322" s="5">
        <v>46143</v>
      </c>
      <c r="T322" t="s">
        <v>129</v>
      </c>
      <c r="U322" s="11">
        <v>1521.64</v>
      </c>
    </row>
    <row r="323" spans="3:21" ht="18.75">
      <c r="C323">
        <v>35</v>
      </c>
      <c r="D323" s="5">
        <v>45894</v>
      </c>
      <c r="E323" t="s">
        <v>140</v>
      </c>
      <c r="F323" s="11">
        <v>101.15</v>
      </c>
      <c r="H323">
        <v>9</v>
      </c>
      <c r="I323" s="5">
        <v>46076</v>
      </c>
      <c r="J323" t="s">
        <v>174</v>
      </c>
      <c r="K323" s="11">
        <v>367.18999999999897</v>
      </c>
      <c r="M323">
        <v>26</v>
      </c>
      <c r="N323" s="5">
        <v>46195</v>
      </c>
      <c r="O323" t="s">
        <v>184</v>
      </c>
      <c r="P323" s="240">
        <v>612.83999999999878</v>
      </c>
      <c r="R323" t="s">
        <v>203</v>
      </c>
      <c r="S323" s="5">
        <v>46143</v>
      </c>
      <c r="T323" t="s">
        <v>116</v>
      </c>
      <c r="U323" s="11">
        <v>379.27</v>
      </c>
    </row>
    <row r="324" spans="3:21" ht="18.75">
      <c r="C324">
        <v>35</v>
      </c>
      <c r="D324" s="5">
        <v>45894</v>
      </c>
      <c r="E324" t="s">
        <v>122</v>
      </c>
      <c r="F324" s="11">
        <v>196.79</v>
      </c>
      <c r="H324">
        <v>9</v>
      </c>
      <c r="I324" s="5">
        <v>46076</v>
      </c>
      <c r="J324" t="s">
        <v>158</v>
      </c>
      <c r="K324" s="11">
        <v>614.08000000000004</v>
      </c>
      <c r="M324">
        <v>26</v>
      </c>
      <c r="N324" s="5">
        <v>46195</v>
      </c>
      <c r="O324" t="s">
        <v>183</v>
      </c>
      <c r="P324" s="240">
        <v>528.52000000000135</v>
      </c>
      <c r="R324" t="s">
        <v>203</v>
      </c>
      <c r="S324" s="5">
        <v>46143</v>
      </c>
      <c r="T324" t="s">
        <v>142</v>
      </c>
      <c r="U324" s="11">
        <v>579.11</v>
      </c>
    </row>
    <row r="325" spans="3:21" ht="18.75">
      <c r="C325">
        <v>35</v>
      </c>
      <c r="D325" s="5">
        <v>45894</v>
      </c>
      <c r="E325" t="s">
        <v>119</v>
      </c>
      <c r="F325" s="11">
        <v>457.48</v>
      </c>
      <c r="H325">
        <v>9</v>
      </c>
      <c r="I325" s="5">
        <v>46076</v>
      </c>
      <c r="J325" t="s">
        <v>163</v>
      </c>
      <c r="K325" s="11">
        <v>267.02999999999997</v>
      </c>
      <c r="M325">
        <v>26</v>
      </c>
      <c r="N325" s="5">
        <v>46195</v>
      </c>
      <c r="O325" t="s">
        <v>178</v>
      </c>
      <c r="P325" s="240">
        <v>2466.1999999999975</v>
      </c>
      <c r="R325" t="s">
        <v>203</v>
      </c>
      <c r="S325" s="5">
        <v>46143</v>
      </c>
      <c r="T325" t="s">
        <v>135</v>
      </c>
      <c r="U325" s="11">
        <v>308.27</v>
      </c>
    </row>
    <row r="326" spans="3:21" ht="18.75">
      <c r="C326">
        <v>35</v>
      </c>
      <c r="D326" s="5">
        <v>45894</v>
      </c>
      <c r="E326" t="s">
        <v>132</v>
      </c>
      <c r="F326" s="11">
        <v>191.68</v>
      </c>
      <c r="H326">
        <v>9</v>
      </c>
      <c r="I326" s="5">
        <v>46076</v>
      </c>
      <c r="J326" t="s">
        <v>165</v>
      </c>
      <c r="K326" s="11">
        <v>16.899999999999999</v>
      </c>
      <c r="M326">
        <v>26</v>
      </c>
      <c r="N326" s="5">
        <v>46195</v>
      </c>
      <c r="O326" t="s">
        <v>179</v>
      </c>
      <c r="P326" s="240">
        <v>3643.5299999999893</v>
      </c>
      <c r="R326" t="s">
        <v>203</v>
      </c>
      <c r="S326" s="5">
        <v>46143</v>
      </c>
      <c r="T326" t="s">
        <v>120</v>
      </c>
      <c r="U326" s="11">
        <v>356.09</v>
      </c>
    </row>
    <row r="327" spans="3:21" ht="18.75">
      <c r="C327">
        <v>35</v>
      </c>
      <c r="D327" s="5">
        <v>45894</v>
      </c>
      <c r="E327" t="s">
        <v>125</v>
      </c>
      <c r="F327" s="11">
        <v>86.17</v>
      </c>
      <c r="H327">
        <v>9</v>
      </c>
      <c r="I327" s="5">
        <v>46076</v>
      </c>
      <c r="J327" t="s">
        <v>173</v>
      </c>
      <c r="K327" s="11">
        <v>994.45</v>
      </c>
      <c r="M327">
        <v>26</v>
      </c>
      <c r="N327" s="5">
        <v>46195</v>
      </c>
      <c r="O327" t="s">
        <v>185</v>
      </c>
      <c r="P327" s="240">
        <v>891</v>
      </c>
      <c r="R327" t="s">
        <v>203</v>
      </c>
      <c r="S327" s="5">
        <v>46143</v>
      </c>
      <c r="T327" t="s">
        <v>133</v>
      </c>
      <c r="U327" s="11">
        <v>1190.5</v>
      </c>
    </row>
    <row r="328" spans="3:21" ht="18.75">
      <c r="C328">
        <v>35</v>
      </c>
      <c r="D328" s="5">
        <v>45894</v>
      </c>
      <c r="E328" t="s">
        <v>134</v>
      </c>
      <c r="F328" s="11">
        <v>307.74</v>
      </c>
      <c r="H328">
        <v>9</v>
      </c>
      <c r="I328" s="5">
        <v>46076</v>
      </c>
      <c r="J328" t="s">
        <v>201</v>
      </c>
      <c r="K328" s="11">
        <v>178.64</v>
      </c>
      <c r="M328">
        <v>26</v>
      </c>
      <c r="N328" s="5">
        <v>46195</v>
      </c>
      <c r="O328" t="s">
        <v>181</v>
      </c>
      <c r="P328" s="240">
        <v>1567.130000000001</v>
      </c>
      <c r="R328" t="s">
        <v>203</v>
      </c>
      <c r="S328" s="5">
        <v>46143</v>
      </c>
      <c r="T328" t="s">
        <v>134</v>
      </c>
      <c r="U328" s="11">
        <v>1216.53</v>
      </c>
    </row>
    <row r="329" spans="3:21" ht="18.75">
      <c r="C329">
        <v>35</v>
      </c>
      <c r="D329" s="5">
        <v>45894</v>
      </c>
      <c r="E329" t="s">
        <v>133</v>
      </c>
      <c r="F329" s="11">
        <v>311.94</v>
      </c>
      <c r="H329">
        <v>9</v>
      </c>
      <c r="I329" s="5">
        <v>46076</v>
      </c>
      <c r="J329" t="s">
        <v>172</v>
      </c>
      <c r="K329" s="11">
        <v>57.71</v>
      </c>
      <c r="M329">
        <v>26</v>
      </c>
      <c r="N329" s="5">
        <v>46195</v>
      </c>
      <c r="O329" t="s">
        <v>180</v>
      </c>
      <c r="P329" s="240">
        <v>219.99999999999989</v>
      </c>
      <c r="R329" t="s">
        <v>203</v>
      </c>
      <c r="S329" s="5">
        <v>46143</v>
      </c>
      <c r="T329" t="s">
        <v>141</v>
      </c>
      <c r="U329" s="11">
        <v>1808.52</v>
      </c>
    </row>
    <row r="330" spans="3:21" ht="18.75">
      <c r="C330">
        <v>35</v>
      </c>
      <c r="D330" s="5">
        <v>45894</v>
      </c>
      <c r="E330" t="s">
        <v>123</v>
      </c>
      <c r="F330" s="11">
        <v>443.28</v>
      </c>
      <c r="H330">
        <v>9</v>
      </c>
      <c r="I330" s="5">
        <v>46076</v>
      </c>
      <c r="J330" t="s">
        <v>170</v>
      </c>
      <c r="K330" s="11">
        <v>8</v>
      </c>
      <c r="M330">
        <v>26</v>
      </c>
      <c r="N330" s="5">
        <v>46195</v>
      </c>
      <c r="O330" t="s">
        <v>202</v>
      </c>
      <c r="P330" s="240">
        <v>371.77999999999975</v>
      </c>
      <c r="R330" t="s">
        <v>203</v>
      </c>
      <c r="S330" s="5">
        <v>46143</v>
      </c>
      <c r="T330" t="s">
        <v>132</v>
      </c>
      <c r="U330" s="11">
        <v>683.37</v>
      </c>
    </row>
    <row r="331" spans="3:21" ht="18.75">
      <c r="C331">
        <v>35</v>
      </c>
      <c r="D331" s="5">
        <v>45894</v>
      </c>
      <c r="E331" t="s">
        <v>137</v>
      </c>
      <c r="F331" s="11">
        <v>65.040000000000006</v>
      </c>
      <c r="H331">
        <v>10</v>
      </c>
      <c r="I331" s="5">
        <v>46083</v>
      </c>
      <c r="J331" t="s">
        <v>169</v>
      </c>
      <c r="K331" s="11">
        <v>2215.03999999997</v>
      </c>
      <c r="R331" t="s">
        <v>203</v>
      </c>
      <c r="S331" s="5">
        <v>46143</v>
      </c>
      <c r="T331" t="s">
        <v>123</v>
      </c>
      <c r="U331" s="11">
        <v>1775.95000000001</v>
      </c>
    </row>
    <row r="332" spans="3:21" ht="18.75">
      <c r="C332">
        <v>35</v>
      </c>
      <c r="D332" s="5">
        <v>45894</v>
      </c>
      <c r="E332" t="s">
        <v>121</v>
      </c>
      <c r="F332" s="11">
        <v>148.16</v>
      </c>
      <c r="H332">
        <v>10</v>
      </c>
      <c r="I332" s="5">
        <v>46083</v>
      </c>
      <c r="J332" t="s">
        <v>160</v>
      </c>
      <c r="K332" s="11">
        <v>4920.1999999999898</v>
      </c>
      <c r="R332" t="s">
        <v>203</v>
      </c>
      <c r="S332" s="5">
        <v>46143</v>
      </c>
      <c r="T332" t="s">
        <v>125</v>
      </c>
      <c r="U332" s="11">
        <v>333.42</v>
      </c>
    </row>
    <row r="333" spans="3:21" ht="18.75">
      <c r="C333">
        <v>35</v>
      </c>
      <c r="D333" s="5">
        <v>45894</v>
      </c>
      <c r="E333" t="s">
        <v>219</v>
      </c>
      <c r="F333" s="11">
        <v>451.85</v>
      </c>
      <c r="H333">
        <v>10</v>
      </c>
      <c r="I333" s="5">
        <v>46083</v>
      </c>
      <c r="J333" t="s">
        <v>174</v>
      </c>
      <c r="K333" s="11">
        <v>1037.5999999999999</v>
      </c>
      <c r="R333" t="s">
        <v>203</v>
      </c>
      <c r="S333" s="5">
        <v>46143</v>
      </c>
      <c r="T333" t="s">
        <v>136</v>
      </c>
      <c r="U333" s="11">
        <v>505.02999999999901</v>
      </c>
    </row>
    <row r="334" spans="3:21" ht="18.75">
      <c r="C334">
        <v>35</v>
      </c>
      <c r="D334" s="5">
        <v>45894</v>
      </c>
      <c r="E334" t="s">
        <v>142</v>
      </c>
      <c r="F334" s="11">
        <v>107.56</v>
      </c>
      <c r="H334">
        <v>10</v>
      </c>
      <c r="I334" s="5">
        <v>46083</v>
      </c>
      <c r="J334" t="s">
        <v>168</v>
      </c>
      <c r="K334" s="11">
        <v>395.81</v>
      </c>
      <c r="R334" t="s">
        <v>203</v>
      </c>
      <c r="S334" s="5">
        <v>46143</v>
      </c>
      <c r="T334" t="s">
        <v>150</v>
      </c>
      <c r="U334" s="11">
        <v>327.58999999999997</v>
      </c>
    </row>
    <row r="335" spans="3:21" ht="18.75">
      <c r="C335">
        <v>35</v>
      </c>
      <c r="D335" s="5">
        <v>45894</v>
      </c>
      <c r="E335" t="s">
        <v>127</v>
      </c>
      <c r="F335" s="11">
        <v>255.76</v>
      </c>
      <c r="H335">
        <v>10</v>
      </c>
      <c r="I335" s="5">
        <v>46083</v>
      </c>
      <c r="J335" t="s">
        <v>158</v>
      </c>
      <c r="K335" s="11">
        <v>735.27999999999895</v>
      </c>
      <c r="R335" t="s">
        <v>203</v>
      </c>
      <c r="S335" s="5">
        <v>46143</v>
      </c>
      <c r="T335" t="s">
        <v>126</v>
      </c>
      <c r="U335" s="11">
        <v>540.66999999999996</v>
      </c>
    </row>
    <row r="336" spans="3:21" ht="18.75">
      <c r="C336">
        <v>35</v>
      </c>
      <c r="D336" s="5">
        <v>45894</v>
      </c>
      <c r="E336" t="s">
        <v>126</v>
      </c>
      <c r="F336" s="11">
        <v>50.1</v>
      </c>
      <c r="H336">
        <v>10</v>
      </c>
      <c r="I336" s="5">
        <v>46083</v>
      </c>
      <c r="J336" t="s">
        <v>176</v>
      </c>
      <c r="K336" s="11">
        <v>67.679999999999893</v>
      </c>
      <c r="R336" t="s">
        <v>203</v>
      </c>
      <c r="S336" s="5">
        <v>46143</v>
      </c>
      <c r="T336" t="s">
        <v>127</v>
      </c>
      <c r="U336" s="11">
        <v>952.67999999999802</v>
      </c>
    </row>
    <row r="337" spans="3:21" ht="18.75">
      <c r="C337">
        <v>35</v>
      </c>
      <c r="D337" s="5">
        <v>45894</v>
      </c>
      <c r="E337" t="s">
        <v>135</v>
      </c>
      <c r="F337" s="11">
        <v>55.83</v>
      </c>
      <c r="H337">
        <v>10</v>
      </c>
      <c r="I337" s="5">
        <v>46083</v>
      </c>
      <c r="J337" t="s">
        <v>173</v>
      </c>
      <c r="K337" s="11">
        <v>1270.6500000000001</v>
      </c>
      <c r="R337" t="s">
        <v>203</v>
      </c>
      <c r="S337" s="5">
        <v>46143</v>
      </c>
      <c r="T337" t="s">
        <v>113</v>
      </c>
      <c r="U337" s="11">
        <v>860.19000000000199</v>
      </c>
    </row>
    <row r="338" spans="3:21" ht="18.75">
      <c r="C338">
        <v>35</v>
      </c>
      <c r="D338" s="5">
        <v>45894</v>
      </c>
      <c r="E338" t="s">
        <v>145</v>
      </c>
      <c r="F338" s="11">
        <v>356.45</v>
      </c>
      <c r="H338">
        <v>10</v>
      </c>
      <c r="I338" s="5">
        <v>46083</v>
      </c>
      <c r="J338" t="s">
        <v>171</v>
      </c>
      <c r="K338" s="11">
        <v>478.75000000000102</v>
      </c>
      <c r="R338" t="s">
        <v>203</v>
      </c>
      <c r="S338" s="5">
        <v>46143</v>
      </c>
      <c r="T338" t="s">
        <v>111</v>
      </c>
      <c r="U338" s="11">
        <v>540.719999999999</v>
      </c>
    </row>
    <row r="339" spans="3:21" ht="18.75">
      <c r="C339">
        <v>35</v>
      </c>
      <c r="D339" s="5">
        <v>45894</v>
      </c>
      <c r="E339" t="s">
        <v>124</v>
      </c>
      <c r="F339" s="11">
        <v>398.88</v>
      </c>
      <c r="H339">
        <v>10</v>
      </c>
      <c r="I339" s="5">
        <v>46083</v>
      </c>
      <c r="J339" t="s">
        <v>198</v>
      </c>
      <c r="K339" s="11">
        <v>301.92</v>
      </c>
      <c r="R339" t="s">
        <v>203</v>
      </c>
      <c r="S339" s="5">
        <v>46143</v>
      </c>
      <c r="T339" t="s">
        <v>216</v>
      </c>
      <c r="U339" s="11">
        <v>1428.5</v>
      </c>
    </row>
    <row r="340" spans="3:21" ht="18.75">
      <c r="C340">
        <v>35</v>
      </c>
      <c r="D340" s="5">
        <v>45894</v>
      </c>
      <c r="E340" t="s">
        <v>146</v>
      </c>
      <c r="F340" s="11">
        <v>470.39</v>
      </c>
      <c r="H340">
        <v>10</v>
      </c>
      <c r="I340" s="5">
        <v>46083</v>
      </c>
      <c r="J340" t="s">
        <v>201</v>
      </c>
      <c r="K340" s="11">
        <v>141.68</v>
      </c>
      <c r="R340" t="s">
        <v>205</v>
      </c>
      <c r="S340" s="5">
        <v>46174</v>
      </c>
      <c r="T340" t="s">
        <v>112</v>
      </c>
      <c r="U340" s="11">
        <v>297.18999999999971</v>
      </c>
    </row>
    <row r="341" spans="3:21" ht="18.75">
      <c r="C341">
        <v>35</v>
      </c>
      <c r="D341" s="5">
        <v>45894</v>
      </c>
      <c r="E341" t="s">
        <v>111</v>
      </c>
      <c r="F341" s="11">
        <v>209.18</v>
      </c>
      <c r="H341">
        <v>10</v>
      </c>
      <c r="I341" s="5">
        <v>46083</v>
      </c>
      <c r="J341" t="s">
        <v>170</v>
      </c>
      <c r="K341" s="11">
        <v>198</v>
      </c>
      <c r="R341" t="s">
        <v>205</v>
      </c>
      <c r="S341" s="5">
        <v>46174</v>
      </c>
      <c r="T341" t="s">
        <v>147</v>
      </c>
      <c r="U341" s="11">
        <v>1509.5800000000017</v>
      </c>
    </row>
    <row r="342" spans="3:21" ht="18.75">
      <c r="C342">
        <v>45</v>
      </c>
      <c r="D342" s="5">
        <v>45964</v>
      </c>
      <c r="E342" t="s">
        <v>117</v>
      </c>
      <c r="F342" s="11">
        <v>283.95</v>
      </c>
      <c r="H342">
        <v>10</v>
      </c>
      <c r="I342" s="5">
        <v>46083</v>
      </c>
      <c r="J342" t="s">
        <v>163</v>
      </c>
      <c r="K342" s="11">
        <v>322.50000000000102</v>
      </c>
      <c r="R342" t="s">
        <v>205</v>
      </c>
      <c r="S342" s="5">
        <v>46174</v>
      </c>
      <c r="T342" t="s">
        <v>115</v>
      </c>
      <c r="U342" s="11">
        <v>1440.5600000000013</v>
      </c>
    </row>
    <row r="343" spans="3:21" ht="18.75">
      <c r="C343">
        <v>45</v>
      </c>
      <c r="D343" s="5">
        <v>45964</v>
      </c>
      <c r="E343" t="s">
        <v>150</v>
      </c>
      <c r="F343" s="11">
        <v>65.27</v>
      </c>
      <c r="H343">
        <v>10</v>
      </c>
      <c r="I343" s="5">
        <v>46083</v>
      </c>
      <c r="J343" t="s">
        <v>165</v>
      </c>
      <c r="K343" s="11"/>
      <c r="R343" t="s">
        <v>205</v>
      </c>
      <c r="S343" s="5">
        <v>46174</v>
      </c>
      <c r="T343" t="s">
        <v>114</v>
      </c>
      <c r="U343" s="11">
        <v>1379.8600000000008</v>
      </c>
    </row>
    <row r="344" spans="3:21" ht="18.75">
      <c r="C344">
        <v>45</v>
      </c>
      <c r="D344" s="5">
        <v>45964</v>
      </c>
      <c r="E344" t="s">
        <v>143</v>
      </c>
      <c r="F344" s="11">
        <v>1413.84</v>
      </c>
      <c r="H344">
        <v>10</v>
      </c>
      <c r="I344" s="5">
        <v>46083</v>
      </c>
      <c r="J344" t="s">
        <v>172</v>
      </c>
      <c r="K344" s="11">
        <v>23.88</v>
      </c>
      <c r="R344" t="s">
        <v>205</v>
      </c>
      <c r="S344" s="5">
        <v>46174</v>
      </c>
      <c r="T344" t="s">
        <v>146</v>
      </c>
      <c r="U344" s="11">
        <v>2599.9899999999998</v>
      </c>
    </row>
    <row r="345" spans="3:21" ht="18.75">
      <c r="C345">
        <v>45</v>
      </c>
      <c r="D345" s="5">
        <v>45964</v>
      </c>
      <c r="E345" t="s">
        <v>136</v>
      </c>
      <c r="F345" s="11">
        <v>70.16</v>
      </c>
      <c r="H345">
        <v>10</v>
      </c>
      <c r="I345" s="5">
        <v>46083</v>
      </c>
      <c r="J345" t="s">
        <v>204</v>
      </c>
      <c r="K345" s="11">
        <v>3.41</v>
      </c>
      <c r="R345" t="s">
        <v>205</v>
      </c>
      <c r="S345" s="5">
        <v>46174</v>
      </c>
      <c r="T345" t="s">
        <v>150</v>
      </c>
      <c r="U345" s="11">
        <v>437.27999999999986</v>
      </c>
    </row>
    <row r="346" spans="3:21" ht="18.75">
      <c r="C346">
        <v>45</v>
      </c>
      <c r="D346" s="5">
        <v>45964</v>
      </c>
      <c r="E346" t="s">
        <v>112</v>
      </c>
      <c r="F346" s="11">
        <v>75.7</v>
      </c>
      <c r="H346">
        <v>11</v>
      </c>
      <c r="I346" s="5">
        <v>46090</v>
      </c>
      <c r="J346" t="s">
        <v>160</v>
      </c>
      <c r="K346" s="11">
        <v>5022.99999999998</v>
      </c>
      <c r="R346" t="s">
        <v>205</v>
      </c>
      <c r="S346" s="5">
        <v>46174</v>
      </c>
      <c r="T346" t="s">
        <v>133</v>
      </c>
      <c r="U346" s="11">
        <v>1539.0500000000034</v>
      </c>
    </row>
    <row r="347" spans="3:21" ht="18.75">
      <c r="C347">
        <v>45</v>
      </c>
      <c r="D347" s="5">
        <v>45964</v>
      </c>
      <c r="E347" t="s">
        <v>116</v>
      </c>
      <c r="F347" s="11">
        <v>98.8</v>
      </c>
      <c r="H347">
        <v>11</v>
      </c>
      <c r="I347" s="5">
        <v>46090</v>
      </c>
      <c r="J347" t="s">
        <v>169</v>
      </c>
      <c r="K347" s="11">
        <v>2082.4699999999698</v>
      </c>
      <c r="R347" t="s">
        <v>205</v>
      </c>
      <c r="S347" s="5">
        <v>46174</v>
      </c>
      <c r="T347" t="s">
        <v>136</v>
      </c>
      <c r="U347" s="11">
        <v>634.0600000000004</v>
      </c>
    </row>
    <row r="348" spans="3:21" ht="18.75">
      <c r="C348">
        <v>45</v>
      </c>
      <c r="D348" s="5">
        <v>45964</v>
      </c>
      <c r="E348" t="s">
        <v>146</v>
      </c>
      <c r="F348" s="11">
        <v>610.93000000000097</v>
      </c>
      <c r="H348">
        <v>11</v>
      </c>
      <c r="I348" s="5">
        <v>46090</v>
      </c>
      <c r="J348" t="s">
        <v>163</v>
      </c>
      <c r="K348" s="11">
        <v>243.81</v>
      </c>
      <c r="R348" t="s">
        <v>205</v>
      </c>
      <c r="S348" s="5">
        <v>46174</v>
      </c>
      <c r="T348" t="s">
        <v>134</v>
      </c>
      <c r="U348" s="11">
        <v>1575.8400000000056</v>
      </c>
    </row>
    <row r="349" spans="3:21" ht="18.75">
      <c r="C349">
        <v>45</v>
      </c>
      <c r="D349" s="5">
        <v>45964</v>
      </c>
      <c r="E349" t="s">
        <v>145</v>
      </c>
      <c r="F349" s="11">
        <v>337.55</v>
      </c>
      <c r="H349">
        <v>11</v>
      </c>
      <c r="I349" s="5">
        <v>46090</v>
      </c>
      <c r="J349" t="s">
        <v>168</v>
      </c>
      <c r="K349" s="11">
        <v>384.07</v>
      </c>
      <c r="R349" t="s">
        <v>205</v>
      </c>
      <c r="S349" s="5">
        <v>46174</v>
      </c>
      <c r="T349" t="s">
        <v>129</v>
      </c>
      <c r="U349" s="11">
        <v>1368.63</v>
      </c>
    </row>
    <row r="350" spans="3:21" ht="18.75">
      <c r="C350">
        <v>45</v>
      </c>
      <c r="D350" s="5">
        <v>45964</v>
      </c>
      <c r="E350" t="s">
        <v>219</v>
      </c>
      <c r="F350" s="11">
        <v>292.33999999999997</v>
      </c>
      <c r="H350">
        <v>11</v>
      </c>
      <c r="I350" s="5">
        <v>46090</v>
      </c>
      <c r="J350" t="s">
        <v>176</v>
      </c>
      <c r="K350" s="11">
        <v>164.16</v>
      </c>
      <c r="R350" t="s">
        <v>205</v>
      </c>
      <c r="S350" s="5">
        <v>46174</v>
      </c>
      <c r="T350" t="s">
        <v>138</v>
      </c>
      <c r="U350" s="11">
        <v>1871.7700000000016</v>
      </c>
    </row>
    <row r="351" spans="3:21" ht="18.75">
      <c r="C351">
        <v>45</v>
      </c>
      <c r="D351" s="5">
        <v>45964</v>
      </c>
      <c r="E351" t="s">
        <v>133</v>
      </c>
      <c r="F351" s="11">
        <v>340.87</v>
      </c>
      <c r="H351">
        <v>11</v>
      </c>
      <c r="I351" s="5">
        <v>46090</v>
      </c>
      <c r="J351" t="s">
        <v>158</v>
      </c>
      <c r="K351" s="11">
        <v>610.04</v>
      </c>
      <c r="R351" t="s">
        <v>205</v>
      </c>
      <c r="S351" s="5">
        <v>46174</v>
      </c>
      <c r="T351" t="s">
        <v>116</v>
      </c>
      <c r="U351" s="11">
        <v>413.29999999999961</v>
      </c>
    </row>
    <row r="352" spans="3:21" ht="18.75">
      <c r="C352">
        <v>45</v>
      </c>
      <c r="D352" s="5">
        <v>45964</v>
      </c>
      <c r="E352" t="s">
        <v>129</v>
      </c>
      <c r="F352" s="11">
        <v>410.33</v>
      </c>
      <c r="H352">
        <v>11</v>
      </c>
      <c r="I352" s="5">
        <v>46090</v>
      </c>
      <c r="J352" t="s">
        <v>174</v>
      </c>
      <c r="K352" s="11">
        <v>919.95999999999697</v>
      </c>
      <c r="R352" t="s">
        <v>205</v>
      </c>
      <c r="S352" s="5">
        <v>46174</v>
      </c>
      <c r="T352" t="s">
        <v>144</v>
      </c>
      <c r="U352" s="11">
        <v>3838.9999999999682</v>
      </c>
    </row>
    <row r="353" spans="3:21" ht="18.75">
      <c r="C353">
        <v>45</v>
      </c>
      <c r="D353" s="5">
        <v>45964</v>
      </c>
      <c r="E353" t="s">
        <v>141</v>
      </c>
      <c r="F353" s="11">
        <v>452.08000000000101</v>
      </c>
      <c r="H353">
        <v>11</v>
      </c>
      <c r="I353" s="5">
        <v>46090</v>
      </c>
      <c r="J353" t="s">
        <v>171</v>
      </c>
      <c r="K353" s="11">
        <v>397.5</v>
      </c>
      <c r="R353" t="s">
        <v>205</v>
      </c>
      <c r="S353" s="5">
        <v>46174</v>
      </c>
      <c r="T353" t="s">
        <v>119</v>
      </c>
      <c r="U353" s="11">
        <v>1287.2400000000025</v>
      </c>
    </row>
    <row r="354" spans="3:21" ht="18.75">
      <c r="C354">
        <v>45</v>
      </c>
      <c r="D354" s="5">
        <v>45964</v>
      </c>
      <c r="E354" t="s">
        <v>134</v>
      </c>
      <c r="F354" s="11">
        <v>480.67</v>
      </c>
      <c r="H354">
        <v>11</v>
      </c>
      <c r="I354" s="5">
        <v>46090</v>
      </c>
      <c r="J354" t="s">
        <v>173</v>
      </c>
      <c r="K354" s="11">
        <v>1247.7</v>
      </c>
      <c r="R354" t="s">
        <v>205</v>
      </c>
      <c r="S354" s="5">
        <v>46174</v>
      </c>
      <c r="T354" t="s">
        <v>216</v>
      </c>
      <c r="U354" s="11">
        <v>1629.9100000000003</v>
      </c>
    </row>
    <row r="355" spans="3:21" ht="18.75">
      <c r="C355">
        <v>45</v>
      </c>
      <c r="D355" s="5">
        <v>45964</v>
      </c>
      <c r="E355" t="s">
        <v>128</v>
      </c>
      <c r="F355" s="11">
        <v>234.78</v>
      </c>
      <c r="H355">
        <v>11</v>
      </c>
      <c r="I355" s="5">
        <v>46090</v>
      </c>
      <c r="J355" t="s">
        <v>201</v>
      </c>
      <c r="K355" s="11">
        <v>86.24</v>
      </c>
      <c r="R355" t="s">
        <v>205</v>
      </c>
      <c r="S355" s="5">
        <v>46174</v>
      </c>
      <c r="T355" t="s">
        <v>111</v>
      </c>
      <c r="U355" s="11">
        <v>746.89999999999907</v>
      </c>
    </row>
    <row r="356" spans="3:21" ht="18.75">
      <c r="C356">
        <v>45</v>
      </c>
      <c r="D356" s="5">
        <v>45964</v>
      </c>
      <c r="E356" t="s">
        <v>113</v>
      </c>
      <c r="F356" s="11">
        <v>218.23</v>
      </c>
      <c r="H356">
        <v>11</v>
      </c>
      <c r="I356" s="5">
        <v>46090</v>
      </c>
      <c r="J356" t="s">
        <v>165</v>
      </c>
      <c r="K356" s="11"/>
      <c r="R356" t="s">
        <v>205</v>
      </c>
      <c r="S356" s="5">
        <v>46174</v>
      </c>
      <c r="T356" t="s">
        <v>135</v>
      </c>
      <c r="U356" s="11">
        <v>327.2199999999998</v>
      </c>
    </row>
    <row r="357" spans="3:21" ht="18.75">
      <c r="C357">
        <v>45</v>
      </c>
      <c r="D357" s="5">
        <v>45964</v>
      </c>
      <c r="E357" t="s">
        <v>135</v>
      </c>
      <c r="F357" s="11">
        <v>71.239999999999995</v>
      </c>
      <c r="H357">
        <v>11</v>
      </c>
      <c r="I357" s="5">
        <v>46090</v>
      </c>
      <c r="J357" t="s">
        <v>170</v>
      </c>
      <c r="K357" s="11">
        <v>100</v>
      </c>
      <c r="R357" t="s">
        <v>205</v>
      </c>
      <c r="S357" s="5">
        <v>46174</v>
      </c>
      <c r="T357" t="s">
        <v>131</v>
      </c>
      <c r="U357" s="11">
        <v>1051.170000000001</v>
      </c>
    </row>
    <row r="358" spans="3:21" ht="18.75">
      <c r="C358">
        <v>45</v>
      </c>
      <c r="D358" s="5">
        <v>45964</v>
      </c>
      <c r="E358" t="s">
        <v>122</v>
      </c>
      <c r="F358" s="11">
        <v>390.71</v>
      </c>
      <c r="H358">
        <v>11</v>
      </c>
      <c r="I358" s="5">
        <v>46090</v>
      </c>
      <c r="J358" t="s">
        <v>198</v>
      </c>
      <c r="K358" s="11">
        <v>351.05</v>
      </c>
      <c r="R358" t="s">
        <v>205</v>
      </c>
      <c r="S358" s="5">
        <v>46174</v>
      </c>
      <c r="T358" t="s">
        <v>143</v>
      </c>
      <c r="U358" s="11">
        <v>2658.1499999999937</v>
      </c>
    </row>
    <row r="359" spans="3:21" ht="18.75">
      <c r="C359">
        <v>45</v>
      </c>
      <c r="D359" s="5">
        <v>45964</v>
      </c>
      <c r="E359" t="s">
        <v>139</v>
      </c>
      <c r="F359" s="11">
        <v>183.48</v>
      </c>
      <c r="H359">
        <v>11</v>
      </c>
      <c r="I359" s="5">
        <v>46090</v>
      </c>
      <c r="J359" t="s">
        <v>172</v>
      </c>
      <c r="K359" s="11">
        <v>43.78</v>
      </c>
      <c r="R359" t="s">
        <v>205</v>
      </c>
      <c r="S359" s="5">
        <v>46174</v>
      </c>
      <c r="T359" t="s">
        <v>139</v>
      </c>
      <c r="U359" s="11">
        <v>948.62000000000012</v>
      </c>
    </row>
    <row r="360" spans="3:21" ht="18.75">
      <c r="C360">
        <v>45</v>
      </c>
      <c r="D360" s="5">
        <v>45964</v>
      </c>
      <c r="E360" t="s">
        <v>140</v>
      </c>
      <c r="F360" s="11">
        <v>311.91000000000003</v>
      </c>
      <c r="H360">
        <v>11</v>
      </c>
      <c r="I360" s="5">
        <v>46090</v>
      </c>
      <c r="J360" t="s">
        <v>204</v>
      </c>
      <c r="K360" s="11">
        <v>3.72</v>
      </c>
      <c r="R360" t="s">
        <v>205</v>
      </c>
      <c r="S360" s="5">
        <v>46174</v>
      </c>
      <c r="T360" t="s">
        <v>128</v>
      </c>
      <c r="U360" s="11">
        <v>828.25000000000102</v>
      </c>
    </row>
    <row r="361" spans="3:21" ht="18.75">
      <c r="C361">
        <v>45</v>
      </c>
      <c r="D361" s="5">
        <v>45964</v>
      </c>
      <c r="E361" t="s">
        <v>118</v>
      </c>
      <c r="F361" s="11">
        <v>171.93</v>
      </c>
      <c r="H361">
        <v>11</v>
      </c>
      <c r="I361" s="5">
        <v>46090</v>
      </c>
      <c r="J361" t="s">
        <v>167</v>
      </c>
      <c r="K361" s="11">
        <v>61</v>
      </c>
      <c r="R361" t="s">
        <v>205</v>
      </c>
      <c r="S361" s="5">
        <v>46174</v>
      </c>
      <c r="T361" t="s">
        <v>132</v>
      </c>
      <c r="U361" s="11">
        <v>844.7400000000008</v>
      </c>
    </row>
    <row r="362" spans="3:21" ht="18.75">
      <c r="C362">
        <v>45</v>
      </c>
      <c r="D362" s="5">
        <v>45964</v>
      </c>
      <c r="E362" t="s">
        <v>127</v>
      </c>
      <c r="F362" s="11">
        <v>278.52999999999997</v>
      </c>
      <c r="H362">
        <v>11</v>
      </c>
      <c r="I362" s="5">
        <v>46090</v>
      </c>
      <c r="J362" t="s">
        <v>164</v>
      </c>
      <c r="K362" s="11">
        <v>3.6</v>
      </c>
      <c r="R362" t="s">
        <v>205</v>
      </c>
      <c r="S362" s="5">
        <v>46174</v>
      </c>
      <c r="T362" t="s">
        <v>130</v>
      </c>
      <c r="U362" s="11">
        <v>1329.6400000000019</v>
      </c>
    </row>
    <row r="363" spans="3:21" ht="18.75">
      <c r="C363">
        <v>45</v>
      </c>
      <c r="D363" s="5">
        <v>45964</v>
      </c>
      <c r="E363" t="s">
        <v>114</v>
      </c>
      <c r="F363" s="11">
        <v>274.45</v>
      </c>
      <c r="H363">
        <v>12</v>
      </c>
      <c r="I363" s="5">
        <v>46097</v>
      </c>
      <c r="J363" t="s">
        <v>173</v>
      </c>
      <c r="K363" s="11">
        <v>1213.25</v>
      </c>
      <c r="R363" t="s">
        <v>205</v>
      </c>
      <c r="S363" s="5">
        <v>46174</v>
      </c>
      <c r="T363" t="s">
        <v>118</v>
      </c>
      <c r="U363" s="11">
        <v>717.78999999999962</v>
      </c>
    </row>
    <row r="364" spans="3:21" ht="18.75">
      <c r="C364">
        <v>45</v>
      </c>
      <c r="D364" s="5">
        <v>45964</v>
      </c>
      <c r="E364" t="s">
        <v>126</v>
      </c>
      <c r="F364" s="11">
        <v>92.05</v>
      </c>
      <c r="H364">
        <v>12</v>
      </c>
      <c r="I364" s="5">
        <v>46097</v>
      </c>
      <c r="J364" t="s">
        <v>160</v>
      </c>
      <c r="K364" s="11">
        <v>5009.53999999997</v>
      </c>
      <c r="R364" t="s">
        <v>205</v>
      </c>
      <c r="S364" s="5">
        <v>46174</v>
      </c>
      <c r="T364" t="s">
        <v>142</v>
      </c>
      <c r="U364" s="11">
        <v>614.55999999999972</v>
      </c>
    </row>
    <row r="365" spans="3:21" ht="18.75">
      <c r="C365">
        <v>45</v>
      </c>
      <c r="D365" s="5">
        <v>45964</v>
      </c>
      <c r="E365" t="s">
        <v>149</v>
      </c>
      <c r="F365" s="11">
        <v>123.77</v>
      </c>
      <c r="H365">
        <v>12</v>
      </c>
      <c r="I365" s="5">
        <v>46097</v>
      </c>
      <c r="J365" t="s">
        <v>176</v>
      </c>
      <c r="K365" s="11">
        <v>121.2</v>
      </c>
      <c r="R365" t="s">
        <v>205</v>
      </c>
      <c r="S365" s="5">
        <v>46174</v>
      </c>
      <c r="T365" t="s">
        <v>145</v>
      </c>
      <c r="U365" s="11">
        <v>752.98000000000036</v>
      </c>
    </row>
    <row r="366" spans="3:21" ht="18.75">
      <c r="C366">
        <v>45</v>
      </c>
      <c r="D366" s="5">
        <v>45964</v>
      </c>
      <c r="E366" t="s">
        <v>125</v>
      </c>
      <c r="F366" s="11">
        <v>70.78</v>
      </c>
      <c r="H366">
        <v>12</v>
      </c>
      <c r="I366" s="5">
        <v>46097</v>
      </c>
      <c r="J366" t="s">
        <v>169</v>
      </c>
      <c r="K366" s="11">
        <v>2077.5600000000099</v>
      </c>
      <c r="R366" t="s">
        <v>205</v>
      </c>
      <c r="S366" s="5">
        <v>46174</v>
      </c>
      <c r="T366" t="s">
        <v>151</v>
      </c>
      <c r="U366" s="11">
        <v>3125.7499999999877</v>
      </c>
    </row>
    <row r="367" spans="3:21" ht="18.75">
      <c r="C367">
        <v>45</v>
      </c>
      <c r="D367" s="5">
        <v>45964</v>
      </c>
      <c r="E367" t="s">
        <v>138</v>
      </c>
      <c r="F367" s="11">
        <v>439.02</v>
      </c>
      <c r="H367">
        <v>12</v>
      </c>
      <c r="I367" s="5">
        <v>46097</v>
      </c>
      <c r="J367" t="s">
        <v>168</v>
      </c>
      <c r="K367" s="11">
        <v>548.65999999999804</v>
      </c>
      <c r="R367" t="s">
        <v>205</v>
      </c>
      <c r="S367" s="5">
        <v>46174</v>
      </c>
      <c r="T367" t="s">
        <v>141</v>
      </c>
      <c r="U367" s="11">
        <v>1917.7500000000073</v>
      </c>
    </row>
    <row r="368" spans="3:21" ht="18.75">
      <c r="C368">
        <v>45</v>
      </c>
      <c r="D368" s="5">
        <v>45964</v>
      </c>
      <c r="E368" t="s">
        <v>123</v>
      </c>
      <c r="F368" s="11">
        <v>426.32</v>
      </c>
      <c r="H368">
        <v>12</v>
      </c>
      <c r="I368" s="5">
        <v>46097</v>
      </c>
      <c r="J368" t="s">
        <v>163</v>
      </c>
      <c r="K368" s="11">
        <v>303.14999999999998</v>
      </c>
      <c r="R368" t="s">
        <v>205</v>
      </c>
      <c r="S368" s="5">
        <v>46174</v>
      </c>
      <c r="T368" t="s">
        <v>122</v>
      </c>
      <c r="U368" s="11">
        <v>1117.9200000000021</v>
      </c>
    </row>
    <row r="369" spans="3:21" ht="18.75">
      <c r="C369">
        <v>45</v>
      </c>
      <c r="D369" s="5">
        <v>45964</v>
      </c>
      <c r="E369" t="s">
        <v>119</v>
      </c>
      <c r="F369" s="11">
        <v>430.56</v>
      </c>
      <c r="H369">
        <v>12</v>
      </c>
      <c r="I369" s="5">
        <v>46097</v>
      </c>
      <c r="J369" t="s">
        <v>167</v>
      </c>
      <c r="K369" s="11">
        <v>518.50000000000102</v>
      </c>
      <c r="R369" t="s">
        <v>205</v>
      </c>
      <c r="S369" s="5">
        <v>46174</v>
      </c>
      <c r="T369" t="s">
        <v>113</v>
      </c>
      <c r="U369" s="11">
        <v>1078.3900000000024</v>
      </c>
    </row>
    <row r="370" spans="3:21" ht="18.75">
      <c r="C370">
        <v>45</v>
      </c>
      <c r="D370" s="5">
        <v>45964</v>
      </c>
      <c r="E370" t="s">
        <v>132</v>
      </c>
      <c r="F370" s="11">
        <v>157.38999999999999</v>
      </c>
      <c r="H370">
        <v>12</v>
      </c>
      <c r="I370" s="5">
        <v>46097</v>
      </c>
      <c r="J370" t="s">
        <v>170</v>
      </c>
      <c r="K370" s="11">
        <v>98</v>
      </c>
      <c r="R370" t="s">
        <v>205</v>
      </c>
      <c r="S370" s="5">
        <v>46174</v>
      </c>
      <c r="T370" t="s">
        <v>120</v>
      </c>
      <c r="U370" s="11">
        <v>363.22999999999979</v>
      </c>
    </row>
    <row r="371" spans="3:21" ht="18.75">
      <c r="C371">
        <v>45</v>
      </c>
      <c r="D371" s="5">
        <v>45964</v>
      </c>
      <c r="E371" t="s">
        <v>111</v>
      </c>
      <c r="F371" s="11">
        <v>249.72</v>
      </c>
      <c r="H371">
        <v>12</v>
      </c>
      <c r="I371" s="5">
        <v>46097</v>
      </c>
      <c r="J371" t="s">
        <v>174</v>
      </c>
      <c r="K371" s="11">
        <v>818.15999999999804</v>
      </c>
      <c r="R371" t="s">
        <v>205</v>
      </c>
      <c r="S371" s="5">
        <v>46174</v>
      </c>
      <c r="T371" t="s">
        <v>125</v>
      </c>
      <c r="U371" s="11">
        <v>400.31999999999977</v>
      </c>
    </row>
    <row r="372" spans="3:21" ht="18.75">
      <c r="C372">
        <v>45</v>
      </c>
      <c r="D372" s="5">
        <v>45964</v>
      </c>
      <c r="E372" t="s">
        <v>137</v>
      </c>
      <c r="F372" s="11">
        <v>84.73</v>
      </c>
      <c r="H372">
        <v>12</v>
      </c>
      <c r="I372" s="5">
        <v>46097</v>
      </c>
      <c r="J372" t="s">
        <v>158</v>
      </c>
      <c r="K372" s="11">
        <v>678.72</v>
      </c>
      <c r="R372" t="s">
        <v>205</v>
      </c>
      <c r="S372" s="5">
        <v>46174</v>
      </c>
      <c r="T372" t="s">
        <v>117</v>
      </c>
      <c r="U372" s="11">
        <v>1105.120000000001</v>
      </c>
    </row>
    <row r="373" spans="3:21" ht="18.75">
      <c r="C373">
        <v>45</v>
      </c>
      <c r="D373" s="5">
        <v>45964</v>
      </c>
      <c r="E373" t="s">
        <v>142</v>
      </c>
      <c r="F373" s="11">
        <v>240.48</v>
      </c>
      <c r="H373">
        <v>12</v>
      </c>
      <c r="I373" s="5">
        <v>46097</v>
      </c>
      <c r="J373" t="s">
        <v>198</v>
      </c>
      <c r="K373" s="11">
        <v>384.8</v>
      </c>
      <c r="R373" t="s">
        <v>205</v>
      </c>
      <c r="S373" s="5">
        <v>46174</v>
      </c>
      <c r="T373" t="s">
        <v>137</v>
      </c>
      <c r="U373" s="11">
        <v>410.65999999999997</v>
      </c>
    </row>
    <row r="374" spans="3:21" ht="18.75">
      <c r="C374">
        <v>45</v>
      </c>
      <c r="D374" s="5">
        <v>45964</v>
      </c>
      <c r="E374" t="s">
        <v>121</v>
      </c>
      <c r="F374" s="11">
        <v>124.87</v>
      </c>
      <c r="H374">
        <v>12</v>
      </c>
      <c r="I374" s="5">
        <v>46097</v>
      </c>
      <c r="J374" t="s">
        <v>165</v>
      </c>
      <c r="K374" s="11">
        <v>276.8</v>
      </c>
      <c r="R374" t="s">
        <v>205</v>
      </c>
      <c r="S374" s="5">
        <v>46174</v>
      </c>
      <c r="T374" t="s">
        <v>127</v>
      </c>
      <c r="U374" s="11">
        <v>1130.7600000000007</v>
      </c>
    </row>
    <row r="375" spans="3:21" ht="18.75">
      <c r="C375">
        <v>45</v>
      </c>
      <c r="D375" s="5">
        <v>45964</v>
      </c>
      <c r="E375" t="s">
        <v>120</v>
      </c>
      <c r="F375" s="11">
        <v>168.89</v>
      </c>
      <c r="H375">
        <v>12</v>
      </c>
      <c r="I375" s="5">
        <v>46097</v>
      </c>
      <c r="J375" t="s">
        <v>172</v>
      </c>
      <c r="K375" s="11">
        <v>75.62</v>
      </c>
      <c r="R375" t="s">
        <v>205</v>
      </c>
      <c r="S375" s="5">
        <v>46174</v>
      </c>
      <c r="T375" t="s">
        <v>126</v>
      </c>
      <c r="U375" s="11">
        <v>591.63</v>
      </c>
    </row>
    <row r="376" spans="3:21" ht="18.75">
      <c r="C376">
        <v>45</v>
      </c>
      <c r="D376" s="5">
        <v>45964</v>
      </c>
      <c r="E376" t="s">
        <v>124</v>
      </c>
      <c r="F376" s="11">
        <v>435.74</v>
      </c>
      <c r="H376">
        <v>12</v>
      </c>
      <c r="I376" s="5">
        <v>46097</v>
      </c>
      <c r="J376" t="s">
        <v>171</v>
      </c>
      <c r="K376" s="11">
        <v>25.91</v>
      </c>
      <c r="R376" t="s">
        <v>205</v>
      </c>
      <c r="S376" s="5">
        <v>46174</v>
      </c>
      <c r="T376" t="s">
        <v>123</v>
      </c>
      <c r="U376" s="11">
        <v>1645.1100000000035</v>
      </c>
    </row>
    <row r="377" spans="3:21" ht="18.75">
      <c r="C377">
        <v>34</v>
      </c>
      <c r="D377" s="5">
        <v>45887</v>
      </c>
      <c r="E377" t="s">
        <v>113</v>
      </c>
      <c r="F377" s="11">
        <v>462.4</v>
      </c>
      <c r="H377">
        <v>12</v>
      </c>
      <c r="I377" s="5">
        <v>46097</v>
      </c>
      <c r="J377" t="s">
        <v>201</v>
      </c>
      <c r="K377" s="11">
        <v>24.64</v>
      </c>
      <c r="R377" t="s">
        <v>205</v>
      </c>
      <c r="S377" s="5">
        <v>46174</v>
      </c>
      <c r="T377" t="s">
        <v>121</v>
      </c>
      <c r="U377" s="11">
        <v>530.7499999999992</v>
      </c>
    </row>
    <row r="378" spans="3:21" ht="18.75">
      <c r="C378">
        <v>34</v>
      </c>
      <c r="D378" s="5">
        <v>45887</v>
      </c>
      <c r="E378" t="s">
        <v>117</v>
      </c>
      <c r="F378" s="11">
        <v>277.16000000000003</v>
      </c>
      <c r="H378">
        <v>12</v>
      </c>
      <c r="I378" s="5">
        <v>46097</v>
      </c>
      <c r="J378" t="s">
        <v>207</v>
      </c>
      <c r="K378" s="11">
        <v>260.7</v>
      </c>
      <c r="R378" t="s">
        <v>205</v>
      </c>
      <c r="S378" s="5">
        <v>46174</v>
      </c>
      <c r="T378" t="s">
        <v>148</v>
      </c>
      <c r="U378" s="11">
        <v>373.97999999999973</v>
      </c>
    </row>
    <row r="379" spans="3:21" ht="18.75">
      <c r="C379">
        <v>34</v>
      </c>
      <c r="D379" s="5">
        <v>45887</v>
      </c>
      <c r="E379" t="s">
        <v>114</v>
      </c>
      <c r="F379" s="11">
        <v>230.12</v>
      </c>
      <c r="H379">
        <v>14</v>
      </c>
      <c r="I379" s="5">
        <v>46111</v>
      </c>
      <c r="J379" t="s">
        <v>158</v>
      </c>
      <c r="K379" s="11">
        <v>755.479999999999</v>
      </c>
      <c r="R379" t="s">
        <v>205</v>
      </c>
      <c r="S379" s="5">
        <v>46174</v>
      </c>
      <c r="T379" t="s">
        <v>124</v>
      </c>
      <c r="U379" s="11">
        <v>1650.670000000003</v>
      </c>
    </row>
    <row r="380" spans="3:21" ht="18.75">
      <c r="C380">
        <v>34</v>
      </c>
      <c r="D380" s="5">
        <v>45887</v>
      </c>
      <c r="E380" t="s">
        <v>150</v>
      </c>
      <c r="F380" s="11">
        <v>66.47</v>
      </c>
      <c r="H380">
        <v>14</v>
      </c>
      <c r="I380" s="5">
        <v>46111</v>
      </c>
      <c r="J380" t="s">
        <v>168</v>
      </c>
      <c r="K380" s="11">
        <v>548.09999999999798</v>
      </c>
      <c r="R380" t="s">
        <v>205</v>
      </c>
      <c r="S380" s="5">
        <v>46174</v>
      </c>
      <c r="T380" t="s">
        <v>218</v>
      </c>
      <c r="U380" s="11">
        <v>706.92999999999938</v>
      </c>
    </row>
    <row r="381" spans="3:21" ht="18.75">
      <c r="C381">
        <v>34</v>
      </c>
      <c r="D381" s="5">
        <v>45887</v>
      </c>
      <c r="E381" t="s">
        <v>118</v>
      </c>
      <c r="F381" s="11">
        <v>173.45</v>
      </c>
      <c r="H381">
        <v>14</v>
      </c>
      <c r="I381" s="5">
        <v>46111</v>
      </c>
      <c r="J381" t="s">
        <v>160</v>
      </c>
      <c r="K381" s="11">
        <v>5683.4399999999496</v>
      </c>
    </row>
    <row r="382" spans="3:21" ht="18.75">
      <c r="C382">
        <v>34</v>
      </c>
      <c r="D382" s="5">
        <v>45887</v>
      </c>
      <c r="E382" t="s">
        <v>129</v>
      </c>
      <c r="F382" s="11">
        <v>406.71</v>
      </c>
      <c r="H382">
        <v>14</v>
      </c>
      <c r="I382" s="5">
        <v>46111</v>
      </c>
      <c r="J382" t="s">
        <v>169</v>
      </c>
      <c r="K382" s="11">
        <v>2151.9100000000099</v>
      </c>
    </row>
    <row r="383" spans="3:21" ht="18.75">
      <c r="C383">
        <v>34</v>
      </c>
      <c r="D383" s="5">
        <v>45887</v>
      </c>
      <c r="E383" t="s">
        <v>111</v>
      </c>
      <c r="F383" s="11">
        <v>174.91</v>
      </c>
      <c r="H383">
        <v>14</v>
      </c>
      <c r="I383" s="5">
        <v>46111</v>
      </c>
      <c r="J383" t="s">
        <v>171</v>
      </c>
      <c r="K383" s="11">
        <v>974.69999999999902</v>
      </c>
    </row>
    <row r="384" spans="3:21" ht="18.75">
      <c r="C384">
        <v>34</v>
      </c>
      <c r="D384" s="5">
        <v>45887</v>
      </c>
      <c r="E384" t="s">
        <v>139</v>
      </c>
      <c r="F384" s="11">
        <v>255.34</v>
      </c>
      <c r="H384">
        <v>14</v>
      </c>
      <c r="I384" s="5">
        <v>46111</v>
      </c>
      <c r="J384" t="s">
        <v>163</v>
      </c>
      <c r="K384" s="11">
        <v>384.42000000000201</v>
      </c>
    </row>
    <row r="385" spans="3:11" ht="18.75">
      <c r="C385">
        <v>34</v>
      </c>
      <c r="D385" s="5">
        <v>45887</v>
      </c>
      <c r="E385" t="s">
        <v>116</v>
      </c>
      <c r="F385" s="11">
        <v>90.01</v>
      </c>
      <c r="H385">
        <v>14</v>
      </c>
      <c r="I385" s="5">
        <v>46111</v>
      </c>
      <c r="J385" t="s">
        <v>174</v>
      </c>
      <c r="K385" s="11">
        <v>421.53</v>
      </c>
    </row>
    <row r="386" spans="3:11" ht="18.75">
      <c r="C386">
        <v>34</v>
      </c>
      <c r="D386" s="5">
        <v>45887</v>
      </c>
      <c r="E386" t="s">
        <v>136</v>
      </c>
      <c r="F386" s="11">
        <v>65.83</v>
      </c>
      <c r="H386">
        <v>14</v>
      </c>
      <c r="I386" s="5">
        <v>46111</v>
      </c>
      <c r="J386" t="s">
        <v>173</v>
      </c>
      <c r="K386" s="11">
        <v>1227.75</v>
      </c>
    </row>
    <row r="387" spans="3:11" ht="18.75">
      <c r="C387">
        <v>34</v>
      </c>
      <c r="D387" s="5">
        <v>45887</v>
      </c>
      <c r="E387" t="s">
        <v>138</v>
      </c>
      <c r="F387" s="11">
        <v>390.82</v>
      </c>
      <c r="H387">
        <v>14</v>
      </c>
      <c r="I387" s="5">
        <v>46111</v>
      </c>
      <c r="J387" t="s">
        <v>198</v>
      </c>
      <c r="K387" s="11">
        <v>433.03</v>
      </c>
    </row>
    <row r="388" spans="3:11" ht="18.75">
      <c r="C388">
        <v>34</v>
      </c>
      <c r="D388" s="5">
        <v>45887</v>
      </c>
      <c r="E388" t="s">
        <v>128</v>
      </c>
      <c r="F388" s="11">
        <v>221.86</v>
      </c>
      <c r="H388">
        <v>14</v>
      </c>
      <c r="I388" s="5">
        <v>46111</v>
      </c>
      <c r="J388" t="s">
        <v>172</v>
      </c>
      <c r="K388" s="11">
        <v>47.76</v>
      </c>
    </row>
    <row r="389" spans="3:11" ht="18.75">
      <c r="C389">
        <v>34</v>
      </c>
      <c r="D389" s="5">
        <v>45887</v>
      </c>
      <c r="E389" t="s">
        <v>119</v>
      </c>
      <c r="F389" s="11">
        <v>381.47</v>
      </c>
      <c r="H389">
        <v>14</v>
      </c>
      <c r="I389" s="5">
        <v>46111</v>
      </c>
      <c r="J389" t="s">
        <v>165</v>
      </c>
      <c r="K389" s="11">
        <v>22.5</v>
      </c>
    </row>
    <row r="390" spans="3:11" ht="18.75">
      <c r="C390">
        <v>34</v>
      </c>
      <c r="D390" s="5">
        <v>45887</v>
      </c>
      <c r="E390" t="s">
        <v>149</v>
      </c>
      <c r="F390" s="11">
        <v>126.54</v>
      </c>
      <c r="H390">
        <v>14</v>
      </c>
      <c r="I390" s="5">
        <v>46111</v>
      </c>
      <c r="J390" t="s">
        <v>170</v>
      </c>
      <c r="K390" s="11">
        <v>128</v>
      </c>
    </row>
    <row r="391" spans="3:11" ht="18.75">
      <c r="C391">
        <v>34</v>
      </c>
      <c r="D391" s="5">
        <v>45887</v>
      </c>
      <c r="E391" t="s">
        <v>140</v>
      </c>
      <c r="F391" s="11">
        <v>55.71</v>
      </c>
      <c r="H391">
        <v>14</v>
      </c>
      <c r="I391" s="5">
        <v>46111</v>
      </c>
      <c r="J391" t="s">
        <v>176</v>
      </c>
      <c r="K391" s="11">
        <v>95.4</v>
      </c>
    </row>
    <row r="392" spans="3:11" ht="18.75">
      <c r="C392">
        <v>34</v>
      </c>
      <c r="D392" s="5">
        <v>45887</v>
      </c>
      <c r="E392" t="s">
        <v>141</v>
      </c>
      <c r="F392" s="11">
        <v>348.09</v>
      </c>
      <c r="H392">
        <v>14</v>
      </c>
      <c r="I392" s="5">
        <v>46111</v>
      </c>
      <c r="J392" t="s">
        <v>204</v>
      </c>
      <c r="K392" s="11">
        <v>0.62</v>
      </c>
    </row>
    <row r="393" spans="3:11" ht="18.75">
      <c r="C393">
        <v>34</v>
      </c>
      <c r="D393" s="5">
        <v>45887</v>
      </c>
      <c r="E393" t="s">
        <v>126</v>
      </c>
      <c r="F393" s="11">
        <v>70.5</v>
      </c>
      <c r="H393">
        <v>14</v>
      </c>
      <c r="I393" s="5">
        <v>46111</v>
      </c>
      <c r="J393" t="s">
        <v>206</v>
      </c>
      <c r="K393" s="11">
        <v>23.1</v>
      </c>
    </row>
    <row r="394" spans="3:11" ht="18.75">
      <c r="C394">
        <v>34</v>
      </c>
      <c r="D394" s="5">
        <v>45887</v>
      </c>
      <c r="E394" t="s">
        <v>127</v>
      </c>
      <c r="F394" s="11">
        <v>276.08999999999997</v>
      </c>
      <c r="H394">
        <v>13</v>
      </c>
      <c r="I394" s="5">
        <v>46104</v>
      </c>
      <c r="J394" t="s">
        <v>160</v>
      </c>
      <c r="K394" s="11">
        <v>5124.0699999999197</v>
      </c>
    </row>
    <row r="395" spans="3:11" ht="18.75">
      <c r="C395">
        <v>34</v>
      </c>
      <c r="D395" s="5">
        <v>45887</v>
      </c>
      <c r="E395" t="s">
        <v>122</v>
      </c>
      <c r="F395" s="11">
        <v>185.04</v>
      </c>
      <c r="H395">
        <v>13</v>
      </c>
      <c r="I395" s="5">
        <v>46104</v>
      </c>
      <c r="J395" t="s">
        <v>169</v>
      </c>
      <c r="K395" s="11">
        <v>2211.3000000000102</v>
      </c>
    </row>
    <row r="396" spans="3:11" ht="18.75">
      <c r="C396">
        <v>34</v>
      </c>
      <c r="D396" s="5">
        <v>45887</v>
      </c>
      <c r="E396" t="s">
        <v>134</v>
      </c>
      <c r="F396" s="11">
        <v>272.26</v>
      </c>
      <c r="H396">
        <v>13</v>
      </c>
      <c r="I396" s="5">
        <v>46104</v>
      </c>
      <c r="J396" t="s">
        <v>168</v>
      </c>
      <c r="K396" s="11">
        <v>490.16999999999899</v>
      </c>
    </row>
    <row r="397" spans="3:11" ht="18.75">
      <c r="C397">
        <v>34</v>
      </c>
      <c r="D397" s="5">
        <v>45887</v>
      </c>
      <c r="E397" t="s">
        <v>133</v>
      </c>
      <c r="F397" s="11">
        <v>250.62</v>
      </c>
      <c r="H397">
        <v>13</v>
      </c>
      <c r="I397" s="5">
        <v>46104</v>
      </c>
      <c r="J397" t="s">
        <v>163</v>
      </c>
      <c r="K397" s="11">
        <v>371.520000000001</v>
      </c>
    </row>
    <row r="398" spans="3:11" ht="18.75">
      <c r="C398">
        <v>34</v>
      </c>
      <c r="D398" s="5">
        <v>45887</v>
      </c>
      <c r="E398" t="s">
        <v>125</v>
      </c>
      <c r="F398" s="11">
        <v>75.95</v>
      </c>
      <c r="H398">
        <v>13</v>
      </c>
      <c r="I398" s="5">
        <v>46104</v>
      </c>
      <c r="J398" t="s">
        <v>176</v>
      </c>
      <c r="K398" s="11">
        <v>94.8</v>
      </c>
    </row>
    <row r="399" spans="3:11" ht="18.75">
      <c r="C399">
        <v>34</v>
      </c>
      <c r="D399" s="5">
        <v>45887</v>
      </c>
      <c r="E399" t="s">
        <v>121</v>
      </c>
      <c r="F399" s="11">
        <v>60.15</v>
      </c>
      <c r="H399">
        <v>13</v>
      </c>
      <c r="I399" s="5">
        <v>46104</v>
      </c>
      <c r="J399" t="s">
        <v>173</v>
      </c>
      <c r="K399" s="11">
        <v>925.39999999999895</v>
      </c>
    </row>
    <row r="400" spans="3:11" ht="18.75">
      <c r="C400">
        <v>34</v>
      </c>
      <c r="D400" s="5">
        <v>45887</v>
      </c>
      <c r="E400" t="s">
        <v>142</v>
      </c>
      <c r="F400" s="11">
        <v>84.05</v>
      </c>
      <c r="H400">
        <v>13</v>
      </c>
      <c r="I400" s="5">
        <v>46104</v>
      </c>
      <c r="J400" t="s">
        <v>171</v>
      </c>
      <c r="K400" s="11">
        <v>1081.3600000000099</v>
      </c>
    </row>
    <row r="401" spans="3:11" ht="18.75">
      <c r="C401">
        <v>34</v>
      </c>
      <c r="D401" s="5">
        <v>45887</v>
      </c>
      <c r="E401" t="s">
        <v>219</v>
      </c>
      <c r="F401" s="11">
        <v>407.94999999999902</v>
      </c>
      <c r="H401">
        <v>13</v>
      </c>
      <c r="I401" s="5">
        <v>46104</v>
      </c>
      <c r="J401" t="s">
        <v>158</v>
      </c>
      <c r="K401" s="11">
        <v>735.27999999999895</v>
      </c>
    </row>
    <row r="402" spans="3:11" ht="18.75">
      <c r="C402">
        <v>34</v>
      </c>
      <c r="D402" s="5">
        <v>45887</v>
      </c>
      <c r="E402" t="s">
        <v>137</v>
      </c>
      <c r="F402" s="11">
        <v>57.66</v>
      </c>
      <c r="H402">
        <v>13</v>
      </c>
      <c r="I402" s="5">
        <v>46104</v>
      </c>
      <c r="J402" t="s">
        <v>165</v>
      </c>
      <c r="K402" s="11">
        <v>244.1</v>
      </c>
    </row>
    <row r="403" spans="3:11" ht="18.75">
      <c r="C403">
        <v>34</v>
      </c>
      <c r="D403" s="5">
        <v>45887</v>
      </c>
      <c r="E403" t="s">
        <v>135</v>
      </c>
      <c r="F403" s="11">
        <v>40.28</v>
      </c>
      <c r="H403">
        <v>13</v>
      </c>
      <c r="I403" s="5">
        <v>46104</v>
      </c>
      <c r="J403" t="s">
        <v>198</v>
      </c>
      <c r="K403" s="11">
        <v>384.8</v>
      </c>
    </row>
    <row r="404" spans="3:11" ht="18.75">
      <c r="C404">
        <v>34</v>
      </c>
      <c r="D404" s="5">
        <v>45887</v>
      </c>
      <c r="E404" t="s">
        <v>123</v>
      </c>
      <c r="F404" s="11">
        <v>346.27</v>
      </c>
      <c r="H404">
        <v>13</v>
      </c>
      <c r="I404" s="5">
        <v>46104</v>
      </c>
      <c r="J404" t="s">
        <v>170</v>
      </c>
      <c r="K404" s="11">
        <v>72</v>
      </c>
    </row>
    <row r="405" spans="3:11" ht="18.75">
      <c r="C405">
        <v>34</v>
      </c>
      <c r="D405" s="5">
        <v>45887</v>
      </c>
      <c r="E405" t="s">
        <v>132</v>
      </c>
      <c r="F405" s="11">
        <v>135.59</v>
      </c>
      <c r="H405">
        <v>13</v>
      </c>
      <c r="I405" s="5">
        <v>46104</v>
      </c>
      <c r="J405" t="s">
        <v>172</v>
      </c>
      <c r="K405" s="11">
        <v>17.91</v>
      </c>
    </row>
    <row r="406" spans="3:11" ht="18.75">
      <c r="C406">
        <v>34</v>
      </c>
      <c r="D406" s="5">
        <v>45887</v>
      </c>
      <c r="E406" t="s">
        <v>124</v>
      </c>
      <c r="F406" s="11">
        <v>409.69</v>
      </c>
      <c r="H406">
        <v>13</v>
      </c>
      <c r="I406" s="5">
        <v>46104</v>
      </c>
      <c r="J406" t="s">
        <v>207</v>
      </c>
      <c r="K406" s="11">
        <v>7.9</v>
      </c>
    </row>
    <row r="407" spans="3:11" ht="18.75">
      <c r="C407">
        <v>34</v>
      </c>
      <c r="D407" s="5">
        <v>45887</v>
      </c>
      <c r="E407" t="s">
        <v>145</v>
      </c>
      <c r="F407" s="11">
        <v>283.87</v>
      </c>
      <c r="H407">
        <v>13</v>
      </c>
      <c r="I407" s="5">
        <v>46104</v>
      </c>
      <c r="J407" t="s">
        <v>167</v>
      </c>
      <c r="K407" s="11">
        <v>85.4</v>
      </c>
    </row>
    <row r="408" spans="3:11" ht="18.75">
      <c r="C408">
        <v>34</v>
      </c>
      <c r="D408" s="5">
        <v>45887</v>
      </c>
      <c r="E408" t="s">
        <v>146</v>
      </c>
      <c r="F408" s="11">
        <v>408.05</v>
      </c>
      <c r="H408">
        <v>13</v>
      </c>
      <c r="I408" s="5">
        <v>46104</v>
      </c>
      <c r="J408" t="s">
        <v>201</v>
      </c>
      <c r="K408" s="11">
        <v>52.36</v>
      </c>
    </row>
    <row r="409" spans="3:11" ht="18.75">
      <c r="C409">
        <v>46</v>
      </c>
      <c r="D409" s="5">
        <v>45971</v>
      </c>
      <c r="E409" t="s">
        <v>117</v>
      </c>
      <c r="F409" s="11">
        <v>177.78</v>
      </c>
      <c r="H409">
        <v>13</v>
      </c>
      <c r="I409" s="5">
        <v>46104</v>
      </c>
      <c r="J409" t="s">
        <v>204</v>
      </c>
      <c r="K409" s="11">
        <v>1.24</v>
      </c>
    </row>
    <row r="410" spans="3:11" ht="18.75">
      <c r="C410">
        <v>46</v>
      </c>
      <c r="D410" s="5">
        <v>45971</v>
      </c>
      <c r="E410" t="s">
        <v>134</v>
      </c>
      <c r="F410" s="11">
        <v>308.99</v>
      </c>
      <c r="H410">
        <v>13</v>
      </c>
      <c r="I410" s="5">
        <v>46104</v>
      </c>
      <c r="J410" t="s">
        <v>174</v>
      </c>
      <c r="K410" s="11">
        <v>23.22</v>
      </c>
    </row>
    <row r="411" spans="3:11" ht="18.75">
      <c r="C411">
        <v>46</v>
      </c>
      <c r="D411" s="5">
        <v>45971</v>
      </c>
      <c r="E411" t="s">
        <v>133</v>
      </c>
      <c r="F411" s="11">
        <v>288.38</v>
      </c>
      <c r="H411">
        <v>16</v>
      </c>
      <c r="I411" s="5">
        <v>46125</v>
      </c>
      <c r="J411" t="s">
        <v>168</v>
      </c>
      <c r="K411" s="11">
        <v>515.02999999999895</v>
      </c>
    </row>
    <row r="412" spans="3:11" ht="18.75">
      <c r="C412">
        <v>46</v>
      </c>
      <c r="D412" s="5">
        <v>45971</v>
      </c>
      <c r="E412" t="s">
        <v>114</v>
      </c>
      <c r="F412" s="11">
        <v>140.91999999999999</v>
      </c>
      <c r="H412">
        <v>16</v>
      </c>
      <c r="I412" s="5">
        <v>46125</v>
      </c>
      <c r="J412" t="s">
        <v>169</v>
      </c>
      <c r="K412" s="11">
        <v>1937.23000000002</v>
      </c>
    </row>
    <row r="413" spans="3:11" ht="18.75">
      <c r="C413">
        <v>46</v>
      </c>
      <c r="D413" s="5">
        <v>45971</v>
      </c>
      <c r="E413" t="s">
        <v>146</v>
      </c>
      <c r="F413" s="11">
        <v>521.75</v>
      </c>
      <c r="H413">
        <v>16</v>
      </c>
      <c r="I413" s="5">
        <v>46125</v>
      </c>
      <c r="J413" t="s">
        <v>176</v>
      </c>
      <c r="K413" s="11">
        <v>114.84</v>
      </c>
    </row>
    <row r="414" spans="3:11" ht="18.75">
      <c r="C414">
        <v>46</v>
      </c>
      <c r="D414" s="5">
        <v>45971</v>
      </c>
      <c r="E414" t="s">
        <v>121</v>
      </c>
      <c r="F414" s="11">
        <v>159.54</v>
      </c>
      <c r="H414">
        <v>16</v>
      </c>
      <c r="I414" s="5">
        <v>46125</v>
      </c>
      <c r="J414" t="s">
        <v>160</v>
      </c>
      <c r="K414" s="11">
        <v>4244.49999999997</v>
      </c>
    </row>
    <row r="415" spans="3:11" ht="18.75">
      <c r="C415">
        <v>46</v>
      </c>
      <c r="D415" s="5">
        <v>45971</v>
      </c>
      <c r="E415" t="s">
        <v>112</v>
      </c>
      <c r="F415" s="11">
        <v>76.83</v>
      </c>
      <c r="H415">
        <v>16</v>
      </c>
      <c r="I415" s="5">
        <v>46125</v>
      </c>
      <c r="J415" t="s">
        <v>171</v>
      </c>
      <c r="K415" s="11">
        <v>921.66000000000099</v>
      </c>
    </row>
    <row r="416" spans="3:11" ht="18.75">
      <c r="C416">
        <v>46</v>
      </c>
      <c r="D416" s="5">
        <v>45971</v>
      </c>
      <c r="E416" t="s">
        <v>143</v>
      </c>
      <c r="F416" s="11">
        <v>1673.83</v>
      </c>
      <c r="H416">
        <v>16</v>
      </c>
      <c r="I416" s="5">
        <v>46125</v>
      </c>
      <c r="J416" t="s">
        <v>174</v>
      </c>
      <c r="K416" s="11">
        <v>478.289999999999</v>
      </c>
    </row>
    <row r="417" spans="3:11" ht="18.75">
      <c r="C417">
        <v>46</v>
      </c>
      <c r="D417" s="5">
        <v>45971</v>
      </c>
      <c r="E417" t="s">
        <v>149</v>
      </c>
      <c r="F417" s="11">
        <v>135.69999999999999</v>
      </c>
      <c r="H417">
        <v>16</v>
      </c>
      <c r="I417" s="5">
        <v>46125</v>
      </c>
      <c r="J417" t="s">
        <v>198</v>
      </c>
      <c r="K417" s="11">
        <v>622.47</v>
      </c>
    </row>
    <row r="418" spans="3:11" ht="18.75">
      <c r="C418">
        <v>46</v>
      </c>
      <c r="D418" s="5">
        <v>45971</v>
      </c>
      <c r="E418" t="s">
        <v>135</v>
      </c>
      <c r="F418" s="11">
        <v>49.73</v>
      </c>
      <c r="H418">
        <v>16</v>
      </c>
      <c r="I418" s="5">
        <v>46125</v>
      </c>
      <c r="J418" t="s">
        <v>158</v>
      </c>
      <c r="K418" s="11">
        <v>658.52</v>
      </c>
    </row>
    <row r="419" spans="3:11" ht="18.75">
      <c r="C419">
        <v>46</v>
      </c>
      <c r="D419" s="5">
        <v>45971</v>
      </c>
      <c r="E419" t="s">
        <v>141</v>
      </c>
      <c r="F419" s="11">
        <v>621.02</v>
      </c>
      <c r="H419">
        <v>16</v>
      </c>
      <c r="I419" s="5">
        <v>46125</v>
      </c>
      <c r="J419" t="s">
        <v>173</v>
      </c>
      <c r="K419" s="11">
        <v>820.79999999999905</v>
      </c>
    </row>
    <row r="420" spans="3:11" ht="18.75">
      <c r="C420">
        <v>46</v>
      </c>
      <c r="D420" s="5">
        <v>45971</v>
      </c>
      <c r="E420" t="s">
        <v>139</v>
      </c>
      <c r="F420" s="11">
        <v>255.875</v>
      </c>
      <c r="H420">
        <v>16</v>
      </c>
      <c r="I420" s="5">
        <v>46125</v>
      </c>
      <c r="J420" t="s">
        <v>163</v>
      </c>
      <c r="K420" s="11">
        <v>276.06</v>
      </c>
    </row>
    <row r="421" spans="3:11" ht="18.75">
      <c r="C421">
        <v>46</v>
      </c>
      <c r="D421" s="5">
        <v>45971</v>
      </c>
      <c r="E421" t="s">
        <v>136</v>
      </c>
      <c r="F421" s="11">
        <v>79.394999999999996</v>
      </c>
      <c r="H421">
        <v>16</v>
      </c>
      <c r="I421" s="5">
        <v>46125</v>
      </c>
      <c r="J421" t="s">
        <v>170</v>
      </c>
      <c r="K421" s="11">
        <v>48</v>
      </c>
    </row>
    <row r="422" spans="3:11" ht="18.75">
      <c r="C422">
        <v>46</v>
      </c>
      <c r="D422" s="5">
        <v>45971</v>
      </c>
      <c r="E422" t="s">
        <v>145</v>
      </c>
      <c r="F422" s="11">
        <v>268.75</v>
      </c>
      <c r="H422">
        <v>16</v>
      </c>
      <c r="I422" s="5">
        <v>46125</v>
      </c>
      <c r="J422" t="s">
        <v>172</v>
      </c>
      <c r="K422" s="11">
        <v>71.64</v>
      </c>
    </row>
    <row r="423" spans="3:11" ht="18.75">
      <c r="C423">
        <v>46</v>
      </c>
      <c r="D423" s="5">
        <v>45971</v>
      </c>
      <c r="E423" t="s">
        <v>138</v>
      </c>
      <c r="F423" s="11">
        <v>424.03500000000003</v>
      </c>
      <c r="H423">
        <v>16</v>
      </c>
      <c r="I423" s="5">
        <v>46125</v>
      </c>
      <c r="J423" t="s">
        <v>165</v>
      </c>
      <c r="K423" s="11">
        <v>158.69999999999999</v>
      </c>
    </row>
    <row r="424" spans="3:11" ht="18.75">
      <c r="C424">
        <v>46</v>
      </c>
      <c r="D424" s="5">
        <v>45971</v>
      </c>
      <c r="E424" t="s">
        <v>129</v>
      </c>
      <c r="F424" s="11">
        <v>425.88499999999999</v>
      </c>
      <c r="H424">
        <v>16</v>
      </c>
      <c r="I424" s="5">
        <v>46125</v>
      </c>
      <c r="J424" t="s">
        <v>206</v>
      </c>
      <c r="K424" s="11">
        <v>483.06000000000103</v>
      </c>
    </row>
    <row r="425" spans="3:11" ht="18.75">
      <c r="C425">
        <v>46</v>
      </c>
      <c r="D425" s="5">
        <v>45971</v>
      </c>
      <c r="E425" t="s">
        <v>128</v>
      </c>
      <c r="F425" s="11">
        <v>140.31</v>
      </c>
      <c r="H425">
        <v>16</v>
      </c>
      <c r="I425" s="5">
        <v>46125</v>
      </c>
      <c r="J425" t="s">
        <v>164</v>
      </c>
      <c r="K425" s="11">
        <v>2.4</v>
      </c>
    </row>
    <row r="426" spans="3:11" ht="18.75">
      <c r="C426">
        <v>46</v>
      </c>
      <c r="D426" s="5">
        <v>45971</v>
      </c>
      <c r="E426" t="s">
        <v>111</v>
      </c>
      <c r="F426" s="11">
        <v>200.625</v>
      </c>
      <c r="H426">
        <v>15</v>
      </c>
      <c r="I426" s="5">
        <v>46118</v>
      </c>
      <c r="J426" t="s">
        <v>169</v>
      </c>
      <c r="K426" s="11">
        <v>1462.50000000001</v>
      </c>
    </row>
    <row r="427" spans="3:11" ht="18.75">
      <c r="C427">
        <v>46</v>
      </c>
      <c r="D427" s="5">
        <v>45971</v>
      </c>
      <c r="E427" t="s">
        <v>150</v>
      </c>
      <c r="F427" s="11">
        <v>61.96</v>
      </c>
      <c r="H427">
        <v>15</v>
      </c>
      <c r="I427" s="5">
        <v>46118</v>
      </c>
      <c r="J427" t="s">
        <v>160</v>
      </c>
      <c r="K427" s="11">
        <v>4273.9499999999798</v>
      </c>
    </row>
    <row r="428" spans="3:11" ht="18.75">
      <c r="C428">
        <v>46</v>
      </c>
      <c r="D428" s="5">
        <v>45971</v>
      </c>
      <c r="E428" t="s">
        <v>219</v>
      </c>
      <c r="F428" s="11">
        <v>274.72000000000003</v>
      </c>
      <c r="H428">
        <v>15</v>
      </c>
      <c r="I428" s="5">
        <v>46118</v>
      </c>
      <c r="J428" t="s">
        <v>168</v>
      </c>
      <c r="K428" s="11">
        <v>438.539999999999</v>
      </c>
    </row>
    <row r="429" spans="3:11" ht="18.75">
      <c r="C429">
        <v>46</v>
      </c>
      <c r="D429" s="5">
        <v>45971</v>
      </c>
      <c r="E429" t="s">
        <v>137</v>
      </c>
      <c r="F429" s="11">
        <v>75.885000000000005</v>
      </c>
      <c r="H429">
        <v>15</v>
      </c>
      <c r="I429" s="5">
        <v>46118</v>
      </c>
      <c r="J429" t="s">
        <v>206</v>
      </c>
      <c r="K429" s="11">
        <v>323.07</v>
      </c>
    </row>
    <row r="430" spans="3:11" ht="18.75">
      <c r="C430">
        <v>46</v>
      </c>
      <c r="D430" s="5">
        <v>45971</v>
      </c>
      <c r="E430" t="s">
        <v>140</v>
      </c>
      <c r="F430" s="11">
        <v>65.974999999999994</v>
      </c>
      <c r="H430">
        <v>15</v>
      </c>
      <c r="I430" s="5">
        <v>46118</v>
      </c>
      <c r="J430" t="s">
        <v>174</v>
      </c>
      <c r="K430" s="11">
        <v>676.79</v>
      </c>
    </row>
    <row r="431" spans="3:11" ht="18.75">
      <c r="C431">
        <v>46</v>
      </c>
      <c r="D431" s="5">
        <v>45971</v>
      </c>
      <c r="E431" t="s">
        <v>122</v>
      </c>
      <c r="F431" s="11">
        <v>158.255</v>
      </c>
      <c r="H431">
        <v>15</v>
      </c>
      <c r="I431" s="5">
        <v>46118</v>
      </c>
      <c r="J431" t="s">
        <v>176</v>
      </c>
      <c r="K431" s="11">
        <v>144.12</v>
      </c>
    </row>
    <row r="432" spans="3:11" ht="18.75">
      <c r="C432">
        <v>46</v>
      </c>
      <c r="D432" s="5">
        <v>45971</v>
      </c>
      <c r="E432" t="s">
        <v>119</v>
      </c>
      <c r="F432" s="11">
        <v>292.78500000000003</v>
      </c>
      <c r="H432">
        <v>15</v>
      </c>
      <c r="I432" s="5">
        <v>46118</v>
      </c>
      <c r="J432" t="s">
        <v>158</v>
      </c>
      <c r="K432" s="11">
        <v>408.04000000000099</v>
      </c>
    </row>
    <row r="433" spans="3:11" ht="18.75">
      <c r="C433">
        <v>46</v>
      </c>
      <c r="D433" s="5">
        <v>45971</v>
      </c>
      <c r="E433" t="s">
        <v>142</v>
      </c>
      <c r="F433" s="11">
        <v>197.71</v>
      </c>
      <c r="H433">
        <v>15</v>
      </c>
      <c r="I433" s="5">
        <v>46118</v>
      </c>
      <c r="J433" t="s">
        <v>163</v>
      </c>
      <c r="K433" s="11">
        <v>273.48</v>
      </c>
    </row>
    <row r="434" spans="3:11" ht="18.75">
      <c r="C434">
        <v>46</v>
      </c>
      <c r="D434" s="5">
        <v>45971</v>
      </c>
      <c r="E434" t="s">
        <v>116</v>
      </c>
      <c r="F434" s="11">
        <v>80.88</v>
      </c>
      <c r="H434">
        <v>15</v>
      </c>
      <c r="I434" s="5">
        <v>46118</v>
      </c>
      <c r="J434" t="s">
        <v>173</v>
      </c>
      <c r="K434" s="11">
        <v>781.94999999999902</v>
      </c>
    </row>
    <row r="435" spans="3:11" ht="18.75">
      <c r="C435">
        <v>46</v>
      </c>
      <c r="D435" s="5">
        <v>45971</v>
      </c>
      <c r="E435" t="s">
        <v>124</v>
      </c>
      <c r="F435" s="11">
        <v>365.53</v>
      </c>
      <c r="H435">
        <v>15</v>
      </c>
      <c r="I435" s="5">
        <v>46118</v>
      </c>
      <c r="J435" t="s">
        <v>165</v>
      </c>
      <c r="K435" s="11">
        <v>74.599999999999994</v>
      </c>
    </row>
    <row r="436" spans="3:11" ht="18.75">
      <c r="C436">
        <v>46</v>
      </c>
      <c r="D436" s="5">
        <v>45971</v>
      </c>
      <c r="E436" t="s">
        <v>125</v>
      </c>
      <c r="F436" s="11">
        <v>64.41</v>
      </c>
      <c r="H436">
        <v>15</v>
      </c>
      <c r="I436" s="5">
        <v>46118</v>
      </c>
      <c r="J436" t="s">
        <v>198</v>
      </c>
      <c r="K436" s="11">
        <v>384.8</v>
      </c>
    </row>
    <row r="437" spans="3:11" ht="18.75">
      <c r="C437">
        <v>46</v>
      </c>
      <c r="D437" s="5">
        <v>45971</v>
      </c>
      <c r="E437" t="s">
        <v>118</v>
      </c>
      <c r="F437" s="11">
        <v>216.27</v>
      </c>
      <c r="H437">
        <v>15</v>
      </c>
      <c r="I437" s="5">
        <v>46118</v>
      </c>
      <c r="J437" t="s">
        <v>170</v>
      </c>
      <c r="K437" s="11">
        <v>32</v>
      </c>
    </row>
    <row r="438" spans="3:11" ht="18.75">
      <c r="C438">
        <v>46</v>
      </c>
      <c r="D438" s="5">
        <v>45971</v>
      </c>
      <c r="E438" t="s">
        <v>126</v>
      </c>
      <c r="F438" s="11">
        <v>145.875</v>
      </c>
      <c r="H438">
        <v>15</v>
      </c>
      <c r="I438" s="5">
        <v>46118</v>
      </c>
      <c r="J438" t="s">
        <v>172</v>
      </c>
      <c r="K438" s="11">
        <v>25.87</v>
      </c>
    </row>
    <row r="439" spans="3:11" ht="18.75">
      <c r="C439">
        <v>46</v>
      </c>
      <c r="D439" s="5">
        <v>45971</v>
      </c>
      <c r="E439" t="s">
        <v>123</v>
      </c>
      <c r="F439" s="11">
        <v>428.8</v>
      </c>
      <c r="H439">
        <v>15</v>
      </c>
      <c r="I439" s="5">
        <v>46118</v>
      </c>
      <c r="J439" t="s">
        <v>171</v>
      </c>
      <c r="K439" s="11">
        <v>23.13</v>
      </c>
    </row>
    <row r="440" spans="3:11" ht="18.75">
      <c r="C440">
        <v>46</v>
      </c>
      <c r="D440" s="5">
        <v>45971</v>
      </c>
      <c r="E440" t="s">
        <v>127</v>
      </c>
      <c r="F440" s="11">
        <v>241.12</v>
      </c>
      <c r="H440">
        <v>17</v>
      </c>
      <c r="I440" s="5">
        <v>46132</v>
      </c>
      <c r="J440" t="s">
        <v>174</v>
      </c>
      <c r="K440" s="11">
        <v>1495.45000000001</v>
      </c>
    </row>
    <row r="441" spans="3:11" ht="18.75">
      <c r="C441">
        <v>46</v>
      </c>
      <c r="D441" s="5">
        <v>45971</v>
      </c>
      <c r="E441" t="s">
        <v>120</v>
      </c>
      <c r="F441" s="11">
        <v>121.325</v>
      </c>
      <c r="H441">
        <v>17</v>
      </c>
      <c r="I441" s="5">
        <v>46132</v>
      </c>
      <c r="J441" t="s">
        <v>168</v>
      </c>
      <c r="K441" s="11">
        <v>555.71999999999798</v>
      </c>
    </row>
    <row r="442" spans="3:11" ht="18.75">
      <c r="C442">
        <v>46</v>
      </c>
      <c r="D442" s="5">
        <v>45971</v>
      </c>
      <c r="E442" t="s">
        <v>132</v>
      </c>
      <c r="F442" s="11">
        <v>174.03</v>
      </c>
      <c r="H442">
        <v>17</v>
      </c>
      <c r="I442" s="5">
        <v>46132</v>
      </c>
      <c r="J442" t="s">
        <v>176</v>
      </c>
      <c r="K442" s="11">
        <v>168</v>
      </c>
    </row>
    <row r="443" spans="3:11" ht="18.75">
      <c r="C443">
        <v>46</v>
      </c>
      <c r="D443" s="5">
        <v>45971</v>
      </c>
      <c r="E443" t="s">
        <v>113</v>
      </c>
      <c r="F443" s="11">
        <v>117.85</v>
      </c>
      <c r="H443">
        <v>17</v>
      </c>
      <c r="I443" s="5">
        <v>46132</v>
      </c>
      <c r="J443" t="s">
        <v>160</v>
      </c>
      <c r="K443" s="11">
        <v>4976.5699999999597</v>
      </c>
    </row>
    <row r="444" spans="3:11" ht="18.75">
      <c r="C444">
        <v>47</v>
      </c>
      <c r="D444" s="5">
        <v>45978</v>
      </c>
      <c r="E444" t="s">
        <v>117</v>
      </c>
      <c r="F444" s="11">
        <v>275.82</v>
      </c>
      <c r="H444">
        <v>17</v>
      </c>
      <c r="I444" s="5">
        <v>46132</v>
      </c>
      <c r="J444" t="s">
        <v>169</v>
      </c>
      <c r="K444" s="11">
        <v>2011.25000000002</v>
      </c>
    </row>
    <row r="445" spans="3:11" ht="18.75">
      <c r="C445">
        <v>47</v>
      </c>
      <c r="D445" s="5">
        <v>45978</v>
      </c>
      <c r="E445" t="s">
        <v>150</v>
      </c>
      <c r="F445" s="11">
        <v>55.36</v>
      </c>
      <c r="H445">
        <v>17</v>
      </c>
      <c r="I445" s="5">
        <v>46132</v>
      </c>
      <c r="J445" t="s">
        <v>163</v>
      </c>
      <c r="K445" s="11">
        <v>357.33000000000101</v>
      </c>
    </row>
    <row r="446" spans="3:11" ht="18.75">
      <c r="C446">
        <v>47</v>
      </c>
      <c r="D446" s="5">
        <v>45978</v>
      </c>
      <c r="E446" t="s">
        <v>146</v>
      </c>
      <c r="F446" s="11">
        <v>610.45500000000004</v>
      </c>
      <c r="H446">
        <v>17</v>
      </c>
      <c r="I446" s="5">
        <v>46132</v>
      </c>
      <c r="J446" t="s">
        <v>158</v>
      </c>
      <c r="K446" s="11">
        <v>771.63999999999896</v>
      </c>
    </row>
    <row r="447" spans="3:11" ht="18.75">
      <c r="C447">
        <v>47</v>
      </c>
      <c r="D447" s="5">
        <v>45978</v>
      </c>
      <c r="E447" t="s">
        <v>139</v>
      </c>
      <c r="F447" s="11">
        <v>282.75</v>
      </c>
      <c r="H447">
        <v>17</v>
      </c>
      <c r="I447" s="5">
        <v>46132</v>
      </c>
      <c r="J447" t="s">
        <v>198</v>
      </c>
      <c r="K447" s="11">
        <v>368.9</v>
      </c>
    </row>
    <row r="448" spans="3:11" ht="18.75">
      <c r="C448">
        <v>47</v>
      </c>
      <c r="D448" s="5">
        <v>45978</v>
      </c>
      <c r="E448" t="s">
        <v>136</v>
      </c>
      <c r="F448" s="11">
        <v>112.52</v>
      </c>
      <c r="H448">
        <v>17</v>
      </c>
      <c r="I448" s="5">
        <v>46132</v>
      </c>
      <c r="J448" t="s">
        <v>173</v>
      </c>
      <c r="K448" s="11">
        <v>957.099999999999</v>
      </c>
    </row>
    <row r="449" spans="3:11" ht="18.75">
      <c r="C449">
        <v>47</v>
      </c>
      <c r="D449" s="5">
        <v>45978</v>
      </c>
      <c r="E449" t="s">
        <v>145</v>
      </c>
      <c r="F449" s="11">
        <v>270.81</v>
      </c>
      <c r="H449">
        <v>17</v>
      </c>
      <c r="I449" s="5">
        <v>46132</v>
      </c>
      <c r="J449" t="s">
        <v>170</v>
      </c>
      <c r="K449" s="11">
        <v>64</v>
      </c>
    </row>
    <row r="450" spans="3:11" ht="18.75">
      <c r="C450">
        <v>47</v>
      </c>
      <c r="D450" s="5">
        <v>45978</v>
      </c>
      <c r="E450" t="s">
        <v>128</v>
      </c>
      <c r="F450" s="11">
        <v>179.55</v>
      </c>
      <c r="H450">
        <v>17</v>
      </c>
      <c r="I450" s="5">
        <v>46132</v>
      </c>
      <c r="J450" t="s">
        <v>206</v>
      </c>
      <c r="K450" s="11">
        <v>343.75</v>
      </c>
    </row>
    <row r="451" spans="3:11" ht="18.75">
      <c r="C451">
        <v>47</v>
      </c>
      <c r="D451" s="5">
        <v>45978</v>
      </c>
      <c r="E451" t="s">
        <v>219</v>
      </c>
      <c r="F451" s="11">
        <v>353.92</v>
      </c>
      <c r="H451">
        <v>17</v>
      </c>
      <c r="I451" s="5">
        <v>46132</v>
      </c>
      <c r="J451" t="s">
        <v>165</v>
      </c>
      <c r="K451" s="11">
        <v>106.8</v>
      </c>
    </row>
    <row r="452" spans="3:11" ht="18.75">
      <c r="C452">
        <v>47</v>
      </c>
      <c r="D452" s="5">
        <v>45978</v>
      </c>
      <c r="E452" t="s">
        <v>111</v>
      </c>
      <c r="F452" s="11">
        <v>227.54750000000001</v>
      </c>
      <c r="H452">
        <v>17</v>
      </c>
      <c r="I452" s="5">
        <v>46132</v>
      </c>
      <c r="J452" t="s">
        <v>207</v>
      </c>
      <c r="K452" s="11">
        <v>323.89999999999998</v>
      </c>
    </row>
    <row r="453" spans="3:11" ht="18.75">
      <c r="C453">
        <v>47</v>
      </c>
      <c r="D453" s="5">
        <v>45978</v>
      </c>
      <c r="E453" t="s">
        <v>114</v>
      </c>
      <c r="F453" s="11">
        <v>258.16000000000003</v>
      </c>
      <c r="H453">
        <v>17</v>
      </c>
      <c r="I453" s="5">
        <v>46132</v>
      </c>
      <c r="J453" t="s">
        <v>171</v>
      </c>
      <c r="K453" s="11">
        <v>22.71</v>
      </c>
    </row>
    <row r="454" spans="3:11" ht="18.75">
      <c r="C454">
        <v>47</v>
      </c>
      <c r="D454" s="5">
        <v>45978</v>
      </c>
      <c r="E454" t="s">
        <v>149</v>
      </c>
      <c r="F454" s="11">
        <v>144.72</v>
      </c>
      <c r="H454">
        <v>18</v>
      </c>
      <c r="I454" s="5">
        <v>46139</v>
      </c>
      <c r="J454" t="s">
        <v>169</v>
      </c>
      <c r="K454" s="11">
        <v>1603.5000000000125</v>
      </c>
    </row>
    <row r="455" spans="3:11" ht="18.75">
      <c r="C455">
        <v>47</v>
      </c>
      <c r="D455" s="5">
        <v>45978</v>
      </c>
      <c r="E455" t="s">
        <v>122</v>
      </c>
      <c r="F455" s="11">
        <v>280.81</v>
      </c>
      <c r="H455">
        <v>18</v>
      </c>
      <c r="I455" s="5">
        <v>46139</v>
      </c>
      <c r="J455" t="s">
        <v>160</v>
      </c>
      <c r="K455" s="11">
        <v>4302.2099999999737</v>
      </c>
    </row>
    <row r="456" spans="3:11" ht="18.75">
      <c r="C456">
        <v>47</v>
      </c>
      <c r="D456" s="5">
        <v>45978</v>
      </c>
      <c r="E456" t="s">
        <v>133</v>
      </c>
      <c r="F456" s="11">
        <v>274.23</v>
      </c>
      <c r="H456">
        <v>18</v>
      </c>
      <c r="I456" s="5">
        <v>46139</v>
      </c>
      <c r="J456" t="s">
        <v>174</v>
      </c>
      <c r="K456" s="11">
        <v>440.79999999999956</v>
      </c>
    </row>
    <row r="457" spans="3:11" ht="18.75">
      <c r="C457">
        <v>47</v>
      </c>
      <c r="D457" s="5">
        <v>45978</v>
      </c>
      <c r="E457" t="s">
        <v>129</v>
      </c>
      <c r="F457" s="11">
        <v>482.84</v>
      </c>
      <c r="H457">
        <v>18</v>
      </c>
      <c r="I457" s="5">
        <v>46139</v>
      </c>
      <c r="J457" t="s">
        <v>158</v>
      </c>
      <c r="K457" s="11">
        <v>561.56000000000063</v>
      </c>
    </row>
    <row r="458" spans="3:11" ht="18.75">
      <c r="C458">
        <v>47</v>
      </c>
      <c r="D458" s="5">
        <v>45978</v>
      </c>
      <c r="E458" t="s">
        <v>134</v>
      </c>
      <c r="F458" s="11">
        <v>273.92</v>
      </c>
      <c r="H458">
        <v>18</v>
      </c>
      <c r="I458" s="5">
        <v>46139</v>
      </c>
      <c r="J458" t="s">
        <v>209</v>
      </c>
      <c r="K458" s="11">
        <v>238.68000000000112</v>
      </c>
    </row>
    <row r="459" spans="3:11" ht="18.75">
      <c r="C459">
        <v>47</v>
      </c>
      <c r="D459" s="5">
        <v>45978</v>
      </c>
      <c r="E459" t="s">
        <v>141</v>
      </c>
      <c r="F459" s="11">
        <v>613.32000000000096</v>
      </c>
      <c r="H459">
        <v>18</v>
      </c>
      <c r="I459" s="5">
        <v>46139</v>
      </c>
      <c r="J459" t="s">
        <v>171</v>
      </c>
      <c r="K459" s="11">
        <v>780.08000000000322</v>
      </c>
    </row>
    <row r="460" spans="3:11" ht="18.75">
      <c r="C460">
        <v>47</v>
      </c>
      <c r="D460" s="5">
        <v>45978</v>
      </c>
      <c r="E460" t="s">
        <v>138</v>
      </c>
      <c r="F460" s="11">
        <v>504.35999999999899</v>
      </c>
      <c r="H460">
        <v>18</v>
      </c>
      <c r="I460" s="5">
        <v>46139</v>
      </c>
      <c r="J460" t="s">
        <v>173</v>
      </c>
      <c r="K460" s="11">
        <v>669</v>
      </c>
    </row>
    <row r="461" spans="3:11" ht="18.75">
      <c r="C461">
        <v>47</v>
      </c>
      <c r="D461" s="5">
        <v>45978</v>
      </c>
      <c r="E461" t="s">
        <v>118</v>
      </c>
      <c r="F461" s="11">
        <v>333.53</v>
      </c>
      <c r="H461">
        <v>18</v>
      </c>
      <c r="I461" s="5">
        <v>46139</v>
      </c>
      <c r="J461" t="s">
        <v>163</v>
      </c>
      <c r="K461" s="11">
        <v>347.01000000000096</v>
      </c>
    </row>
    <row r="462" spans="3:11" ht="18.75">
      <c r="C462">
        <v>47</v>
      </c>
      <c r="D462" s="5">
        <v>45978</v>
      </c>
      <c r="E462" t="s">
        <v>143</v>
      </c>
      <c r="F462" s="11">
        <v>1780.41</v>
      </c>
      <c r="H462">
        <v>18</v>
      </c>
      <c r="I462" s="5">
        <v>46139</v>
      </c>
      <c r="J462" t="s">
        <v>198</v>
      </c>
      <c r="K462" s="11">
        <v>361.54999999999967</v>
      </c>
    </row>
    <row r="463" spans="3:11" ht="18.75">
      <c r="C463">
        <v>47</v>
      </c>
      <c r="D463" s="5">
        <v>45978</v>
      </c>
      <c r="E463" t="s">
        <v>135</v>
      </c>
      <c r="F463" s="11">
        <v>76.400000000000006</v>
      </c>
      <c r="H463">
        <v>18</v>
      </c>
      <c r="I463" s="5">
        <v>46139</v>
      </c>
      <c r="J463" t="s">
        <v>204</v>
      </c>
      <c r="K463" s="11">
        <v>415.45999999999839</v>
      </c>
    </row>
    <row r="464" spans="3:11" ht="18.75">
      <c r="C464">
        <v>47</v>
      </c>
      <c r="D464" s="5">
        <v>45978</v>
      </c>
      <c r="E464" t="s">
        <v>140</v>
      </c>
      <c r="F464" s="11">
        <v>64.290000000000006</v>
      </c>
      <c r="H464">
        <v>18</v>
      </c>
      <c r="I464" s="5">
        <v>46139</v>
      </c>
      <c r="J464" t="s">
        <v>176</v>
      </c>
      <c r="K464" s="11">
        <v>205.56000000000009</v>
      </c>
    </row>
    <row r="465" spans="3:11" ht="18.75">
      <c r="C465">
        <v>47</v>
      </c>
      <c r="D465" s="5">
        <v>45978</v>
      </c>
      <c r="E465" t="s">
        <v>121</v>
      </c>
      <c r="F465" s="11">
        <v>158.72</v>
      </c>
      <c r="H465">
        <v>18</v>
      </c>
      <c r="I465" s="5">
        <v>46139</v>
      </c>
      <c r="J465" t="s">
        <v>165</v>
      </c>
      <c r="K465" s="11">
        <v>176.84999999999997</v>
      </c>
    </row>
    <row r="466" spans="3:11" ht="18.75">
      <c r="C466">
        <v>47</v>
      </c>
      <c r="D466" s="5">
        <v>45978</v>
      </c>
      <c r="E466" t="s">
        <v>116</v>
      </c>
      <c r="F466" s="11">
        <v>91.24</v>
      </c>
      <c r="H466">
        <v>18</v>
      </c>
      <c r="I466" s="5">
        <v>46139</v>
      </c>
      <c r="J466" t="s">
        <v>206</v>
      </c>
      <c r="K466" s="11">
        <v>362.39000000000027</v>
      </c>
    </row>
    <row r="467" spans="3:11" ht="18.75">
      <c r="C467">
        <v>47</v>
      </c>
      <c r="D467" s="5">
        <v>45978</v>
      </c>
      <c r="E467" t="s">
        <v>137</v>
      </c>
      <c r="F467" s="11">
        <v>94.74</v>
      </c>
      <c r="H467">
        <v>18</v>
      </c>
      <c r="I467" s="5">
        <v>46139</v>
      </c>
      <c r="J467" t="s">
        <v>170</v>
      </c>
      <c r="K467" s="11">
        <v>70</v>
      </c>
    </row>
    <row r="468" spans="3:11" ht="18.75">
      <c r="C468">
        <v>47</v>
      </c>
      <c r="D468" s="5">
        <v>45978</v>
      </c>
      <c r="E468" t="s">
        <v>125</v>
      </c>
      <c r="F468" s="11">
        <v>61.01</v>
      </c>
      <c r="H468">
        <v>18</v>
      </c>
      <c r="I468" s="5">
        <v>46139</v>
      </c>
      <c r="J468" t="s">
        <v>168</v>
      </c>
      <c r="K468" s="11">
        <v>16.649999999999999</v>
      </c>
    </row>
    <row r="469" spans="3:11" ht="18.75">
      <c r="C469">
        <v>47</v>
      </c>
      <c r="D469" s="5">
        <v>45978</v>
      </c>
      <c r="E469" t="s">
        <v>119</v>
      </c>
      <c r="F469" s="11">
        <v>480.86</v>
      </c>
      <c r="H469">
        <v>20</v>
      </c>
      <c r="I469" s="5">
        <v>46153</v>
      </c>
      <c r="J469" t="s">
        <v>204</v>
      </c>
      <c r="K469" s="11">
        <v>493.61999999999898</v>
      </c>
    </row>
    <row r="470" spans="3:11" ht="18.75">
      <c r="C470">
        <v>47</v>
      </c>
      <c r="D470" s="5">
        <v>45978</v>
      </c>
      <c r="E470" t="s">
        <v>142</v>
      </c>
      <c r="F470" s="11">
        <v>201.16</v>
      </c>
      <c r="H470">
        <v>20</v>
      </c>
      <c r="I470" s="5">
        <v>46153</v>
      </c>
      <c r="J470" t="s">
        <v>169</v>
      </c>
      <c r="K470" s="11">
        <v>1545.1000000000122</v>
      </c>
    </row>
    <row r="471" spans="3:11" ht="18.75">
      <c r="C471">
        <v>47</v>
      </c>
      <c r="D471" s="5">
        <v>45978</v>
      </c>
      <c r="E471" t="s">
        <v>124</v>
      </c>
      <c r="F471" s="11">
        <v>686.86</v>
      </c>
      <c r="H471">
        <v>20</v>
      </c>
      <c r="I471" s="5">
        <v>46153</v>
      </c>
      <c r="J471" t="s">
        <v>163</v>
      </c>
      <c r="K471" s="11">
        <v>331.53000000000071</v>
      </c>
    </row>
    <row r="472" spans="3:11" ht="18.75">
      <c r="C472">
        <v>47</v>
      </c>
      <c r="D472" s="5">
        <v>45978</v>
      </c>
      <c r="E472" t="s">
        <v>132</v>
      </c>
      <c r="F472" s="11">
        <v>177.75</v>
      </c>
      <c r="H472">
        <v>20</v>
      </c>
      <c r="I472" s="5">
        <v>46153</v>
      </c>
      <c r="J472" t="s">
        <v>160</v>
      </c>
      <c r="K472" s="11">
        <v>4539.9699999999721</v>
      </c>
    </row>
    <row r="473" spans="3:11" ht="18.75">
      <c r="C473">
        <v>47</v>
      </c>
      <c r="D473" s="5">
        <v>45978</v>
      </c>
      <c r="E473" t="s">
        <v>123</v>
      </c>
      <c r="F473" s="11">
        <v>524.35</v>
      </c>
      <c r="H473">
        <v>20</v>
      </c>
      <c r="I473" s="5">
        <v>46153</v>
      </c>
      <c r="J473" t="s">
        <v>170</v>
      </c>
      <c r="K473" s="11">
        <v>4</v>
      </c>
    </row>
    <row r="474" spans="3:11" ht="18.75">
      <c r="C474">
        <v>47</v>
      </c>
      <c r="D474" s="5">
        <v>45978</v>
      </c>
      <c r="E474" t="s">
        <v>126</v>
      </c>
      <c r="F474" s="11">
        <v>113.9</v>
      </c>
      <c r="H474">
        <v>20</v>
      </c>
      <c r="I474" s="5">
        <v>46153</v>
      </c>
      <c r="J474" t="s">
        <v>171</v>
      </c>
      <c r="K474" s="11">
        <v>774.69999999999948</v>
      </c>
    </row>
    <row r="475" spans="3:11" ht="18.75">
      <c r="C475">
        <v>47</v>
      </c>
      <c r="D475" s="5">
        <v>45978</v>
      </c>
      <c r="E475" t="s">
        <v>127</v>
      </c>
      <c r="F475" s="11">
        <v>297.51</v>
      </c>
      <c r="H475">
        <v>20</v>
      </c>
      <c r="I475" s="5">
        <v>46153</v>
      </c>
      <c r="J475" t="s">
        <v>158</v>
      </c>
      <c r="K475" s="11">
        <v>646.39999999999986</v>
      </c>
    </row>
    <row r="476" spans="3:11" ht="18.75">
      <c r="C476">
        <v>47</v>
      </c>
      <c r="D476" s="5">
        <v>45978</v>
      </c>
      <c r="E476" t="s">
        <v>113</v>
      </c>
      <c r="F476" s="11">
        <v>249.99</v>
      </c>
      <c r="H476">
        <v>20</v>
      </c>
      <c r="I476" s="5">
        <v>46153</v>
      </c>
      <c r="J476" t="s">
        <v>165</v>
      </c>
      <c r="K476" s="11">
        <v>246.29999999999993</v>
      </c>
    </row>
    <row r="477" spans="3:11" ht="18.75">
      <c r="C477">
        <v>47</v>
      </c>
      <c r="D477" s="5">
        <v>45978</v>
      </c>
      <c r="E477" t="s">
        <v>120</v>
      </c>
      <c r="F477" s="11">
        <v>150.03</v>
      </c>
      <c r="H477">
        <v>20</v>
      </c>
      <c r="I477" s="5">
        <v>46153</v>
      </c>
      <c r="J477" t="s">
        <v>173</v>
      </c>
      <c r="K477" s="11">
        <v>846.19999999999868</v>
      </c>
    </row>
    <row r="478" spans="3:11" ht="18.75">
      <c r="C478">
        <v>47</v>
      </c>
      <c r="D478" s="5">
        <v>45978</v>
      </c>
      <c r="E478" t="s">
        <v>112</v>
      </c>
      <c r="F478" s="11">
        <v>93.23</v>
      </c>
      <c r="H478">
        <v>20</v>
      </c>
      <c r="I478" s="5">
        <v>46153</v>
      </c>
      <c r="J478" t="s">
        <v>198</v>
      </c>
      <c r="K478" s="11">
        <v>430.56000000000023</v>
      </c>
    </row>
    <row r="479" spans="3:11" ht="18.75">
      <c r="C479">
        <v>48</v>
      </c>
      <c r="D479" s="5">
        <v>45985</v>
      </c>
      <c r="E479" t="s">
        <v>150</v>
      </c>
      <c r="F479" s="11">
        <v>77.650000000000006</v>
      </c>
      <c r="H479">
        <v>20</v>
      </c>
      <c r="I479" s="5">
        <v>46153</v>
      </c>
      <c r="J479" t="s">
        <v>209</v>
      </c>
      <c r="K479" s="11">
        <v>65.879999999999924</v>
      </c>
    </row>
    <row r="480" spans="3:11" ht="18.75">
      <c r="C480">
        <v>48</v>
      </c>
      <c r="D480" s="5">
        <v>45985</v>
      </c>
      <c r="E480" t="s">
        <v>117</v>
      </c>
      <c r="F480" s="11">
        <v>297.43</v>
      </c>
      <c r="H480">
        <v>20</v>
      </c>
      <c r="I480" s="5">
        <v>46153</v>
      </c>
      <c r="J480" t="s">
        <v>206</v>
      </c>
      <c r="K480" s="11">
        <v>501.17999999999927</v>
      </c>
    </row>
    <row r="481" spans="3:11" ht="18.75">
      <c r="C481">
        <v>48</v>
      </c>
      <c r="D481" s="5">
        <v>45985</v>
      </c>
      <c r="E481" t="s">
        <v>139</v>
      </c>
      <c r="F481" s="11">
        <v>267.57</v>
      </c>
      <c r="H481">
        <v>20</v>
      </c>
      <c r="I481" s="5">
        <v>46153</v>
      </c>
      <c r="J481" t="s">
        <v>176</v>
      </c>
      <c r="K481" s="11">
        <v>31.319999999999979</v>
      </c>
    </row>
    <row r="482" spans="3:11" ht="18.75">
      <c r="C482">
        <v>48</v>
      </c>
      <c r="D482" s="5">
        <v>45985</v>
      </c>
      <c r="E482" t="s">
        <v>114</v>
      </c>
      <c r="F482" s="11">
        <v>252.12</v>
      </c>
      <c r="H482">
        <v>20</v>
      </c>
      <c r="I482" s="5">
        <v>46153</v>
      </c>
      <c r="J482" t="s">
        <v>172</v>
      </c>
      <c r="K482" s="11">
        <v>13.93</v>
      </c>
    </row>
    <row r="483" spans="3:11" ht="18.75">
      <c r="C483">
        <v>48</v>
      </c>
      <c r="D483" s="5">
        <v>45985</v>
      </c>
      <c r="E483" t="s">
        <v>146</v>
      </c>
      <c r="F483" s="11">
        <v>596.47</v>
      </c>
      <c r="H483">
        <v>20</v>
      </c>
      <c r="I483" s="5">
        <v>46153</v>
      </c>
      <c r="J483" t="s">
        <v>168</v>
      </c>
      <c r="K483" s="11">
        <v>3</v>
      </c>
    </row>
    <row r="484" spans="3:11" ht="18.75">
      <c r="C484">
        <v>48</v>
      </c>
      <c r="D484" s="5">
        <v>45985</v>
      </c>
      <c r="E484" t="s">
        <v>136</v>
      </c>
      <c r="F484" s="11">
        <v>87.67</v>
      </c>
      <c r="H484">
        <v>19</v>
      </c>
      <c r="I484" s="5">
        <v>46146</v>
      </c>
      <c r="J484" t="s">
        <v>160</v>
      </c>
      <c r="K484" s="11">
        <v>4899.3799999999801</v>
      </c>
    </row>
    <row r="485" spans="3:11" ht="18.75">
      <c r="C485">
        <v>48</v>
      </c>
      <c r="D485" s="5">
        <v>45985</v>
      </c>
      <c r="E485" t="s">
        <v>112</v>
      </c>
      <c r="F485" s="11">
        <v>53.79</v>
      </c>
      <c r="H485">
        <v>19</v>
      </c>
      <c r="I485" s="5">
        <v>46146</v>
      </c>
      <c r="J485" t="s">
        <v>204</v>
      </c>
      <c r="K485" s="11">
        <v>552.11999999999796</v>
      </c>
    </row>
    <row r="486" spans="3:11" ht="18.75">
      <c r="C486">
        <v>48</v>
      </c>
      <c r="D486" s="5">
        <v>45985</v>
      </c>
      <c r="E486" t="s">
        <v>145</v>
      </c>
      <c r="F486" s="11">
        <v>492.05</v>
      </c>
      <c r="H486">
        <v>19</v>
      </c>
      <c r="I486" s="5">
        <v>46146</v>
      </c>
      <c r="J486" t="s">
        <v>169</v>
      </c>
      <c r="K486" s="11">
        <v>1681.420000000013</v>
      </c>
    </row>
    <row r="487" spans="3:11" ht="18.75">
      <c r="C487">
        <v>48</v>
      </c>
      <c r="D487" s="5">
        <v>45985</v>
      </c>
      <c r="E487" t="s">
        <v>149</v>
      </c>
      <c r="F487" s="11">
        <v>152.66999999999999</v>
      </c>
      <c r="H487">
        <v>19</v>
      </c>
      <c r="I487" s="5">
        <v>46146</v>
      </c>
      <c r="J487" t="s">
        <v>198</v>
      </c>
      <c r="K487" s="11">
        <v>1395.0800000000049</v>
      </c>
    </row>
    <row r="488" spans="3:11" ht="18.75">
      <c r="C488">
        <v>48</v>
      </c>
      <c r="D488" s="5">
        <v>45985</v>
      </c>
      <c r="E488" t="s">
        <v>111</v>
      </c>
      <c r="F488" s="11">
        <v>224.94</v>
      </c>
      <c r="H488">
        <v>19</v>
      </c>
      <c r="I488" s="5">
        <v>46146</v>
      </c>
      <c r="J488" t="s">
        <v>171</v>
      </c>
      <c r="K488" s="11">
        <v>344.02000000000038</v>
      </c>
    </row>
    <row r="489" spans="3:11" ht="18.75">
      <c r="C489">
        <v>48</v>
      </c>
      <c r="D489" s="5">
        <v>45985</v>
      </c>
      <c r="E489" t="s">
        <v>147</v>
      </c>
      <c r="F489" s="11">
        <v>326.63</v>
      </c>
      <c r="H489">
        <v>19</v>
      </c>
      <c r="I489" s="5">
        <v>46146</v>
      </c>
      <c r="J489" t="s">
        <v>163</v>
      </c>
      <c r="K489" s="11">
        <v>185.75999999999993</v>
      </c>
    </row>
    <row r="490" spans="3:11" ht="18.75">
      <c r="C490">
        <v>48</v>
      </c>
      <c r="D490" s="5">
        <v>45985</v>
      </c>
      <c r="E490" t="s">
        <v>134</v>
      </c>
      <c r="F490" s="11">
        <v>322.58</v>
      </c>
      <c r="H490">
        <v>19</v>
      </c>
      <c r="I490" s="5">
        <v>46146</v>
      </c>
      <c r="J490" t="s">
        <v>176</v>
      </c>
      <c r="K490" s="11">
        <v>56.759999999999934</v>
      </c>
    </row>
    <row r="491" spans="3:11" ht="18.75">
      <c r="C491">
        <v>48</v>
      </c>
      <c r="D491" s="5">
        <v>45985</v>
      </c>
      <c r="E491" t="s">
        <v>138</v>
      </c>
      <c r="F491" s="11">
        <v>483.59</v>
      </c>
      <c r="H491">
        <v>19</v>
      </c>
      <c r="I491" s="5">
        <v>46146</v>
      </c>
      <c r="J491" t="s">
        <v>158</v>
      </c>
      <c r="K491" s="11">
        <v>694.87999999999943</v>
      </c>
    </row>
    <row r="492" spans="3:11" ht="18.75">
      <c r="C492">
        <v>48</v>
      </c>
      <c r="D492" s="5">
        <v>45985</v>
      </c>
      <c r="E492" t="s">
        <v>133</v>
      </c>
      <c r="F492" s="11">
        <v>306.63</v>
      </c>
      <c r="H492">
        <v>19</v>
      </c>
      <c r="I492" s="5">
        <v>46146</v>
      </c>
      <c r="J492" t="s">
        <v>173</v>
      </c>
      <c r="K492" s="11">
        <v>591</v>
      </c>
    </row>
    <row r="493" spans="3:11" ht="18.75">
      <c r="C493">
        <v>48</v>
      </c>
      <c r="D493" s="5">
        <v>45985</v>
      </c>
      <c r="E493" t="s">
        <v>129</v>
      </c>
      <c r="F493" s="11">
        <v>548.04</v>
      </c>
      <c r="H493">
        <v>19</v>
      </c>
      <c r="I493" s="5">
        <v>46146</v>
      </c>
      <c r="J493" t="s">
        <v>168</v>
      </c>
      <c r="K493" s="11">
        <v>32.479999999999997</v>
      </c>
    </row>
    <row r="494" spans="3:11" ht="18.75">
      <c r="C494">
        <v>48</v>
      </c>
      <c r="D494" s="5">
        <v>45985</v>
      </c>
      <c r="E494" t="s">
        <v>141</v>
      </c>
      <c r="F494" s="11">
        <v>616.89999999999895</v>
      </c>
      <c r="H494">
        <v>19</v>
      </c>
      <c r="I494" s="5">
        <v>46146</v>
      </c>
      <c r="J494" t="s">
        <v>165</v>
      </c>
      <c r="K494" s="11">
        <v>166.79999999999995</v>
      </c>
    </row>
    <row r="495" spans="3:11" ht="18.75">
      <c r="C495">
        <v>48</v>
      </c>
      <c r="D495" s="5">
        <v>45985</v>
      </c>
      <c r="E495" t="s">
        <v>137</v>
      </c>
      <c r="F495" s="11">
        <v>95.73</v>
      </c>
      <c r="H495">
        <v>19</v>
      </c>
      <c r="I495" s="5">
        <v>46146</v>
      </c>
      <c r="J495" t="s">
        <v>172</v>
      </c>
      <c r="K495" s="11">
        <v>41.79</v>
      </c>
    </row>
    <row r="496" spans="3:11" ht="18.75">
      <c r="C496">
        <v>48</v>
      </c>
      <c r="D496" s="5">
        <v>45985</v>
      </c>
      <c r="E496" t="s">
        <v>135</v>
      </c>
      <c r="F496" s="11">
        <v>63.92</v>
      </c>
      <c r="H496">
        <v>19</v>
      </c>
      <c r="I496" s="5">
        <v>46146</v>
      </c>
      <c r="J496" t="s">
        <v>206</v>
      </c>
      <c r="K496" s="11">
        <v>285.75</v>
      </c>
    </row>
    <row r="497" spans="3:11" ht="18.75">
      <c r="C497">
        <v>48</v>
      </c>
      <c r="D497" s="5">
        <v>45985</v>
      </c>
      <c r="E497" t="s">
        <v>118</v>
      </c>
      <c r="F497" s="11">
        <v>142.16</v>
      </c>
      <c r="H497">
        <v>19</v>
      </c>
      <c r="I497" s="5">
        <v>46146</v>
      </c>
      <c r="J497" t="s">
        <v>209</v>
      </c>
      <c r="K497" s="11">
        <v>66.959999999999923</v>
      </c>
    </row>
    <row r="498" spans="3:11" ht="18.75">
      <c r="C498">
        <v>48</v>
      </c>
      <c r="D498" s="5">
        <v>45985</v>
      </c>
      <c r="E498" t="s">
        <v>128</v>
      </c>
      <c r="F498" s="11">
        <v>127.44</v>
      </c>
      <c r="H498">
        <v>19</v>
      </c>
      <c r="I498" s="5">
        <v>46146</v>
      </c>
      <c r="J498" t="s">
        <v>170</v>
      </c>
      <c r="K498" s="11">
        <v>4</v>
      </c>
    </row>
    <row r="499" spans="3:11" ht="18.75">
      <c r="C499">
        <v>48</v>
      </c>
      <c r="D499" s="5">
        <v>45985</v>
      </c>
      <c r="E499" t="s">
        <v>143</v>
      </c>
      <c r="F499" s="11">
        <v>2026.57</v>
      </c>
      <c r="H499">
        <v>19</v>
      </c>
      <c r="I499" s="5">
        <v>46146</v>
      </c>
      <c r="J499" t="s">
        <v>164</v>
      </c>
      <c r="K499" s="11">
        <v>3.5999999999999996</v>
      </c>
    </row>
    <row r="500" spans="3:11" ht="18.75">
      <c r="C500">
        <v>48</v>
      </c>
      <c r="D500" s="5">
        <v>45985</v>
      </c>
      <c r="E500" t="s">
        <v>140</v>
      </c>
      <c r="F500" s="11">
        <v>81.12</v>
      </c>
      <c r="H500">
        <v>19</v>
      </c>
      <c r="I500" s="5">
        <v>46146</v>
      </c>
      <c r="J500" t="s">
        <v>167</v>
      </c>
      <c r="K500" s="11">
        <v>41.79</v>
      </c>
    </row>
    <row r="501" spans="3:11" ht="18.75">
      <c r="C501">
        <v>48</v>
      </c>
      <c r="D501" s="5">
        <v>45985</v>
      </c>
      <c r="E501" t="s">
        <v>121</v>
      </c>
      <c r="F501" s="11">
        <v>154.18</v>
      </c>
      <c r="H501">
        <v>22</v>
      </c>
      <c r="I501" s="5">
        <v>46167</v>
      </c>
      <c r="J501" t="s">
        <v>204</v>
      </c>
      <c r="K501" s="11">
        <v>756.03999999999792</v>
      </c>
    </row>
    <row r="502" spans="3:11" ht="18.75">
      <c r="C502">
        <v>48</v>
      </c>
      <c r="D502" s="5">
        <v>45985</v>
      </c>
      <c r="E502" t="s">
        <v>122</v>
      </c>
      <c r="F502" s="11">
        <v>204.6</v>
      </c>
      <c r="H502">
        <v>22</v>
      </c>
      <c r="I502" s="5">
        <v>46167</v>
      </c>
      <c r="J502" t="s">
        <v>160</v>
      </c>
      <c r="K502" s="11">
        <v>5092.9699999999721</v>
      </c>
    </row>
    <row r="503" spans="3:11" ht="18.75">
      <c r="C503">
        <v>48</v>
      </c>
      <c r="D503" s="5">
        <v>45985</v>
      </c>
      <c r="E503" t="s">
        <v>142</v>
      </c>
      <c r="F503" s="11">
        <v>170.31</v>
      </c>
      <c r="H503">
        <v>22</v>
      </c>
      <c r="I503" s="5">
        <v>46167</v>
      </c>
      <c r="J503" t="s">
        <v>169</v>
      </c>
      <c r="K503" s="11">
        <v>1586.9000000000119</v>
      </c>
    </row>
    <row r="504" spans="3:11" ht="18.75">
      <c r="C504">
        <v>48</v>
      </c>
      <c r="D504" s="5">
        <v>45985</v>
      </c>
      <c r="E504" t="s">
        <v>120</v>
      </c>
      <c r="F504" s="11">
        <v>94.46</v>
      </c>
      <c r="H504">
        <v>22</v>
      </c>
      <c r="I504" s="5">
        <v>46167</v>
      </c>
      <c r="J504" t="s">
        <v>163</v>
      </c>
      <c r="K504" s="11">
        <v>345.72000000000094</v>
      </c>
    </row>
    <row r="505" spans="3:11" ht="18.75">
      <c r="C505">
        <v>48</v>
      </c>
      <c r="D505" s="5">
        <v>45985</v>
      </c>
      <c r="E505" t="s">
        <v>124</v>
      </c>
      <c r="F505" s="11">
        <v>501.34</v>
      </c>
      <c r="H505">
        <v>22</v>
      </c>
      <c r="I505" s="5">
        <v>46167</v>
      </c>
      <c r="J505" t="s">
        <v>174</v>
      </c>
      <c r="K505" s="11">
        <v>501.99999999999915</v>
      </c>
    </row>
    <row r="506" spans="3:11" ht="18.75">
      <c r="C506">
        <v>48</v>
      </c>
      <c r="D506" s="5">
        <v>45985</v>
      </c>
      <c r="E506" t="s">
        <v>125</v>
      </c>
      <c r="F506" s="11">
        <v>50.68</v>
      </c>
      <c r="H506">
        <v>22</v>
      </c>
      <c r="I506" s="5">
        <v>46167</v>
      </c>
      <c r="J506" t="s">
        <v>198</v>
      </c>
      <c r="K506" s="11">
        <v>420.69999999999965</v>
      </c>
    </row>
    <row r="507" spans="3:11" ht="18.75">
      <c r="C507">
        <v>48</v>
      </c>
      <c r="D507" s="5">
        <v>45985</v>
      </c>
      <c r="E507" t="s">
        <v>116</v>
      </c>
      <c r="F507" s="11">
        <v>87.77</v>
      </c>
      <c r="H507">
        <v>22</v>
      </c>
      <c r="I507" s="5">
        <v>46167</v>
      </c>
      <c r="J507" t="s">
        <v>171</v>
      </c>
      <c r="K507" s="11">
        <v>299</v>
      </c>
    </row>
    <row r="508" spans="3:11" ht="18.75">
      <c r="C508">
        <v>48</v>
      </c>
      <c r="D508" s="5">
        <v>45985</v>
      </c>
      <c r="E508" t="s">
        <v>127</v>
      </c>
      <c r="F508" s="11">
        <v>208.77</v>
      </c>
      <c r="H508">
        <v>22</v>
      </c>
      <c r="I508" s="5">
        <v>46167</v>
      </c>
      <c r="J508" t="s">
        <v>209</v>
      </c>
      <c r="K508" s="11">
        <v>91.799999999999883</v>
      </c>
    </row>
    <row r="509" spans="3:11" ht="18.75">
      <c r="C509">
        <v>48</v>
      </c>
      <c r="D509" s="5">
        <v>45985</v>
      </c>
      <c r="E509" t="s">
        <v>126</v>
      </c>
      <c r="F509" s="11">
        <v>107.91</v>
      </c>
      <c r="H509">
        <v>22</v>
      </c>
      <c r="I509" s="5">
        <v>46167</v>
      </c>
      <c r="J509" t="s">
        <v>176</v>
      </c>
      <c r="K509" s="11">
        <v>134.28000000000006</v>
      </c>
    </row>
    <row r="510" spans="3:11" ht="18.75">
      <c r="C510">
        <v>48</v>
      </c>
      <c r="D510" s="5">
        <v>45985</v>
      </c>
      <c r="E510" t="s">
        <v>123</v>
      </c>
      <c r="F510" s="11">
        <v>577.42999999999995</v>
      </c>
      <c r="H510">
        <v>22</v>
      </c>
      <c r="I510" s="5">
        <v>46167</v>
      </c>
      <c r="J510" t="s">
        <v>173</v>
      </c>
      <c r="K510" s="11">
        <v>276</v>
      </c>
    </row>
    <row r="511" spans="3:11" ht="18.75">
      <c r="C511">
        <v>48</v>
      </c>
      <c r="D511" s="5">
        <v>45985</v>
      </c>
      <c r="E511" t="s">
        <v>119</v>
      </c>
      <c r="F511" s="11">
        <v>357.94</v>
      </c>
      <c r="H511">
        <v>22</v>
      </c>
      <c r="I511" s="5">
        <v>46167</v>
      </c>
      <c r="J511" t="s">
        <v>165</v>
      </c>
      <c r="K511" s="11">
        <v>194.19999999999987</v>
      </c>
    </row>
    <row r="512" spans="3:11" ht="18.75">
      <c r="C512">
        <v>48</v>
      </c>
      <c r="D512" s="5">
        <v>45985</v>
      </c>
      <c r="E512" t="s">
        <v>132</v>
      </c>
      <c r="F512" s="11">
        <v>200.5</v>
      </c>
      <c r="H512">
        <v>22</v>
      </c>
      <c r="I512" s="5">
        <v>46167</v>
      </c>
      <c r="J512" t="s">
        <v>206</v>
      </c>
      <c r="K512" s="11">
        <v>269.27000000000021</v>
      </c>
    </row>
    <row r="513" spans="3:11" ht="18.75">
      <c r="C513">
        <v>48</v>
      </c>
      <c r="D513" s="5">
        <v>45985</v>
      </c>
      <c r="E513" t="s">
        <v>113</v>
      </c>
      <c r="F513" s="11">
        <v>190.57</v>
      </c>
      <c r="H513">
        <v>22</v>
      </c>
      <c r="I513" s="5">
        <v>46167</v>
      </c>
      <c r="J513" t="s">
        <v>168</v>
      </c>
      <c r="K513" s="11">
        <v>6.38</v>
      </c>
    </row>
    <row r="514" spans="3:11" ht="18.75">
      <c r="C514">
        <v>48</v>
      </c>
      <c r="D514" s="5">
        <v>45985</v>
      </c>
      <c r="E514" t="s">
        <v>148</v>
      </c>
      <c r="F514" s="11">
        <v>65.97</v>
      </c>
      <c r="H514">
        <v>22</v>
      </c>
      <c r="I514" s="5">
        <v>46167</v>
      </c>
      <c r="J514" t="s">
        <v>170</v>
      </c>
      <c r="K514" s="11">
        <v>6</v>
      </c>
    </row>
    <row r="515" spans="3:11" ht="18.75">
      <c r="C515">
        <v>48</v>
      </c>
      <c r="D515" s="5">
        <v>45985</v>
      </c>
      <c r="E515" t="s">
        <v>151</v>
      </c>
      <c r="F515" s="11">
        <v>58.82</v>
      </c>
      <c r="H515">
        <v>22</v>
      </c>
      <c r="I515" s="5">
        <v>46167</v>
      </c>
      <c r="J515" t="s">
        <v>167</v>
      </c>
      <c r="K515" s="11">
        <v>12.2</v>
      </c>
    </row>
    <row r="516" spans="3:11" ht="18.75">
      <c r="C516">
        <v>49</v>
      </c>
      <c r="D516" s="5">
        <v>45992</v>
      </c>
      <c r="E516" t="s">
        <v>117</v>
      </c>
      <c r="F516" s="11">
        <v>278.45999999999998</v>
      </c>
      <c r="H516">
        <v>23</v>
      </c>
      <c r="I516" s="5">
        <v>46174</v>
      </c>
      <c r="J516" t="s">
        <v>169</v>
      </c>
      <c r="K516" s="11">
        <v>2052.6000000000158</v>
      </c>
    </row>
    <row r="517" spans="3:11" ht="18.75">
      <c r="C517">
        <v>49</v>
      </c>
      <c r="D517" s="5">
        <v>45992</v>
      </c>
      <c r="E517" t="s">
        <v>114</v>
      </c>
      <c r="F517" s="11">
        <v>279.52</v>
      </c>
      <c r="H517">
        <v>23</v>
      </c>
      <c r="I517" s="5">
        <v>46174</v>
      </c>
      <c r="J517" t="s">
        <v>173</v>
      </c>
      <c r="K517" s="11">
        <v>932.44999999999902</v>
      </c>
    </row>
    <row r="518" spans="3:11" ht="18.75">
      <c r="C518">
        <v>49</v>
      </c>
      <c r="D518" s="5">
        <v>45992</v>
      </c>
      <c r="E518" t="s">
        <v>150</v>
      </c>
      <c r="F518" s="11">
        <v>105.67</v>
      </c>
      <c r="H518">
        <v>23</v>
      </c>
      <c r="I518" s="5">
        <v>46174</v>
      </c>
      <c r="J518" t="s">
        <v>204</v>
      </c>
      <c r="K518" s="11">
        <v>554.37999999999852</v>
      </c>
    </row>
    <row r="519" spans="3:11" ht="18.75">
      <c r="C519">
        <v>49</v>
      </c>
      <c r="D519" s="5">
        <v>45992</v>
      </c>
      <c r="E519" t="s">
        <v>129</v>
      </c>
      <c r="F519" s="11">
        <v>529.63</v>
      </c>
      <c r="H519">
        <v>23</v>
      </c>
      <c r="I519" s="5">
        <v>46174</v>
      </c>
      <c r="J519" t="s">
        <v>160</v>
      </c>
      <c r="K519" s="11">
        <v>5922.8099999999231</v>
      </c>
    </row>
    <row r="520" spans="3:11" ht="18.75">
      <c r="C520">
        <v>49</v>
      </c>
      <c r="D520" s="5">
        <v>45992</v>
      </c>
      <c r="E520" t="s">
        <v>112</v>
      </c>
      <c r="F520" s="11">
        <v>77.819999999999993</v>
      </c>
      <c r="H520">
        <v>23</v>
      </c>
      <c r="I520" s="5">
        <v>46174</v>
      </c>
      <c r="J520" t="s">
        <v>174</v>
      </c>
      <c r="K520" s="11">
        <v>766.55999999999733</v>
      </c>
    </row>
    <row r="521" spans="3:11" ht="18.75">
      <c r="C521">
        <v>49</v>
      </c>
      <c r="D521" s="5">
        <v>45992</v>
      </c>
      <c r="E521" t="s">
        <v>146</v>
      </c>
      <c r="F521" s="11">
        <v>648.94000000000005</v>
      </c>
      <c r="H521">
        <v>23</v>
      </c>
      <c r="I521" s="5">
        <v>46174</v>
      </c>
      <c r="J521" t="s">
        <v>167</v>
      </c>
      <c r="K521" s="11">
        <v>489.79999999999939</v>
      </c>
    </row>
    <row r="522" spans="3:11" ht="18.75">
      <c r="C522">
        <v>49</v>
      </c>
      <c r="D522" s="5">
        <v>45992</v>
      </c>
      <c r="E522" t="s">
        <v>136</v>
      </c>
      <c r="F522" s="11">
        <v>116.91</v>
      </c>
      <c r="H522">
        <v>23</v>
      </c>
      <c r="I522" s="5">
        <v>46174</v>
      </c>
      <c r="J522" t="s">
        <v>165</v>
      </c>
      <c r="K522" s="11">
        <v>112.3</v>
      </c>
    </row>
    <row r="523" spans="3:11" ht="18.75">
      <c r="C523">
        <v>49</v>
      </c>
      <c r="D523" s="5">
        <v>45992</v>
      </c>
      <c r="E523" t="s">
        <v>141</v>
      </c>
      <c r="F523" s="11">
        <v>911.33999999999696</v>
      </c>
      <c r="H523">
        <v>23</v>
      </c>
      <c r="I523" s="5">
        <v>46174</v>
      </c>
      <c r="J523" t="s">
        <v>176</v>
      </c>
      <c r="K523" s="11">
        <v>150.24000000000009</v>
      </c>
    </row>
    <row r="524" spans="3:11" ht="18.75">
      <c r="C524">
        <v>49</v>
      </c>
      <c r="D524" s="5">
        <v>45992</v>
      </c>
      <c r="E524" t="s">
        <v>140</v>
      </c>
      <c r="F524" s="11">
        <v>102.79</v>
      </c>
      <c r="H524">
        <v>23</v>
      </c>
      <c r="I524" s="5">
        <v>46174</v>
      </c>
      <c r="J524" t="s">
        <v>198</v>
      </c>
      <c r="K524" s="11">
        <v>544.00000000000023</v>
      </c>
    </row>
    <row r="525" spans="3:11" ht="18.75">
      <c r="C525">
        <v>49</v>
      </c>
      <c r="D525" s="5">
        <v>45992</v>
      </c>
      <c r="E525" t="s">
        <v>138</v>
      </c>
      <c r="F525" s="11">
        <v>494.15</v>
      </c>
      <c r="H525">
        <v>23</v>
      </c>
      <c r="I525" s="5">
        <v>46174</v>
      </c>
      <c r="J525" t="s">
        <v>209</v>
      </c>
      <c r="K525" s="11">
        <v>72.359999999999914</v>
      </c>
    </row>
    <row r="526" spans="3:11" ht="18.75">
      <c r="C526">
        <v>49</v>
      </c>
      <c r="D526" s="5">
        <v>45992</v>
      </c>
      <c r="E526" t="s">
        <v>139</v>
      </c>
      <c r="F526" s="11">
        <v>308.38</v>
      </c>
      <c r="H526">
        <v>23</v>
      </c>
      <c r="I526" s="5">
        <v>46174</v>
      </c>
      <c r="J526" t="s">
        <v>206</v>
      </c>
      <c r="K526" s="11">
        <v>288.99999999999989</v>
      </c>
    </row>
    <row r="527" spans="3:11" ht="18.75">
      <c r="C527">
        <v>49</v>
      </c>
      <c r="D527" s="5">
        <v>45992</v>
      </c>
      <c r="E527" t="s">
        <v>127</v>
      </c>
      <c r="F527" s="11">
        <v>391.05</v>
      </c>
      <c r="H527">
        <v>23</v>
      </c>
      <c r="I527" s="5">
        <v>46174</v>
      </c>
      <c r="J527" t="s">
        <v>163</v>
      </c>
      <c r="K527" s="11">
        <v>196.07999999999987</v>
      </c>
    </row>
    <row r="528" spans="3:11" ht="18.75">
      <c r="C528">
        <v>49</v>
      </c>
      <c r="D528" s="5">
        <v>45992</v>
      </c>
      <c r="E528" t="s">
        <v>126</v>
      </c>
      <c r="F528" s="11">
        <v>103.76</v>
      </c>
      <c r="H528">
        <v>23</v>
      </c>
      <c r="I528" s="5">
        <v>46174</v>
      </c>
      <c r="J528" t="s">
        <v>170</v>
      </c>
      <c r="K528" s="11">
        <v>10</v>
      </c>
    </row>
    <row r="529" spans="3:11" ht="18.75">
      <c r="C529">
        <v>49</v>
      </c>
      <c r="D529" s="5">
        <v>45992</v>
      </c>
      <c r="E529" t="s">
        <v>125</v>
      </c>
      <c r="F529" s="11">
        <v>88.26</v>
      </c>
      <c r="H529">
        <v>23</v>
      </c>
      <c r="I529" s="5">
        <v>46174</v>
      </c>
      <c r="J529" t="s">
        <v>168</v>
      </c>
      <c r="K529" s="11">
        <v>0.65</v>
      </c>
    </row>
    <row r="530" spans="3:11" ht="18.75">
      <c r="C530">
        <v>49</v>
      </c>
      <c r="D530" s="5">
        <v>45992</v>
      </c>
      <c r="E530" t="s">
        <v>147</v>
      </c>
      <c r="F530" s="11">
        <v>369.83</v>
      </c>
      <c r="H530">
        <v>23</v>
      </c>
      <c r="I530" s="5">
        <v>46174</v>
      </c>
      <c r="J530" t="s">
        <v>164</v>
      </c>
      <c r="K530" s="11">
        <v>6</v>
      </c>
    </row>
    <row r="531" spans="3:11" ht="18.75">
      <c r="C531">
        <v>49</v>
      </c>
      <c r="D531" s="5">
        <v>45992</v>
      </c>
      <c r="E531" t="s">
        <v>134</v>
      </c>
      <c r="F531" s="11">
        <v>318.07</v>
      </c>
      <c r="H531">
        <v>24</v>
      </c>
      <c r="I531" s="5">
        <v>46181</v>
      </c>
      <c r="J531" t="s">
        <v>198</v>
      </c>
      <c r="K531" s="11">
        <v>576.73999999999978</v>
      </c>
    </row>
    <row r="532" spans="3:11" ht="18.75">
      <c r="C532">
        <v>49</v>
      </c>
      <c r="D532" s="5">
        <v>45992</v>
      </c>
      <c r="E532" t="s">
        <v>149</v>
      </c>
      <c r="F532" s="11">
        <v>187.73</v>
      </c>
      <c r="H532">
        <v>24</v>
      </c>
      <c r="I532" s="5">
        <v>46181</v>
      </c>
      <c r="J532" t="s">
        <v>169</v>
      </c>
      <c r="K532" s="11">
        <v>1966.3500000000167</v>
      </c>
    </row>
    <row r="533" spans="3:11" ht="18.75">
      <c r="C533">
        <v>49</v>
      </c>
      <c r="D533" s="5">
        <v>45992</v>
      </c>
      <c r="E533" t="s">
        <v>133</v>
      </c>
      <c r="F533" s="11">
        <v>288.35000000000002</v>
      </c>
      <c r="H533">
        <v>24</v>
      </c>
      <c r="I533" s="5">
        <v>46181</v>
      </c>
      <c r="J533" t="s">
        <v>204</v>
      </c>
      <c r="K533" s="11">
        <v>441.28999999999888</v>
      </c>
    </row>
    <row r="534" spans="3:11" ht="18.75">
      <c r="C534">
        <v>49</v>
      </c>
      <c r="D534" s="5">
        <v>45992</v>
      </c>
      <c r="E534" t="s">
        <v>121</v>
      </c>
      <c r="F534" s="11">
        <v>188.56</v>
      </c>
      <c r="H534">
        <v>24</v>
      </c>
      <c r="I534" s="5">
        <v>46181</v>
      </c>
      <c r="J534" t="s">
        <v>173</v>
      </c>
      <c r="K534" s="11">
        <v>855.99999999999886</v>
      </c>
    </row>
    <row r="535" spans="3:11" ht="18.75">
      <c r="C535">
        <v>49</v>
      </c>
      <c r="D535" s="5">
        <v>45992</v>
      </c>
      <c r="E535" t="s">
        <v>113</v>
      </c>
      <c r="F535" s="11">
        <v>232.02</v>
      </c>
      <c r="H535">
        <v>24</v>
      </c>
      <c r="I535" s="5">
        <v>46181</v>
      </c>
      <c r="J535" t="s">
        <v>160</v>
      </c>
      <c r="K535" s="11">
        <v>6104.8499999999704</v>
      </c>
    </row>
    <row r="536" spans="3:11" ht="18.75">
      <c r="C536">
        <v>49</v>
      </c>
      <c r="D536" s="5">
        <v>45992</v>
      </c>
      <c r="E536" t="s">
        <v>128</v>
      </c>
      <c r="F536" s="11">
        <v>202.2</v>
      </c>
      <c r="H536">
        <v>24</v>
      </c>
      <c r="I536" s="5">
        <v>46181</v>
      </c>
      <c r="J536" t="s">
        <v>171</v>
      </c>
      <c r="K536" s="11">
        <v>810.4</v>
      </c>
    </row>
    <row r="537" spans="3:11" ht="18.75">
      <c r="C537">
        <v>49</v>
      </c>
      <c r="D537" s="5">
        <v>45992</v>
      </c>
      <c r="E537" t="s">
        <v>111</v>
      </c>
      <c r="F537" s="11">
        <v>218.4</v>
      </c>
      <c r="H537">
        <v>24</v>
      </c>
      <c r="I537" s="5">
        <v>46181</v>
      </c>
      <c r="J537" t="s">
        <v>165</v>
      </c>
      <c r="K537" s="11">
        <v>210.19999999999985</v>
      </c>
    </row>
    <row r="538" spans="3:11" ht="18.75">
      <c r="C538">
        <v>49</v>
      </c>
      <c r="D538" s="5">
        <v>45992</v>
      </c>
      <c r="E538" t="s">
        <v>123</v>
      </c>
      <c r="F538" s="11">
        <v>498.37</v>
      </c>
      <c r="H538">
        <v>24</v>
      </c>
      <c r="I538" s="5">
        <v>46181</v>
      </c>
      <c r="J538" t="s">
        <v>167</v>
      </c>
      <c r="K538" s="11">
        <v>479.2000000000005</v>
      </c>
    </row>
    <row r="539" spans="3:11" ht="18.75">
      <c r="C539">
        <v>49</v>
      </c>
      <c r="D539" s="5">
        <v>45992</v>
      </c>
      <c r="E539" t="s">
        <v>135</v>
      </c>
      <c r="F539" s="11">
        <v>87.38</v>
      </c>
      <c r="H539">
        <v>24</v>
      </c>
      <c r="I539" s="5">
        <v>46181</v>
      </c>
      <c r="J539" t="s">
        <v>163</v>
      </c>
      <c r="K539" s="11">
        <v>274.76999999999981</v>
      </c>
    </row>
    <row r="540" spans="3:11" ht="18.75">
      <c r="C540">
        <v>49</v>
      </c>
      <c r="D540" s="5">
        <v>45992</v>
      </c>
      <c r="E540" t="s">
        <v>120</v>
      </c>
      <c r="F540" s="11">
        <v>220.65</v>
      </c>
      <c r="H540">
        <v>24</v>
      </c>
      <c r="I540" s="5">
        <v>46181</v>
      </c>
      <c r="J540" t="s">
        <v>176</v>
      </c>
      <c r="K540" s="11">
        <v>135.84000000000006</v>
      </c>
    </row>
    <row r="541" spans="3:11" ht="18.75">
      <c r="C541">
        <v>49</v>
      </c>
      <c r="D541" s="5">
        <v>45992</v>
      </c>
      <c r="E541" t="s">
        <v>142</v>
      </c>
      <c r="F541" s="11">
        <v>183.71</v>
      </c>
      <c r="H541">
        <v>24</v>
      </c>
      <c r="I541" s="5">
        <v>46181</v>
      </c>
      <c r="J541" t="s">
        <v>209</v>
      </c>
      <c r="K541" s="11">
        <v>79.919999999999902</v>
      </c>
    </row>
    <row r="542" spans="3:11" ht="18.75">
      <c r="C542">
        <v>49</v>
      </c>
      <c r="D542" s="5">
        <v>45992</v>
      </c>
      <c r="E542" t="s">
        <v>124</v>
      </c>
      <c r="F542" s="11">
        <v>548.13</v>
      </c>
      <c r="H542">
        <v>24</v>
      </c>
      <c r="I542" s="5">
        <v>46181</v>
      </c>
      <c r="J542" t="s">
        <v>168</v>
      </c>
      <c r="K542" s="11">
        <v>4.1100000000000003</v>
      </c>
    </row>
    <row r="543" spans="3:11" ht="18.75">
      <c r="C543">
        <v>49</v>
      </c>
      <c r="D543" s="5">
        <v>45992</v>
      </c>
      <c r="E543" t="s">
        <v>145</v>
      </c>
      <c r="F543" s="11">
        <v>343.27</v>
      </c>
      <c r="H543">
        <v>24</v>
      </c>
      <c r="I543" s="5">
        <v>46181</v>
      </c>
      <c r="J543" t="s">
        <v>206</v>
      </c>
      <c r="K543" s="11">
        <v>373.26999999999987</v>
      </c>
    </row>
    <row r="544" spans="3:11" ht="18.75">
      <c r="C544">
        <v>49</v>
      </c>
      <c r="D544" s="5">
        <v>45992</v>
      </c>
      <c r="E544" t="s">
        <v>116</v>
      </c>
      <c r="F544" s="11">
        <v>112.46</v>
      </c>
      <c r="H544">
        <v>24</v>
      </c>
      <c r="I544" s="5">
        <v>46181</v>
      </c>
      <c r="J544" t="s">
        <v>170</v>
      </c>
      <c r="K544" s="11">
        <v>2</v>
      </c>
    </row>
    <row r="545" spans="3:11" ht="18.75">
      <c r="C545">
        <v>49</v>
      </c>
      <c r="D545" s="5">
        <v>45992</v>
      </c>
      <c r="E545" t="s">
        <v>122</v>
      </c>
      <c r="F545" s="11">
        <v>309.48</v>
      </c>
      <c r="H545">
        <v>26</v>
      </c>
      <c r="I545" s="5">
        <v>46195</v>
      </c>
      <c r="J545" t="s">
        <v>169</v>
      </c>
      <c r="K545" s="240">
        <v>1941.2500000000182</v>
      </c>
    </row>
    <row r="546" spans="3:11" ht="18.75">
      <c r="C546">
        <v>49</v>
      </c>
      <c r="D546" s="5">
        <v>45992</v>
      </c>
      <c r="E546" t="s">
        <v>137</v>
      </c>
      <c r="F546" s="11">
        <v>104.72</v>
      </c>
      <c r="H546">
        <v>26</v>
      </c>
      <c r="I546" s="5">
        <v>46195</v>
      </c>
      <c r="J546" t="s">
        <v>204</v>
      </c>
      <c r="K546" s="240">
        <v>610.88999999999874</v>
      </c>
    </row>
    <row r="547" spans="3:11" ht="18.75">
      <c r="C547">
        <v>49</v>
      </c>
      <c r="D547" s="5">
        <v>45992</v>
      </c>
      <c r="E547" t="s">
        <v>118</v>
      </c>
      <c r="F547" s="11">
        <v>167.43</v>
      </c>
      <c r="H547">
        <v>26</v>
      </c>
      <c r="I547" s="5">
        <v>46195</v>
      </c>
      <c r="J547" t="s">
        <v>163</v>
      </c>
      <c r="K547" s="240">
        <v>319.92000000000053</v>
      </c>
    </row>
    <row r="548" spans="3:11" ht="18.75">
      <c r="C548">
        <v>49</v>
      </c>
      <c r="D548" s="5">
        <v>45992</v>
      </c>
      <c r="E548" t="s">
        <v>151</v>
      </c>
      <c r="F548" s="11">
        <v>606.11</v>
      </c>
      <c r="H548">
        <v>26</v>
      </c>
      <c r="I548" s="5">
        <v>46195</v>
      </c>
      <c r="J548" t="s">
        <v>160</v>
      </c>
      <c r="K548" s="240">
        <v>5395.2299999999286</v>
      </c>
    </row>
    <row r="549" spans="3:11" ht="18.75">
      <c r="C549">
        <v>49</v>
      </c>
      <c r="D549" s="5">
        <v>45992</v>
      </c>
      <c r="E549" t="s">
        <v>143</v>
      </c>
      <c r="F549" s="11">
        <v>1447.38</v>
      </c>
      <c r="H549">
        <v>26</v>
      </c>
      <c r="I549" s="5">
        <v>46195</v>
      </c>
      <c r="J549" t="s">
        <v>173</v>
      </c>
      <c r="K549" s="240">
        <v>891</v>
      </c>
    </row>
    <row r="550" spans="3:11" ht="18.75">
      <c r="C550">
        <v>49</v>
      </c>
      <c r="D550" s="5">
        <v>45992</v>
      </c>
      <c r="E550" t="s">
        <v>132</v>
      </c>
      <c r="F550" s="11">
        <v>246.5</v>
      </c>
      <c r="H550">
        <v>26</v>
      </c>
      <c r="I550" s="5">
        <v>46195</v>
      </c>
      <c r="J550" t="s">
        <v>158</v>
      </c>
      <c r="K550" s="240">
        <v>739.7</v>
      </c>
    </row>
    <row r="551" spans="3:11" ht="18.75">
      <c r="C551">
        <v>49</v>
      </c>
      <c r="D551" s="5">
        <v>45992</v>
      </c>
      <c r="E551" t="s">
        <v>148</v>
      </c>
      <c r="F551" s="11">
        <v>272.10000000000002</v>
      </c>
      <c r="H551">
        <v>26</v>
      </c>
      <c r="I551" s="5">
        <v>46195</v>
      </c>
      <c r="J551" t="s">
        <v>198</v>
      </c>
      <c r="K551" s="240">
        <v>511.34999999999934</v>
      </c>
    </row>
    <row r="552" spans="3:11" ht="18.75">
      <c r="C552">
        <v>49</v>
      </c>
      <c r="D552" s="5">
        <v>45992</v>
      </c>
      <c r="E552" t="s">
        <v>119</v>
      </c>
      <c r="F552" s="11">
        <v>443.81</v>
      </c>
      <c r="H552">
        <v>26</v>
      </c>
      <c r="I552" s="5">
        <v>46195</v>
      </c>
      <c r="J552" t="s">
        <v>176</v>
      </c>
      <c r="K552" s="240">
        <v>99.839999999999961</v>
      </c>
    </row>
    <row r="553" spans="3:11" ht="18.75">
      <c r="C553">
        <v>50</v>
      </c>
      <c r="D553" s="5">
        <v>45999</v>
      </c>
      <c r="E553" t="s">
        <v>117</v>
      </c>
      <c r="F553" s="11">
        <v>225.88</v>
      </c>
      <c r="H553">
        <v>26</v>
      </c>
      <c r="I553" s="5">
        <v>46195</v>
      </c>
      <c r="J553" t="s">
        <v>168</v>
      </c>
      <c r="K553" s="240">
        <v>1.9500000000000002</v>
      </c>
    </row>
    <row r="554" spans="3:11" ht="18.75">
      <c r="C554">
        <v>50</v>
      </c>
      <c r="D554" s="5">
        <v>45999</v>
      </c>
      <c r="E554" t="s">
        <v>146</v>
      </c>
      <c r="F554" s="11">
        <v>655.58</v>
      </c>
      <c r="H554">
        <v>26</v>
      </c>
      <c r="I554" s="5">
        <v>46195</v>
      </c>
      <c r="J554" t="s">
        <v>171</v>
      </c>
      <c r="K554" s="240">
        <v>309.12000000000046</v>
      </c>
    </row>
    <row r="555" spans="3:11" ht="18.75">
      <c r="C555">
        <v>50</v>
      </c>
      <c r="D555" s="5">
        <v>45999</v>
      </c>
      <c r="E555" t="s">
        <v>112</v>
      </c>
      <c r="F555" s="11">
        <v>139.09</v>
      </c>
      <c r="H555">
        <v>26</v>
      </c>
      <c r="I555" s="5">
        <v>46195</v>
      </c>
      <c r="J555" t="s">
        <v>174</v>
      </c>
      <c r="K555" s="240">
        <v>746.65999999999985</v>
      </c>
    </row>
    <row r="556" spans="3:11" ht="18.75">
      <c r="C556">
        <v>50</v>
      </c>
      <c r="D556" s="5">
        <v>45999</v>
      </c>
      <c r="E556" t="s">
        <v>147</v>
      </c>
      <c r="F556" s="11">
        <v>385.64</v>
      </c>
      <c r="H556">
        <v>26</v>
      </c>
      <c r="I556" s="5">
        <v>46195</v>
      </c>
      <c r="J556" t="s">
        <v>165</v>
      </c>
      <c r="K556" s="240">
        <v>219.99999999999989</v>
      </c>
    </row>
    <row r="557" spans="3:11" ht="18.75">
      <c r="C557">
        <v>50</v>
      </c>
      <c r="D557" s="5">
        <v>45999</v>
      </c>
      <c r="E557" t="s">
        <v>139</v>
      </c>
      <c r="F557" s="11">
        <v>332.85</v>
      </c>
      <c r="H557">
        <v>26</v>
      </c>
      <c r="I557" s="5">
        <v>46195</v>
      </c>
      <c r="J557" t="s">
        <v>209</v>
      </c>
      <c r="K557" s="240">
        <v>104.75999999999986</v>
      </c>
    </row>
    <row r="558" spans="3:11" ht="18.75">
      <c r="C558">
        <v>50</v>
      </c>
      <c r="D558" s="5">
        <v>45999</v>
      </c>
      <c r="E558" t="s">
        <v>150</v>
      </c>
      <c r="F558" s="11">
        <v>95.26</v>
      </c>
      <c r="H558">
        <v>26</v>
      </c>
      <c r="I558" s="5">
        <v>46195</v>
      </c>
      <c r="J558" t="s">
        <v>170</v>
      </c>
      <c r="K558" s="240">
        <v>4</v>
      </c>
    </row>
    <row r="559" spans="3:11" ht="18.75">
      <c r="C559">
        <v>50</v>
      </c>
      <c r="D559" s="5">
        <v>45999</v>
      </c>
      <c r="E559" t="s">
        <v>111</v>
      </c>
      <c r="F559" s="11">
        <v>248.74</v>
      </c>
      <c r="H559">
        <v>26</v>
      </c>
      <c r="I559" s="5">
        <v>46195</v>
      </c>
      <c r="J559" t="s">
        <v>206</v>
      </c>
      <c r="K559" s="240">
        <v>371.77999999999975</v>
      </c>
    </row>
    <row r="560" spans="3:11" ht="18.75">
      <c r="C560">
        <v>50</v>
      </c>
      <c r="D560" s="5">
        <v>45999</v>
      </c>
      <c r="E560" t="s">
        <v>114</v>
      </c>
      <c r="F560" s="11">
        <v>351.22</v>
      </c>
    </row>
    <row r="561" spans="3:6" ht="18.75">
      <c r="C561">
        <v>50</v>
      </c>
      <c r="D561" s="5">
        <v>45999</v>
      </c>
      <c r="E561" t="s">
        <v>119</v>
      </c>
      <c r="F561" s="11">
        <v>453.97</v>
      </c>
    </row>
    <row r="562" spans="3:6" ht="18.75">
      <c r="C562">
        <v>50</v>
      </c>
      <c r="D562" s="5">
        <v>45999</v>
      </c>
      <c r="E562" t="s">
        <v>149</v>
      </c>
      <c r="F562" s="11">
        <v>151.01</v>
      </c>
    </row>
    <row r="563" spans="3:6" ht="18.75">
      <c r="C563">
        <v>50</v>
      </c>
      <c r="D563" s="5">
        <v>45999</v>
      </c>
      <c r="E563" t="s">
        <v>136</v>
      </c>
      <c r="F563" s="11">
        <v>125.26</v>
      </c>
    </row>
    <row r="564" spans="3:6" ht="18.75">
      <c r="C564">
        <v>50</v>
      </c>
      <c r="D564" s="5">
        <v>45999</v>
      </c>
      <c r="E564" t="s">
        <v>143</v>
      </c>
      <c r="F564" s="11">
        <v>1874.61</v>
      </c>
    </row>
    <row r="565" spans="3:6" ht="18.75">
      <c r="C565">
        <v>50</v>
      </c>
      <c r="D565" s="5">
        <v>45999</v>
      </c>
      <c r="E565" t="s">
        <v>138</v>
      </c>
      <c r="F565" s="11">
        <v>542.05999999999995</v>
      </c>
    </row>
    <row r="566" spans="3:6" ht="18.75">
      <c r="C566">
        <v>50</v>
      </c>
      <c r="D566" s="5">
        <v>45999</v>
      </c>
      <c r="E566" t="s">
        <v>141</v>
      </c>
      <c r="F566" s="11">
        <v>738.74999999999898</v>
      </c>
    </row>
    <row r="567" spans="3:6" ht="18.75">
      <c r="C567">
        <v>50</v>
      </c>
      <c r="D567" s="5">
        <v>45999</v>
      </c>
      <c r="E567" t="s">
        <v>118</v>
      </c>
      <c r="F567" s="11">
        <v>140.38999999999999</v>
      </c>
    </row>
    <row r="568" spans="3:6" ht="18.75">
      <c r="C568">
        <v>50</v>
      </c>
      <c r="D568" s="5">
        <v>45999</v>
      </c>
      <c r="E568" t="s">
        <v>129</v>
      </c>
      <c r="F568" s="11">
        <v>527.65</v>
      </c>
    </row>
    <row r="569" spans="3:6" ht="18.75">
      <c r="C569">
        <v>50</v>
      </c>
      <c r="D569" s="5">
        <v>45999</v>
      </c>
      <c r="E569" t="s">
        <v>116</v>
      </c>
      <c r="F569" s="11">
        <v>119</v>
      </c>
    </row>
    <row r="570" spans="3:6" ht="18.75">
      <c r="C570">
        <v>50</v>
      </c>
      <c r="D570" s="5">
        <v>45999</v>
      </c>
      <c r="E570" t="s">
        <v>120</v>
      </c>
      <c r="F570" s="11">
        <v>151.82</v>
      </c>
    </row>
    <row r="571" spans="3:6" ht="18.75">
      <c r="C571">
        <v>50</v>
      </c>
      <c r="D571" s="5">
        <v>45999</v>
      </c>
      <c r="E571" t="s">
        <v>137</v>
      </c>
      <c r="F571" s="11">
        <v>105.92</v>
      </c>
    </row>
    <row r="572" spans="3:6" ht="18.75">
      <c r="C572">
        <v>50</v>
      </c>
      <c r="D572" s="5">
        <v>45999</v>
      </c>
      <c r="E572" t="s">
        <v>122</v>
      </c>
      <c r="F572" s="11">
        <v>291.99</v>
      </c>
    </row>
    <row r="573" spans="3:6" ht="18.75">
      <c r="C573">
        <v>50</v>
      </c>
      <c r="D573" s="5">
        <v>45999</v>
      </c>
      <c r="E573" t="s">
        <v>145</v>
      </c>
      <c r="F573" s="11">
        <v>237.44</v>
      </c>
    </row>
    <row r="574" spans="3:6" ht="18.75">
      <c r="C574">
        <v>50</v>
      </c>
      <c r="D574" s="5">
        <v>45999</v>
      </c>
      <c r="E574" t="s">
        <v>140</v>
      </c>
      <c r="F574" s="11">
        <v>88.11</v>
      </c>
    </row>
    <row r="575" spans="3:6" ht="18.75">
      <c r="C575">
        <v>50</v>
      </c>
      <c r="D575" s="5">
        <v>45999</v>
      </c>
      <c r="E575" t="s">
        <v>132</v>
      </c>
      <c r="F575" s="11">
        <v>267.45999999999998</v>
      </c>
    </row>
    <row r="576" spans="3:6" ht="18.75">
      <c r="C576">
        <v>50</v>
      </c>
      <c r="D576" s="5">
        <v>45999</v>
      </c>
      <c r="E576" t="s">
        <v>133</v>
      </c>
      <c r="F576" s="11">
        <v>321.44</v>
      </c>
    </row>
    <row r="577" spans="3:6" ht="18.75">
      <c r="C577">
        <v>50</v>
      </c>
      <c r="D577" s="5">
        <v>45999</v>
      </c>
      <c r="E577" t="s">
        <v>121</v>
      </c>
      <c r="F577" s="11">
        <v>82.43</v>
      </c>
    </row>
    <row r="578" spans="3:6" ht="18.75">
      <c r="C578">
        <v>50</v>
      </c>
      <c r="D578" s="5">
        <v>45999</v>
      </c>
      <c r="E578" t="s">
        <v>142</v>
      </c>
      <c r="F578" s="11">
        <v>192.96</v>
      </c>
    </row>
    <row r="579" spans="3:6" ht="18.75">
      <c r="C579">
        <v>50</v>
      </c>
      <c r="D579" s="5">
        <v>45999</v>
      </c>
      <c r="E579" t="s">
        <v>134</v>
      </c>
      <c r="F579" s="11">
        <v>329.82</v>
      </c>
    </row>
    <row r="580" spans="3:6" ht="18.75">
      <c r="C580">
        <v>50</v>
      </c>
      <c r="D580" s="5">
        <v>45999</v>
      </c>
      <c r="E580" t="s">
        <v>135</v>
      </c>
      <c r="F580" s="11">
        <v>92.8</v>
      </c>
    </row>
    <row r="581" spans="3:6" ht="18.75">
      <c r="C581">
        <v>50</v>
      </c>
      <c r="D581" s="5">
        <v>45999</v>
      </c>
      <c r="E581" t="s">
        <v>125</v>
      </c>
      <c r="F581" s="11">
        <v>83.23</v>
      </c>
    </row>
    <row r="582" spans="3:6" ht="18.75">
      <c r="C582">
        <v>50</v>
      </c>
      <c r="D582" s="5">
        <v>45999</v>
      </c>
      <c r="E582" t="s">
        <v>148</v>
      </c>
      <c r="F582" s="11">
        <v>190.27</v>
      </c>
    </row>
    <row r="583" spans="3:6" ht="18.75">
      <c r="C583">
        <v>50</v>
      </c>
      <c r="D583" s="5">
        <v>45999</v>
      </c>
      <c r="E583" t="s">
        <v>123</v>
      </c>
      <c r="F583" s="11">
        <v>558.29</v>
      </c>
    </row>
    <row r="584" spans="3:6" ht="18.75">
      <c r="C584">
        <v>50</v>
      </c>
      <c r="D584" s="5">
        <v>45999</v>
      </c>
      <c r="E584" t="s">
        <v>127</v>
      </c>
      <c r="F584" s="11">
        <v>319.52999999999997</v>
      </c>
    </row>
    <row r="585" spans="3:6" ht="18.75">
      <c r="C585">
        <v>50</v>
      </c>
      <c r="D585" s="5">
        <v>45999</v>
      </c>
      <c r="E585" t="s">
        <v>126</v>
      </c>
      <c r="F585" s="11">
        <v>154.93</v>
      </c>
    </row>
    <row r="586" spans="3:6" ht="18.75">
      <c r="C586">
        <v>50</v>
      </c>
      <c r="D586" s="5">
        <v>45999</v>
      </c>
      <c r="E586" t="s">
        <v>124</v>
      </c>
      <c r="F586" s="11">
        <v>465.28</v>
      </c>
    </row>
    <row r="587" spans="3:6" ht="18.75">
      <c r="C587">
        <v>50</v>
      </c>
      <c r="D587" s="5">
        <v>45999</v>
      </c>
      <c r="E587" t="s">
        <v>151</v>
      </c>
      <c r="F587" s="11">
        <v>757.12</v>
      </c>
    </row>
    <row r="588" spans="3:6" ht="18.75">
      <c r="C588">
        <v>50</v>
      </c>
      <c r="D588" s="5">
        <v>45999</v>
      </c>
      <c r="E588" t="s">
        <v>113</v>
      </c>
      <c r="F588" s="11">
        <v>261.92</v>
      </c>
    </row>
    <row r="589" spans="3:6" ht="18.75">
      <c r="C589">
        <v>51</v>
      </c>
      <c r="D589" s="5">
        <v>46006</v>
      </c>
      <c r="E589" t="s">
        <v>117</v>
      </c>
      <c r="F589" s="11">
        <v>273.23</v>
      </c>
    </row>
    <row r="590" spans="3:6" ht="18.75">
      <c r="C590">
        <v>51</v>
      </c>
      <c r="D590" s="5">
        <v>46006</v>
      </c>
      <c r="E590" t="s">
        <v>112</v>
      </c>
      <c r="F590" s="11">
        <v>34.409999999999997</v>
      </c>
    </row>
    <row r="591" spans="3:6" ht="18.75">
      <c r="C591">
        <v>51</v>
      </c>
      <c r="D591" s="5">
        <v>46006</v>
      </c>
      <c r="E591" t="s">
        <v>147</v>
      </c>
      <c r="F591" s="11">
        <v>10.14</v>
      </c>
    </row>
    <row r="592" spans="3:6" ht="18.75">
      <c r="C592">
        <v>51</v>
      </c>
      <c r="D592" s="5">
        <v>46006</v>
      </c>
      <c r="E592" t="s">
        <v>114</v>
      </c>
      <c r="F592" s="11">
        <v>192.5</v>
      </c>
    </row>
    <row r="593" spans="3:6" ht="18.75">
      <c r="C593">
        <v>51</v>
      </c>
      <c r="D593" s="5">
        <v>46006</v>
      </c>
      <c r="E593" t="s">
        <v>139</v>
      </c>
      <c r="F593" s="11">
        <v>103</v>
      </c>
    </row>
    <row r="594" spans="3:6" ht="18.75">
      <c r="C594">
        <v>51</v>
      </c>
      <c r="D594" s="5">
        <v>46006</v>
      </c>
      <c r="E594" t="s">
        <v>146</v>
      </c>
      <c r="F594" s="11">
        <v>81.08</v>
      </c>
    </row>
    <row r="595" spans="3:6" ht="18.75">
      <c r="C595">
        <v>51</v>
      </c>
      <c r="D595" s="5">
        <v>46006</v>
      </c>
      <c r="E595" t="s">
        <v>150</v>
      </c>
      <c r="F595" s="11">
        <v>33.479999999999997</v>
      </c>
    </row>
    <row r="596" spans="3:6" ht="18.75">
      <c r="C596">
        <v>51</v>
      </c>
      <c r="D596" s="5">
        <v>46006</v>
      </c>
      <c r="E596" t="s">
        <v>129</v>
      </c>
      <c r="F596" s="11">
        <v>142.41999999999999</v>
      </c>
    </row>
    <row r="597" spans="3:6" ht="18.75">
      <c r="C597">
        <v>51</v>
      </c>
      <c r="D597" s="5">
        <v>46006</v>
      </c>
      <c r="E597" t="s">
        <v>111</v>
      </c>
      <c r="F597" s="11">
        <v>65.14</v>
      </c>
    </row>
    <row r="598" spans="3:6" ht="18.75">
      <c r="C598">
        <v>51</v>
      </c>
      <c r="D598" s="5">
        <v>46006</v>
      </c>
      <c r="E598" t="s">
        <v>149</v>
      </c>
      <c r="F598" s="11"/>
    </row>
    <row r="599" spans="3:6" ht="18.75">
      <c r="C599">
        <v>51</v>
      </c>
      <c r="D599" s="5">
        <v>46006</v>
      </c>
      <c r="E599" t="s">
        <v>134</v>
      </c>
      <c r="F599" s="11">
        <v>107.73</v>
      </c>
    </row>
    <row r="600" spans="3:6" ht="18.75">
      <c r="C600">
        <v>51</v>
      </c>
      <c r="D600" s="5">
        <v>46006</v>
      </c>
      <c r="E600" t="s">
        <v>122</v>
      </c>
      <c r="F600" s="11">
        <v>125.06</v>
      </c>
    </row>
    <row r="601" spans="3:6" ht="18.75">
      <c r="C601">
        <v>51</v>
      </c>
      <c r="D601" s="5">
        <v>46006</v>
      </c>
      <c r="E601" t="s">
        <v>133</v>
      </c>
      <c r="F601" s="11">
        <v>1.28</v>
      </c>
    </row>
    <row r="602" spans="3:6" ht="18.75">
      <c r="C602">
        <v>51</v>
      </c>
      <c r="D602" s="5">
        <v>46006</v>
      </c>
      <c r="E602" t="s">
        <v>143</v>
      </c>
      <c r="F602" s="11">
        <v>259.68</v>
      </c>
    </row>
    <row r="603" spans="3:6" ht="18.75">
      <c r="C603">
        <v>51</v>
      </c>
      <c r="D603" s="5">
        <v>46006</v>
      </c>
      <c r="E603" t="s">
        <v>138</v>
      </c>
      <c r="F603" s="11">
        <v>27.02</v>
      </c>
    </row>
    <row r="604" spans="3:6" ht="18.75">
      <c r="C604">
        <v>51</v>
      </c>
      <c r="D604" s="5">
        <v>46006</v>
      </c>
      <c r="E604" t="s">
        <v>140</v>
      </c>
      <c r="F604" s="11">
        <v>8.2899999999999991</v>
      </c>
    </row>
    <row r="605" spans="3:6" ht="18.75">
      <c r="C605">
        <v>51</v>
      </c>
      <c r="D605" s="5">
        <v>46006</v>
      </c>
      <c r="E605" t="s">
        <v>141</v>
      </c>
      <c r="F605" s="11">
        <v>48.29</v>
      </c>
    </row>
    <row r="606" spans="3:6" ht="18.75">
      <c r="C606">
        <v>51</v>
      </c>
      <c r="D606" s="5">
        <v>46006</v>
      </c>
      <c r="E606" t="s">
        <v>136</v>
      </c>
      <c r="F606" s="11">
        <v>14.17</v>
      </c>
    </row>
    <row r="607" spans="3:6" ht="18.75">
      <c r="C607">
        <v>51</v>
      </c>
      <c r="D607" s="5">
        <v>46006</v>
      </c>
      <c r="E607" t="s">
        <v>145</v>
      </c>
      <c r="F607" s="11">
        <v>34.86</v>
      </c>
    </row>
    <row r="608" spans="3:6" ht="18.75">
      <c r="C608">
        <v>51</v>
      </c>
      <c r="D608" s="5">
        <v>46006</v>
      </c>
      <c r="E608" t="s">
        <v>137</v>
      </c>
      <c r="F608" s="11"/>
    </row>
    <row r="609" spans="3:6" ht="18.75">
      <c r="C609">
        <v>51</v>
      </c>
      <c r="D609" s="5">
        <v>46006</v>
      </c>
      <c r="E609" t="s">
        <v>116</v>
      </c>
      <c r="F609" s="11">
        <v>59.78</v>
      </c>
    </row>
    <row r="610" spans="3:6" ht="18.75">
      <c r="C610">
        <v>51</v>
      </c>
      <c r="D610" s="5">
        <v>46006</v>
      </c>
      <c r="E610" t="s">
        <v>121</v>
      </c>
      <c r="F610" s="11">
        <v>103.05</v>
      </c>
    </row>
    <row r="611" spans="3:6" ht="18.75">
      <c r="C611">
        <v>51</v>
      </c>
      <c r="D611" s="5">
        <v>46006</v>
      </c>
      <c r="E611" t="s">
        <v>125</v>
      </c>
      <c r="F611" s="11">
        <v>78.13</v>
      </c>
    </row>
    <row r="612" spans="3:6" ht="18.75">
      <c r="C612">
        <v>51</v>
      </c>
      <c r="D612" s="5">
        <v>46006</v>
      </c>
      <c r="E612" t="s">
        <v>132</v>
      </c>
      <c r="F612" s="11">
        <v>65.599999999999994</v>
      </c>
    </row>
    <row r="613" spans="3:6" ht="18.75">
      <c r="C613">
        <v>51</v>
      </c>
      <c r="D613" s="5">
        <v>46006</v>
      </c>
      <c r="E613" t="s">
        <v>142</v>
      </c>
      <c r="F613" s="11">
        <v>49.71</v>
      </c>
    </row>
    <row r="614" spans="3:6" ht="18.75">
      <c r="C614">
        <v>51</v>
      </c>
      <c r="D614" s="5">
        <v>46006</v>
      </c>
      <c r="E614" t="s">
        <v>148</v>
      </c>
      <c r="F614" s="11">
        <v>56.84</v>
      </c>
    </row>
    <row r="615" spans="3:6" ht="18.75">
      <c r="C615">
        <v>51</v>
      </c>
      <c r="D615" s="5">
        <v>46006</v>
      </c>
      <c r="E615" t="s">
        <v>123</v>
      </c>
      <c r="F615" s="11"/>
    </row>
    <row r="616" spans="3:6" ht="18.75">
      <c r="C616">
        <v>51</v>
      </c>
      <c r="D616" s="5">
        <v>46006</v>
      </c>
      <c r="E616" t="s">
        <v>119</v>
      </c>
      <c r="F616" s="11">
        <v>155.07</v>
      </c>
    </row>
    <row r="617" spans="3:6" ht="18.75">
      <c r="C617">
        <v>51</v>
      </c>
      <c r="D617" s="5">
        <v>46006</v>
      </c>
      <c r="E617" t="s">
        <v>127</v>
      </c>
      <c r="F617" s="11">
        <v>220.1</v>
      </c>
    </row>
    <row r="618" spans="3:6" ht="18.75">
      <c r="C618">
        <v>51</v>
      </c>
      <c r="D618" s="5">
        <v>46006</v>
      </c>
      <c r="E618" t="s">
        <v>135</v>
      </c>
      <c r="F618" s="11"/>
    </row>
    <row r="619" spans="3:6" ht="18.75">
      <c r="C619">
        <v>51</v>
      </c>
      <c r="D619" s="5">
        <v>46006</v>
      </c>
      <c r="E619" t="s">
        <v>126</v>
      </c>
      <c r="F619" s="11">
        <v>69.900000000000006</v>
      </c>
    </row>
    <row r="620" spans="3:6" ht="18.75">
      <c r="C620">
        <v>51</v>
      </c>
      <c r="D620" s="5">
        <v>46006</v>
      </c>
      <c r="E620" t="s">
        <v>151</v>
      </c>
      <c r="F620" s="11">
        <v>575.04999999999995</v>
      </c>
    </row>
    <row r="621" spans="3:6" ht="18.75">
      <c r="C621">
        <v>51</v>
      </c>
      <c r="D621" s="5">
        <v>46006</v>
      </c>
      <c r="E621" t="s">
        <v>113</v>
      </c>
      <c r="F621" s="11">
        <v>71.56</v>
      </c>
    </row>
    <row r="622" spans="3:6" ht="18.75">
      <c r="C622">
        <v>51</v>
      </c>
      <c r="D622" s="5">
        <v>46006</v>
      </c>
      <c r="E622" t="s">
        <v>124</v>
      </c>
      <c r="F622" s="11">
        <v>186.79</v>
      </c>
    </row>
    <row r="623" spans="3:6" ht="18.75">
      <c r="C623">
        <v>51</v>
      </c>
      <c r="D623" s="5">
        <v>46006</v>
      </c>
      <c r="E623" t="s">
        <v>118</v>
      </c>
      <c r="F623" s="11">
        <v>108.65</v>
      </c>
    </row>
    <row r="624" spans="3:6" ht="18.75">
      <c r="C624">
        <v>51</v>
      </c>
      <c r="D624" s="5">
        <v>46006</v>
      </c>
      <c r="E624" t="s">
        <v>120</v>
      </c>
      <c r="F624" s="11">
        <v>125.75</v>
      </c>
    </row>
    <row r="625" spans="3:6" ht="18.75">
      <c r="C625">
        <v>52</v>
      </c>
      <c r="D625" s="5">
        <v>46013</v>
      </c>
      <c r="E625" t="s">
        <v>117</v>
      </c>
      <c r="F625" s="11">
        <v>92.3</v>
      </c>
    </row>
    <row r="626" spans="3:6" ht="18.75">
      <c r="C626">
        <v>52</v>
      </c>
      <c r="D626" s="5">
        <v>46013</v>
      </c>
      <c r="E626" t="s">
        <v>147</v>
      </c>
      <c r="F626" s="11">
        <v>149.28</v>
      </c>
    </row>
    <row r="627" spans="3:6" ht="18.75">
      <c r="C627">
        <v>52</v>
      </c>
      <c r="D627" s="5">
        <v>46013</v>
      </c>
      <c r="E627" t="s">
        <v>139</v>
      </c>
      <c r="F627" s="11">
        <v>225.47</v>
      </c>
    </row>
    <row r="628" spans="3:6" ht="18.75">
      <c r="C628">
        <v>52</v>
      </c>
      <c r="D628" s="5">
        <v>46013</v>
      </c>
      <c r="E628" t="s">
        <v>114</v>
      </c>
      <c r="F628" s="11">
        <v>156.47999999999999</v>
      </c>
    </row>
    <row r="629" spans="3:6" ht="18.75">
      <c r="C629">
        <v>52</v>
      </c>
      <c r="D629" s="5">
        <v>46013</v>
      </c>
      <c r="E629" t="s">
        <v>111</v>
      </c>
      <c r="F629" s="11">
        <v>87.18</v>
      </c>
    </row>
    <row r="630" spans="3:6" ht="18.75">
      <c r="C630">
        <v>52</v>
      </c>
      <c r="D630" s="5">
        <v>46013</v>
      </c>
      <c r="E630" t="s">
        <v>129</v>
      </c>
      <c r="F630" s="11">
        <v>290.54000000000002</v>
      </c>
    </row>
    <row r="631" spans="3:6" ht="18.75">
      <c r="C631">
        <v>52</v>
      </c>
      <c r="D631" s="5">
        <v>46013</v>
      </c>
      <c r="E631" t="s">
        <v>112</v>
      </c>
      <c r="F631" s="11">
        <v>29.67</v>
      </c>
    </row>
    <row r="632" spans="3:6" ht="18.75">
      <c r="C632">
        <v>52</v>
      </c>
      <c r="D632" s="5">
        <v>46013</v>
      </c>
      <c r="E632" t="s">
        <v>146</v>
      </c>
      <c r="F632" s="11">
        <v>170.04</v>
      </c>
    </row>
    <row r="633" spans="3:6" ht="18.75">
      <c r="C633">
        <v>52</v>
      </c>
      <c r="D633" s="5">
        <v>46013</v>
      </c>
      <c r="E633" t="s">
        <v>149</v>
      </c>
      <c r="F633" s="11">
        <v>67.78</v>
      </c>
    </row>
    <row r="634" spans="3:6" ht="18.75">
      <c r="C634">
        <v>52</v>
      </c>
      <c r="D634" s="5">
        <v>46013</v>
      </c>
      <c r="E634" t="s">
        <v>138</v>
      </c>
      <c r="F634" s="11">
        <v>229.28</v>
      </c>
    </row>
    <row r="635" spans="3:6" ht="18.75">
      <c r="C635">
        <v>52</v>
      </c>
      <c r="D635" s="5">
        <v>46013</v>
      </c>
      <c r="E635" t="s">
        <v>118</v>
      </c>
      <c r="F635" s="11">
        <v>49.79</v>
      </c>
    </row>
    <row r="636" spans="3:6" ht="18.75">
      <c r="C636">
        <v>52</v>
      </c>
      <c r="D636" s="5">
        <v>46013</v>
      </c>
      <c r="E636" t="s">
        <v>141</v>
      </c>
      <c r="F636" s="11">
        <v>188.66</v>
      </c>
    </row>
    <row r="637" spans="3:6" ht="18.75">
      <c r="C637">
        <v>52</v>
      </c>
      <c r="D637" s="5">
        <v>46013</v>
      </c>
      <c r="E637" t="s">
        <v>136</v>
      </c>
      <c r="F637" s="11">
        <v>48.72</v>
      </c>
    </row>
    <row r="638" spans="3:6" ht="18.75">
      <c r="C638">
        <v>52</v>
      </c>
      <c r="D638" s="5">
        <v>46013</v>
      </c>
      <c r="E638" t="s">
        <v>143</v>
      </c>
      <c r="F638" s="11">
        <v>1023.99</v>
      </c>
    </row>
    <row r="639" spans="3:6" ht="18.75">
      <c r="C639">
        <v>52</v>
      </c>
      <c r="D639" s="5">
        <v>46013</v>
      </c>
      <c r="E639" t="s">
        <v>140</v>
      </c>
      <c r="F639" s="11">
        <v>30.5</v>
      </c>
    </row>
    <row r="640" spans="3:6" ht="18.75">
      <c r="C640">
        <v>52</v>
      </c>
      <c r="D640" s="5">
        <v>46013</v>
      </c>
      <c r="E640" t="s">
        <v>133</v>
      </c>
      <c r="F640" s="11">
        <v>122.9</v>
      </c>
    </row>
    <row r="641" spans="3:6" ht="18.75">
      <c r="C641">
        <v>52</v>
      </c>
      <c r="D641" s="5">
        <v>46013</v>
      </c>
      <c r="E641" t="s">
        <v>120</v>
      </c>
      <c r="F641" s="11">
        <v>72.3</v>
      </c>
    </row>
    <row r="642" spans="3:6" ht="18.75">
      <c r="C642">
        <v>52</v>
      </c>
      <c r="D642" s="5">
        <v>46013</v>
      </c>
      <c r="E642" t="s">
        <v>134</v>
      </c>
      <c r="F642" s="11">
        <v>111.5</v>
      </c>
    </row>
    <row r="643" spans="3:6" ht="18.75">
      <c r="C643">
        <v>52</v>
      </c>
      <c r="D643" s="5">
        <v>46013</v>
      </c>
      <c r="E643" t="s">
        <v>137</v>
      </c>
      <c r="F643" s="11">
        <v>26.52</v>
      </c>
    </row>
    <row r="644" spans="3:6" ht="18.75">
      <c r="C644">
        <v>52</v>
      </c>
      <c r="D644" s="5">
        <v>46013</v>
      </c>
      <c r="E644" t="s">
        <v>121</v>
      </c>
      <c r="F644" s="11">
        <v>81.31</v>
      </c>
    </row>
    <row r="645" spans="3:6" ht="18.75">
      <c r="C645">
        <v>52</v>
      </c>
      <c r="D645" s="5">
        <v>46013</v>
      </c>
      <c r="E645" t="s">
        <v>116</v>
      </c>
      <c r="F645" s="11">
        <v>43.67</v>
      </c>
    </row>
    <row r="646" spans="3:6" ht="18.75">
      <c r="C646">
        <v>52</v>
      </c>
      <c r="D646" s="5">
        <v>46013</v>
      </c>
      <c r="E646" t="s">
        <v>142</v>
      </c>
      <c r="F646" s="11">
        <v>63.79</v>
      </c>
    </row>
    <row r="647" spans="3:6" ht="18.75">
      <c r="C647">
        <v>52</v>
      </c>
      <c r="D647" s="5">
        <v>46013</v>
      </c>
      <c r="E647" t="s">
        <v>145</v>
      </c>
      <c r="F647" s="11">
        <v>81.09</v>
      </c>
    </row>
    <row r="648" spans="3:6" ht="18.75">
      <c r="C648">
        <v>52</v>
      </c>
      <c r="D648" s="5">
        <v>46013</v>
      </c>
      <c r="E648" t="s">
        <v>135</v>
      </c>
      <c r="F648" s="11">
        <v>19.02</v>
      </c>
    </row>
    <row r="649" spans="3:6" ht="18.75">
      <c r="C649">
        <v>52</v>
      </c>
      <c r="D649" s="5">
        <v>46013</v>
      </c>
      <c r="E649" t="s">
        <v>122</v>
      </c>
      <c r="F649" s="11">
        <v>78.19</v>
      </c>
    </row>
    <row r="650" spans="3:6" ht="18.75">
      <c r="C650">
        <v>52</v>
      </c>
      <c r="D650" s="5">
        <v>46013</v>
      </c>
      <c r="E650" t="s">
        <v>119</v>
      </c>
      <c r="F650" s="11">
        <v>170.61</v>
      </c>
    </row>
    <row r="651" spans="3:6" ht="18.75">
      <c r="C651">
        <v>52</v>
      </c>
      <c r="D651" s="5">
        <v>46013</v>
      </c>
      <c r="E651" t="s">
        <v>148</v>
      </c>
      <c r="F651" s="11">
        <v>28.62</v>
      </c>
    </row>
    <row r="652" spans="3:6" ht="18.75">
      <c r="C652">
        <v>52</v>
      </c>
      <c r="D652" s="5">
        <v>46013</v>
      </c>
      <c r="E652" t="s">
        <v>125</v>
      </c>
      <c r="F652" s="11">
        <v>21.82</v>
      </c>
    </row>
    <row r="653" spans="3:6" ht="18.75">
      <c r="C653">
        <v>52</v>
      </c>
      <c r="D653" s="5">
        <v>46013</v>
      </c>
      <c r="E653" t="s">
        <v>151</v>
      </c>
      <c r="F653" s="11">
        <v>236.17</v>
      </c>
    </row>
    <row r="654" spans="3:6" ht="18.75">
      <c r="C654">
        <v>52</v>
      </c>
      <c r="D654" s="5">
        <v>46013</v>
      </c>
      <c r="E654" t="s">
        <v>132</v>
      </c>
      <c r="F654" s="11">
        <v>99.65</v>
      </c>
    </row>
    <row r="655" spans="3:6" ht="18.75">
      <c r="C655">
        <v>52</v>
      </c>
      <c r="D655" s="5">
        <v>46013</v>
      </c>
      <c r="E655" t="s">
        <v>123</v>
      </c>
      <c r="F655" s="11">
        <v>376.06</v>
      </c>
    </row>
    <row r="656" spans="3:6" ht="18.75">
      <c r="C656">
        <v>52</v>
      </c>
      <c r="D656" s="5">
        <v>46013</v>
      </c>
      <c r="E656" t="s">
        <v>150</v>
      </c>
      <c r="F656" s="11">
        <v>37.159999999999997</v>
      </c>
    </row>
    <row r="657" spans="3:6" ht="18.75">
      <c r="C657">
        <v>52</v>
      </c>
      <c r="D657" s="5">
        <v>46013</v>
      </c>
      <c r="E657" t="s">
        <v>124</v>
      </c>
      <c r="F657" s="11">
        <v>256.70999999999998</v>
      </c>
    </row>
    <row r="658" spans="3:6" ht="18.75">
      <c r="C658">
        <v>52</v>
      </c>
      <c r="D658" s="5">
        <v>46013</v>
      </c>
      <c r="E658" t="s">
        <v>127</v>
      </c>
      <c r="F658" s="11">
        <v>105.43</v>
      </c>
    </row>
    <row r="659" spans="3:6" ht="18.75">
      <c r="C659">
        <v>52</v>
      </c>
      <c r="D659" s="5">
        <v>46013</v>
      </c>
      <c r="E659" t="s">
        <v>126</v>
      </c>
      <c r="F659" s="11">
        <v>41.5</v>
      </c>
    </row>
    <row r="660" spans="3:6" ht="18.75">
      <c r="C660">
        <v>52</v>
      </c>
      <c r="D660" s="5">
        <v>46013</v>
      </c>
      <c r="E660" t="s">
        <v>113</v>
      </c>
      <c r="F660" s="11">
        <v>50.08</v>
      </c>
    </row>
    <row r="661" spans="3:6" ht="18.75">
      <c r="C661">
        <v>7</v>
      </c>
      <c r="D661" s="5">
        <v>46062</v>
      </c>
      <c r="E661" t="s">
        <v>117</v>
      </c>
      <c r="F661" s="11">
        <v>98</v>
      </c>
    </row>
    <row r="662" spans="3:6" ht="18.75">
      <c r="C662">
        <v>7</v>
      </c>
      <c r="D662" s="5">
        <v>46062</v>
      </c>
      <c r="F662" s="11">
        <v>555.28</v>
      </c>
    </row>
    <row r="663" spans="3:6" ht="18.75">
      <c r="C663">
        <v>7</v>
      </c>
      <c r="D663" s="5">
        <v>46062</v>
      </c>
      <c r="E663" t="s">
        <v>139</v>
      </c>
      <c r="F663" s="11">
        <v>182.02</v>
      </c>
    </row>
    <row r="664" spans="3:6" ht="18.75">
      <c r="C664">
        <v>7</v>
      </c>
      <c r="D664" s="5">
        <v>46062</v>
      </c>
      <c r="E664" t="s">
        <v>114</v>
      </c>
      <c r="F664" s="11">
        <v>199.8</v>
      </c>
    </row>
    <row r="665" spans="3:6" ht="18.75">
      <c r="C665">
        <v>7</v>
      </c>
      <c r="D665" s="5">
        <v>46062</v>
      </c>
      <c r="E665" t="s">
        <v>112</v>
      </c>
      <c r="F665" s="11"/>
    </row>
    <row r="666" spans="3:6" ht="18.75">
      <c r="C666">
        <v>7</v>
      </c>
      <c r="D666" s="5">
        <v>46062</v>
      </c>
      <c r="E666" t="s">
        <v>151</v>
      </c>
      <c r="F666" s="11">
        <v>174.71</v>
      </c>
    </row>
    <row r="667" spans="3:6" ht="18.75">
      <c r="C667">
        <v>7</v>
      </c>
      <c r="D667" s="5">
        <v>46062</v>
      </c>
      <c r="E667" t="s">
        <v>146</v>
      </c>
      <c r="F667" s="11">
        <v>281.95999999999998</v>
      </c>
    </row>
    <row r="668" spans="3:6" ht="18.75">
      <c r="C668">
        <v>7</v>
      </c>
      <c r="D668" s="5">
        <v>46062</v>
      </c>
      <c r="E668" t="s">
        <v>111</v>
      </c>
      <c r="F668" s="11">
        <v>54.05</v>
      </c>
    </row>
    <row r="669" spans="3:6" ht="18.75">
      <c r="C669">
        <v>7</v>
      </c>
      <c r="D669" s="5">
        <v>46062</v>
      </c>
      <c r="E669" t="s">
        <v>147</v>
      </c>
      <c r="F669" s="11"/>
    </row>
    <row r="670" spans="3:6" ht="18.75">
      <c r="C670">
        <v>7</v>
      </c>
      <c r="D670" s="5">
        <v>46062</v>
      </c>
      <c r="E670" t="s">
        <v>149</v>
      </c>
      <c r="F670" s="11">
        <v>11.23</v>
      </c>
    </row>
    <row r="671" spans="3:6" ht="18.75">
      <c r="C671">
        <v>7</v>
      </c>
      <c r="D671" s="5">
        <v>46062</v>
      </c>
      <c r="E671" t="s">
        <v>133</v>
      </c>
      <c r="F671" s="11">
        <v>1.08</v>
      </c>
    </row>
    <row r="672" spans="3:6" ht="18.75">
      <c r="C672">
        <v>7</v>
      </c>
      <c r="D672" s="5">
        <v>46062</v>
      </c>
      <c r="E672" t="s">
        <v>129</v>
      </c>
      <c r="F672" s="11">
        <v>22.24</v>
      </c>
    </row>
    <row r="673" spans="3:6" ht="18.75">
      <c r="C673">
        <v>7</v>
      </c>
      <c r="D673" s="5">
        <v>46062</v>
      </c>
      <c r="E673" t="s">
        <v>134</v>
      </c>
      <c r="F673" s="11">
        <v>96.72</v>
      </c>
    </row>
    <row r="674" spans="3:6" ht="18.75">
      <c r="C674">
        <v>7</v>
      </c>
      <c r="D674" s="5">
        <v>46062</v>
      </c>
      <c r="E674" t="s">
        <v>141</v>
      </c>
      <c r="F674" s="11">
        <v>107.71</v>
      </c>
    </row>
    <row r="675" spans="3:6" ht="18.75">
      <c r="C675">
        <v>7</v>
      </c>
      <c r="D675" s="5">
        <v>46062</v>
      </c>
      <c r="E675" t="s">
        <v>143</v>
      </c>
      <c r="F675" s="11">
        <v>977.91999999999803</v>
      </c>
    </row>
    <row r="676" spans="3:6" ht="18.75">
      <c r="C676">
        <v>7</v>
      </c>
      <c r="D676" s="5">
        <v>46062</v>
      </c>
      <c r="E676" t="s">
        <v>138</v>
      </c>
      <c r="F676" s="11">
        <v>183.59</v>
      </c>
    </row>
    <row r="677" spans="3:6" ht="18.75">
      <c r="C677">
        <v>7</v>
      </c>
      <c r="D677" s="5">
        <v>46062</v>
      </c>
      <c r="E677" t="s">
        <v>128</v>
      </c>
      <c r="F677" s="11">
        <v>47.12</v>
      </c>
    </row>
    <row r="678" spans="3:6" ht="18.75">
      <c r="C678">
        <v>7</v>
      </c>
      <c r="D678" s="5">
        <v>46062</v>
      </c>
      <c r="E678" t="s">
        <v>119</v>
      </c>
      <c r="F678" s="11">
        <v>4.41</v>
      </c>
    </row>
    <row r="679" spans="3:6" ht="18.75">
      <c r="C679">
        <v>7</v>
      </c>
      <c r="D679" s="5">
        <v>46062</v>
      </c>
      <c r="E679" t="s">
        <v>136</v>
      </c>
      <c r="F679" s="11">
        <v>31.32</v>
      </c>
    </row>
    <row r="680" spans="3:6" ht="18.75">
      <c r="C680">
        <v>7</v>
      </c>
      <c r="D680" s="5">
        <v>46062</v>
      </c>
      <c r="E680" t="s">
        <v>145</v>
      </c>
      <c r="F680" s="11">
        <v>25.85</v>
      </c>
    </row>
    <row r="681" spans="3:6" ht="18.75">
      <c r="C681">
        <v>7</v>
      </c>
      <c r="D681" s="5">
        <v>46062</v>
      </c>
      <c r="E681" t="s">
        <v>130</v>
      </c>
      <c r="F681" s="11">
        <v>109.94</v>
      </c>
    </row>
    <row r="682" spans="3:6" ht="18.75">
      <c r="C682">
        <v>7</v>
      </c>
      <c r="D682" s="5">
        <v>46062</v>
      </c>
      <c r="E682" t="s">
        <v>137</v>
      </c>
      <c r="F682" s="11">
        <v>50.92</v>
      </c>
    </row>
    <row r="683" spans="3:6" ht="18.75">
      <c r="C683">
        <v>7</v>
      </c>
      <c r="D683" s="5">
        <v>46062</v>
      </c>
      <c r="E683" t="s">
        <v>121</v>
      </c>
      <c r="F683" s="11">
        <v>243.39</v>
      </c>
    </row>
    <row r="684" spans="3:6" ht="18.75">
      <c r="C684">
        <v>7</v>
      </c>
      <c r="D684" s="5">
        <v>46062</v>
      </c>
      <c r="E684" t="s">
        <v>122</v>
      </c>
      <c r="F684" s="11">
        <v>7.67</v>
      </c>
    </row>
    <row r="685" spans="3:6" ht="18.75">
      <c r="C685">
        <v>7</v>
      </c>
      <c r="D685" s="5">
        <v>46062</v>
      </c>
      <c r="E685" t="s">
        <v>118</v>
      </c>
      <c r="F685" s="11">
        <v>191.35</v>
      </c>
    </row>
    <row r="686" spans="3:6" ht="18.75">
      <c r="C686">
        <v>7</v>
      </c>
      <c r="D686" s="5">
        <v>46062</v>
      </c>
      <c r="E686" t="s">
        <v>140</v>
      </c>
      <c r="F686" s="11">
        <v>94.65</v>
      </c>
    </row>
    <row r="687" spans="3:6" ht="18.75">
      <c r="C687">
        <v>7</v>
      </c>
      <c r="D687" s="5">
        <v>46062</v>
      </c>
      <c r="E687" t="s">
        <v>116</v>
      </c>
      <c r="F687" s="11">
        <v>92.74</v>
      </c>
    </row>
    <row r="688" spans="3:6" ht="18.75">
      <c r="C688">
        <v>7</v>
      </c>
      <c r="D688" s="5">
        <v>46062</v>
      </c>
      <c r="E688" t="s">
        <v>142</v>
      </c>
      <c r="F688" s="11">
        <v>140.61000000000001</v>
      </c>
    </row>
    <row r="689" spans="3:6" ht="18.75">
      <c r="C689">
        <v>7</v>
      </c>
      <c r="D689" s="5">
        <v>46062</v>
      </c>
      <c r="E689" t="s">
        <v>150</v>
      </c>
      <c r="F689" s="11">
        <v>10.220000000000001</v>
      </c>
    </row>
    <row r="690" spans="3:6" ht="18.75">
      <c r="C690">
        <v>7</v>
      </c>
      <c r="D690" s="5">
        <v>46062</v>
      </c>
      <c r="E690" t="s">
        <v>148</v>
      </c>
      <c r="F690" s="11">
        <v>4.29</v>
      </c>
    </row>
    <row r="691" spans="3:6" ht="18.75">
      <c r="C691">
        <v>7</v>
      </c>
      <c r="D691" s="5">
        <v>46062</v>
      </c>
      <c r="E691" t="s">
        <v>135</v>
      </c>
      <c r="F691" s="11">
        <v>9.99</v>
      </c>
    </row>
    <row r="692" spans="3:6" ht="18.75">
      <c r="C692">
        <v>7</v>
      </c>
      <c r="D692" s="5">
        <v>46062</v>
      </c>
      <c r="E692" t="s">
        <v>132</v>
      </c>
      <c r="F692" s="11">
        <v>49.33</v>
      </c>
    </row>
    <row r="693" spans="3:6" ht="18.75">
      <c r="C693">
        <v>7</v>
      </c>
      <c r="D693" s="5">
        <v>46062</v>
      </c>
      <c r="E693" t="s">
        <v>125</v>
      </c>
      <c r="F693" s="11">
        <v>64.37</v>
      </c>
    </row>
    <row r="694" spans="3:6" ht="18.75">
      <c r="C694">
        <v>7</v>
      </c>
      <c r="D694" s="5">
        <v>46062</v>
      </c>
      <c r="E694" t="s">
        <v>120</v>
      </c>
      <c r="F694" s="11">
        <v>97.95</v>
      </c>
    </row>
    <row r="695" spans="3:6" ht="18.75">
      <c r="C695">
        <v>7</v>
      </c>
      <c r="D695" s="5">
        <v>46062</v>
      </c>
      <c r="E695" t="s">
        <v>126</v>
      </c>
      <c r="F695" s="11">
        <v>179.46</v>
      </c>
    </row>
    <row r="696" spans="3:6" ht="18.75">
      <c r="C696">
        <v>7</v>
      </c>
      <c r="D696" s="5">
        <v>46062</v>
      </c>
      <c r="E696" t="s">
        <v>127</v>
      </c>
      <c r="F696" s="11">
        <v>297.22000000000003</v>
      </c>
    </row>
    <row r="697" spans="3:6" ht="18.75">
      <c r="C697">
        <v>7</v>
      </c>
      <c r="D697" s="5">
        <v>46062</v>
      </c>
      <c r="E697" t="s">
        <v>123</v>
      </c>
      <c r="F697" s="11">
        <v>74.84</v>
      </c>
    </row>
    <row r="698" spans="3:6" ht="18.75">
      <c r="C698">
        <v>7</v>
      </c>
      <c r="D698" s="5">
        <v>46062</v>
      </c>
      <c r="E698" t="s">
        <v>113</v>
      </c>
      <c r="F698" s="11">
        <v>253.48</v>
      </c>
    </row>
    <row r="699" spans="3:6" ht="18.75">
      <c r="C699">
        <v>7</v>
      </c>
      <c r="D699" s="5">
        <v>46062</v>
      </c>
      <c r="E699" t="s">
        <v>124</v>
      </c>
      <c r="F699" s="11">
        <v>88.96</v>
      </c>
    </row>
    <row r="700" spans="3:6" ht="18.75">
      <c r="C700">
        <v>8</v>
      </c>
      <c r="D700" s="5">
        <v>46069</v>
      </c>
      <c r="F700" s="11">
        <v>299.93</v>
      </c>
    </row>
    <row r="701" spans="3:6" ht="18.75">
      <c r="C701">
        <v>8</v>
      </c>
      <c r="D701" s="5">
        <v>46069</v>
      </c>
      <c r="E701" t="s">
        <v>117</v>
      </c>
      <c r="F701" s="11">
        <v>201.47</v>
      </c>
    </row>
    <row r="702" spans="3:6" ht="18.75">
      <c r="C702">
        <v>8</v>
      </c>
      <c r="D702" s="5">
        <v>46069</v>
      </c>
      <c r="E702" t="s">
        <v>143</v>
      </c>
      <c r="F702" s="11">
        <v>235.47</v>
      </c>
    </row>
    <row r="703" spans="3:6" ht="18.75">
      <c r="C703">
        <v>8</v>
      </c>
      <c r="D703" s="5">
        <v>46069</v>
      </c>
      <c r="E703" t="s">
        <v>147</v>
      </c>
      <c r="F703" s="11">
        <v>274.35000000000002</v>
      </c>
    </row>
    <row r="704" spans="3:6" ht="18.75">
      <c r="C704">
        <v>8</v>
      </c>
      <c r="D704" s="5">
        <v>46069</v>
      </c>
      <c r="E704" t="s">
        <v>114</v>
      </c>
      <c r="F704" s="11">
        <v>112.31</v>
      </c>
    </row>
    <row r="705" spans="3:6" ht="18.75">
      <c r="C705">
        <v>8</v>
      </c>
      <c r="D705" s="5">
        <v>46069</v>
      </c>
      <c r="E705" t="s">
        <v>146</v>
      </c>
      <c r="F705" s="11">
        <v>427.74</v>
      </c>
    </row>
    <row r="706" spans="3:6" ht="18.75">
      <c r="C706">
        <v>8</v>
      </c>
      <c r="D706" s="5">
        <v>46069</v>
      </c>
      <c r="E706" t="s">
        <v>151</v>
      </c>
      <c r="F706" s="11">
        <v>11.84</v>
      </c>
    </row>
    <row r="707" spans="3:6" ht="18.75">
      <c r="C707">
        <v>8</v>
      </c>
      <c r="D707" s="5">
        <v>46069</v>
      </c>
      <c r="E707" t="s">
        <v>145</v>
      </c>
      <c r="F707" s="11">
        <v>123.6</v>
      </c>
    </row>
    <row r="708" spans="3:6" ht="18.75">
      <c r="C708">
        <v>8</v>
      </c>
      <c r="D708" s="5">
        <v>46069</v>
      </c>
      <c r="E708" t="s">
        <v>111</v>
      </c>
      <c r="F708" s="11">
        <v>223.55</v>
      </c>
    </row>
    <row r="709" spans="3:6" ht="18.75">
      <c r="C709">
        <v>8</v>
      </c>
      <c r="D709" s="5">
        <v>46069</v>
      </c>
      <c r="E709" t="s">
        <v>112</v>
      </c>
      <c r="F709" s="11">
        <v>66.010000000000005</v>
      </c>
    </row>
    <row r="710" spans="3:6" ht="18.75">
      <c r="C710">
        <v>8</v>
      </c>
      <c r="D710" s="5">
        <v>46069</v>
      </c>
      <c r="E710" t="s">
        <v>119</v>
      </c>
      <c r="F710" s="11">
        <v>45.2</v>
      </c>
    </row>
    <row r="711" spans="3:6" ht="18.75">
      <c r="C711">
        <v>8</v>
      </c>
      <c r="D711" s="5">
        <v>46069</v>
      </c>
      <c r="E711" t="s">
        <v>130</v>
      </c>
      <c r="F711" s="11">
        <v>338.04</v>
      </c>
    </row>
    <row r="712" spans="3:6" ht="18.75">
      <c r="C712">
        <v>8</v>
      </c>
      <c r="D712" s="5">
        <v>46069</v>
      </c>
      <c r="E712" t="s">
        <v>141</v>
      </c>
      <c r="F712" s="11">
        <v>501.45</v>
      </c>
    </row>
    <row r="713" spans="3:6" ht="18.75">
      <c r="C713">
        <v>8</v>
      </c>
      <c r="D713" s="5">
        <v>46069</v>
      </c>
      <c r="E713" t="s">
        <v>133</v>
      </c>
      <c r="F713" s="11">
        <v>24.16</v>
      </c>
    </row>
    <row r="714" spans="3:6" ht="18.75">
      <c r="C714">
        <v>8</v>
      </c>
      <c r="D714" s="5">
        <v>46069</v>
      </c>
      <c r="E714" t="s">
        <v>149</v>
      </c>
      <c r="F714" s="11">
        <v>103.02</v>
      </c>
    </row>
    <row r="715" spans="3:6" ht="18.75">
      <c r="C715">
        <v>8</v>
      </c>
      <c r="D715" s="5">
        <v>46069</v>
      </c>
      <c r="E715" t="s">
        <v>129</v>
      </c>
      <c r="F715" s="11">
        <v>91.7</v>
      </c>
    </row>
    <row r="716" spans="3:6" ht="18.75">
      <c r="C716">
        <v>8</v>
      </c>
      <c r="D716" s="5">
        <v>46069</v>
      </c>
      <c r="E716" t="s">
        <v>134</v>
      </c>
      <c r="F716" s="11">
        <v>38.86</v>
      </c>
    </row>
    <row r="717" spans="3:6" ht="18.75">
      <c r="C717">
        <v>8</v>
      </c>
      <c r="D717" s="5">
        <v>46069</v>
      </c>
      <c r="E717" t="s">
        <v>138</v>
      </c>
      <c r="F717" s="11">
        <v>21.47</v>
      </c>
    </row>
    <row r="718" spans="3:6" ht="18.75">
      <c r="C718">
        <v>8</v>
      </c>
      <c r="D718" s="5">
        <v>46069</v>
      </c>
      <c r="E718" t="s">
        <v>127</v>
      </c>
      <c r="F718" s="11">
        <v>260.88</v>
      </c>
    </row>
    <row r="719" spans="3:6" ht="18.75">
      <c r="C719">
        <v>8</v>
      </c>
      <c r="D719" s="5">
        <v>46069</v>
      </c>
      <c r="E719" t="s">
        <v>140</v>
      </c>
      <c r="F719" s="11">
        <v>100.81</v>
      </c>
    </row>
    <row r="720" spans="3:6" ht="18.75">
      <c r="C720">
        <v>8</v>
      </c>
      <c r="D720" s="5">
        <v>46069</v>
      </c>
      <c r="E720" t="s">
        <v>126</v>
      </c>
      <c r="F720" s="11">
        <v>161.69999999999999</v>
      </c>
    </row>
    <row r="721" spans="3:6" ht="18.75">
      <c r="C721">
        <v>8</v>
      </c>
      <c r="D721" s="5">
        <v>46069</v>
      </c>
      <c r="E721" t="s">
        <v>118</v>
      </c>
      <c r="F721" s="11">
        <v>13.58</v>
      </c>
    </row>
    <row r="722" spans="3:6" ht="18.75">
      <c r="C722">
        <v>8</v>
      </c>
      <c r="D722" s="5">
        <v>46069</v>
      </c>
      <c r="E722" t="s">
        <v>139</v>
      </c>
      <c r="F722" s="11">
        <v>238.86</v>
      </c>
    </row>
    <row r="723" spans="3:6" ht="18.75">
      <c r="C723">
        <v>8</v>
      </c>
      <c r="D723" s="5">
        <v>46069</v>
      </c>
      <c r="E723" t="s">
        <v>121</v>
      </c>
      <c r="F723" s="11">
        <v>41.95</v>
      </c>
    </row>
    <row r="724" spans="3:6" ht="18.75">
      <c r="C724">
        <v>8</v>
      </c>
      <c r="D724" s="5">
        <v>46069</v>
      </c>
      <c r="E724" t="s">
        <v>113</v>
      </c>
      <c r="F724" s="11">
        <v>189.73</v>
      </c>
    </row>
    <row r="725" spans="3:6" ht="18.75">
      <c r="C725">
        <v>8</v>
      </c>
      <c r="D725" s="5">
        <v>46069</v>
      </c>
      <c r="E725" t="s">
        <v>123</v>
      </c>
      <c r="F725" s="11">
        <v>338.67</v>
      </c>
    </row>
    <row r="726" spans="3:6" ht="18.75">
      <c r="C726">
        <v>8</v>
      </c>
      <c r="D726" s="5">
        <v>46069</v>
      </c>
      <c r="E726" t="s">
        <v>128</v>
      </c>
      <c r="F726" s="11">
        <v>136.04</v>
      </c>
    </row>
    <row r="727" spans="3:6" ht="18.75">
      <c r="C727">
        <v>8</v>
      </c>
      <c r="D727" s="5">
        <v>46069</v>
      </c>
      <c r="E727" t="s">
        <v>136</v>
      </c>
      <c r="F727" s="11">
        <v>94.68</v>
      </c>
    </row>
    <row r="728" spans="3:6" ht="18.75">
      <c r="C728">
        <v>8</v>
      </c>
      <c r="D728" s="5">
        <v>46069</v>
      </c>
      <c r="E728" t="s">
        <v>125</v>
      </c>
      <c r="F728" s="11">
        <v>71.06</v>
      </c>
    </row>
    <row r="729" spans="3:6" ht="18.75">
      <c r="C729">
        <v>8</v>
      </c>
      <c r="D729" s="5">
        <v>46069</v>
      </c>
      <c r="E729" t="s">
        <v>116</v>
      </c>
      <c r="F729" s="11">
        <v>96.730000000000103</v>
      </c>
    </row>
    <row r="730" spans="3:6" ht="18.75">
      <c r="C730">
        <v>8</v>
      </c>
      <c r="D730" s="5">
        <v>46069</v>
      </c>
      <c r="E730" t="s">
        <v>148</v>
      </c>
      <c r="F730" s="11">
        <v>87.18</v>
      </c>
    </row>
    <row r="731" spans="3:6" ht="18.75">
      <c r="C731">
        <v>8</v>
      </c>
      <c r="D731" s="5">
        <v>46069</v>
      </c>
      <c r="E731" t="s">
        <v>142</v>
      </c>
      <c r="F731" s="11">
        <v>127.96</v>
      </c>
    </row>
    <row r="732" spans="3:6" ht="18.75">
      <c r="C732">
        <v>8</v>
      </c>
      <c r="D732" s="5">
        <v>46069</v>
      </c>
      <c r="E732" t="s">
        <v>150</v>
      </c>
      <c r="F732" s="11">
        <v>21.54</v>
      </c>
    </row>
    <row r="733" spans="3:6" ht="18.75">
      <c r="C733">
        <v>8</v>
      </c>
      <c r="D733" s="5">
        <v>46069</v>
      </c>
      <c r="E733" t="s">
        <v>120</v>
      </c>
      <c r="F733" s="11">
        <v>112.4</v>
      </c>
    </row>
    <row r="734" spans="3:6" ht="18.75">
      <c r="C734">
        <v>8</v>
      </c>
      <c r="D734" s="5">
        <v>46069</v>
      </c>
      <c r="E734" t="s">
        <v>122</v>
      </c>
      <c r="F734" s="11">
        <v>183.65</v>
      </c>
    </row>
    <row r="735" spans="3:6" ht="18.75">
      <c r="C735">
        <v>8</v>
      </c>
      <c r="D735" s="5">
        <v>46069</v>
      </c>
      <c r="E735" t="s">
        <v>137</v>
      </c>
      <c r="F735" s="11">
        <v>65.349999999999994</v>
      </c>
    </row>
    <row r="736" spans="3:6" ht="18.75">
      <c r="C736">
        <v>8</v>
      </c>
      <c r="D736" s="5">
        <v>46069</v>
      </c>
      <c r="E736" t="s">
        <v>132</v>
      </c>
      <c r="F736" s="11">
        <v>65.11</v>
      </c>
    </row>
    <row r="737" spans="3:6" ht="18.75">
      <c r="C737">
        <v>8</v>
      </c>
      <c r="D737" s="5">
        <v>46069</v>
      </c>
      <c r="E737" t="s">
        <v>124</v>
      </c>
      <c r="F737" s="11">
        <v>355.92</v>
      </c>
    </row>
    <row r="738" spans="3:6" ht="18.75">
      <c r="C738">
        <v>8</v>
      </c>
      <c r="D738" s="5">
        <v>46069</v>
      </c>
      <c r="E738" t="s">
        <v>135</v>
      </c>
      <c r="F738" s="11">
        <v>69.180000000000007</v>
      </c>
    </row>
    <row r="739" spans="3:6" ht="18.75">
      <c r="C739">
        <v>6</v>
      </c>
      <c r="D739" s="5">
        <v>46055</v>
      </c>
      <c r="E739" t="s">
        <v>117</v>
      </c>
      <c r="F739" s="11">
        <v>328.74</v>
      </c>
    </row>
    <row r="740" spans="3:6" ht="18.75">
      <c r="C740">
        <v>6</v>
      </c>
      <c r="D740" s="5">
        <v>46055</v>
      </c>
      <c r="E740" t="s">
        <v>149</v>
      </c>
      <c r="F740" s="11">
        <v>184.83</v>
      </c>
    </row>
    <row r="741" spans="3:6" ht="18.75">
      <c r="C741">
        <v>6</v>
      </c>
      <c r="D741" s="5">
        <v>46055</v>
      </c>
      <c r="E741" t="s">
        <v>114</v>
      </c>
      <c r="F741" s="11">
        <v>272.3</v>
      </c>
    </row>
    <row r="742" spans="3:6" ht="18.75">
      <c r="C742">
        <v>6</v>
      </c>
      <c r="D742" s="5">
        <v>46055</v>
      </c>
      <c r="E742" t="s">
        <v>112</v>
      </c>
      <c r="F742" s="11">
        <v>108.93</v>
      </c>
    </row>
    <row r="743" spans="3:6" ht="18.75">
      <c r="C743">
        <v>6</v>
      </c>
      <c r="D743" s="5">
        <v>46055</v>
      </c>
      <c r="E743" t="s">
        <v>139</v>
      </c>
      <c r="F743" s="11">
        <v>20.18</v>
      </c>
    </row>
    <row r="744" spans="3:6" ht="18.75">
      <c r="C744">
        <v>6</v>
      </c>
      <c r="D744" s="5">
        <v>46055</v>
      </c>
      <c r="E744" t="s">
        <v>146</v>
      </c>
      <c r="F744" s="11">
        <v>53.37</v>
      </c>
    </row>
    <row r="745" spans="3:6" ht="18.75">
      <c r="C745">
        <v>6</v>
      </c>
      <c r="D745" s="5">
        <v>46055</v>
      </c>
      <c r="E745" t="s">
        <v>147</v>
      </c>
      <c r="F745" s="11">
        <v>406.91</v>
      </c>
    </row>
    <row r="746" spans="3:6" ht="18.75">
      <c r="C746">
        <v>6</v>
      </c>
      <c r="D746" s="5">
        <v>46055</v>
      </c>
      <c r="E746" t="s">
        <v>138</v>
      </c>
      <c r="F746" s="11">
        <v>32.909999999999997</v>
      </c>
    </row>
    <row r="747" spans="3:6" ht="18.75">
      <c r="C747">
        <v>6</v>
      </c>
      <c r="D747" s="5">
        <v>46055</v>
      </c>
      <c r="E747" t="s">
        <v>143</v>
      </c>
      <c r="F747" s="11">
        <v>106.26</v>
      </c>
    </row>
    <row r="748" spans="3:6" ht="18.75">
      <c r="C748">
        <v>6</v>
      </c>
      <c r="D748" s="5">
        <v>46055</v>
      </c>
      <c r="E748" t="s">
        <v>111</v>
      </c>
      <c r="F748" s="11">
        <v>217.4</v>
      </c>
    </row>
    <row r="749" spans="3:6" ht="18.75">
      <c r="C749">
        <v>6</v>
      </c>
      <c r="D749" s="5">
        <v>46055</v>
      </c>
      <c r="E749" t="s">
        <v>151</v>
      </c>
      <c r="F749" s="11">
        <v>4.78</v>
      </c>
    </row>
    <row r="750" spans="3:6" ht="18.75">
      <c r="C750">
        <v>6</v>
      </c>
      <c r="D750" s="5">
        <v>46055</v>
      </c>
      <c r="E750" t="s">
        <v>119</v>
      </c>
      <c r="F750" s="11">
        <v>432.28</v>
      </c>
    </row>
    <row r="751" spans="3:6" ht="18.75">
      <c r="C751">
        <v>6</v>
      </c>
      <c r="D751" s="5">
        <v>46055</v>
      </c>
      <c r="E751" t="s">
        <v>129</v>
      </c>
      <c r="F751" s="11">
        <v>44.36</v>
      </c>
    </row>
    <row r="752" spans="3:6" ht="18.75">
      <c r="C752">
        <v>6</v>
      </c>
      <c r="D752" s="5">
        <v>46055</v>
      </c>
      <c r="E752" t="s">
        <v>145</v>
      </c>
      <c r="F752" s="11">
        <v>35.700000000000003</v>
      </c>
    </row>
    <row r="753" spans="3:6" ht="18.75">
      <c r="C753">
        <v>6</v>
      </c>
      <c r="D753" s="5">
        <v>46055</v>
      </c>
      <c r="E753" t="s">
        <v>134</v>
      </c>
      <c r="F753" s="11">
        <v>46.96</v>
      </c>
    </row>
    <row r="754" spans="3:6" ht="18.75">
      <c r="C754">
        <v>6</v>
      </c>
      <c r="D754" s="5">
        <v>46055</v>
      </c>
      <c r="E754" t="s">
        <v>130</v>
      </c>
      <c r="F754" s="11">
        <v>6.31</v>
      </c>
    </row>
    <row r="755" spans="3:6" ht="18.75">
      <c r="C755">
        <v>6</v>
      </c>
      <c r="D755" s="5">
        <v>46055</v>
      </c>
      <c r="E755" t="s">
        <v>133</v>
      </c>
      <c r="F755" s="11">
        <v>129.88999999999999</v>
      </c>
    </row>
    <row r="756" spans="3:6" ht="18.75">
      <c r="C756">
        <v>6</v>
      </c>
      <c r="D756" s="5">
        <v>46055</v>
      </c>
      <c r="E756" t="s">
        <v>141</v>
      </c>
      <c r="F756" s="11">
        <v>552.51</v>
      </c>
    </row>
    <row r="757" spans="3:6" ht="18.75">
      <c r="C757">
        <v>6</v>
      </c>
      <c r="D757" s="5">
        <v>46055</v>
      </c>
      <c r="E757" t="s">
        <v>137</v>
      </c>
      <c r="F757" s="11">
        <v>81.7</v>
      </c>
    </row>
    <row r="758" spans="3:6" ht="18.75">
      <c r="C758">
        <v>6</v>
      </c>
      <c r="D758" s="5">
        <v>46055</v>
      </c>
      <c r="F758" s="11">
        <v>576.65999999999894</v>
      </c>
    </row>
    <row r="759" spans="3:6" ht="18.75">
      <c r="C759">
        <v>6</v>
      </c>
      <c r="D759" s="5">
        <v>46055</v>
      </c>
      <c r="E759" t="s">
        <v>140</v>
      </c>
      <c r="F759" s="11">
        <v>116.9</v>
      </c>
    </row>
    <row r="760" spans="3:6" ht="18.75">
      <c r="C760">
        <v>6</v>
      </c>
      <c r="D760" s="5">
        <v>46055</v>
      </c>
      <c r="E760" t="s">
        <v>116</v>
      </c>
      <c r="F760" s="11">
        <v>131.01</v>
      </c>
    </row>
    <row r="761" spans="3:6" ht="18.75">
      <c r="C761">
        <v>6</v>
      </c>
      <c r="D761" s="5">
        <v>46055</v>
      </c>
      <c r="E761" t="s">
        <v>142</v>
      </c>
      <c r="F761" s="11">
        <v>259.75</v>
      </c>
    </row>
    <row r="762" spans="3:6" ht="18.75">
      <c r="C762">
        <v>6</v>
      </c>
      <c r="D762" s="5">
        <v>46055</v>
      </c>
      <c r="E762" t="s">
        <v>128</v>
      </c>
      <c r="F762" s="11">
        <v>219.19</v>
      </c>
    </row>
    <row r="763" spans="3:6" ht="18.75">
      <c r="C763">
        <v>6</v>
      </c>
      <c r="D763" s="5">
        <v>46055</v>
      </c>
      <c r="E763" t="s">
        <v>127</v>
      </c>
      <c r="F763" s="11">
        <v>401.71</v>
      </c>
    </row>
    <row r="764" spans="3:6" ht="18.75">
      <c r="C764">
        <v>6</v>
      </c>
      <c r="D764" s="5">
        <v>46055</v>
      </c>
      <c r="E764" t="s">
        <v>136</v>
      </c>
      <c r="F764" s="11">
        <v>142.94</v>
      </c>
    </row>
    <row r="765" spans="3:6" ht="18.75">
      <c r="C765">
        <v>6</v>
      </c>
      <c r="D765" s="5">
        <v>46055</v>
      </c>
      <c r="E765" t="s">
        <v>126</v>
      </c>
      <c r="F765" s="11">
        <v>213.62</v>
      </c>
    </row>
    <row r="766" spans="3:6" ht="18.75">
      <c r="C766">
        <v>6</v>
      </c>
      <c r="D766" s="5">
        <v>46055</v>
      </c>
      <c r="E766" t="s">
        <v>135</v>
      </c>
      <c r="F766" s="11">
        <v>91.100000000000094</v>
      </c>
    </row>
    <row r="767" spans="3:6" ht="18.75">
      <c r="C767">
        <v>6</v>
      </c>
      <c r="D767" s="5">
        <v>46055</v>
      </c>
      <c r="E767" t="s">
        <v>118</v>
      </c>
      <c r="F767" s="11">
        <v>50.5</v>
      </c>
    </row>
    <row r="768" spans="3:6" ht="18.75">
      <c r="C768">
        <v>6</v>
      </c>
      <c r="D768" s="5">
        <v>46055</v>
      </c>
      <c r="E768" t="s">
        <v>150</v>
      </c>
      <c r="F768" s="11">
        <v>111.33</v>
      </c>
    </row>
    <row r="769" spans="3:6" ht="18.75">
      <c r="C769">
        <v>6</v>
      </c>
      <c r="D769" s="5">
        <v>46055</v>
      </c>
      <c r="E769" t="s">
        <v>121</v>
      </c>
      <c r="F769" s="11">
        <v>83.15</v>
      </c>
    </row>
    <row r="770" spans="3:6" ht="18.75">
      <c r="C770">
        <v>6</v>
      </c>
      <c r="D770" s="5">
        <v>46055</v>
      </c>
      <c r="E770" t="s">
        <v>122</v>
      </c>
      <c r="F770" s="11">
        <v>407.66</v>
      </c>
    </row>
    <row r="771" spans="3:6" ht="18.75">
      <c r="C771">
        <v>6</v>
      </c>
      <c r="D771" s="5">
        <v>46055</v>
      </c>
      <c r="E771" t="s">
        <v>125</v>
      </c>
      <c r="F771" s="11">
        <v>90.51</v>
      </c>
    </row>
    <row r="772" spans="3:6" ht="18.75">
      <c r="C772">
        <v>6</v>
      </c>
      <c r="D772" s="5">
        <v>46055</v>
      </c>
      <c r="E772" t="s">
        <v>132</v>
      </c>
      <c r="F772" s="11">
        <v>214.41</v>
      </c>
    </row>
    <row r="773" spans="3:6" ht="18.75">
      <c r="C773">
        <v>6</v>
      </c>
      <c r="D773" s="5">
        <v>46055</v>
      </c>
      <c r="E773" t="s">
        <v>113</v>
      </c>
      <c r="F773" s="11">
        <v>5.7</v>
      </c>
    </row>
    <row r="774" spans="3:6" ht="18.75">
      <c r="C774">
        <v>6</v>
      </c>
      <c r="D774" s="5">
        <v>46055</v>
      </c>
      <c r="E774" t="s">
        <v>148</v>
      </c>
      <c r="F774" s="11">
        <v>10.11</v>
      </c>
    </row>
    <row r="775" spans="3:6" ht="18.75">
      <c r="C775">
        <v>6</v>
      </c>
      <c r="D775" s="5">
        <v>46055</v>
      </c>
      <c r="E775" t="s">
        <v>123</v>
      </c>
      <c r="F775" s="11">
        <v>3</v>
      </c>
    </row>
    <row r="776" spans="3:6" ht="18.75">
      <c r="C776">
        <v>6</v>
      </c>
      <c r="D776" s="5">
        <v>46055</v>
      </c>
      <c r="E776" t="s">
        <v>124</v>
      </c>
      <c r="F776" s="11">
        <v>87.28</v>
      </c>
    </row>
    <row r="777" spans="3:6" ht="18.75">
      <c r="C777">
        <v>6</v>
      </c>
      <c r="D777" s="5">
        <v>46055</v>
      </c>
      <c r="E777" t="s">
        <v>120</v>
      </c>
      <c r="F777" s="11">
        <v>147.91</v>
      </c>
    </row>
    <row r="778" spans="3:6" ht="18.75">
      <c r="C778">
        <v>9</v>
      </c>
      <c r="D778" s="5">
        <v>46076</v>
      </c>
      <c r="F778" s="11">
        <v>368.26</v>
      </c>
    </row>
    <row r="779" spans="3:6" ht="18.75">
      <c r="C779">
        <v>9</v>
      </c>
      <c r="D779" s="5">
        <v>46076</v>
      </c>
      <c r="E779" t="s">
        <v>117</v>
      </c>
      <c r="F779" s="11">
        <v>24.35</v>
      </c>
    </row>
    <row r="780" spans="3:6" ht="18.75">
      <c r="C780">
        <v>9</v>
      </c>
      <c r="D780" s="5">
        <v>46076</v>
      </c>
      <c r="E780" t="s">
        <v>112</v>
      </c>
      <c r="F780" s="11">
        <v>53.12</v>
      </c>
    </row>
    <row r="781" spans="3:6" ht="18.75">
      <c r="C781">
        <v>9</v>
      </c>
      <c r="D781" s="5">
        <v>46076</v>
      </c>
      <c r="E781" t="s">
        <v>143</v>
      </c>
      <c r="F781" s="11">
        <v>91.25</v>
      </c>
    </row>
    <row r="782" spans="3:6" ht="18.75">
      <c r="C782">
        <v>9</v>
      </c>
      <c r="D782" s="5">
        <v>46076</v>
      </c>
      <c r="E782" t="s">
        <v>111</v>
      </c>
      <c r="F782" s="11">
        <v>189.75</v>
      </c>
    </row>
    <row r="783" spans="3:6" ht="18.75">
      <c r="C783">
        <v>9</v>
      </c>
      <c r="D783" s="5">
        <v>46076</v>
      </c>
      <c r="E783" t="s">
        <v>147</v>
      </c>
      <c r="F783" s="11">
        <v>260.73</v>
      </c>
    </row>
    <row r="784" spans="3:6" ht="18.75">
      <c r="C784">
        <v>9</v>
      </c>
      <c r="D784" s="5">
        <v>46076</v>
      </c>
      <c r="E784" t="s">
        <v>146</v>
      </c>
      <c r="F784" s="11"/>
    </row>
    <row r="785" spans="3:6" ht="18.75">
      <c r="C785">
        <v>9</v>
      </c>
      <c r="D785" s="5">
        <v>46076</v>
      </c>
      <c r="E785" t="s">
        <v>145</v>
      </c>
      <c r="F785" s="11">
        <v>27.59</v>
      </c>
    </row>
    <row r="786" spans="3:6" ht="18.75">
      <c r="C786">
        <v>9</v>
      </c>
      <c r="D786" s="5">
        <v>46076</v>
      </c>
      <c r="E786" t="s">
        <v>151</v>
      </c>
      <c r="F786" s="11">
        <v>146.78</v>
      </c>
    </row>
    <row r="787" spans="3:6" ht="18.75">
      <c r="C787">
        <v>9</v>
      </c>
      <c r="D787" s="5">
        <v>46076</v>
      </c>
      <c r="E787" t="s">
        <v>129</v>
      </c>
      <c r="F787" s="11">
        <v>44.05</v>
      </c>
    </row>
    <row r="788" spans="3:6" ht="18.75">
      <c r="C788">
        <v>9</v>
      </c>
      <c r="D788" s="5">
        <v>46076</v>
      </c>
      <c r="E788" t="s">
        <v>141</v>
      </c>
      <c r="F788" s="11">
        <v>600.55999999999995</v>
      </c>
    </row>
    <row r="789" spans="3:6" ht="18.75">
      <c r="C789">
        <v>9</v>
      </c>
      <c r="D789" s="5">
        <v>46076</v>
      </c>
      <c r="E789" t="s">
        <v>114</v>
      </c>
      <c r="F789" s="11">
        <v>288.77</v>
      </c>
    </row>
    <row r="790" spans="3:6" ht="18.75">
      <c r="C790">
        <v>9</v>
      </c>
      <c r="D790" s="5">
        <v>46076</v>
      </c>
      <c r="E790" t="s">
        <v>149</v>
      </c>
      <c r="F790" s="11">
        <v>134.69</v>
      </c>
    </row>
    <row r="791" spans="3:6" ht="18.75">
      <c r="C791">
        <v>9</v>
      </c>
      <c r="D791" s="5">
        <v>46076</v>
      </c>
      <c r="E791" t="s">
        <v>128</v>
      </c>
      <c r="F791" s="11">
        <v>145.9</v>
      </c>
    </row>
    <row r="792" spans="3:6" ht="18.75">
      <c r="C792">
        <v>9</v>
      </c>
      <c r="D792" s="5">
        <v>46076</v>
      </c>
      <c r="E792" t="s">
        <v>119</v>
      </c>
      <c r="F792" s="11">
        <v>5.21</v>
      </c>
    </row>
    <row r="793" spans="3:6" ht="18.75">
      <c r="C793">
        <v>9</v>
      </c>
      <c r="D793" s="5">
        <v>46076</v>
      </c>
      <c r="E793" t="s">
        <v>126</v>
      </c>
      <c r="F793" s="11">
        <v>161.36000000000001</v>
      </c>
    </row>
    <row r="794" spans="3:6" ht="18.75">
      <c r="C794">
        <v>9</v>
      </c>
      <c r="D794" s="5">
        <v>46076</v>
      </c>
      <c r="E794" t="s">
        <v>127</v>
      </c>
      <c r="F794" s="11">
        <v>270.54000000000002</v>
      </c>
    </row>
    <row r="795" spans="3:6" ht="18.75">
      <c r="C795">
        <v>9</v>
      </c>
      <c r="D795" s="5">
        <v>46076</v>
      </c>
      <c r="E795" t="s">
        <v>133</v>
      </c>
      <c r="F795" s="11">
        <v>89.47</v>
      </c>
    </row>
    <row r="796" spans="3:6" ht="18.75">
      <c r="C796">
        <v>9</v>
      </c>
      <c r="D796" s="5">
        <v>46076</v>
      </c>
      <c r="E796" t="s">
        <v>122</v>
      </c>
      <c r="F796" s="11">
        <v>246.77</v>
      </c>
    </row>
    <row r="797" spans="3:6" ht="18.75">
      <c r="C797">
        <v>9</v>
      </c>
      <c r="D797" s="5">
        <v>46076</v>
      </c>
      <c r="E797" t="s">
        <v>134</v>
      </c>
      <c r="F797" s="11">
        <v>5.29</v>
      </c>
    </row>
    <row r="798" spans="3:6" ht="18.75">
      <c r="C798">
        <v>9</v>
      </c>
      <c r="D798" s="5">
        <v>46076</v>
      </c>
      <c r="E798" t="s">
        <v>138</v>
      </c>
      <c r="F798" s="11">
        <v>518.46</v>
      </c>
    </row>
    <row r="799" spans="3:6" ht="18.75">
      <c r="C799">
        <v>9</v>
      </c>
      <c r="D799" s="5">
        <v>46076</v>
      </c>
      <c r="E799" t="s">
        <v>130</v>
      </c>
      <c r="F799" s="11">
        <v>85.56</v>
      </c>
    </row>
    <row r="800" spans="3:6" ht="18.75">
      <c r="C800">
        <v>9</v>
      </c>
      <c r="D800" s="5">
        <v>46076</v>
      </c>
      <c r="E800" t="s">
        <v>121</v>
      </c>
      <c r="F800" s="11">
        <v>133.9</v>
      </c>
    </row>
    <row r="801" spans="3:6" ht="18.75">
      <c r="C801">
        <v>9</v>
      </c>
      <c r="D801" s="5">
        <v>46076</v>
      </c>
      <c r="E801" t="s">
        <v>113</v>
      </c>
      <c r="F801" s="11">
        <v>152.69</v>
      </c>
    </row>
    <row r="802" spans="3:6" ht="18.75">
      <c r="C802">
        <v>9</v>
      </c>
      <c r="D802" s="5">
        <v>46076</v>
      </c>
      <c r="E802" t="s">
        <v>137</v>
      </c>
      <c r="F802" s="11">
        <v>74.28</v>
      </c>
    </row>
    <row r="803" spans="3:6" ht="18.75">
      <c r="C803">
        <v>9</v>
      </c>
      <c r="D803" s="5">
        <v>46076</v>
      </c>
      <c r="E803" t="s">
        <v>118</v>
      </c>
      <c r="F803" s="11">
        <v>133.54</v>
      </c>
    </row>
    <row r="804" spans="3:6" ht="18.75">
      <c r="C804">
        <v>9</v>
      </c>
      <c r="D804" s="5">
        <v>46076</v>
      </c>
      <c r="E804" t="s">
        <v>116</v>
      </c>
      <c r="F804" s="11">
        <v>63.43</v>
      </c>
    </row>
    <row r="805" spans="3:6" ht="18.75">
      <c r="C805">
        <v>9</v>
      </c>
      <c r="D805" s="5">
        <v>46076</v>
      </c>
      <c r="E805" t="s">
        <v>140</v>
      </c>
      <c r="F805" s="11">
        <v>72.16</v>
      </c>
    </row>
    <row r="806" spans="3:6" ht="18.75">
      <c r="C806">
        <v>9</v>
      </c>
      <c r="D806" s="5">
        <v>46076</v>
      </c>
      <c r="E806" t="s">
        <v>148</v>
      </c>
      <c r="F806" s="11">
        <v>103.12</v>
      </c>
    </row>
    <row r="807" spans="3:6" ht="18.75">
      <c r="C807">
        <v>9</v>
      </c>
      <c r="D807" s="5">
        <v>46076</v>
      </c>
      <c r="E807" t="s">
        <v>132</v>
      </c>
      <c r="F807" s="11">
        <v>128.44999999999999</v>
      </c>
    </row>
    <row r="808" spans="3:6" ht="18.75">
      <c r="C808">
        <v>9</v>
      </c>
      <c r="D808" s="5">
        <v>46076</v>
      </c>
      <c r="E808" t="s">
        <v>135</v>
      </c>
      <c r="F808" s="11">
        <v>58.18</v>
      </c>
    </row>
    <row r="809" spans="3:6" ht="18.75">
      <c r="C809">
        <v>9</v>
      </c>
      <c r="D809" s="5">
        <v>46076</v>
      </c>
      <c r="E809" t="s">
        <v>125</v>
      </c>
      <c r="F809" s="11">
        <v>77.2</v>
      </c>
    </row>
    <row r="810" spans="3:6" ht="18.75">
      <c r="C810">
        <v>9</v>
      </c>
      <c r="D810" s="5">
        <v>46076</v>
      </c>
      <c r="E810" t="s">
        <v>120</v>
      </c>
      <c r="F810" s="11">
        <v>91.56</v>
      </c>
    </row>
    <row r="811" spans="3:6" ht="18.75">
      <c r="C811">
        <v>9</v>
      </c>
      <c r="D811" s="5">
        <v>46076</v>
      </c>
      <c r="E811" t="s">
        <v>142</v>
      </c>
      <c r="F811" s="11">
        <v>186.35</v>
      </c>
    </row>
    <row r="812" spans="3:6" ht="18.75">
      <c r="C812">
        <v>9</v>
      </c>
      <c r="D812" s="5">
        <v>46076</v>
      </c>
      <c r="E812" t="s">
        <v>136</v>
      </c>
      <c r="F812" s="11">
        <v>179</v>
      </c>
    </row>
    <row r="813" spans="3:6" ht="18.75">
      <c r="C813">
        <v>9</v>
      </c>
      <c r="D813" s="5">
        <v>46076</v>
      </c>
      <c r="E813" t="s">
        <v>123</v>
      </c>
      <c r="F813" s="11">
        <v>378.68</v>
      </c>
    </row>
    <row r="814" spans="3:6" ht="18.75">
      <c r="C814">
        <v>9</v>
      </c>
      <c r="D814" s="5">
        <v>46076</v>
      </c>
      <c r="E814" t="s">
        <v>150</v>
      </c>
      <c r="F814" s="11">
        <v>40.65</v>
      </c>
    </row>
    <row r="815" spans="3:6" ht="18.75">
      <c r="C815">
        <v>9</v>
      </c>
      <c r="D815" s="5">
        <v>46076</v>
      </c>
      <c r="E815" t="s">
        <v>124</v>
      </c>
      <c r="F815" s="11">
        <v>435.57</v>
      </c>
    </row>
    <row r="816" spans="3:6" ht="18.75">
      <c r="C816">
        <v>9</v>
      </c>
      <c r="D816" s="5">
        <v>46076</v>
      </c>
      <c r="E816" t="s">
        <v>139</v>
      </c>
      <c r="F816" s="11">
        <v>229.81</v>
      </c>
    </row>
    <row r="817" spans="3:6" ht="18.75">
      <c r="C817">
        <v>10</v>
      </c>
      <c r="D817" s="5">
        <v>46083</v>
      </c>
      <c r="F817" s="11">
        <v>404.85</v>
      </c>
    </row>
    <row r="818" spans="3:6" ht="18.75">
      <c r="C818">
        <v>10</v>
      </c>
      <c r="D818" s="5">
        <v>46083</v>
      </c>
      <c r="E818" t="s">
        <v>117</v>
      </c>
      <c r="F818" s="11">
        <v>281.69</v>
      </c>
    </row>
    <row r="819" spans="3:6" ht="18.75">
      <c r="C819">
        <v>10</v>
      </c>
      <c r="D819" s="5">
        <v>46083</v>
      </c>
      <c r="E819" t="s">
        <v>112</v>
      </c>
      <c r="F819" s="11">
        <v>71.66</v>
      </c>
    </row>
    <row r="820" spans="3:6" ht="18.75">
      <c r="C820">
        <v>10</v>
      </c>
      <c r="D820" s="5">
        <v>46083</v>
      </c>
      <c r="E820" t="s">
        <v>111</v>
      </c>
      <c r="F820" s="11">
        <v>202.98</v>
      </c>
    </row>
    <row r="821" spans="3:6" ht="18.75">
      <c r="C821">
        <v>10</v>
      </c>
      <c r="D821" s="5">
        <v>46083</v>
      </c>
      <c r="E821" t="s">
        <v>149</v>
      </c>
      <c r="F821" s="11">
        <v>159.56</v>
      </c>
    </row>
    <row r="822" spans="3:6" ht="18.75">
      <c r="C822">
        <v>10</v>
      </c>
      <c r="D822" s="5">
        <v>46083</v>
      </c>
      <c r="E822" t="s">
        <v>147</v>
      </c>
      <c r="F822" s="11">
        <v>336.1</v>
      </c>
    </row>
    <row r="823" spans="3:6" ht="18.75">
      <c r="C823">
        <v>10</v>
      </c>
      <c r="D823" s="5">
        <v>46083</v>
      </c>
      <c r="E823" t="s">
        <v>114</v>
      </c>
      <c r="F823" s="11">
        <v>285.01</v>
      </c>
    </row>
    <row r="824" spans="3:6" ht="18.75">
      <c r="C824">
        <v>10</v>
      </c>
      <c r="D824" s="5">
        <v>46083</v>
      </c>
      <c r="E824" t="s">
        <v>151</v>
      </c>
      <c r="F824" s="11">
        <v>744.43</v>
      </c>
    </row>
    <row r="825" spans="3:6" ht="18.75">
      <c r="C825">
        <v>10</v>
      </c>
      <c r="D825" s="5">
        <v>46083</v>
      </c>
      <c r="E825" t="s">
        <v>146</v>
      </c>
      <c r="F825" s="11">
        <v>554.01</v>
      </c>
    </row>
    <row r="826" spans="3:6" ht="18.75">
      <c r="C826">
        <v>10</v>
      </c>
      <c r="D826" s="5">
        <v>46083</v>
      </c>
      <c r="E826" t="s">
        <v>129</v>
      </c>
      <c r="F826" s="11">
        <v>390.03</v>
      </c>
    </row>
    <row r="827" spans="3:6" ht="18.75">
      <c r="C827">
        <v>10</v>
      </c>
      <c r="D827" s="5">
        <v>46083</v>
      </c>
      <c r="E827" t="s">
        <v>141</v>
      </c>
      <c r="F827" s="11">
        <v>572.17999999999995</v>
      </c>
    </row>
    <row r="828" spans="3:6" ht="18.75">
      <c r="C828">
        <v>10</v>
      </c>
      <c r="D828" s="5">
        <v>46083</v>
      </c>
      <c r="E828" t="s">
        <v>139</v>
      </c>
      <c r="F828" s="11">
        <v>286.95</v>
      </c>
    </row>
    <row r="829" spans="3:6" ht="18.75">
      <c r="C829">
        <v>10</v>
      </c>
      <c r="D829" s="5">
        <v>46083</v>
      </c>
      <c r="E829" t="s">
        <v>134</v>
      </c>
      <c r="F829" s="11">
        <v>257.95</v>
      </c>
    </row>
    <row r="830" spans="3:6" ht="18.75">
      <c r="C830">
        <v>10</v>
      </c>
      <c r="D830" s="5">
        <v>46083</v>
      </c>
      <c r="E830" t="s">
        <v>133</v>
      </c>
      <c r="F830" s="11">
        <v>224.16</v>
      </c>
    </row>
    <row r="831" spans="3:6" ht="18.75">
      <c r="C831">
        <v>10</v>
      </c>
      <c r="D831" s="5">
        <v>46083</v>
      </c>
      <c r="E831" t="s">
        <v>128</v>
      </c>
      <c r="F831" s="11">
        <v>139.63</v>
      </c>
    </row>
    <row r="832" spans="3:6" ht="18.75">
      <c r="C832">
        <v>10</v>
      </c>
      <c r="D832" s="5">
        <v>46083</v>
      </c>
      <c r="E832" t="s">
        <v>138</v>
      </c>
      <c r="F832" s="11">
        <v>455.42</v>
      </c>
    </row>
    <row r="833" spans="3:6" ht="18.75">
      <c r="C833">
        <v>10</v>
      </c>
      <c r="D833" s="5">
        <v>46083</v>
      </c>
      <c r="E833" t="s">
        <v>119</v>
      </c>
      <c r="F833" s="11">
        <v>501.26</v>
      </c>
    </row>
    <row r="834" spans="3:6" ht="18.75">
      <c r="C834">
        <v>10</v>
      </c>
      <c r="D834" s="5">
        <v>46083</v>
      </c>
      <c r="E834" t="s">
        <v>143</v>
      </c>
      <c r="F834" s="11">
        <v>630.86999999999898</v>
      </c>
    </row>
    <row r="835" spans="3:6" ht="18.75">
      <c r="C835">
        <v>10</v>
      </c>
      <c r="D835" s="5">
        <v>46083</v>
      </c>
      <c r="E835" t="s">
        <v>137</v>
      </c>
      <c r="F835" s="11">
        <v>72.66</v>
      </c>
    </row>
    <row r="836" spans="3:6" ht="18.75">
      <c r="C836">
        <v>10</v>
      </c>
      <c r="D836" s="5">
        <v>46083</v>
      </c>
      <c r="E836" t="s">
        <v>122</v>
      </c>
      <c r="F836" s="11">
        <v>233.76</v>
      </c>
    </row>
    <row r="837" spans="3:6" ht="18.75">
      <c r="C837">
        <v>10</v>
      </c>
      <c r="D837" s="5">
        <v>46083</v>
      </c>
      <c r="E837" t="s">
        <v>130</v>
      </c>
      <c r="F837" s="11">
        <v>427.2</v>
      </c>
    </row>
    <row r="838" spans="3:6" ht="18.75">
      <c r="C838">
        <v>10</v>
      </c>
      <c r="D838" s="5">
        <v>46083</v>
      </c>
      <c r="E838" t="s">
        <v>136</v>
      </c>
      <c r="F838" s="11">
        <v>202.78</v>
      </c>
    </row>
    <row r="839" spans="3:6" ht="18.75">
      <c r="C839">
        <v>10</v>
      </c>
      <c r="D839" s="5">
        <v>46083</v>
      </c>
      <c r="E839" t="s">
        <v>121</v>
      </c>
      <c r="F839" s="11">
        <v>172.66</v>
      </c>
    </row>
    <row r="840" spans="3:6" ht="18.75">
      <c r="C840">
        <v>10</v>
      </c>
      <c r="D840" s="5">
        <v>46083</v>
      </c>
      <c r="E840" t="s">
        <v>145</v>
      </c>
      <c r="F840" s="11">
        <v>22.1</v>
      </c>
    </row>
    <row r="841" spans="3:6" ht="18.75">
      <c r="C841">
        <v>10</v>
      </c>
      <c r="D841" s="5">
        <v>46083</v>
      </c>
      <c r="E841" t="s">
        <v>140</v>
      </c>
      <c r="F841" s="11">
        <v>72.459999999999994</v>
      </c>
    </row>
    <row r="842" spans="3:6" ht="18.75">
      <c r="C842">
        <v>10</v>
      </c>
      <c r="D842" s="5">
        <v>46083</v>
      </c>
      <c r="E842" t="s">
        <v>150</v>
      </c>
      <c r="F842" s="11">
        <v>62.79</v>
      </c>
    </row>
    <row r="843" spans="3:6" ht="18.75">
      <c r="C843">
        <v>10</v>
      </c>
      <c r="D843" s="5">
        <v>46083</v>
      </c>
      <c r="E843" t="s">
        <v>135</v>
      </c>
      <c r="F843" s="11">
        <v>75.56</v>
      </c>
    </row>
    <row r="844" spans="3:6" ht="18.75">
      <c r="C844">
        <v>10</v>
      </c>
      <c r="D844" s="5">
        <v>46083</v>
      </c>
      <c r="E844" t="s">
        <v>148</v>
      </c>
      <c r="F844" s="11">
        <v>123.83</v>
      </c>
    </row>
    <row r="845" spans="3:6" ht="18.75">
      <c r="C845">
        <v>10</v>
      </c>
      <c r="D845" s="5">
        <v>46083</v>
      </c>
      <c r="E845" t="s">
        <v>142</v>
      </c>
      <c r="F845" s="11">
        <v>200.37</v>
      </c>
    </row>
    <row r="846" spans="3:6" ht="18.75">
      <c r="C846">
        <v>10</v>
      </c>
      <c r="D846" s="5">
        <v>46083</v>
      </c>
      <c r="E846" t="s">
        <v>116</v>
      </c>
      <c r="F846" s="11">
        <v>123.85</v>
      </c>
    </row>
    <row r="847" spans="3:6" ht="18.75">
      <c r="C847">
        <v>10</v>
      </c>
      <c r="D847" s="5">
        <v>46083</v>
      </c>
      <c r="E847" t="s">
        <v>125</v>
      </c>
      <c r="F847" s="11">
        <v>53.91</v>
      </c>
    </row>
    <row r="848" spans="3:6" ht="18.75">
      <c r="C848">
        <v>10</v>
      </c>
      <c r="D848" s="5">
        <v>46083</v>
      </c>
      <c r="E848" t="s">
        <v>118</v>
      </c>
      <c r="F848" s="11">
        <v>159.56</v>
      </c>
    </row>
    <row r="849" spans="3:6" ht="18.75">
      <c r="C849">
        <v>10</v>
      </c>
      <c r="D849" s="5">
        <v>46083</v>
      </c>
      <c r="E849" t="s">
        <v>132</v>
      </c>
      <c r="F849" s="11">
        <v>195.79</v>
      </c>
    </row>
    <row r="850" spans="3:6" ht="18.75">
      <c r="C850">
        <v>10</v>
      </c>
      <c r="D850" s="5">
        <v>46083</v>
      </c>
      <c r="E850" t="s">
        <v>123</v>
      </c>
      <c r="F850" s="11">
        <v>546.62000000000103</v>
      </c>
    </row>
    <row r="851" spans="3:6" ht="18.75">
      <c r="C851">
        <v>10</v>
      </c>
      <c r="D851" s="5">
        <v>46083</v>
      </c>
      <c r="E851" t="s">
        <v>126</v>
      </c>
      <c r="F851" s="11">
        <v>199.95</v>
      </c>
    </row>
    <row r="852" spans="3:6" ht="18.75">
      <c r="C852">
        <v>10</v>
      </c>
      <c r="D852" s="5">
        <v>46083</v>
      </c>
      <c r="E852" t="s">
        <v>127</v>
      </c>
      <c r="F852" s="11">
        <v>265.91000000000003</v>
      </c>
    </row>
    <row r="853" spans="3:6" ht="18.75">
      <c r="C853">
        <v>10</v>
      </c>
      <c r="D853" s="5">
        <v>46083</v>
      </c>
      <c r="E853" t="s">
        <v>124</v>
      </c>
      <c r="F853" s="11">
        <v>429.46</v>
      </c>
    </row>
    <row r="854" spans="3:6" ht="18.75">
      <c r="C854">
        <v>10</v>
      </c>
      <c r="D854" s="5">
        <v>46083</v>
      </c>
      <c r="E854" t="s">
        <v>120</v>
      </c>
      <c r="F854" s="11">
        <v>167.24</v>
      </c>
    </row>
    <row r="855" spans="3:6" ht="18.75">
      <c r="C855">
        <v>10</v>
      </c>
      <c r="D855" s="5">
        <v>46083</v>
      </c>
      <c r="E855" t="s">
        <v>113</v>
      </c>
      <c r="F855" s="11">
        <v>205.83</v>
      </c>
    </row>
    <row r="856" spans="3:6" ht="18.75">
      <c r="C856">
        <v>11</v>
      </c>
      <c r="D856" s="5">
        <v>46090</v>
      </c>
      <c r="E856" t="s">
        <v>117</v>
      </c>
      <c r="F856" s="11">
        <v>60.82</v>
      </c>
    </row>
    <row r="857" spans="3:6" ht="18.75">
      <c r="C857">
        <v>11</v>
      </c>
      <c r="D857" s="5">
        <v>46090</v>
      </c>
      <c r="E857" t="s">
        <v>112</v>
      </c>
      <c r="F857" s="11">
        <v>65.069999999999993</v>
      </c>
    </row>
    <row r="858" spans="3:6" ht="18.75">
      <c r="C858">
        <v>11</v>
      </c>
      <c r="D858" s="5">
        <v>46090</v>
      </c>
      <c r="E858" t="s">
        <v>149</v>
      </c>
      <c r="F858" s="11">
        <v>163.13</v>
      </c>
    </row>
    <row r="859" spans="3:6" ht="18.75">
      <c r="C859">
        <v>11</v>
      </c>
      <c r="D859" s="5">
        <v>46090</v>
      </c>
      <c r="E859" t="s">
        <v>147</v>
      </c>
      <c r="F859" s="11">
        <v>255.09</v>
      </c>
    </row>
    <row r="860" spans="3:6" ht="18.75">
      <c r="C860">
        <v>11</v>
      </c>
      <c r="D860" s="5">
        <v>46090</v>
      </c>
      <c r="E860" t="s">
        <v>111</v>
      </c>
      <c r="F860" s="11">
        <v>177.21</v>
      </c>
    </row>
    <row r="861" spans="3:6" ht="18.75">
      <c r="C861">
        <v>11</v>
      </c>
      <c r="D861" s="5">
        <v>46090</v>
      </c>
      <c r="E861" t="s">
        <v>146</v>
      </c>
      <c r="F861" s="11">
        <v>650.29</v>
      </c>
    </row>
    <row r="862" spans="3:6" ht="18.75">
      <c r="C862">
        <v>11</v>
      </c>
      <c r="D862" s="5">
        <v>46090</v>
      </c>
      <c r="E862" t="s">
        <v>129</v>
      </c>
      <c r="F862" s="11">
        <v>357.53</v>
      </c>
    </row>
    <row r="863" spans="3:6" ht="18.75">
      <c r="C863">
        <v>11</v>
      </c>
      <c r="D863" s="5">
        <v>46090</v>
      </c>
      <c r="E863" t="s">
        <v>114</v>
      </c>
      <c r="F863" s="11">
        <v>309.93</v>
      </c>
    </row>
    <row r="864" spans="3:6" ht="18.75">
      <c r="C864">
        <v>11</v>
      </c>
      <c r="D864" s="5">
        <v>46090</v>
      </c>
      <c r="E864" t="s">
        <v>141</v>
      </c>
      <c r="F864" s="11">
        <v>517.66</v>
      </c>
    </row>
    <row r="865" spans="3:6" ht="18.75">
      <c r="C865">
        <v>11</v>
      </c>
      <c r="D865" s="5">
        <v>46090</v>
      </c>
      <c r="E865" t="s">
        <v>128</v>
      </c>
      <c r="F865" s="11">
        <v>185.05</v>
      </c>
    </row>
    <row r="866" spans="3:6" ht="18.75">
      <c r="C866">
        <v>11</v>
      </c>
      <c r="D866" s="5">
        <v>46090</v>
      </c>
      <c r="E866" t="s">
        <v>139</v>
      </c>
      <c r="F866" s="11">
        <v>105.62</v>
      </c>
    </row>
    <row r="867" spans="3:6" ht="18.75">
      <c r="C867">
        <v>11</v>
      </c>
      <c r="D867" s="5">
        <v>46090</v>
      </c>
      <c r="E867" t="s">
        <v>151</v>
      </c>
      <c r="F867" s="11">
        <v>700.61</v>
      </c>
    </row>
    <row r="868" spans="3:6" ht="18.75">
      <c r="C868">
        <v>11</v>
      </c>
      <c r="D868" s="5">
        <v>46090</v>
      </c>
      <c r="E868" t="s">
        <v>130</v>
      </c>
      <c r="F868" s="11">
        <v>61.32</v>
      </c>
    </row>
    <row r="869" spans="3:6" ht="18.75">
      <c r="C869">
        <v>11</v>
      </c>
      <c r="D869" s="5">
        <v>46090</v>
      </c>
      <c r="E869" t="s">
        <v>143</v>
      </c>
      <c r="F869" s="11">
        <v>1073.6400000000001</v>
      </c>
    </row>
    <row r="870" spans="3:6" ht="18.75">
      <c r="C870">
        <v>11</v>
      </c>
      <c r="D870" s="5">
        <v>46090</v>
      </c>
      <c r="E870" t="s">
        <v>119</v>
      </c>
      <c r="F870" s="11">
        <v>344.55</v>
      </c>
    </row>
    <row r="871" spans="3:6" ht="18.75">
      <c r="C871">
        <v>11</v>
      </c>
      <c r="D871" s="5">
        <v>46090</v>
      </c>
      <c r="E871" t="s">
        <v>138</v>
      </c>
      <c r="F871" s="11">
        <v>393.69</v>
      </c>
    </row>
    <row r="872" spans="3:6" ht="18.75">
      <c r="C872">
        <v>11</v>
      </c>
      <c r="D872" s="5">
        <v>46090</v>
      </c>
      <c r="E872" t="s">
        <v>122</v>
      </c>
      <c r="F872" s="11">
        <v>282.39999999999998</v>
      </c>
    </row>
    <row r="873" spans="3:6" ht="18.75">
      <c r="C873">
        <v>11</v>
      </c>
      <c r="D873" s="5">
        <v>46090</v>
      </c>
      <c r="E873" t="s">
        <v>133</v>
      </c>
      <c r="F873" s="11">
        <v>59.05</v>
      </c>
    </row>
    <row r="874" spans="3:6" ht="18.75">
      <c r="C874">
        <v>11</v>
      </c>
      <c r="D874" s="5">
        <v>46090</v>
      </c>
      <c r="E874" t="s">
        <v>134</v>
      </c>
      <c r="F874" s="11">
        <v>277.47000000000003</v>
      </c>
    </row>
    <row r="875" spans="3:6" ht="18.75">
      <c r="C875">
        <v>11</v>
      </c>
      <c r="D875" s="5">
        <v>46090</v>
      </c>
      <c r="E875" t="s">
        <v>121</v>
      </c>
      <c r="F875" s="11">
        <v>173.47</v>
      </c>
    </row>
    <row r="876" spans="3:6" ht="18.75">
      <c r="C876">
        <v>11</v>
      </c>
      <c r="D876" s="5">
        <v>46090</v>
      </c>
      <c r="E876" t="s">
        <v>140</v>
      </c>
      <c r="F876" s="11">
        <v>66.03</v>
      </c>
    </row>
    <row r="877" spans="3:6" ht="18.75">
      <c r="C877">
        <v>11</v>
      </c>
      <c r="D877" s="5">
        <v>46090</v>
      </c>
      <c r="E877" t="s">
        <v>145</v>
      </c>
      <c r="F877" s="11">
        <v>248.51</v>
      </c>
    </row>
    <row r="878" spans="3:6" ht="18.75">
      <c r="C878">
        <v>11</v>
      </c>
      <c r="D878" s="5">
        <v>46090</v>
      </c>
      <c r="E878" t="s">
        <v>137</v>
      </c>
      <c r="F878" s="11">
        <v>71.63</v>
      </c>
    </row>
    <row r="879" spans="3:6" ht="18.75">
      <c r="C879">
        <v>11</v>
      </c>
      <c r="D879" s="5">
        <v>46090</v>
      </c>
      <c r="E879" t="s">
        <v>148</v>
      </c>
      <c r="F879" s="11">
        <v>89.49</v>
      </c>
    </row>
    <row r="880" spans="3:6" ht="18.75">
      <c r="C880">
        <v>11</v>
      </c>
      <c r="D880" s="5">
        <v>46090</v>
      </c>
      <c r="E880" t="s">
        <v>118</v>
      </c>
      <c r="F880" s="11">
        <v>178.11</v>
      </c>
    </row>
    <row r="881" spans="3:6" ht="18.75">
      <c r="C881">
        <v>11</v>
      </c>
      <c r="D881" s="5">
        <v>46090</v>
      </c>
      <c r="E881" t="s">
        <v>116</v>
      </c>
      <c r="F881" s="11">
        <v>77.41</v>
      </c>
    </row>
    <row r="882" spans="3:6" ht="18.75">
      <c r="C882">
        <v>11</v>
      </c>
      <c r="D882" s="5">
        <v>46090</v>
      </c>
      <c r="E882" t="s">
        <v>136</v>
      </c>
      <c r="F882" s="11">
        <v>187.04</v>
      </c>
    </row>
    <row r="883" spans="3:6" ht="18.75">
      <c r="C883">
        <v>11</v>
      </c>
      <c r="D883" s="5">
        <v>46090</v>
      </c>
      <c r="E883" t="s">
        <v>125</v>
      </c>
      <c r="F883" s="11">
        <v>60.12</v>
      </c>
    </row>
    <row r="884" spans="3:6" ht="18.75">
      <c r="C884">
        <v>11</v>
      </c>
      <c r="D884" s="5">
        <v>46090</v>
      </c>
      <c r="E884" t="s">
        <v>142</v>
      </c>
      <c r="F884" s="11">
        <v>224.24</v>
      </c>
    </row>
    <row r="885" spans="3:6" ht="18.75">
      <c r="C885">
        <v>11</v>
      </c>
      <c r="D885" s="5">
        <v>46090</v>
      </c>
      <c r="E885" t="s">
        <v>123</v>
      </c>
      <c r="F885" s="11">
        <v>86.9</v>
      </c>
    </row>
    <row r="886" spans="3:6" ht="18.75">
      <c r="C886">
        <v>11</v>
      </c>
      <c r="D886" s="5">
        <v>46090</v>
      </c>
      <c r="E886" t="s">
        <v>135</v>
      </c>
      <c r="F886" s="11">
        <v>75.459999999999994</v>
      </c>
    </row>
    <row r="887" spans="3:6" ht="18.75">
      <c r="C887">
        <v>11</v>
      </c>
      <c r="D887" s="5">
        <v>46090</v>
      </c>
      <c r="E887" t="s">
        <v>132</v>
      </c>
      <c r="F887" s="11">
        <v>181.52</v>
      </c>
    </row>
    <row r="888" spans="3:6" ht="18.75">
      <c r="C888">
        <v>11</v>
      </c>
      <c r="D888" s="5">
        <v>46090</v>
      </c>
      <c r="E888" t="s">
        <v>150</v>
      </c>
      <c r="F888" s="11">
        <v>80.569999999999993</v>
      </c>
    </row>
    <row r="889" spans="3:6" ht="18.75">
      <c r="C889">
        <v>11</v>
      </c>
      <c r="D889" s="5">
        <v>46090</v>
      </c>
      <c r="E889" t="s">
        <v>127</v>
      </c>
      <c r="F889" s="11">
        <v>228.51</v>
      </c>
    </row>
    <row r="890" spans="3:6" ht="18.75">
      <c r="C890">
        <v>11</v>
      </c>
      <c r="D890" s="5">
        <v>46090</v>
      </c>
      <c r="E890" t="s">
        <v>126</v>
      </c>
      <c r="F890" s="11">
        <v>155.58000000000001</v>
      </c>
    </row>
    <row r="891" spans="3:6" ht="18.75">
      <c r="C891">
        <v>11</v>
      </c>
      <c r="D891" s="5">
        <v>46090</v>
      </c>
      <c r="E891" t="s">
        <v>120</v>
      </c>
      <c r="F891" s="11">
        <v>95.76</v>
      </c>
    </row>
    <row r="892" spans="3:6" ht="18.75">
      <c r="C892">
        <v>11</v>
      </c>
      <c r="D892" s="5">
        <v>46090</v>
      </c>
      <c r="E892" t="s">
        <v>124</v>
      </c>
      <c r="F892" s="11">
        <v>70.58</v>
      </c>
    </row>
    <row r="893" spans="3:6" ht="18.75">
      <c r="C893">
        <v>11</v>
      </c>
      <c r="D893" s="5">
        <v>46090</v>
      </c>
      <c r="E893" t="s">
        <v>113</v>
      </c>
      <c r="F893" s="11">
        <v>181.06</v>
      </c>
    </row>
    <row r="894" spans="3:6" ht="18.75">
      <c r="C894">
        <v>11</v>
      </c>
      <c r="D894" s="5">
        <v>46090</v>
      </c>
      <c r="F894" s="11">
        <v>413.82</v>
      </c>
    </row>
    <row r="895" spans="3:6" ht="18.75">
      <c r="C895">
        <v>12</v>
      </c>
      <c r="D895" s="5">
        <v>46097</v>
      </c>
      <c r="F895" s="11">
        <v>381.93</v>
      </c>
    </row>
    <row r="896" spans="3:6" ht="18.75">
      <c r="C896">
        <v>12</v>
      </c>
      <c r="D896" s="5">
        <v>46097</v>
      </c>
      <c r="E896" t="s">
        <v>149</v>
      </c>
      <c r="F896" s="11">
        <v>146.33000000000001</v>
      </c>
    </row>
    <row r="897" spans="3:6" ht="18.75">
      <c r="C897">
        <v>12</v>
      </c>
      <c r="D897" s="5">
        <v>46097</v>
      </c>
      <c r="E897" t="s">
        <v>147</v>
      </c>
      <c r="F897" s="11">
        <v>331.22</v>
      </c>
    </row>
    <row r="898" spans="3:6" ht="18.75">
      <c r="C898">
        <v>12</v>
      </c>
      <c r="D898" s="5">
        <v>46097</v>
      </c>
      <c r="E898" t="s">
        <v>117</v>
      </c>
      <c r="F898" s="11">
        <v>227.29</v>
      </c>
    </row>
    <row r="899" spans="3:6" ht="18.75">
      <c r="C899">
        <v>12</v>
      </c>
      <c r="D899" s="5">
        <v>46097</v>
      </c>
      <c r="E899" t="s">
        <v>146</v>
      </c>
      <c r="F899" s="11">
        <v>576.98</v>
      </c>
    </row>
    <row r="900" spans="3:6" ht="18.75">
      <c r="C900">
        <v>12</v>
      </c>
      <c r="D900" s="5">
        <v>46097</v>
      </c>
      <c r="E900" t="s">
        <v>114</v>
      </c>
      <c r="F900" s="11">
        <v>293.31</v>
      </c>
    </row>
    <row r="901" spans="3:6" ht="18.75">
      <c r="C901">
        <v>12</v>
      </c>
      <c r="D901" s="5">
        <v>46097</v>
      </c>
      <c r="E901" t="s">
        <v>143</v>
      </c>
      <c r="F901" s="11">
        <v>2421.8299999999899</v>
      </c>
    </row>
    <row r="902" spans="3:6" ht="18.75">
      <c r="C902">
        <v>12</v>
      </c>
      <c r="D902" s="5">
        <v>46097</v>
      </c>
      <c r="E902" t="s">
        <v>139</v>
      </c>
      <c r="F902" s="11">
        <v>303.18</v>
      </c>
    </row>
    <row r="903" spans="3:6" ht="18.75">
      <c r="C903">
        <v>12</v>
      </c>
      <c r="D903" s="5">
        <v>46097</v>
      </c>
      <c r="E903" t="s">
        <v>151</v>
      </c>
      <c r="F903" s="11">
        <v>700.14</v>
      </c>
    </row>
    <row r="904" spans="3:6" ht="18.75">
      <c r="C904">
        <v>12</v>
      </c>
      <c r="D904" s="5">
        <v>46097</v>
      </c>
      <c r="E904" t="s">
        <v>112</v>
      </c>
      <c r="F904" s="11">
        <v>79.95</v>
      </c>
    </row>
    <row r="905" spans="3:6" ht="18.75">
      <c r="C905">
        <v>12</v>
      </c>
      <c r="D905" s="5">
        <v>46097</v>
      </c>
      <c r="E905" t="s">
        <v>111</v>
      </c>
      <c r="F905" s="11">
        <v>241.05</v>
      </c>
    </row>
    <row r="906" spans="3:6" ht="18.75">
      <c r="C906">
        <v>12</v>
      </c>
      <c r="D906" s="5">
        <v>46097</v>
      </c>
      <c r="E906" t="s">
        <v>129</v>
      </c>
      <c r="F906" s="11">
        <v>415.82</v>
      </c>
    </row>
    <row r="907" spans="3:6" ht="18.75">
      <c r="C907">
        <v>12</v>
      </c>
      <c r="D907" s="5">
        <v>46097</v>
      </c>
      <c r="E907" t="s">
        <v>119</v>
      </c>
      <c r="F907" s="11">
        <v>416.67</v>
      </c>
    </row>
    <row r="908" spans="3:6" ht="18.75">
      <c r="C908">
        <v>12</v>
      </c>
      <c r="D908" s="5">
        <v>46097</v>
      </c>
      <c r="E908" t="s">
        <v>145</v>
      </c>
      <c r="F908" s="11">
        <v>266.32</v>
      </c>
    </row>
    <row r="909" spans="3:6" ht="18.75">
      <c r="C909">
        <v>12</v>
      </c>
      <c r="D909" s="5">
        <v>46097</v>
      </c>
      <c r="E909" t="s">
        <v>134</v>
      </c>
      <c r="F909" s="11">
        <v>366.41</v>
      </c>
    </row>
    <row r="910" spans="3:6" ht="18.75">
      <c r="C910">
        <v>12</v>
      </c>
      <c r="D910" s="5">
        <v>46097</v>
      </c>
      <c r="E910" t="s">
        <v>138</v>
      </c>
      <c r="F910" s="11">
        <v>426.57</v>
      </c>
    </row>
    <row r="911" spans="3:6" ht="18.75">
      <c r="C911">
        <v>12</v>
      </c>
      <c r="D911" s="5">
        <v>46097</v>
      </c>
      <c r="E911" t="s">
        <v>133</v>
      </c>
      <c r="F911" s="11">
        <v>327.08</v>
      </c>
    </row>
    <row r="912" spans="3:6" ht="18.75">
      <c r="C912">
        <v>12</v>
      </c>
      <c r="D912" s="5">
        <v>46097</v>
      </c>
      <c r="E912" t="s">
        <v>141</v>
      </c>
      <c r="F912" s="11">
        <v>519.26</v>
      </c>
    </row>
    <row r="913" spans="3:6" ht="18.75">
      <c r="C913">
        <v>12</v>
      </c>
      <c r="D913" s="5">
        <v>46097</v>
      </c>
      <c r="E913" t="s">
        <v>135</v>
      </c>
      <c r="F913" s="11">
        <v>58.4</v>
      </c>
    </row>
    <row r="914" spans="3:6" ht="18.75">
      <c r="C914">
        <v>12</v>
      </c>
      <c r="D914" s="5">
        <v>46097</v>
      </c>
      <c r="E914" t="s">
        <v>118</v>
      </c>
      <c r="F914" s="11">
        <v>158.80000000000001</v>
      </c>
    </row>
    <row r="915" spans="3:6" ht="18.75">
      <c r="C915">
        <v>12</v>
      </c>
      <c r="D915" s="5">
        <v>46097</v>
      </c>
      <c r="E915" t="s">
        <v>116</v>
      </c>
      <c r="F915" s="11">
        <v>100.82</v>
      </c>
    </row>
    <row r="916" spans="3:6" ht="18.75">
      <c r="C916">
        <v>12</v>
      </c>
      <c r="D916" s="5">
        <v>46097</v>
      </c>
      <c r="E916" t="s">
        <v>130</v>
      </c>
      <c r="F916" s="11">
        <v>426.62</v>
      </c>
    </row>
    <row r="917" spans="3:6" ht="18.75">
      <c r="C917">
        <v>12</v>
      </c>
      <c r="D917" s="5">
        <v>46097</v>
      </c>
      <c r="E917" t="s">
        <v>126</v>
      </c>
      <c r="F917" s="11">
        <v>183.41</v>
      </c>
    </row>
    <row r="918" spans="3:6" ht="18.75">
      <c r="C918">
        <v>12</v>
      </c>
      <c r="D918" s="5">
        <v>46097</v>
      </c>
      <c r="E918" t="s">
        <v>127</v>
      </c>
      <c r="F918" s="11">
        <v>279.77999999999997</v>
      </c>
    </row>
    <row r="919" spans="3:6" ht="18.75">
      <c r="C919">
        <v>12</v>
      </c>
      <c r="D919" s="5">
        <v>46097</v>
      </c>
      <c r="E919" t="s">
        <v>128</v>
      </c>
      <c r="F919" s="11">
        <v>190.88</v>
      </c>
    </row>
    <row r="920" spans="3:6" ht="18.75">
      <c r="C920">
        <v>12</v>
      </c>
      <c r="D920" s="5">
        <v>46097</v>
      </c>
      <c r="E920" t="s">
        <v>137</v>
      </c>
      <c r="F920" s="11">
        <v>76.56</v>
      </c>
    </row>
    <row r="921" spans="3:6" ht="18.75">
      <c r="C921">
        <v>12</v>
      </c>
      <c r="D921" s="5">
        <v>46097</v>
      </c>
      <c r="E921" t="s">
        <v>140</v>
      </c>
      <c r="F921" s="11">
        <v>64.25</v>
      </c>
    </row>
    <row r="922" spans="3:6" ht="18.75">
      <c r="C922">
        <v>12</v>
      </c>
      <c r="D922" s="5">
        <v>46097</v>
      </c>
      <c r="E922" t="s">
        <v>132</v>
      </c>
      <c r="F922" s="11">
        <v>176.34</v>
      </c>
    </row>
    <row r="923" spans="3:6" ht="18.75">
      <c r="C923">
        <v>12</v>
      </c>
      <c r="D923" s="5">
        <v>46097</v>
      </c>
      <c r="E923" t="s">
        <v>142</v>
      </c>
      <c r="F923" s="11">
        <v>194.14</v>
      </c>
    </row>
    <row r="924" spans="3:6" ht="18.75">
      <c r="C924">
        <v>12</v>
      </c>
      <c r="D924" s="5">
        <v>46097</v>
      </c>
      <c r="E924" t="s">
        <v>120</v>
      </c>
      <c r="F924" s="11">
        <v>112.21</v>
      </c>
    </row>
    <row r="925" spans="3:6" ht="18.75">
      <c r="C925">
        <v>12</v>
      </c>
      <c r="D925" s="5">
        <v>46097</v>
      </c>
      <c r="E925" t="s">
        <v>121</v>
      </c>
      <c r="F925" s="11">
        <v>161.63999999999999</v>
      </c>
    </row>
    <row r="926" spans="3:6" ht="18.75">
      <c r="C926">
        <v>12</v>
      </c>
      <c r="D926" s="5">
        <v>46097</v>
      </c>
      <c r="E926" t="s">
        <v>113</v>
      </c>
      <c r="F926" s="11">
        <v>194.71</v>
      </c>
    </row>
    <row r="927" spans="3:6" ht="18.75">
      <c r="C927">
        <v>12</v>
      </c>
      <c r="D927" s="5">
        <v>46097</v>
      </c>
      <c r="E927" t="s">
        <v>136</v>
      </c>
      <c r="F927" s="11">
        <v>186.85</v>
      </c>
    </row>
    <row r="928" spans="3:6" ht="18.75">
      <c r="C928">
        <v>12</v>
      </c>
      <c r="D928" s="5">
        <v>46097</v>
      </c>
      <c r="E928" t="s">
        <v>124</v>
      </c>
      <c r="F928" s="11">
        <v>442.6</v>
      </c>
    </row>
    <row r="929" spans="3:6" ht="18.75">
      <c r="C929">
        <v>12</v>
      </c>
      <c r="D929" s="5">
        <v>46097</v>
      </c>
      <c r="E929" t="s">
        <v>122</v>
      </c>
      <c r="F929" s="11">
        <v>267.37</v>
      </c>
    </row>
    <row r="930" spans="3:6" ht="18.75">
      <c r="C930">
        <v>12</v>
      </c>
      <c r="D930" s="5">
        <v>46097</v>
      </c>
      <c r="E930" t="s">
        <v>125</v>
      </c>
      <c r="F930" s="11">
        <v>77.010000000000005</v>
      </c>
    </row>
    <row r="931" spans="3:6" ht="18.75">
      <c r="C931">
        <v>12</v>
      </c>
      <c r="D931" s="5">
        <v>46097</v>
      </c>
      <c r="E931" t="s">
        <v>148</v>
      </c>
      <c r="F931" s="11">
        <v>88.65</v>
      </c>
    </row>
    <row r="932" spans="3:6" ht="18.75">
      <c r="C932">
        <v>12</v>
      </c>
      <c r="D932" s="5">
        <v>46097</v>
      </c>
      <c r="E932" t="s">
        <v>150</v>
      </c>
      <c r="F932" s="11">
        <v>73.63</v>
      </c>
    </row>
    <row r="933" spans="3:6" ht="18.75">
      <c r="C933">
        <v>12</v>
      </c>
      <c r="D933" s="5">
        <v>46097</v>
      </c>
      <c r="E933" t="s">
        <v>123</v>
      </c>
      <c r="F933" s="11">
        <v>479.2</v>
      </c>
    </row>
    <row r="934" spans="3:6" ht="18.75">
      <c r="C934">
        <v>14</v>
      </c>
      <c r="D934" s="5">
        <v>46111</v>
      </c>
      <c r="E934" t="s">
        <v>111</v>
      </c>
      <c r="F934" s="11">
        <v>205.8</v>
      </c>
    </row>
    <row r="935" spans="3:6" ht="18.75">
      <c r="C935">
        <v>14</v>
      </c>
      <c r="D935" s="5">
        <v>46111</v>
      </c>
      <c r="E935" t="s">
        <v>151</v>
      </c>
      <c r="F935" s="11">
        <v>767.26</v>
      </c>
    </row>
    <row r="936" spans="3:6" ht="18.75">
      <c r="C936">
        <v>14</v>
      </c>
      <c r="D936" s="5">
        <v>46111</v>
      </c>
      <c r="E936" t="s">
        <v>117</v>
      </c>
      <c r="F936" s="11">
        <v>297.85000000000002</v>
      </c>
    </row>
    <row r="937" spans="3:6" ht="18.75">
      <c r="C937">
        <v>14</v>
      </c>
      <c r="D937" s="5">
        <v>46111</v>
      </c>
      <c r="E937" t="s">
        <v>147</v>
      </c>
      <c r="F937" s="11">
        <v>370.81</v>
      </c>
    </row>
    <row r="938" spans="3:6" ht="18.75">
      <c r="C938">
        <v>14</v>
      </c>
      <c r="D938" s="5">
        <v>46111</v>
      </c>
      <c r="E938" t="s">
        <v>143</v>
      </c>
      <c r="F938" s="11">
        <v>1087.94</v>
      </c>
    </row>
    <row r="939" spans="3:6" ht="18.75">
      <c r="C939">
        <v>14</v>
      </c>
      <c r="D939" s="5">
        <v>46111</v>
      </c>
      <c r="E939" t="s">
        <v>149</v>
      </c>
      <c r="F939" s="11">
        <v>140.49</v>
      </c>
    </row>
    <row r="940" spans="3:6" ht="18.75">
      <c r="C940">
        <v>14</v>
      </c>
      <c r="D940" s="5">
        <v>46111</v>
      </c>
      <c r="E940" t="s">
        <v>114</v>
      </c>
      <c r="F940" s="11">
        <v>340.12</v>
      </c>
    </row>
    <row r="941" spans="3:6" ht="18.75">
      <c r="C941">
        <v>14</v>
      </c>
      <c r="D941" s="5">
        <v>46111</v>
      </c>
      <c r="E941" t="s">
        <v>133</v>
      </c>
      <c r="F941" s="11">
        <v>321.58</v>
      </c>
    </row>
    <row r="942" spans="3:6" ht="18.75">
      <c r="C942">
        <v>14</v>
      </c>
      <c r="D942" s="5">
        <v>46111</v>
      </c>
      <c r="E942" t="s">
        <v>141</v>
      </c>
      <c r="F942" s="11">
        <v>575.22</v>
      </c>
    </row>
    <row r="943" spans="3:6" ht="18.75">
      <c r="C943">
        <v>14</v>
      </c>
      <c r="D943" s="5">
        <v>46111</v>
      </c>
      <c r="E943" t="s">
        <v>112</v>
      </c>
      <c r="F943" s="11">
        <v>78.25</v>
      </c>
    </row>
    <row r="944" spans="3:6" ht="18.75">
      <c r="C944">
        <v>14</v>
      </c>
      <c r="D944" s="5">
        <v>46111</v>
      </c>
      <c r="E944" t="s">
        <v>146</v>
      </c>
      <c r="F944" s="11">
        <v>731.72</v>
      </c>
    </row>
    <row r="945" spans="3:6" ht="18.75">
      <c r="C945">
        <v>14</v>
      </c>
      <c r="D945" s="5">
        <v>46111</v>
      </c>
      <c r="E945" t="s">
        <v>134</v>
      </c>
      <c r="F945" s="11">
        <v>310.83999999999997</v>
      </c>
    </row>
    <row r="946" spans="3:6" ht="18.75">
      <c r="C946">
        <v>14</v>
      </c>
      <c r="D946" s="5">
        <v>46111</v>
      </c>
      <c r="E946" t="s">
        <v>129</v>
      </c>
      <c r="F946" s="11">
        <v>443.26</v>
      </c>
    </row>
    <row r="947" spans="3:6" ht="18.75">
      <c r="C947">
        <v>14</v>
      </c>
      <c r="D947" s="5">
        <v>46111</v>
      </c>
      <c r="E947" t="s">
        <v>119</v>
      </c>
      <c r="F947" s="11">
        <v>454</v>
      </c>
    </row>
    <row r="948" spans="3:6" ht="18.75">
      <c r="C948">
        <v>14</v>
      </c>
      <c r="D948" s="5">
        <v>46111</v>
      </c>
      <c r="E948" t="s">
        <v>145</v>
      </c>
      <c r="F948" s="11">
        <v>266.83999999999997</v>
      </c>
    </row>
    <row r="949" spans="3:6" ht="18.75">
      <c r="C949">
        <v>14</v>
      </c>
      <c r="D949" s="5">
        <v>46111</v>
      </c>
      <c r="E949" t="s">
        <v>139</v>
      </c>
      <c r="F949" s="11">
        <v>424.66</v>
      </c>
    </row>
    <row r="950" spans="3:6" ht="18.75">
      <c r="C950">
        <v>14</v>
      </c>
      <c r="D950" s="5">
        <v>46111</v>
      </c>
      <c r="E950" t="s">
        <v>138</v>
      </c>
      <c r="F950" s="11">
        <v>459.47</v>
      </c>
    </row>
    <row r="951" spans="3:6" ht="18.75">
      <c r="C951">
        <v>14</v>
      </c>
      <c r="D951" s="5">
        <v>46111</v>
      </c>
      <c r="E951" t="s">
        <v>136</v>
      </c>
      <c r="F951" s="11">
        <v>161.34</v>
      </c>
    </row>
    <row r="952" spans="3:6" ht="18.75">
      <c r="C952">
        <v>14</v>
      </c>
      <c r="D952" s="5">
        <v>46111</v>
      </c>
      <c r="E952" t="s">
        <v>121</v>
      </c>
      <c r="F952" s="11">
        <v>206.34</v>
      </c>
    </row>
    <row r="953" spans="3:6" ht="18.75">
      <c r="C953">
        <v>14</v>
      </c>
      <c r="D953" s="5">
        <v>46111</v>
      </c>
      <c r="E953" t="s">
        <v>128</v>
      </c>
      <c r="F953" s="11">
        <v>144.63</v>
      </c>
    </row>
    <row r="954" spans="3:6" ht="18.75">
      <c r="C954">
        <v>14</v>
      </c>
      <c r="D954" s="5">
        <v>46111</v>
      </c>
      <c r="E954" t="s">
        <v>127</v>
      </c>
      <c r="F954" s="11">
        <v>352.4</v>
      </c>
    </row>
    <row r="955" spans="3:6" ht="18.75">
      <c r="C955">
        <v>14</v>
      </c>
      <c r="D955" s="5">
        <v>46111</v>
      </c>
      <c r="E955" t="s">
        <v>150</v>
      </c>
      <c r="F955" s="11">
        <v>97.88</v>
      </c>
    </row>
    <row r="956" spans="3:6" ht="18.75">
      <c r="C956">
        <v>14</v>
      </c>
      <c r="D956" s="5">
        <v>46111</v>
      </c>
      <c r="E956" t="s">
        <v>118</v>
      </c>
      <c r="F956" s="11">
        <v>189.77</v>
      </c>
    </row>
    <row r="957" spans="3:6" ht="18.75">
      <c r="C957">
        <v>14</v>
      </c>
      <c r="D957" s="5">
        <v>46111</v>
      </c>
      <c r="E957" t="s">
        <v>126</v>
      </c>
      <c r="F957" s="11">
        <v>192.27</v>
      </c>
    </row>
    <row r="958" spans="3:6" ht="18.75">
      <c r="C958">
        <v>14</v>
      </c>
      <c r="D958" s="5">
        <v>46111</v>
      </c>
      <c r="E958" t="s">
        <v>137</v>
      </c>
      <c r="F958" s="11">
        <v>93.24</v>
      </c>
    </row>
    <row r="959" spans="3:6" ht="18.75">
      <c r="C959">
        <v>14</v>
      </c>
      <c r="D959" s="5">
        <v>46111</v>
      </c>
      <c r="E959" t="s">
        <v>148</v>
      </c>
      <c r="F959" s="11">
        <v>128.02000000000001</v>
      </c>
    </row>
    <row r="960" spans="3:6" ht="18.75">
      <c r="C960">
        <v>14</v>
      </c>
      <c r="D960" s="5">
        <v>46111</v>
      </c>
      <c r="E960" t="s">
        <v>130</v>
      </c>
      <c r="F960" s="11">
        <v>556.979999999999</v>
      </c>
    </row>
    <row r="961" spans="3:6" ht="18.75">
      <c r="C961">
        <v>14</v>
      </c>
      <c r="D961" s="5">
        <v>46111</v>
      </c>
      <c r="E961" t="s">
        <v>113</v>
      </c>
      <c r="F961" s="11">
        <v>212.57</v>
      </c>
    </row>
    <row r="962" spans="3:6" ht="18.75">
      <c r="C962">
        <v>14</v>
      </c>
      <c r="D962" s="5">
        <v>46111</v>
      </c>
      <c r="E962" t="s">
        <v>116</v>
      </c>
      <c r="F962" s="11">
        <v>92.02</v>
      </c>
    </row>
    <row r="963" spans="3:6" ht="18.75">
      <c r="C963">
        <v>14</v>
      </c>
      <c r="D963" s="5">
        <v>46111</v>
      </c>
      <c r="E963" t="s">
        <v>122</v>
      </c>
      <c r="F963" s="11">
        <v>323.77999999999997</v>
      </c>
    </row>
    <row r="964" spans="3:6" ht="18.75">
      <c r="C964">
        <v>14</v>
      </c>
      <c r="D964" s="5">
        <v>46111</v>
      </c>
      <c r="E964" t="s">
        <v>140</v>
      </c>
      <c r="F964" s="11">
        <v>55.51</v>
      </c>
    </row>
    <row r="965" spans="3:6" ht="18.75">
      <c r="C965">
        <v>14</v>
      </c>
      <c r="D965" s="5">
        <v>46111</v>
      </c>
      <c r="E965" t="s">
        <v>142</v>
      </c>
      <c r="F965" s="11">
        <v>166.39</v>
      </c>
    </row>
    <row r="966" spans="3:6" ht="18.75">
      <c r="C966">
        <v>14</v>
      </c>
      <c r="D966" s="5">
        <v>46111</v>
      </c>
      <c r="E966" t="s">
        <v>132</v>
      </c>
      <c r="F966" s="11">
        <v>5.6</v>
      </c>
    </row>
    <row r="967" spans="3:6" ht="18.75">
      <c r="C967">
        <v>14</v>
      </c>
      <c r="D967" s="5">
        <v>46111</v>
      </c>
      <c r="E967" t="s">
        <v>125</v>
      </c>
      <c r="F967" s="11">
        <v>77.44</v>
      </c>
    </row>
    <row r="968" spans="3:6" ht="18.75">
      <c r="C968">
        <v>14</v>
      </c>
      <c r="D968" s="5">
        <v>46111</v>
      </c>
      <c r="E968" t="s">
        <v>120</v>
      </c>
      <c r="F968" s="11">
        <v>97.89</v>
      </c>
    </row>
    <row r="969" spans="3:6" ht="18.75">
      <c r="C969">
        <v>14</v>
      </c>
      <c r="D969" s="5">
        <v>46111</v>
      </c>
      <c r="E969" t="s">
        <v>135</v>
      </c>
      <c r="F969" s="11">
        <v>65.599999999999994</v>
      </c>
    </row>
    <row r="970" spans="3:6" ht="18.75">
      <c r="C970">
        <v>14</v>
      </c>
      <c r="D970" s="5">
        <v>46111</v>
      </c>
      <c r="E970" t="s">
        <v>123</v>
      </c>
      <c r="F970" s="11">
        <v>413.96</v>
      </c>
    </row>
    <row r="971" spans="3:6" ht="18.75">
      <c r="C971">
        <v>14</v>
      </c>
      <c r="D971" s="5">
        <v>46111</v>
      </c>
      <c r="E971" t="s">
        <v>124</v>
      </c>
      <c r="F971" s="11">
        <v>333.68</v>
      </c>
    </row>
    <row r="972" spans="3:6" ht="18.75">
      <c r="C972">
        <v>14</v>
      </c>
      <c r="D972" s="5">
        <v>46111</v>
      </c>
      <c r="F972" s="11">
        <v>382.29</v>
      </c>
    </row>
    <row r="973" spans="3:6" ht="18.75">
      <c r="C973">
        <v>13</v>
      </c>
      <c r="D973" s="5">
        <v>46104</v>
      </c>
      <c r="E973" t="s">
        <v>117</v>
      </c>
      <c r="F973" s="11">
        <v>285.43</v>
      </c>
    </row>
    <row r="974" spans="3:6" ht="18.75">
      <c r="C974">
        <v>13</v>
      </c>
      <c r="D974" s="5">
        <v>46104</v>
      </c>
      <c r="E974" t="s">
        <v>147</v>
      </c>
      <c r="F974" s="11">
        <v>319.57</v>
      </c>
    </row>
    <row r="975" spans="3:6" ht="18.75">
      <c r="C975">
        <v>13</v>
      </c>
      <c r="D975" s="5">
        <v>46104</v>
      </c>
      <c r="E975" t="s">
        <v>112</v>
      </c>
      <c r="F975" s="11">
        <v>75.260000000000005</v>
      </c>
    </row>
    <row r="976" spans="3:6" ht="18.75">
      <c r="C976">
        <v>13</v>
      </c>
      <c r="D976" s="5">
        <v>46104</v>
      </c>
      <c r="E976" t="s">
        <v>111</v>
      </c>
      <c r="F976" s="11">
        <v>202.35</v>
      </c>
    </row>
    <row r="977" spans="3:6" ht="18.75">
      <c r="C977">
        <v>13</v>
      </c>
      <c r="D977" s="5">
        <v>46104</v>
      </c>
      <c r="E977" t="s">
        <v>143</v>
      </c>
      <c r="F977" s="11">
        <v>2416.5499999999902</v>
      </c>
    </row>
    <row r="978" spans="3:6" ht="18.75">
      <c r="C978">
        <v>13</v>
      </c>
      <c r="D978" s="5">
        <v>46104</v>
      </c>
      <c r="E978" t="s">
        <v>146</v>
      </c>
      <c r="F978" s="11">
        <v>602.17000000000098</v>
      </c>
    </row>
    <row r="979" spans="3:6" ht="18.75">
      <c r="C979">
        <v>13</v>
      </c>
      <c r="D979" s="5">
        <v>46104</v>
      </c>
      <c r="E979" t="s">
        <v>114</v>
      </c>
      <c r="F979" s="11">
        <v>266.37</v>
      </c>
    </row>
    <row r="980" spans="3:6" ht="18.75">
      <c r="C980">
        <v>13</v>
      </c>
      <c r="D980" s="5">
        <v>46104</v>
      </c>
      <c r="E980" t="s">
        <v>149</v>
      </c>
      <c r="F980" s="11">
        <v>146.72</v>
      </c>
    </row>
    <row r="981" spans="3:6" ht="18.75">
      <c r="C981">
        <v>13</v>
      </c>
      <c r="D981" s="5">
        <v>46104</v>
      </c>
      <c r="E981" t="s">
        <v>151</v>
      </c>
      <c r="F981" s="11">
        <v>684.71</v>
      </c>
    </row>
    <row r="982" spans="3:6" ht="18.75">
      <c r="C982">
        <v>13</v>
      </c>
      <c r="D982" s="5">
        <v>46104</v>
      </c>
      <c r="E982" t="s">
        <v>119</v>
      </c>
      <c r="F982" s="11">
        <v>407.37</v>
      </c>
    </row>
    <row r="983" spans="3:6" ht="18.75">
      <c r="C983">
        <v>13</v>
      </c>
      <c r="D983" s="5">
        <v>46104</v>
      </c>
      <c r="E983" t="s">
        <v>141</v>
      </c>
      <c r="F983" s="11">
        <v>560.54999999999995</v>
      </c>
    </row>
    <row r="984" spans="3:6" ht="18.75">
      <c r="C984">
        <v>13</v>
      </c>
      <c r="D984" s="5">
        <v>46104</v>
      </c>
      <c r="E984" t="s">
        <v>145</v>
      </c>
      <c r="F984" s="11">
        <v>252.83</v>
      </c>
    </row>
    <row r="985" spans="3:6" ht="18.75">
      <c r="C985">
        <v>13</v>
      </c>
      <c r="D985" s="5">
        <v>46104</v>
      </c>
      <c r="E985" t="s">
        <v>129</v>
      </c>
      <c r="F985" s="11">
        <v>354.85</v>
      </c>
    </row>
    <row r="986" spans="3:6" ht="18.75">
      <c r="C986">
        <v>13</v>
      </c>
      <c r="D986" s="5">
        <v>46104</v>
      </c>
      <c r="E986" t="s">
        <v>139</v>
      </c>
      <c r="F986" s="11">
        <v>285.07</v>
      </c>
    </row>
    <row r="987" spans="3:6" ht="18.75">
      <c r="C987">
        <v>13</v>
      </c>
      <c r="D987" s="5">
        <v>46104</v>
      </c>
      <c r="E987" t="s">
        <v>133</v>
      </c>
      <c r="F987" s="11">
        <v>328.19</v>
      </c>
    </row>
    <row r="988" spans="3:6" ht="18.75">
      <c r="C988">
        <v>13</v>
      </c>
      <c r="D988" s="5">
        <v>46104</v>
      </c>
      <c r="E988" t="s">
        <v>138</v>
      </c>
      <c r="F988" s="11">
        <v>385.11</v>
      </c>
    </row>
    <row r="989" spans="3:6" ht="18.75">
      <c r="C989">
        <v>13</v>
      </c>
      <c r="D989" s="5">
        <v>46104</v>
      </c>
      <c r="E989" t="s">
        <v>128</v>
      </c>
      <c r="F989" s="11">
        <v>182.4</v>
      </c>
    </row>
    <row r="990" spans="3:6" ht="18.75">
      <c r="C990">
        <v>13</v>
      </c>
      <c r="D990" s="5">
        <v>46104</v>
      </c>
      <c r="E990" t="s">
        <v>134</v>
      </c>
      <c r="F990" s="11">
        <v>349.34</v>
      </c>
    </row>
    <row r="991" spans="3:6" ht="18.75">
      <c r="C991">
        <v>13</v>
      </c>
      <c r="D991" s="5">
        <v>46104</v>
      </c>
      <c r="E991" t="s">
        <v>118</v>
      </c>
      <c r="F991" s="11">
        <v>138.43</v>
      </c>
    </row>
    <row r="992" spans="3:6" ht="18.75">
      <c r="C992">
        <v>13</v>
      </c>
      <c r="D992" s="5">
        <v>46104</v>
      </c>
      <c r="E992" t="s">
        <v>127</v>
      </c>
      <c r="F992" s="11">
        <v>306.81</v>
      </c>
    </row>
    <row r="993" spans="3:6" ht="18.75">
      <c r="C993">
        <v>13</v>
      </c>
      <c r="D993" s="5">
        <v>46104</v>
      </c>
      <c r="E993" t="s">
        <v>122</v>
      </c>
      <c r="F993" s="11">
        <v>273.19</v>
      </c>
    </row>
    <row r="994" spans="3:6" ht="18.75">
      <c r="C994">
        <v>13</v>
      </c>
      <c r="D994" s="5">
        <v>46104</v>
      </c>
      <c r="E994" t="s">
        <v>136</v>
      </c>
      <c r="F994" s="11">
        <v>170.65</v>
      </c>
    </row>
    <row r="995" spans="3:6" ht="18.75">
      <c r="C995">
        <v>13</v>
      </c>
      <c r="D995" s="5">
        <v>46104</v>
      </c>
      <c r="E995" t="s">
        <v>121</v>
      </c>
      <c r="F995" s="11">
        <v>154.56</v>
      </c>
    </row>
    <row r="996" spans="3:6" ht="18.75">
      <c r="C996">
        <v>13</v>
      </c>
      <c r="D996" s="5">
        <v>46104</v>
      </c>
      <c r="E996" t="s">
        <v>120</v>
      </c>
      <c r="F996" s="11">
        <v>91.49</v>
      </c>
    </row>
    <row r="997" spans="3:6" ht="18.75">
      <c r="C997">
        <v>13</v>
      </c>
      <c r="D997" s="5">
        <v>46104</v>
      </c>
      <c r="E997" t="s">
        <v>126</v>
      </c>
      <c r="F997" s="11">
        <v>178.97</v>
      </c>
    </row>
    <row r="998" spans="3:6" ht="18.75">
      <c r="C998">
        <v>13</v>
      </c>
      <c r="D998" s="5">
        <v>46104</v>
      </c>
      <c r="E998" t="s">
        <v>150</v>
      </c>
      <c r="F998" s="11">
        <v>94.06</v>
      </c>
    </row>
    <row r="999" spans="3:6" ht="18.75">
      <c r="C999">
        <v>13</v>
      </c>
      <c r="D999" s="5">
        <v>46104</v>
      </c>
      <c r="E999" t="s">
        <v>130</v>
      </c>
      <c r="F999" s="11">
        <v>390.229999999999</v>
      </c>
    </row>
    <row r="1000" spans="3:6" ht="18.75">
      <c r="C1000">
        <v>13</v>
      </c>
      <c r="D1000" s="5">
        <v>46104</v>
      </c>
      <c r="E1000" t="s">
        <v>137</v>
      </c>
      <c r="F1000" s="11">
        <v>62.04</v>
      </c>
    </row>
    <row r="1001" spans="3:6" ht="18.75">
      <c r="C1001">
        <v>13</v>
      </c>
      <c r="D1001" s="5">
        <v>46104</v>
      </c>
      <c r="E1001" t="s">
        <v>142</v>
      </c>
      <c r="F1001" s="11">
        <v>176.56</v>
      </c>
    </row>
    <row r="1002" spans="3:6" ht="18.75">
      <c r="C1002">
        <v>13</v>
      </c>
      <c r="D1002" s="5">
        <v>46104</v>
      </c>
      <c r="E1002" t="s">
        <v>116</v>
      </c>
      <c r="F1002" s="11">
        <v>100.32</v>
      </c>
    </row>
    <row r="1003" spans="3:6" ht="18.75">
      <c r="C1003">
        <v>13</v>
      </c>
      <c r="D1003" s="5">
        <v>46104</v>
      </c>
      <c r="E1003" t="s">
        <v>148</v>
      </c>
      <c r="F1003" s="11">
        <v>122.41</v>
      </c>
    </row>
    <row r="1004" spans="3:6" ht="18.75">
      <c r="C1004">
        <v>13</v>
      </c>
      <c r="D1004" s="5">
        <v>46104</v>
      </c>
      <c r="E1004" t="s">
        <v>113</v>
      </c>
      <c r="F1004" s="11">
        <v>168.59</v>
      </c>
    </row>
    <row r="1005" spans="3:6" ht="18.75">
      <c r="C1005">
        <v>13</v>
      </c>
      <c r="D1005" s="5">
        <v>46104</v>
      </c>
      <c r="E1005" t="s">
        <v>140</v>
      </c>
      <c r="F1005" s="11">
        <v>90.5</v>
      </c>
    </row>
    <row r="1006" spans="3:6" ht="18.75">
      <c r="C1006">
        <v>13</v>
      </c>
      <c r="D1006" s="5">
        <v>46104</v>
      </c>
      <c r="E1006" t="s">
        <v>132</v>
      </c>
      <c r="F1006" s="11">
        <v>203.63</v>
      </c>
    </row>
    <row r="1007" spans="3:6" ht="18.75">
      <c r="C1007">
        <v>13</v>
      </c>
      <c r="D1007" s="5">
        <v>46104</v>
      </c>
      <c r="E1007" t="s">
        <v>135</v>
      </c>
      <c r="F1007" s="11">
        <v>84.59</v>
      </c>
    </row>
    <row r="1008" spans="3:6" ht="18.75">
      <c r="C1008">
        <v>13</v>
      </c>
      <c r="D1008" s="5">
        <v>46104</v>
      </c>
      <c r="E1008" t="s">
        <v>125</v>
      </c>
      <c r="F1008" s="11">
        <v>70.39</v>
      </c>
    </row>
    <row r="1009" spans="3:6" ht="18.75">
      <c r="C1009">
        <v>13</v>
      </c>
      <c r="D1009" s="5">
        <v>46104</v>
      </c>
      <c r="E1009" t="s">
        <v>124</v>
      </c>
      <c r="F1009" s="11">
        <v>374.35</v>
      </c>
    </row>
    <row r="1010" spans="3:6" ht="18.75">
      <c r="C1010">
        <v>13</v>
      </c>
      <c r="D1010" s="5">
        <v>46104</v>
      </c>
      <c r="E1010" t="s">
        <v>123</v>
      </c>
      <c r="F1010" s="11">
        <v>564.6</v>
      </c>
    </row>
    <row r="1011" spans="3:6" ht="18.75">
      <c r="C1011">
        <v>13</v>
      </c>
      <c r="D1011" s="5">
        <v>46104</v>
      </c>
      <c r="F1011" s="11">
        <v>1.62</v>
      </c>
    </row>
    <row r="1012" spans="3:6" ht="18.75">
      <c r="C1012">
        <v>16</v>
      </c>
      <c r="D1012" s="5">
        <v>46125</v>
      </c>
      <c r="E1012" t="s">
        <v>149</v>
      </c>
      <c r="F1012" s="11">
        <v>64.709999999999994</v>
      </c>
    </row>
    <row r="1013" spans="3:6" ht="18.75">
      <c r="C1013">
        <v>16</v>
      </c>
      <c r="D1013" s="5">
        <v>46125</v>
      </c>
      <c r="E1013" t="s">
        <v>151</v>
      </c>
      <c r="F1013" s="11">
        <v>706.34000000000106</v>
      </c>
    </row>
    <row r="1014" spans="3:6" ht="18.75">
      <c r="C1014">
        <v>16</v>
      </c>
      <c r="D1014" s="5">
        <v>46125</v>
      </c>
      <c r="E1014" t="s">
        <v>139</v>
      </c>
      <c r="F1014" s="11">
        <v>262.51</v>
      </c>
    </row>
    <row r="1015" spans="3:6" ht="18.75">
      <c r="C1015">
        <v>16</v>
      </c>
      <c r="D1015" s="5">
        <v>46125</v>
      </c>
      <c r="E1015" t="s">
        <v>147</v>
      </c>
      <c r="F1015" s="11">
        <v>336.63</v>
      </c>
    </row>
    <row r="1016" spans="3:6" ht="18.75">
      <c r="C1016">
        <v>16</v>
      </c>
      <c r="D1016" s="5">
        <v>46125</v>
      </c>
      <c r="E1016" t="s">
        <v>117</v>
      </c>
      <c r="F1016" s="11">
        <v>200.65</v>
      </c>
    </row>
    <row r="1017" spans="3:6" ht="18.75">
      <c r="C1017">
        <v>16</v>
      </c>
      <c r="D1017" s="5">
        <v>46125</v>
      </c>
      <c r="E1017" t="s">
        <v>146</v>
      </c>
      <c r="F1017" s="11">
        <v>543.67999999999995</v>
      </c>
    </row>
    <row r="1018" spans="3:6" ht="18.75">
      <c r="C1018">
        <v>16</v>
      </c>
      <c r="D1018" s="5">
        <v>46125</v>
      </c>
      <c r="E1018" t="s">
        <v>141</v>
      </c>
      <c r="F1018" s="11">
        <v>490.21</v>
      </c>
    </row>
    <row r="1019" spans="3:6" ht="18.75">
      <c r="C1019">
        <v>16</v>
      </c>
      <c r="D1019" s="5">
        <v>46125</v>
      </c>
      <c r="E1019" t="s">
        <v>115</v>
      </c>
      <c r="F1019" s="11">
        <v>483.06000000000103</v>
      </c>
    </row>
    <row r="1020" spans="3:6" ht="18.75">
      <c r="C1020">
        <v>16</v>
      </c>
      <c r="D1020" s="5">
        <v>46125</v>
      </c>
      <c r="E1020" t="s">
        <v>143</v>
      </c>
      <c r="F1020" s="11">
        <v>2191.7800000000002</v>
      </c>
    </row>
    <row r="1021" spans="3:6" ht="18.75">
      <c r="C1021">
        <v>16</v>
      </c>
      <c r="D1021" s="5">
        <v>46125</v>
      </c>
      <c r="E1021" t="s">
        <v>114</v>
      </c>
      <c r="F1021" s="11">
        <v>292.02999999999997</v>
      </c>
    </row>
    <row r="1022" spans="3:6" ht="18.75">
      <c r="C1022">
        <v>16</v>
      </c>
      <c r="D1022" s="5">
        <v>46125</v>
      </c>
      <c r="E1022" t="s">
        <v>133</v>
      </c>
      <c r="F1022" s="11">
        <v>320.89999999999998</v>
      </c>
    </row>
    <row r="1023" spans="3:6" ht="18.75">
      <c r="C1023">
        <v>16</v>
      </c>
      <c r="D1023" s="5">
        <v>46125</v>
      </c>
      <c r="E1023" t="s">
        <v>112</v>
      </c>
      <c r="F1023" s="11">
        <v>45.54</v>
      </c>
    </row>
    <row r="1024" spans="3:6" ht="18.75">
      <c r="C1024">
        <v>16</v>
      </c>
      <c r="D1024" s="5">
        <v>46125</v>
      </c>
      <c r="E1024" t="s">
        <v>134</v>
      </c>
      <c r="F1024" s="11">
        <v>316.24</v>
      </c>
    </row>
    <row r="1025" spans="3:6" ht="18.75">
      <c r="C1025">
        <v>16</v>
      </c>
      <c r="D1025" s="5">
        <v>46125</v>
      </c>
      <c r="E1025" t="s">
        <v>129</v>
      </c>
      <c r="F1025" s="11">
        <v>379.01</v>
      </c>
    </row>
    <row r="1026" spans="3:6" ht="18.75">
      <c r="C1026">
        <v>16</v>
      </c>
      <c r="D1026" s="5">
        <v>46125</v>
      </c>
      <c r="E1026" t="s">
        <v>111</v>
      </c>
      <c r="F1026" s="11">
        <v>112.94</v>
      </c>
    </row>
    <row r="1027" spans="3:6" ht="18.75">
      <c r="C1027">
        <v>16</v>
      </c>
      <c r="D1027" s="5">
        <v>46125</v>
      </c>
      <c r="E1027" t="s">
        <v>137</v>
      </c>
      <c r="F1027" s="11">
        <v>64.98</v>
      </c>
    </row>
    <row r="1028" spans="3:6" ht="18.75">
      <c r="C1028">
        <v>16</v>
      </c>
      <c r="D1028" s="5">
        <v>46125</v>
      </c>
      <c r="E1028" t="s">
        <v>145</v>
      </c>
      <c r="F1028" s="11">
        <v>189.05</v>
      </c>
    </row>
    <row r="1029" spans="3:6" ht="18.75">
      <c r="C1029">
        <v>16</v>
      </c>
      <c r="D1029" s="5">
        <v>46125</v>
      </c>
      <c r="E1029" t="s">
        <v>124</v>
      </c>
      <c r="F1029" s="11">
        <v>322.39999999999998</v>
      </c>
    </row>
    <row r="1030" spans="3:6" ht="18.75">
      <c r="C1030">
        <v>16</v>
      </c>
      <c r="D1030" s="5">
        <v>46125</v>
      </c>
      <c r="E1030" t="s">
        <v>119</v>
      </c>
      <c r="F1030" s="11">
        <v>269.94</v>
      </c>
    </row>
    <row r="1031" spans="3:6" ht="18.75">
      <c r="C1031">
        <v>16</v>
      </c>
      <c r="D1031" s="5">
        <v>46125</v>
      </c>
      <c r="E1031" t="s">
        <v>138</v>
      </c>
      <c r="F1031" s="11">
        <v>386.95</v>
      </c>
    </row>
    <row r="1032" spans="3:6" ht="18.75">
      <c r="C1032">
        <v>16</v>
      </c>
      <c r="D1032" s="5">
        <v>46125</v>
      </c>
      <c r="E1032" t="s">
        <v>116</v>
      </c>
      <c r="F1032" s="11">
        <v>67.97</v>
      </c>
    </row>
    <row r="1033" spans="3:6" ht="18.75">
      <c r="C1033">
        <v>16</v>
      </c>
      <c r="D1033" s="5">
        <v>46125</v>
      </c>
      <c r="E1033" t="s">
        <v>136</v>
      </c>
      <c r="F1033" s="11">
        <v>104.76</v>
      </c>
    </row>
    <row r="1034" spans="3:6" ht="18.75">
      <c r="C1034">
        <v>16</v>
      </c>
      <c r="D1034" s="5">
        <v>46125</v>
      </c>
      <c r="E1034" t="s">
        <v>121</v>
      </c>
      <c r="F1034" s="11">
        <v>214.52</v>
      </c>
    </row>
    <row r="1035" spans="3:6" ht="18.75">
      <c r="C1035">
        <v>16</v>
      </c>
      <c r="D1035" s="5">
        <v>46125</v>
      </c>
      <c r="E1035" t="s">
        <v>135</v>
      </c>
      <c r="F1035" s="11">
        <v>83.64</v>
      </c>
    </row>
    <row r="1036" spans="3:6" ht="18.75">
      <c r="C1036">
        <v>16</v>
      </c>
      <c r="D1036" s="5">
        <v>46125</v>
      </c>
      <c r="E1036" t="s">
        <v>118</v>
      </c>
      <c r="F1036" s="11">
        <v>152.91</v>
      </c>
    </row>
    <row r="1037" spans="3:6" ht="18.75">
      <c r="C1037">
        <v>16</v>
      </c>
      <c r="D1037" s="5">
        <v>46125</v>
      </c>
      <c r="E1037" t="s">
        <v>130</v>
      </c>
      <c r="F1037" s="11">
        <v>291.83</v>
      </c>
    </row>
    <row r="1038" spans="3:6" ht="18.75">
      <c r="C1038">
        <v>16</v>
      </c>
      <c r="D1038" s="5">
        <v>46125</v>
      </c>
      <c r="E1038" t="s">
        <v>127</v>
      </c>
      <c r="F1038" s="11">
        <v>258.01</v>
      </c>
    </row>
    <row r="1039" spans="3:6" ht="18.75">
      <c r="C1039">
        <v>16</v>
      </c>
      <c r="D1039" s="5">
        <v>46125</v>
      </c>
      <c r="E1039" t="s">
        <v>122</v>
      </c>
      <c r="F1039" s="11">
        <v>201.61</v>
      </c>
    </row>
    <row r="1040" spans="3:6" ht="18.75">
      <c r="C1040">
        <v>16</v>
      </c>
      <c r="D1040" s="5">
        <v>46125</v>
      </c>
      <c r="E1040" t="s">
        <v>132</v>
      </c>
      <c r="F1040" s="11">
        <v>174.26</v>
      </c>
    </row>
    <row r="1041" spans="3:6" ht="18.75">
      <c r="C1041">
        <v>16</v>
      </c>
      <c r="D1041" s="5">
        <v>46125</v>
      </c>
      <c r="E1041" t="s">
        <v>150</v>
      </c>
      <c r="F1041" s="11">
        <v>89.51</v>
      </c>
    </row>
    <row r="1042" spans="3:6" ht="18.75">
      <c r="C1042">
        <v>16</v>
      </c>
      <c r="D1042" s="5">
        <v>46125</v>
      </c>
      <c r="E1042" t="s">
        <v>126</v>
      </c>
      <c r="F1042" s="11">
        <v>113.9</v>
      </c>
    </row>
    <row r="1043" spans="3:6" ht="18.75">
      <c r="C1043">
        <v>16</v>
      </c>
      <c r="D1043" s="5">
        <v>46125</v>
      </c>
      <c r="E1043" t="s">
        <v>148</v>
      </c>
      <c r="F1043" s="11">
        <v>101.51</v>
      </c>
    </row>
    <row r="1044" spans="3:6" ht="18.75">
      <c r="C1044">
        <v>16</v>
      </c>
      <c r="D1044" s="5">
        <v>46125</v>
      </c>
      <c r="E1044" t="s">
        <v>142</v>
      </c>
      <c r="F1044" s="11">
        <v>100.5</v>
      </c>
    </row>
    <row r="1045" spans="3:6" ht="18.75">
      <c r="C1045">
        <v>16</v>
      </c>
      <c r="D1045" s="5">
        <v>46125</v>
      </c>
      <c r="E1045" t="s">
        <v>113</v>
      </c>
      <c r="F1045" s="11">
        <v>210.05</v>
      </c>
    </row>
    <row r="1046" spans="3:6" ht="18.75">
      <c r="C1046">
        <v>16</v>
      </c>
      <c r="D1046" s="5">
        <v>46125</v>
      </c>
      <c r="E1046" t="s">
        <v>128</v>
      </c>
      <c r="F1046" s="11">
        <v>132.32</v>
      </c>
    </row>
    <row r="1047" spans="3:6" ht="18.75">
      <c r="C1047">
        <v>16</v>
      </c>
      <c r="D1047" s="5">
        <v>46125</v>
      </c>
      <c r="E1047" t="s">
        <v>212</v>
      </c>
      <c r="F1047" s="11">
        <v>15.52</v>
      </c>
    </row>
    <row r="1048" spans="3:6" ht="18.75">
      <c r="C1048">
        <v>16</v>
      </c>
      <c r="D1048" s="5">
        <v>46125</v>
      </c>
      <c r="E1048" t="s">
        <v>125</v>
      </c>
      <c r="F1048" s="11">
        <v>35.85</v>
      </c>
    </row>
    <row r="1049" spans="3:6" ht="18.75">
      <c r="C1049">
        <v>16</v>
      </c>
      <c r="D1049" s="5">
        <v>46125</v>
      </c>
      <c r="E1049" t="s">
        <v>120</v>
      </c>
      <c r="F1049" s="11">
        <v>80.040000000000006</v>
      </c>
    </row>
    <row r="1050" spans="3:6" ht="18.75">
      <c r="C1050">
        <v>16</v>
      </c>
      <c r="D1050" s="5">
        <v>46125</v>
      </c>
      <c r="E1050" t="s">
        <v>123</v>
      </c>
      <c r="F1050" s="11">
        <v>406.06</v>
      </c>
    </row>
    <row r="1051" spans="3:6" ht="18.75">
      <c r="C1051">
        <v>16</v>
      </c>
      <c r="D1051" s="5">
        <v>46125</v>
      </c>
      <c r="E1051" t="s">
        <v>144</v>
      </c>
      <c r="F1051" s="11">
        <v>538.88</v>
      </c>
    </row>
    <row r="1052" spans="3:6" ht="18.75">
      <c r="C1052">
        <v>15</v>
      </c>
      <c r="D1052" s="5">
        <v>46118</v>
      </c>
      <c r="E1052" t="s">
        <v>149</v>
      </c>
      <c r="F1052" s="11">
        <v>75.650000000000006</v>
      </c>
    </row>
    <row r="1053" spans="3:6" ht="18.75">
      <c r="C1053">
        <v>15</v>
      </c>
      <c r="D1053" s="5">
        <v>46118</v>
      </c>
      <c r="E1053" t="s">
        <v>147</v>
      </c>
      <c r="F1053" s="11">
        <v>266.32</v>
      </c>
    </row>
    <row r="1054" spans="3:6" ht="18.75">
      <c r="C1054">
        <v>15</v>
      </c>
      <c r="D1054" s="5">
        <v>46118</v>
      </c>
      <c r="E1054" t="s">
        <v>117</v>
      </c>
      <c r="F1054" s="11">
        <v>238.51</v>
      </c>
    </row>
    <row r="1055" spans="3:6" ht="18.75">
      <c r="C1055">
        <v>15</v>
      </c>
      <c r="D1055" s="5">
        <v>46118</v>
      </c>
      <c r="E1055" t="s">
        <v>112</v>
      </c>
      <c r="F1055" s="11">
        <v>72.98</v>
      </c>
    </row>
    <row r="1056" spans="3:6" ht="18.75">
      <c r="C1056">
        <v>15</v>
      </c>
      <c r="D1056" s="5">
        <v>46118</v>
      </c>
      <c r="E1056" t="s">
        <v>114</v>
      </c>
      <c r="F1056" s="11">
        <v>291.64</v>
      </c>
    </row>
    <row r="1057" spans="3:6" ht="18.75">
      <c r="C1057">
        <v>15</v>
      </c>
      <c r="D1057" s="5">
        <v>46118</v>
      </c>
      <c r="E1057" t="s">
        <v>119</v>
      </c>
      <c r="F1057" s="11">
        <v>245.74</v>
      </c>
    </row>
    <row r="1058" spans="3:6" ht="18.75">
      <c r="C1058">
        <v>15</v>
      </c>
      <c r="D1058" s="5">
        <v>46118</v>
      </c>
      <c r="E1058" t="s">
        <v>111</v>
      </c>
      <c r="F1058" s="11">
        <v>120.13</v>
      </c>
    </row>
    <row r="1059" spans="3:6" ht="18.75">
      <c r="C1059">
        <v>15</v>
      </c>
      <c r="D1059" s="5">
        <v>46118</v>
      </c>
      <c r="E1059" t="s">
        <v>139</v>
      </c>
      <c r="F1059" s="11">
        <v>165.94</v>
      </c>
    </row>
    <row r="1060" spans="3:6" ht="18.75">
      <c r="C1060">
        <v>15</v>
      </c>
      <c r="D1060" s="5">
        <v>46118</v>
      </c>
      <c r="E1060" t="s">
        <v>129</v>
      </c>
      <c r="F1060" s="11">
        <v>365.76</v>
      </c>
    </row>
    <row r="1061" spans="3:6" ht="18.75">
      <c r="C1061">
        <v>15</v>
      </c>
      <c r="D1061" s="5">
        <v>46118</v>
      </c>
      <c r="E1061" t="s">
        <v>146</v>
      </c>
      <c r="F1061" s="11">
        <v>505.45</v>
      </c>
    </row>
    <row r="1062" spans="3:6" ht="18.75">
      <c r="C1062">
        <v>15</v>
      </c>
      <c r="D1062" s="5">
        <v>46118</v>
      </c>
      <c r="E1062" t="s">
        <v>141</v>
      </c>
      <c r="F1062" s="11">
        <v>491.48999999999899</v>
      </c>
    </row>
    <row r="1063" spans="3:6" ht="18.75">
      <c r="C1063">
        <v>15</v>
      </c>
      <c r="D1063" s="5">
        <v>46118</v>
      </c>
      <c r="E1063" t="s">
        <v>143</v>
      </c>
      <c r="F1063" s="11">
        <v>1162.75</v>
      </c>
    </row>
    <row r="1064" spans="3:6" ht="18.75">
      <c r="C1064">
        <v>15</v>
      </c>
      <c r="D1064" s="5">
        <v>46118</v>
      </c>
      <c r="E1064" t="s">
        <v>138</v>
      </c>
      <c r="F1064" s="11">
        <v>319.58999999999997</v>
      </c>
    </row>
    <row r="1065" spans="3:6" ht="18.75">
      <c r="C1065">
        <v>15</v>
      </c>
      <c r="D1065" s="5">
        <v>46118</v>
      </c>
      <c r="E1065" t="s">
        <v>118</v>
      </c>
      <c r="F1065" s="11">
        <v>141.58000000000001</v>
      </c>
    </row>
    <row r="1066" spans="3:6" ht="18.75">
      <c r="C1066">
        <v>15</v>
      </c>
      <c r="D1066" s="5">
        <v>46118</v>
      </c>
      <c r="E1066" t="s">
        <v>151</v>
      </c>
      <c r="F1066" s="11">
        <v>526.08000000000004</v>
      </c>
    </row>
    <row r="1067" spans="3:6" ht="18.75">
      <c r="C1067">
        <v>15</v>
      </c>
      <c r="D1067" s="5">
        <v>46118</v>
      </c>
      <c r="E1067" t="s">
        <v>145</v>
      </c>
      <c r="F1067" s="11">
        <v>164.79</v>
      </c>
    </row>
    <row r="1068" spans="3:6" ht="18.75">
      <c r="C1068">
        <v>15</v>
      </c>
      <c r="D1068" s="5">
        <v>46118</v>
      </c>
      <c r="E1068" t="s">
        <v>128</v>
      </c>
      <c r="F1068" s="11">
        <v>99.03</v>
      </c>
    </row>
    <row r="1069" spans="3:6" ht="18.75">
      <c r="C1069">
        <v>15</v>
      </c>
      <c r="D1069" s="5">
        <v>46118</v>
      </c>
      <c r="E1069" t="s">
        <v>137</v>
      </c>
      <c r="F1069" s="11">
        <v>57.13</v>
      </c>
    </row>
    <row r="1070" spans="3:6" ht="18.75">
      <c r="C1070">
        <v>15</v>
      </c>
      <c r="D1070" s="5">
        <v>46118</v>
      </c>
      <c r="E1070" t="s">
        <v>130</v>
      </c>
      <c r="F1070" s="11">
        <v>387.06</v>
      </c>
    </row>
    <row r="1071" spans="3:6" ht="18.75">
      <c r="C1071">
        <v>15</v>
      </c>
      <c r="D1071" s="5">
        <v>46118</v>
      </c>
      <c r="E1071" t="s">
        <v>120</v>
      </c>
      <c r="F1071" s="11">
        <v>95.37</v>
      </c>
    </row>
    <row r="1072" spans="3:6" ht="18.75">
      <c r="C1072">
        <v>15</v>
      </c>
      <c r="D1072" s="5">
        <v>46118</v>
      </c>
      <c r="E1072" t="s">
        <v>116</v>
      </c>
      <c r="F1072" s="11">
        <v>101.94</v>
      </c>
    </row>
    <row r="1073" spans="3:6" ht="18.75">
      <c r="C1073">
        <v>15</v>
      </c>
      <c r="D1073" s="5">
        <v>46118</v>
      </c>
      <c r="E1073" t="s">
        <v>122</v>
      </c>
      <c r="F1073" s="11">
        <v>230.63</v>
      </c>
    </row>
    <row r="1074" spans="3:6" ht="18.75">
      <c r="C1074">
        <v>15</v>
      </c>
      <c r="D1074" s="5">
        <v>46118</v>
      </c>
      <c r="E1074" t="s">
        <v>133</v>
      </c>
      <c r="F1074" s="11">
        <v>271.63</v>
      </c>
    </row>
    <row r="1075" spans="3:6" ht="18.75">
      <c r="C1075">
        <v>15</v>
      </c>
      <c r="D1075" s="5">
        <v>46118</v>
      </c>
      <c r="E1075" t="s">
        <v>121</v>
      </c>
      <c r="F1075" s="11">
        <v>211.12</v>
      </c>
    </row>
    <row r="1076" spans="3:6" ht="18.75">
      <c r="C1076">
        <v>15</v>
      </c>
      <c r="D1076" s="5">
        <v>46118</v>
      </c>
      <c r="E1076" t="s">
        <v>142</v>
      </c>
      <c r="F1076" s="11">
        <v>94.6</v>
      </c>
    </row>
    <row r="1077" spans="3:6" ht="18.75">
      <c r="C1077">
        <v>15</v>
      </c>
      <c r="D1077" s="5">
        <v>46118</v>
      </c>
      <c r="E1077" t="s">
        <v>134</v>
      </c>
      <c r="F1077" s="11">
        <v>289.70999999999998</v>
      </c>
    </row>
    <row r="1078" spans="3:6" ht="18.75">
      <c r="C1078">
        <v>15</v>
      </c>
      <c r="D1078" s="5">
        <v>46118</v>
      </c>
      <c r="E1078" t="s">
        <v>126</v>
      </c>
      <c r="F1078" s="11">
        <v>118.83</v>
      </c>
    </row>
    <row r="1079" spans="3:6" ht="18.75">
      <c r="C1079">
        <v>15</v>
      </c>
      <c r="D1079" s="5">
        <v>46118</v>
      </c>
      <c r="E1079" t="s">
        <v>127</v>
      </c>
      <c r="F1079" s="11">
        <v>192.33</v>
      </c>
    </row>
    <row r="1080" spans="3:6" ht="18.75">
      <c r="C1080">
        <v>15</v>
      </c>
      <c r="D1080" s="5">
        <v>46118</v>
      </c>
      <c r="E1080" t="s">
        <v>148</v>
      </c>
      <c r="F1080" s="11">
        <v>92.3</v>
      </c>
    </row>
    <row r="1081" spans="3:6" ht="18.75">
      <c r="C1081">
        <v>15</v>
      </c>
      <c r="D1081" s="5">
        <v>46118</v>
      </c>
      <c r="E1081" t="s">
        <v>132</v>
      </c>
      <c r="F1081" s="11">
        <v>146.16999999999999</v>
      </c>
    </row>
    <row r="1082" spans="3:6" ht="18.75">
      <c r="C1082">
        <v>15</v>
      </c>
      <c r="D1082" s="5">
        <v>46118</v>
      </c>
      <c r="E1082" t="s">
        <v>135</v>
      </c>
      <c r="F1082" s="11">
        <v>68.06</v>
      </c>
    </row>
    <row r="1083" spans="3:6" ht="18.75">
      <c r="C1083">
        <v>15</v>
      </c>
      <c r="D1083" s="5">
        <v>46118</v>
      </c>
      <c r="E1083" t="s">
        <v>212</v>
      </c>
      <c r="F1083" s="11">
        <v>47.61</v>
      </c>
    </row>
    <row r="1084" spans="3:6" ht="18.75">
      <c r="C1084">
        <v>15</v>
      </c>
      <c r="D1084" s="5">
        <v>46118</v>
      </c>
      <c r="E1084" t="s">
        <v>113</v>
      </c>
      <c r="F1084" s="11">
        <v>166.14</v>
      </c>
    </row>
    <row r="1085" spans="3:6" ht="18.75">
      <c r="C1085">
        <v>15</v>
      </c>
      <c r="D1085" s="5">
        <v>46118</v>
      </c>
      <c r="E1085" t="s">
        <v>136</v>
      </c>
      <c r="F1085" s="11">
        <v>122.87</v>
      </c>
    </row>
    <row r="1086" spans="3:6" ht="18.75">
      <c r="C1086">
        <v>15</v>
      </c>
      <c r="D1086" s="5">
        <v>46118</v>
      </c>
      <c r="E1086" t="s">
        <v>124</v>
      </c>
      <c r="F1086" s="11">
        <v>251.78</v>
      </c>
    </row>
    <row r="1087" spans="3:6" ht="18.75">
      <c r="C1087">
        <v>15</v>
      </c>
      <c r="D1087" s="5">
        <v>46118</v>
      </c>
      <c r="E1087" t="s">
        <v>125</v>
      </c>
      <c r="F1087" s="11">
        <v>68.73</v>
      </c>
    </row>
    <row r="1088" spans="3:6" ht="18.75">
      <c r="C1088">
        <v>15</v>
      </c>
      <c r="D1088" s="5">
        <v>46118</v>
      </c>
      <c r="E1088" t="s">
        <v>150</v>
      </c>
      <c r="F1088" s="11">
        <v>88.83</v>
      </c>
    </row>
    <row r="1089" spans="3:6" ht="18.75">
      <c r="C1089">
        <v>15</v>
      </c>
      <c r="D1089" s="5">
        <v>46118</v>
      </c>
      <c r="E1089" t="s">
        <v>123</v>
      </c>
      <c r="F1089" s="11">
        <v>293.69</v>
      </c>
    </row>
    <row r="1090" spans="3:6" ht="18.75">
      <c r="C1090">
        <v>17</v>
      </c>
      <c r="D1090" s="5">
        <v>46132</v>
      </c>
      <c r="E1090" t="s">
        <v>121</v>
      </c>
      <c r="F1090" s="11">
        <v>186.35</v>
      </c>
    </row>
    <row r="1091" spans="3:6" ht="18.75">
      <c r="C1091">
        <v>17</v>
      </c>
      <c r="D1091" s="5">
        <v>46132</v>
      </c>
      <c r="E1091" t="s">
        <v>139</v>
      </c>
      <c r="F1091" s="11">
        <v>259.86</v>
      </c>
    </row>
    <row r="1092" spans="3:6" ht="18.75">
      <c r="C1092">
        <v>17</v>
      </c>
      <c r="D1092" s="5">
        <v>46132</v>
      </c>
      <c r="E1092" t="s">
        <v>148</v>
      </c>
      <c r="F1092" s="11">
        <v>131.05000000000001</v>
      </c>
    </row>
    <row r="1093" spans="3:6" ht="18.75">
      <c r="C1093">
        <v>17</v>
      </c>
      <c r="D1093" s="5">
        <v>46132</v>
      </c>
      <c r="E1093" t="s">
        <v>147</v>
      </c>
      <c r="F1093" s="11">
        <v>341.64</v>
      </c>
    </row>
    <row r="1094" spans="3:6" ht="18.75">
      <c r="C1094">
        <v>17</v>
      </c>
      <c r="D1094" s="5">
        <v>46132</v>
      </c>
      <c r="E1094" t="s">
        <v>144</v>
      </c>
      <c r="F1094" s="11">
        <v>498.15</v>
      </c>
    </row>
    <row r="1095" spans="3:6" ht="18.75">
      <c r="C1095">
        <v>17</v>
      </c>
      <c r="D1095" s="5">
        <v>46132</v>
      </c>
      <c r="E1095" t="s">
        <v>151</v>
      </c>
      <c r="F1095" s="11">
        <v>705.43</v>
      </c>
    </row>
    <row r="1096" spans="3:6" ht="18.75">
      <c r="C1096">
        <v>17</v>
      </c>
      <c r="D1096" s="5">
        <v>46132</v>
      </c>
      <c r="E1096" t="s">
        <v>124</v>
      </c>
      <c r="F1096" s="11">
        <v>277.58</v>
      </c>
    </row>
    <row r="1097" spans="3:6" ht="18.75">
      <c r="C1097">
        <v>17</v>
      </c>
      <c r="D1097" s="5">
        <v>46132</v>
      </c>
      <c r="E1097" t="s">
        <v>114</v>
      </c>
      <c r="F1097" s="11">
        <v>327.87</v>
      </c>
    </row>
    <row r="1098" spans="3:6" ht="18.75">
      <c r="C1098">
        <v>17</v>
      </c>
      <c r="D1098" s="5">
        <v>46132</v>
      </c>
      <c r="E1098" t="s">
        <v>146</v>
      </c>
      <c r="F1098" s="11">
        <v>555.61</v>
      </c>
    </row>
    <row r="1099" spans="3:6" ht="18.75">
      <c r="C1099">
        <v>17</v>
      </c>
      <c r="D1099" s="5">
        <v>46132</v>
      </c>
      <c r="E1099" t="s">
        <v>112</v>
      </c>
      <c r="F1099" s="11">
        <v>72.81</v>
      </c>
    </row>
    <row r="1100" spans="3:6" ht="18.75">
      <c r="C1100">
        <v>17</v>
      </c>
      <c r="D1100" s="5">
        <v>46132</v>
      </c>
      <c r="E1100" t="s">
        <v>137</v>
      </c>
      <c r="F1100" s="11">
        <v>86.82</v>
      </c>
    </row>
    <row r="1101" spans="3:6" ht="18.75">
      <c r="C1101">
        <v>17</v>
      </c>
      <c r="D1101" s="5">
        <v>46132</v>
      </c>
      <c r="E1101" t="s">
        <v>115</v>
      </c>
      <c r="F1101" s="11">
        <v>343.75</v>
      </c>
    </row>
    <row r="1102" spans="3:6" ht="18.75">
      <c r="C1102">
        <v>17</v>
      </c>
      <c r="D1102" s="5">
        <v>46132</v>
      </c>
      <c r="E1102" t="s">
        <v>129</v>
      </c>
      <c r="F1102" s="11">
        <v>430.31</v>
      </c>
    </row>
    <row r="1103" spans="3:6" ht="18.75">
      <c r="C1103">
        <v>17</v>
      </c>
      <c r="D1103" s="5">
        <v>46132</v>
      </c>
      <c r="E1103" t="s">
        <v>134</v>
      </c>
      <c r="F1103" s="11">
        <v>391.81999999999903</v>
      </c>
    </row>
    <row r="1104" spans="3:6" ht="18.75">
      <c r="C1104">
        <v>17</v>
      </c>
      <c r="D1104" s="5">
        <v>46132</v>
      </c>
      <c r="E1104" t="s">
        <v>143</v>
      </c>
      <c r="F1104" s="11">
        <v>2375.9899999999998</v>
      </c>
    </row>
    <row r="1105" spans="3:6" ht="18.75">
      <c r="C1105">
        <v>17</v>
      </c>
      <c r="D1105" s="5">
        <v>46132</v>
      </c>
      <c r="E1105" t="s">
        <v>133</v>
      </c>
      <c r="F1105" s="11">
        <v>364.75</v>
      </c>
    </row>
    <row r="1106" spans="3:6" ht="18.75">
      <c r="C1106">
        <v>17</v>
      </c>
      <c r="D1106" s="5">
        <v>46132</v>
      </c>
      <c r="E1106" t="s">
        <v>119</v>
      </c>
      <c r="F1106" s="11">
        <v>365.98</v>
      </c>
    </row>
    <row r="1107" spans="3:6" ht="18.75">
      <c r="C1107">
        <v>17</v>
      </c>
      <c r="D1107" s="5">
        <v>46132</v>
      </c>
      <c r="E1107" t="s">
        <v>117</v>
      </c>
      <c r="F1107" s="11">
        <v>238.11</v>
      </c>
    </row>
    <row r="1108" spans="3:6" ht="18.75">
      <c r="C1108">
        <v>17</v>
      </c>
      <c r="D1108" s="5">
        <v>46132</v>
      </c>
      <c r="E1108" t="s">
        <v>141</v>
      </c>
      <c r="F1108" s="11">
        <v>523.46</v>
      </c>
    </row>
    <row r="1109" spans="3:6" ht="18.75">
      <c r="C1109">
        <v>17</v>
      </c>
      <c r="D1109" s="5">
        <v>46132</v>
      </c>
      <c r="E1109" t="s">
        <v>138</v>
      </c>
      <c r="F1109" s="11">
        <v>462.12</v>
      </c>
    </row>
    <row r="1110" spans="3:6" ht="18.75">
      <c r="C1110">
        <v>17</v>
      </c>
      <c r="D1110" s="5">
        <v>46132</v>
      </c>
      <c r="E1110" t="s">
        <v>135</v>
      </c>
      <c r="F1110" s="11">
        <v>70.75</v>
      </c>
    </row>
    <row r="1111" spans="3:6" ht="18.75">
      <c r="C1111">
        <v>17</v>
      </c>
      <c r="D1111" s="5">
        <v>46132</v>
      </c>
      <c r="E1111" t="s">
        <v>145</v>
      </c>
      <c r="F1111" s="11">
        <v>242.35</v>
      </c>
    </row>
    <row r="1112" spans="3:6" ht="18.75">
      <c r="C1112">
        <v>17</v>
      </c>
      <c r="D1112" s="5">
        <v>46132</v>
      </c>
      <c r="E1112" t="s">
        <v>111</v>
      </c>
      <c r="F1112" s="11">
        <v>177.08</v>
      </c>
    </row>
    <row r="1113" spans="3:6" ht="18.75">
      <c r="C1113">
        <v>17</v>
      </c>
      <c r="D1113" s="5">
        <v>46132</v>
      </c>
      <c r="E1113" t="s">
        <v>130</v>
      </c>
      <c r="F1113" s="11">
        <v>414.979999999999</v>
      </c>
    </row>
    <row r="1114" spans="3:6" ht="18.75">
      <c r="C1114">
        <v>17</v>
      </c>
      <c r="D1114" s="5">
        <v>46132</v>
      </c>
      <c r="E1114" t="s">
        <v>136</v>
      </c>
      <c r="F1114" s="11">
        <v>160.55000000000001</v>
      </c>
    </row>
    <row r="1115" spans="3:6" ht="18.75">
      <c r="C1115">
        <v>17</v>
      </c>
      <c r="D1115" s="5">
        <v>46132</v>
      </c>
      <c r="E1115" t="s">
        <v>118</v>
      </c>
      <c r="F1115" s="11">
        <v>160.09</v>
      </c>
    </row>
    <row r="1116" spans="3:6" ht="18.75">
      <c r="C1116">
        <v>17</v>
      </c>
      <c r="D1116" s="5">
        <v>46132</v>
      </c>
      <c r="E1116" t="s">
        <v>128</v>
      </c>
      <c r="F1116" s="11">
        <v>173.22</v>
      </c>
    </row>
    <row r="1117" spans="3:6" ht="18.75">
      <c r="C1117">
        <v>17</v>
      </c>
      <c r="D1117" s="5">
        <v>46132</v>
      </c>
      <c r="E1117" t="s">
        <v>125</v>
      </c>
      <c r="F1117" s="11">
        <v>68.56</v>
      </c>
    </row>
    <row r="1118" spans="3:6" ht="18.75">
      <c r="C1118">
        <v>17</v>
      </c>
      <c r="D1118" s="5">
        <v>46132</v>
      </c>
      <c r="E1118" t="s">
        <v>150</v>
      </c>
      <c r="F1118" s="11">
        <v>94.04</v>
      </c>
    </row>
    <row r="1119" spans="3:6" ht="18.75">
      <c r="C1119">
        <v>17</v>
      </c>
      <c r="D1119" s="5">
        <v>46132</v>
      </c>
      <c r="E1119" t="s">
        <v>123</v>
      </c>
      <c r="F1119" s="11">
        <v>468.45</v>
      </c>
    </row>
    <row r="1120" spans="3:6" ht="18.75">
      <c r="C1120">
        <v>17</v>
      </c>
      <c r="D1120" s="5">
        <v>46132</v>
      </c>
      <c r="E1120" t="s">
        <v>142</v>
      </c>
      <c r="F1120" s="11">
        <v>176.01</v>
      </c>
    </row>
    <row r="1121" spans="3:6" ht="18.75">
      <c r="C1121">
        <v>17</v>
      </c>
      <c r="D1121" s="5">
        <v>46132</v>
      </c>
      <c r="E1121" t="s">
        <v>122</v>
      </c>
      <c r="F1121" s="11">
        <v>315.57</v>
      </c>
    </row>
    <row r="1122" spans="3:6" ht="18.75">
      <c r="C1122">
        <v>17</v>
      </c>
      <c r="D1122" s="5">
        <v>46132</v>
      </c>
      <c r="E1122" t="s">
        <v>116</v>
      </c>
      <c r="F1122" s="11">
        <v>112.28</v>
      </c>
    </row>
    <row r="1123" spans="3:6" ht="18.75">
      <c r="C1123">
        <v>17</v>
      </c>
      <c r="D1123" s="5">
        <v>46132</v>
      </c>
      <c r="E1123" t="s">
        <v>127</v>
      </c>
      <c r="F1123" s="11">
        <v>311.88</v>
      </c>
    </row>
    <row r="1124" spans="3:6" ht="18.75">
      <c r="C1124">
        <v>17</v>
      </c>
      <c r="D1124" s="5">
        <v>46132</v>
      </c>
      <c r="E1124" t="s">
        <v>126</v>
      </c>
      <c r="F1124" s="11">
        <v>152.74</v>
      </c>
    </row>
    <row r="1125" spans="3:6" ht="18.75">
      <c r="C1125">
        <v>17</v>
      </c>
      <c r="D1125" s="5">
        <v>46132</v>
      </c>
      <c r="E1125" t="s">
        <v>120</v>
      </c>
      <c r="F1125" s="11">
        <v>79.819999999999993</v>
      </c>
    </row>
    <row r="1126" spans="3:6" ht="18.75">
      <c r="C1126">
        <v>17</v>
      </c>
      <c r="D1126" s="5">
        <v>46132</v>
      </c>
      <c r="E1126" t="s">
        <v>113</v>
      </c>
      <c r="F1126" s="11">
        <v>201.04</v>
      </c>
    </row>
    <row r="1127" spans="3:6" ht="18.75">
      <c r="C1127">
        <v>17</v>
      </c>
      <c r="D1127" s="5">
        <v>46132</v>
      </c>
      <c r="E1127" t="s">
        <v>132</v>
      </c>
      <c r="F1127" s="11">
        <v>204.25</v>
      </c>
    </row>
    <row r="1128" spans="3:6" ht="18.75">
      <c r="C1128">
        <v>18</v>
      </c>
      <c r="D1128" s="5">
        <v>46139</v>
      </c>
      <c r="E1128" t="s">
        <v>147</v>
      </c>
      <c r="F1128" s="11">
        <v>296.13999999999993</v>
      </c>
    </row>
    <row r="1129" spans="3:6" ht="18.75">
      <c r="C1129">
        <v>18</v>
      </c>
      <c r="D1129" s="5">
        <v>46139</v>
      </c>
      <c r="E1129" t="s">
        <v>117</v>
      </c>
      <c r="F1129" s="11">
        <v>156.32000000000002</v>
      </c>
    </row>
    <row r="1130" spans="3:6" ht="18.75">
      <c r="C1130">
        <v>18</v>
      </c>
      <c r="D1130" s="5">
        <v>46139</v>
      </c>
      <c r="E1130" t="s">
        <v>121</v>
      </c>
      <c r="F1130" s="11">
        <v>217.62999999999991</v>
      </c>
    </row>
    <row r="1131" spans="3:6" ht="18.75">
      <c r="C1131">
        <v>18</v>
      </c>
      <c r="D1131" s="5">
        <v>46139</v>
      </c>
      <c r="E1131" t="s">
        <v>150</v>
      </c>
      <c r="F1131" s="11">
        <v>66.12</v>
      </c>
    </row>
    <row r="1132" spans="3:6" ht="18.75">
      <c r="C1132">
        <v>18</v>
      </c>
      <c r="D1132" s="5">
        <v>46139</v>
      </c>
      <c r="E1132" t="s">
        <v>115</v>
      </c>
      <c r="F1132" s="11">
        <v>366.71000000000026</v>
      </c>
    </row>
    <row r="1133" spans="3:6" ht="18.75">
      <c r="C1133">
        <v>18</v>
      </c>
      <c r="D1133" s="5">
        <v>46139</v>
      </c>
      <c r="E1133" t="s">
        <v>146</v>
      </c>
      <c r="F1133" s="11">
        <v>556.01999999999987</v>
      </c>
    </row>
    <row r="1134" spans="3:6" ht="18.75">
      <c r="C1134">
        <v>18</v>
      </c>
      <c r="D1134" s="5">
        <v>46139</v>
      </c>
      <c r="E1134" t="s">
        <v>148</v>
      </c>
      <c r="F1134" s="11">
        <v>89.36</v>
      </c>
    </row>
    <row r="1135" spans="3:6" ht="18.75">
      <c r="C1135">
        <v>18</v>
      </c>
      <c r="D1135" s="5">
        <v>46139</v>
      </c>
      <c r="E1135" t="s">
        <v>139</v>
      </c>
      <c r="F1135" s="11">
        <v>251.01999999999992</v>
      </c>
    </row>
    <row r="1136" spans="3:6" ht="18.75">
      <c r="C1136">
        <v>18</v>
      </c>
      <c r="D1136" s="5">
        <v>46139</v>
      </c>
      <c r="E1136" t="s">
        <v>114</v>
      </c>
      <c r="F1136" s="11">
        <v>303.2999999999999</v>
      </c>
    </row>
    <row r="1137" spans="3:6" ht="18.75">
      <c r="C1137">
        <v>18</v>
      </c>
      <c r="D1137" s="5">
        <v>46139</v>
      </c>
      <c r="E1137" t="s">
        <v>112</v>
      </c>
      <c r="F1137" s="11">
        <v>79.750000000000014</v>
      </c>
    </row>
    <row r="1138" spans="3:6" ht="18.75">
      <c r="C1138">
        <v>18</v>
      </c>
      <c r="D1138" s="5">
        <v>46139</v>
      </c>
      <c r="E1138" t="s">
        <v>111</v>
      </c>
      <c r="F1138" s="11">
        <v>200.69000000000011</v>
      </c>
    </row>
    <row r="1139" spans="3:6" ht="18.75">
      <c r="C1139">
        <v>18</v>
      </c>
      <c r="D1139" s="5">
        <v>46139</v>
      </c>
      <c r="E1139" t="s">
        <v>136</v>
      </c>
      <c r="F1139" s="11">
        <v>82.350000000000009</v>
      </c>
    </row>
    <row r="1140" spans="3:6" ht="18.75">
      <c r="C1140">
        <v>18</v>
      </c>
      <c r="D1140" s="5">
        <v>46139</v>
      </c>
      <c r="E1140" t="s">
        <v>141</v>
      </c>
      <c r="F1140" s="11">
        <v>509.2899999999994</v>
      </c>
    </row>
    <row r="1141" spans="3:6" ht="18.75">
      <c r="C1141">
        <v>18</v>
      </c>
      <c r="D1141" s="5">
        <v>46139</v>
      </c>
      <c r="E1141" t="s">
        <v>124</v>
      </c>
      <c r="F1141" s="11">
        <v>456.07999999999976</v>
      </c>
    </row>
    <row r="1142" spans="3:6" ht="18.75">
      <c r="C1142">
        <v>18</v>
      </c>
      <c r="D1142" s="5">
        <v>46139</v>
      </c>
      <c r="E1142" t="s">
        <v>119</v>
      </c>
      <c r="F1142" s="11">
        <v>408.34999999999951</v>
      </c>
    </row>
    <row r="1143" spans="3:6" ht="18.75">
      <c r="C1143">
        <v>18</v>
      </c>
      <c r="D1143" s="5">
        <v>46139</v>
      </c>
      <c r="E1143" t="s">
        <v>138</v>
      </c>
      <c r="F1143" s="11">
        <v>384.31999999999971</v>
      </c>
    </row>
    <row r="1144" spans="3:6" ht="18.75">
      <c r="C1144">
        <v>18</v>
      </c>
      <c r="D1144" s="5">
        <v>46139</v>
      </c>
      <c r="E1144" t="s">
        <v>151</v>
      </c>
      <c r="F1144" s="11">
        <v>583.26</v>
      </c>
    </row>
    <row r="1145" spans="3:6" ht="18.75">
      <c r="C1145">
        <v>18</v>
      </c>
      <c r="D1145" s="5">
        <v>46139</v>
      </c>
      <c r="E1145" t="s">
        <v>129</v>
      </c>
      <c r="F1145" s="11">
        <v>386.03999999999996</v>
      </c>
    </row>
    <row r="1146" spans="3:6" ht="18.75">
      <c r="C1146">
        <v>18</v>
      </c>
      <c r="D1146" s="5">
        <v>46139</v>
      </c>
      <c r="E1146" t="s">
        <v>143</v>
      </c>
      <c r="F1146" s="11">
        <v>1576.8600000000024</v>
      </c>
    </row>
    <row r="1147" spans="3:6" ht="18.75">
      <c r="C1147">
        <v>18</v>
      </c>
      <c r="D1147" s="5">
        <v>46139</v>
      </c>
      <c r="E1147" t="s">
        <v>128</v>
      </c>
      <c r="F1147" s="11">
        <v>105.62</v>
      </c>
    </row>
    <row r="1148" spans="3:6" ht="18.75">
      <c r="C1148">
        <v>18</v>
      </c>
      <c r="D1148" s="5">
        <v>46139</v>
      </c>
      <c r="E1148" t="s">
        <v>137</v>
      </c>
      <c r="F1148" s="11">
        <v>72.33</v>
      </c>
    </row>
    <row r="1149" spans="3:6" ht="18.75">
      <c r="C1149">
        <v>18</v>
      </c>
      <c r="D1149" s="5">
        <v>46139</v>
      </c>
      <c r="E1149" t="s">
        <v>134</v>
      </c>
      <c r="F1149" s="11">
        <v>244.74999999999991</v>
      </c>
    </row>
    <row r="1150" spans="3:6" ht="18.75">
      <c r="C1150">
        <v>18</v>
      </c>
      <c r="D1150" s="5">
        <v>46139</v>
      </c>
      <c r="E1150" t="s">
        <v>144</v>
      </c>
      <c r="F1150" s="11">
        <v>259.33999999999986</v>
      </c>
    </row>
    <row r="1151" spans="3:6" ht="18.75">
      <c r="C1151">
        <v>18</v>
      </c>
      <c r="D1151" s="5">
        <v>46139</v>
      </c>
      <c r="E1151" t="s">
        <v>122</v>
      </c>
      <c r="F1151" s="11">
        <v>133.98000000000008</v>
      </c>
    </row>
    <row r="1152" spans="3:6" ht="18.75">
      <c r="C1152">
        <v>18</v>
      </c>
      <c r="D1152" s="5">
        <v>46139</v>
      </c>
      <c r="E1152" t="s">
        <v>131</v>
      </c>
      <c r="F1152" s="11">
        <v>193.82999999999998</v>
      </c>
    </row>
    <row r="1153" spans="3:6" ht="18.75">
      <c r="C1153">
        <v>18</v>
      </c>
      <c r="D1153" s="5">
        <v>46139</v>
      </c>
      <c r="E1153" t="s">
        <v>116</v>
      </c>
      <c r="F1153" s="11">
        <v>107.72000000000004</v>
      </c>
    </row>
    <row r="1154" spans="3:6" ht="18.75">
      <c r="C1154">
        <v>18</v>
      </c>
      <c r="D1154" s="5">
        <v>46139</v>
      </c>
      <c r="E1154" t="s">
        <v>133</v>
      </c>
      <c r="F1154" s="11">
        <v>243.59999999999991</v>
      </c>
    </row>
    <row r="1155" spans="3:6" ht="18.75">
      <c r="C1155">
        <v>18</v>
      </c>
      <c r="D1155" s="5">
        <v>46139</v>
      </c>
      <c r="E1155" t="s">
        <v>130</v>
      </c>
      <c r="F1155" s="11">
        <v>249.09999999999997</v>
      </c>
    </row>
    <row r="1156" spans="3:6" ht="18.75">
      <c r="C1156">
        <v>18</v>
      </c>
      <c r="D1156" s="5">
        <v>46139</v>
      </c>
      <c r="E1156" t="s">
        <v>126</v>
      </c>
      <c r="F1156" s="11">
        <v>103.25000000000003</v>
      </c>
    </row>
    <row r="1157" spans="3:6" ht="18.75">
      <c r="C1157">
        <v>18</v>
      </c>
      <c r="D1157" s="5">
        <v>46139</v>
      </c>
      <c r="E1157" t="s">
        <v>127</v>
      </c>
      <c r="F1157" s="11">
        <v>283.07999999999976</v>
      </c>
    </row>
    <row r="1158" spans="3:6" ht="18.75">
      <c r="C1158">
        <v>18</v>
      </c>
      <c r="D1158" s="5">
        <v>46139</v>
      </c>
      <c r="E1158" t="s">
        <v>135</v>
      </c>
      <c r="F1158" s="11">
        <v>69.780000000000015</v>
      </c>
    </row>
    <row r="1159" spans="3:6" ht="18.75">
      <c r="C1159">
        <v>18</v>
      </c>
      <c r="D1159" s="5">
        <v>46139</v>
      </c>
      <c r="E1159" t="s">
        <v>142</v>
      </c>
      <c r="F1159" s="11">
        <v>135.39000000000001</v>
      </c>
    </row>
    <row r="1160" spans="3:6" ht="18.75">
      <c r="C1160">
        <v>18</v>
      </c>
      <c r="D1160" s="5">
        <v>46139</v>
      </c>
      <c r="E1160" t="s">
        <v>118</v>
      </c>
      <c r="F1160" s="11">
        <v>222.66000000000003</v>
      </c>
    </row>
    <row r="1161" spans="3:6" ht="18.75">
      <c r="C1161">
        <v>18</v>
      </c>
      <c r="D1161" s="5">
        <v>46139</v>
      </c>
      <c r="E1161" t="s">
        <v>132</v>
      </c>
      <c r="F1161" s="11">
        <v>149.53999999999996</v>
      </c>
    </row>
    <row r="1162" spans="3:6" ht="18.75">
      <c r="C1162">
        <v>18</v>
      </c>
      <c r="D1162" s="5">
        <v>46139</v>
      </c>
      <c r="E1162" t="s">
        <v>113</v>
      </c>
      <c r="F1162" s="11">
        <v>204.63999999999996</v>
      </c>
    </row>
    <row r="1163" spans="3:6" ht="18.75">
      <c r="C1163">
        <v>18</v>
      </c>
      <c r="D1163" s="5">
        <v>46139</v>
      </c>
      <c r="E1163" t="s">
        <v>125</v>
      </c>
      <c r="F1163" s="11">
        <v>65.839999999999989</v>
      </c>
    </row>
    <row r="1164" spans="3:6" ht="18.75">
      <c r="C1164">
        <v>18</v>
      </c>
      <c r="D1164" s="5">
        <v>46139</v>
      </c>
      <c r="E1164" t="s">
        <v>123</v>
      </c>
      <c r="F1164" s="11">
        <v>507.35000000000008</v>
      </c>
    </row>
    <row r="1165" spans="3:6" ht="18.75">
      <c r="C1165">
        <v>18</v>
      </c>
      <c r="D1165" s="5">
        <v>46139</v>
      </c>
      <c r="E1165" t="s">
        <v>120</v>
      </c>
      <c r="F1165" s="11">
        <v>83.97</v>
      </c>
    </row>
    <row r="1166" spans="3:6" ht="18.75">
      <c r="C1166">
        <v>18</v>
      </c>
      <c r="D1166" s="5">
        <v>46139</v>
      </c>
      <c r="E1166" t="s">
        <v>145</v>
      </c>
      <c r="F1166" s="11">
        <v>145.91999999999996</v>
      </c>
    </row>
    <row r="1167" spans="3:6" ht="18.75">
      <c r="C1167">
        <v>20</v>
      </c>
      <c r="D1167" s="5">
        <v>46153</v>
      </c>
      <c r="E1167" t="s">
        <v>121</v>
      </c>
      <c r="F1167" s="11">
        <v>171.08</v>
      </c>
    </row>
    <row r="1168" spans="3:6" ht="18.75">
      <c r="C1168">
        <v>20</v>
      </c>
      <c r="D1168" s="5">
        <v>46153</v>
      </c>
      <c r="E1168" t="s">
        <v>117</v>
      </c>
      <c r="F1168" s="11">
        <v>176.2</v>
      </c>
    </row>
    <row r="1169" spans="3:6" ht="18.75">
      <c r="C1169">
        <v>20</v>
      </c>
      <c r="D1169" s="5">
        <v>46153</v>
      </c>
      <c r="E1169" t="s">
        <v>148</v>
      </c>
      <c r="F1169" s="11">
        <v>70.120000000000019</v>
      </c>
    </row>
    <row r="1170" spans="3:6" ht="18.75">
      <c r="C1170">
        <v>20</v>
      </c>
      <c r="D1170" s="5">
        <v>46153</v>
      </c>
      <c r="E1170" t="s">
        <v>139</v>
      </c>
      <c r="F1170" s="11">
        <v>196.67999999999998</v>
      </c>
    </row>
    <row r="1171" spans="3:6" ht="18.75">
      <c r="C1171">
        <v>20</v>
      </c>
      <c r="D1171" s="5">
        <v>46153</v>
      </c>
      <c r="E1171" t="s">
        <v>147</v>
      </c>
      <c r="F1171" s="11">
        <v>304.87999999999988</v>
      </c>
    </row>
    <row r="1172" spans="3:6" ht="18.75">
      <c r="C1172">
        <v>20</v>
      </c>
      <c r="D1172" s="5">
        <v>46153</v>
      </c>
      <c r="E1172" t="s">
        <v>141</v>
      </c>
      <c r="F1172" s="11">
        <v>421.03999999999991</v>
      </c>
    </row>
    <row r="1173" spans="3:6" ht="18.75">
      <c r="C1173">
        <v>20</v>
      </c>
      <c r="D1173" s="5">
        <v>46153</v>
      </c>
      <c r="E1173" t="s">
        <v>112</v>
      </c>
      <c r="F1173" s="11">
        <v>64.830000000000013</v>
      </c>
    </row>
    <row r="1174" spans="3:6" ht="18.75">
      <c r="C1174">
        <v>20</v>
      </c>
      <c r="D1174" s="5">
        <v>46153</v>
      </c>
      <c r="E1174" t="s">
        <v>111</v>
      </c>
      <c r="F1174" s="11">
        <v>131.33000000000004</v>
      </c>
    </row>
    <row r="1175" spans="3:6" ht="18.75">
      <c r="C1175">
        <v>20</v>
      </c>
      <c r="D1175" s="5">
        <v>46153</v>
      </c>
      <c r="E1175" t="s">
        <v>115</v>
      </c>
      <c r="F1175" s="11">
        <v>501.17999999999927</v>
      </c>
    </row>
    <row r="1176" spans="3:6" ht="18.75">
      <c r="C1176">
        <v>20</v>
      </c>
      <c r="D1176" s="5">
        <v>46153</v>
      </c>
      <c r="E1176" t="s">
        <v>114</v>
      </c>
      <c r="F1176" s="11">
        <v>313.81999999999994</v>
      </c>
    </row>
    <row r="1177" spans="3:6" ht="18.75">
      <c r="C1177">
        <v>20</v>
      </c>
      <c r="D1177" s="5">
        <v>46153</v>
      </c>
      <c r="E1177" t="s">
        <v>124</v>
      </c>
      <c r="F1177" s="11">
        <v>201.92000000000007</v>
      </c>
    </row>
    <row r="1178" spans="3:6" ht="18.75">
      <c r="C1178">
        <v>20</v>
      </c>
      <c r="D1178" s="5">
        <v>46153</v>
      </c>
      <c r="E1178" t="s">
        <v>119</v>
      </c>
      <c r="F1178" s="11">
        <v>341.00999999999993</v>
      </c>
    </row>
    <row r="1179" spans="3:6" ht="18.75">
      <c r="C1179">
        <v>20</v>
      </c>
      <c r="D1179" s="5">
        <v>46153</v>
      </c>
      <c r="E1179" t="s">
        <v>146</v>
      </c>
      <c r="F1179" s="11">
        <v>507.83999999999963</v>
      </c>
    </row>
    <row r="1180" spans="3:6" ht="18.75">
      <c r="C1180">
        <v>20</v>
      </c>
      <c r="D1180" s="5">
        <v>46153</v>
      </c>
      <c r="E1180" t="s">
        <v>128</v>
      </c>
      <c r="F1180" s="11">
        <v>130.42000000000004</v>
      </c>
    </row>
    <row r="1181" spans="3:6" ht="18.75">
      <c r="C1181">
        <v>20</v>
      </c>
      <c r="D1181" s="5">
        <v>46153</v>
      </c>
      <c r="E1181" t="s">
        <v>151</v>
      </c>
      <c r="F1181" s="11">
        <v>533.95999999999981</v>
      </c>
    </row>
    <row r="1182" spans="3:6" ht="18.75">
      <c r="C1182">
        <v>20</v>
      </c>
      <c r="D1182" s="5">
        <v>46153</v>
      </c>
      <c r="E1182" t="s">
        <v>143</v>
      </c>
      <c r="F1182" s="11">
        <v>1190.620000000001</v>
      </c>
    </row>
    <row r="1183" spans="3:6" ht="18.75">
      <c r="C1183">
        <v>20</v>
      </c>
      <c r="D1183" s="5">
        <v>46153</v>
      </c>
      <c r="E1183" t="s">
        <v>129</v>
      </c>
      <c r="F1183" s="11">
        <v>372.16999999999973</v>
      </c>
    </row>
    <row r="1184" spans="3:6" ht="18.75">
      <c r="C1184">
        <v>20</v>
      </c>
      <c r="D1184" s="5">
        <v>46153</v>
      </c>
      <c r="E1184" t="s">
        <v>138</v>
      </c>
      <c r="F1184" s="11">
        <v>411.21000000000009</v>
      </c>
    </row>
    <row r="1185" spans="3:6" ht="18.75">
      <c r="C1185">
        <v>20</v>
      </c>
      <c r="D1185" s="5">
        <v>46153</v>
      </c>
      <c r="E1185" t="s">
        <v>122</v>
      </c>
      <c r="F1185" s="11">
        <v>197.87999999999997</v>
      </c>
    </row>
    <row r="1186" spans="3:6" ht="18.75">
      <c r="C1186">
        <v>20</v>
      </c>
      <c r="D1186" s="5">
        <v>46153</v>
      </c>
      <c r="E1186" t="s">
        <v>137</v>
      </c>
      <c r="F1186" s="11">
        <v>76.34</v>
      </c>
    </row>
    <row r="1187" spans="3:6" ht="18.75">
      <c r="C1187">
        <v>20</v>
      </c>
      <c r="D1187" s="5">
        <v>46153</v>
      </c>
      <c r="E1187" t="s">
        <v>113</v>
      </c>
      <c r="F1187" s="11">
        <v>241.57</v>
      </c>
    </row>
    <row r="1188" spans="3:6" ht="18.75">
      <c r="C1188">
        <v>20</v>
      </c>
      <c r="D1188" s="5">
        <v>46153</v>
      </c>
      <c r="E1188" t="s">
        <v>144</v>
      </c>
      <c r="F1188" s="11">
        <v>586.29999999999961</v>
      </c>
    </row>
    <row r="1189" spans="3:6" ht="18.75">
      <c r="C1189">
        <v>20</v>
      </c>
      <c r="D1189" s="5">
        <v>46153</v>
      </c>
      <c r="E1189" t="s">
        <v>118</v>
      </c>
      <c r="F1189" s="11">
        <v>146.96000000000006</v>
      </c>
    </row>
    <row r="1190" spans="3:6" ht="18.75">
      <c r="C1190">
        <v>20</v>
      </c>
      <c r="D1190" s="5">
        <v>46153</v>
      </c>
      <c r="E1190" t="s">
        <v>133</v>
      </c>
      <c r="F1190" s="11">
        <v>249.30999999999997</v>
      </c>
    </row>
    <row r="1191" spans="3:6" ht="18.75">
      <c r="C1191">
        <v>20</v>
      </c>
      <c r="D1191" s="5">
        <v>46153</v>
      </c>
      <c r="E1191" t="s">
        <v>130</v>
      </c>
      <c r="F1191" s="11">
        <v>235.98999999999987</v>
      </c>
    </row>
    <row r="1192" spans="3:6" ht="18.75">
      <c r="C1192">
        <v>20</v>
      </c>
      <c r="D1192" s="5">
        <v>46153</v>
      </c>
      <c r="E1192" t="s">
        <v>131</v>
      </c>
      <c r="F1192" s="11">
        <v>190.78999999999994</v>
      </c>
    </row>
    <row r="1193" spans="3:6" ht="18.75">
      <c r="C1193">
        <v>20</v>
      </c>
      <c r="D1193" s="5">
        <v>46153</v>
      </c>
      <c r="E1193" t="s">
        <v>134</v>
      </c>
      <c r="F1193" s="11">
        <v>268.70999999999987</v>
      </c>
    </row>
    <row r="1194" spans="3:6" ht="18.75">
      <c r="C1194">
        <v>20</v>
      </c>
      <c r="D1194" s="5">
        <v>46153</v>
      </c>
      <c r="E1194" t="s">
        <v>127</v>
      </c>
      <c r="F1194" s="11">
        <v>137.82999999999998</v>
      </c>
    </row>
    <row r="1195" spans="3:6" ht="18.75">
      <c r="C1195">
        <v>20</v>
      </c>
      <c r="D1195" s="5">
        <v>46153</v>
      </c>
      <c r="E1195" t="s">
        <v>216</v>
      </c>
      <c r="F1195" s="11">
        <v>670.9000000000002</v>
      </c>
    </row>
    <row r="1196" spans="3:6" ht="18.75">
      <c r="C1196">
        <v>20</v>
      </c>
      <c r="D1196" s="5">
        <v>46153</v>
      </c>
      <c r="E1196" t="s">
        <v>126</v>
      </c>
      <c r="F1196" s="11">
        <v>132.05000000000001</v>
      </c>
    </row>
    <row r="1197" spans="3:6" ht="18.75">
      <c r="C1197">
        <v>20</v>
      </c>
      <c r="D1197" s="5">
        <v>46153</v>
      </c>
      <c r="E1197" t="s">
        <v>135</v>
      </c>
      <c r="F1197" s="11">
        <v>84.960000000000008</v>
      </c>
    </row>
    <row r="1198" spans="3:6" ht="18.75">
      <c r="C1198">
        <v>20</v>
      </c>
      <c r="D1198" s="5">
        <v>46153</v>
      </c>
      <c r="E1198" t="s">
        <v>142</v>
      </c>
      <c r="F1198" s="11">
        <v>107.13</v>
      </c>
    </row>
    <row r="1199" spans="3:6" ht="18.75">
      <c r="C1199">
        <v>20</v>
      </c>
      <c r="D1199" s="5">
        <v>46153</v>
      </c>
      <c r="E1199" t="s">
        <v>120</v>
      </c>
      <c r="F1199" s="11">
        <v>108.59000000000003</v>
      </c>
    </row>
    <row r="1200" spans="3:6" ht="18.75">
      <c r="C1200">
        <v>20</v>
      </c>
      <c r="D1200" s="5">
        <v>46153</v>
      </c>
      <c r="E1200" t="s">
        <v>125</v>
      </c>
      <c r="F1200" s="11">
        <v>65.840000000000018</v>
      </c>
    </row>
    <row r="1201" spans="3:6" ht="18.75">
      <c r="C1201">
        <v>20</v>
      </c>
      <c r="D1201" s="5">
        <v>46153</v>
      </c>
      <c r="E1201" t="s">
        <v>150</v>
      </c>
      <c r="F1201" s="11">
        <v>60.710000000000008</v>
      </c>
    </row>
    <row r="1202" spans="3:6" ht="18.75">
      <c r="C1202">
        <v>20</v>
      </c>
      <c r="D1202" s="5">
        <v>46153</v>
      </c>
      <c r="E1202" t="s">
        <v>123</v>
      </c>
      <c r="F1202" s="11">
        <v>383.32999999999987</v>
      </c>
    </row>
    <row r="1203" spans="3:6" ht="18.75">
      <c r="C1203">
        <v>20</v>
      </c>
      <c r="D1203" s="5">
        <v>46153</v>
      </c>
      <c r="E1203" t="s">
        <v>145</v>
      </c>
      <c r="F1203" s="11">
        <v>164.89000000000007</v>
      </c>
    </row>
    <row r="1204" spans="3:6" ht="18.75">
      <c r="C1204">
        <v>20</v>
      </c>
      <c r="D1204" s="5">
        <v>46153</v>
      </c>
      <c r="E1204" t="s">
        <v>136</v>
      </c>
      <c r="F1204" s="11">
        <v>126.71000000000005</v>
      </c>
    </row>
    <row r="1205" spans="3:6" ht="18.75">
      <c r="C1205">
        <v>20</v>
      </c>
      <c r="D1205" s="5">
        <v>46153</v>
      </c>
      <c r="E1205" t="s">
        <v>132</v>
      </c>
      <c r="F1205" s="11">
        <v>132.57000000000005</v>
      </c>
    </row>
    <row r="1206" spans="3:6" ht="18.75">
      <c r="C1206">
        <v>20</v>
      </c>
      <c r="D1206" s="5">
        <v>46153</v>
      </c>
      <c r="E1206" t="s">
        <v>116</v>
      </c>
      <c r="F1206" s="11">
        <v>64.020000000000024</v>
      </c>
    </row>
    <row r="1207" spans="3:6" ht="18.75">
      <c r="C1207">
        <v>19</v>
      </c>
      <c r="D1207" s="5">
        <v>46146</v>
      </c>
      <c r="E1207" t="s">
        <v>117</v>
      </c>
      <c r="F1207" s="11">
        <v>204.09999999999991</v>
      </c>
    </row>
    <row r="1208" spans="3:6" ht="18.75">
      <c r="C1208">
        <v>19</v>
      </c>
      <c r="D1208" s="5">
        <v>46146</v>
      </c>
      <c r="E1208" t="s">
        <v>147</v>
      </c>
      <c r="F1208" s="11">
        <v>453.59999999999974</v>
      </c>
    </row>
    <row r="1209" spans="3:6" ht="18.75">
      <c r="C1209">
        <v>19</v>
      </c>
      <c r="D1209" s="5">
        <v>46146</v>
      </c>
      <c r="E1209" t="s">
        <v>121</v>
      </c>
      <c r="F1209" s="11">
        <v>206.41999999999996</v>
      </c>
    </row>
    <row r="1210" spans="3:6" ht="18.75">
      <c r="C1210">
        <v>19</v>
      </c>
      <c r="D1210" s="5">
        <v>46146</v>
      </c>
      <c r="E1210" t="s">
        <v>115</v>
      </c>
      <c r="F1210" s="11">
        <v>285.75</v>
      </c>
    </row>
    <row r="1211" spans="3:6" ht="18.75">
      <c r="C1211">
        <v>19</v>
      </c>
      <c r="D1211" s="5">
        <v>46146</v>
      </c>
      <c r="E1211" t="s">
        <v>139</v>
      </c>
      <c r="F1211" s="11">
        <v>231.87999999999994</v>
      </c>
    </row>
    <row r="1212" spans="3:6" ht="18.75">
      <c r="C1212">
        <v>19</v>
      </c>
      <c r="D1212" s="5">
        <v>46146</v>
      </c>
      <c r="E1212" t="s">
        <v>144</v>
      </c>
      <c r="F1212" s="11">
        <v>193.4</v>
      </c>
    </row>
    <row r="1213" spans="3:6" ht="18.75">
      <c r="C1213">
        <v>19</v>
      </c>
      <c r="D1213" s="5">
        <v>46146</v>
      </c>
      <c r="E1213" t="s">
        <v>112</v>
      </c>
      <c r="F1213" s="11">
        <v>79.260000000000019</v>
      </c>
    </row>
    <row r="1214" spans="3:6" ht="18.75">
      <c r="C1214">
        <v>19</v>
      </c>
      <c r="D1214" s="5">
        <v>46146</v>
      </c>
      <c r="E1214" t="s">
        <v>114</v>
      </c>
      <c r="F1214" s="11">
        <v>314.03999999999985</v>
      </c>
    </row>
    <row r="1215" spans="3:6" ht="18.75">
      <c r="C1215">
        <v>19</v>
      </c>
      <c r="D1215" s="5">
        <v>46146</v>
      </c>
      <c r="E1215" t="s">
        <v>148</v>
      </c>
      <c r="F1215" s="11">
        <v>140.28</v>
      </c>
    </row>
    <row r="1216" spans="3:6" ht="18.75">
      <c r="C1216">
        <v>19</v>
      </c>
      <c r="D1216" s="5">
        <v>46146</v>
      </c>
      <c r="E1216" t="s">
        <v>143</v>
      </c>
      <c r="F1216" s="11">
        <v>1519.9600000000032</v>
      </c>
    </row>
    <row r="1217" spans="3:6" ht="18.75">
      <c r="C1217">
        <v>19</v>
      </c>
      <c r="D1217" s="5">
        <v>46146</v>
      </c>
      <c r="E1217" t="s">
        <v>146</v>
      </c>
      <c r="F1217" s="11">
        <v>514.9499999999997</v>
      </c>
    </row>
    <row r="1218" spans="3:6" ht="18.75">
      <c r="C1218">
        <v>19</v>
      </c>
      <c r="D1218" s="5">
        <v>46146</v>
      </c>
      <c r="E1218" t="s">
        <v>119</v>
      </c>
      <c r="F1218" s="11">
        <v>318.33999999999975</v>
      </c>
    </row>
    <row r="1219" spans="3:6" ht="18.75">
      <c r="C1219">
        <v>19</v>
      </c>
      <c r="D1219" s="5">
        <v>46146</v>
      </c>
      <c r="E1219" t="s">
        <v>138</v>
      </c>
      <c r="F1219" s="11">
        <v>414.4999999999996</v>
      </c>
    </row>
    <row r="1220" spans="3:6" ht="18.75">
      <c r="C1220">
        <v>19</v>
      </c>
      <c r="D1220" s="5">
        <v>46146</v>
      </c>
      <c r="E1220" t="s">
        <v>145</v>
      </c>
      <c r="F1220" s="11">
        <v>218.20999999999992</v>
      </c>
    </row>
    <row r="1221" spans="3:6" ht="18.75">
      <c r="C1221">
        <v>19</v>
      </c>
      <c r="D1221" s="5">
        <v>46146</v>
      </c>
      <c r="E1221" t="s">
        <v>137</v>
      </c>
      <c r="F1221" s="11">
        <v>84.080000000000013</v>
      </c>
    </row>
    <row r="1222" spans="3:6" ht="18.75">
      <c r="C1222">
        <v>19</v>
      </c>
      <c r="D1222" s="5">
        <v>46146</v>
      </c>
      <c r="E1222" t="s">
        <v>124</v>
      </c>
      <c r="F1222" s="11">
        <v>389.77999999999975</v>
      </c>
    </row>
    <row r="1223" spans="3:6" ht="18.75">
      <c r="C1223">
        <v>19</v>
      </c>
      <c r="D1223" s="5">
        <v>46146</v>
      </c>
      <c r="E1223" t="s">
        <v>128</v>
      </c>
      <c r="F1223" s="11">
        <v>180.37</v>
      </c>
    </row>
    <row r="1224" spans="3:6" ht="18.75">
      <c r="C1224">
        <v>19</v>
      </c>
      <c r="D1224" s="5">
        <v>46146</v>
      </c>
      <c r="E1224" t="s">
        <v>131</v>
      </c>
      <c r="F1224" s="11">
        <v>354.36999999999978</v>
      </c>
    </row>
    <row r="1225" spans="3:6" ht="18.75">
      <c r="C1225">
        <v>19</v>
      </c>
      <c r="D1225" s="5">
        <v>46146</v>
      </c>
      <c r="E1225" t="s">
        <v>151</v>
      </c>
      <c r="F1225" s="11">
        <v>745.67999999999961</v>
      </c>
    </row>
    <row r="1226" spans="3:6" ht="18.75">
      <c r="C1226">
        <v>19</v>
      </c>
      <c r="D1226" s="5">
        <v>46146</v>
      </c>
      <c r="E1226" t="s">
        <v>118</v>
      </c>
      <c r="F1226" s="11">
        <v>176.73000000000005</v>
      </c>
    </row>
    <row r="1227" spans="3:6" ht="18.75">
      <c r="C1227">
        <v>19</v>
      </c>
      <c r="D1227" s="5">
        <v>46146</v>
      </c>
      <c r="E1227" t="s">
        <v>130</v>
      </c>
      <c r="F1227" s="11">
        <v>316.85999999999984</v>
      </c>
    </row>
    <row r="1228" spans="3:6" ht="18.75">
      <c r="C1228">
        <v>19</v>
      </c>
      <c r="D1228" s="5">
        <v>46146</v>
      </c>
      <c r="E1228" t="s">
        <v>122</v>
      </c>
      <c r="F1228" s="11">
        <v>215.3599999999999</v>
      </c>
    </row>
    <row r="1229" spans="3:6" ht="18.75">
      <c r="C1229">
        <v>19</v>
      </c>
      <c r="D1229" s="5">
        <v>46146</v>
      </c>
      <c r="E1229" t="s">
        <v>129</v>
      </c>
      <c r="F1229" s="11">
        <v>358.20999999999981</v>
      </c>
    </row>
    <row r="1230" spans="3:6" ht="18.75">
      <c r="C1230">
        <v>19</v>
      </c>
      <c r="D1230" s="5">
        <v>46146</v>
      </c>
      <c r="E1230" t="s">
        <v>116</v>
      </c>
      <c r="F1230" s="11">
        <v>109.68000000000004</v>
      </c>
    </row>
    <row r="1231" spans="3:6" ht="18.75">
      <c r="C1231">
        <v>19</v>
      </c>
      <c r="D1231" s="5">
        <v>46146</v>
      </c>
      <c r="E1231" t="s">
        <v>142</v>
      </c>
      <c r="F1231" s="11">
        <v>156.78000000000006</v>
      </c>
    </row>
    <row r="1232" spans="3:6" ht="18.75">
      <c r="C1232">
        <v>19</v>
      </c>
      <c r="D1232" s="5">
        <v>46146</v>
      </c>
      <c r="E1232" t="s">
        <v>135</v>
      </c>
      <c r="F1232" s="11">
        <v>90.730000000000032</v>
      </c>
    </row>
    <row r="1233" spans="3:6" ht="18.75">
      <c r="C1233">
        <v>19</v>
      </c>
      <c r="D1233" s="5">
        <v>46146</v>
      </c>
      <c r="E1233" t="s">
        <v>120</v>
      </c>
      <c r="F1233" s="11">
        <v>94.910000000000025</v>
      </c>
    </row>
    <row r="1234" spans="3:6" ht="18.75">
      <c r="C1234">
        <v>19</v>
      </c>
      <c r="D1234" s="5">
        <v>46146</v>
      </c>
      <c r="E1234" t="s">
        <v>133</v>
      </c>
      <c r="F1234" s="11">
        <v>349.61999999999995</v>
      </c>
    </row>
    <row r="1235" spans="3:6" ht="18.75">
      <c r="C1235">
        <v>19</v>
      </c>
      <c r="D1235" s="5">
        <v>46146</v>
      </c>
      <c r="E1235" t="s">
        <v>134</v>
      </c>
      <c r="F1235" s="11">
        <v>305.45999999999975</v>
      </c>
    </row>
    <row r="1236" spans="3:6" ht="18.75">
      <c r="C1236">
        <v>19</v>
      </c>
      <c r="D1236" s="5">
        <v>46146</v>
      </c>
      <c r="E1236" t="s">
        <v>141</v>
      </c>
      <c r="F1236" s="11">
        <v>414.77999999999963</v>
      </c>
    </row>
    <row r="1237" spans="3:6" ht="18.75">
      <c r="C1237">
        <v>19</v>
      </c>
      <c r="D1237" s="5">
        <v>46146</v>
      </c>
      <c r="E1237" t="s">
        <v>132</v>
      </c>
      <c r="F1237" s="11">
        <v>141.16000000000005</v>
      </c>
    </row>
    <row r="1238" spans="3:6" ht="18.75">
      <c r="C1238">
        <v>19</v>
      </c>
      <c r="D1238" s="5">
        <v>46146</v>
      </c>
      <c r="E1238" t="s">
        <v>123</v>
      </c>
      <c r="F1238" s="11">
        <v>544.22999999999956</v>
      </c>
    </row>
    <row r="1239" spans="3:6" ht="18.75">
      <c r="C1239">
        <v>19</v>
      </c>
      <c r="D1239" s="5">
        <v>46146</v>
      </c>
      <c r="E1239" t="s">
        <v>125</v>
      </c>
      <c r="F1239" s="11">
        <v>108.13000000000001</v>
      </c>
    </row>
    <row r="1240" spans="3:6" ht="18.75">
      <c r="C1240">
        <v>19</v>
      </c>
      <c r="D1240" s="5">
        <v>46146</v>
      </c>
      <c r="E1240" t="s">
        <v>136</v>
      </c>
      <c r="F1240" s="11">
        <v>109.80000000000004</v>
      </c>
    </row>
    <row r="1241" spans="3:6" ht="18.75">
      <c r="C1241">
        <v>19</v>
      </c>
      <c r="D1241" s="5">
        <v>46146</v>
      </c>
      <c r="E1241" t="s">
        <v>150</v>
      </c>
      <c r="F1241" s="11">
        <v>75.36</v>
      </c>
    </row>
    <row r="1242" spans="3:6" ht="18.75">
      <c r="C1242">
        <v>19</v>
      </c>
      <c r="D1242" s="5">
        <v>46146</v>
      </c>
      <c r="E1242" t="s">
        <v>126</v>
      </c>
      <c r="F1242" s="11">
        <v>137.82000000000002</v>
      </c>
    </row>
    <row r="1243" spans="3:6" ht="18.75">
      <c r="C1243">
        <v>19</v>
      </c>
      <c r="D1243" s="5">
        <v>46146</v>
      </c>
      <c r="E1243" t="s">
        <v>127</v>
      </c>
      <c r="F1243" s="11">
        <v>243.74999999999986</v>
      </c>
    </row>
    <row r="1244" spans="3:6" ht="18.75">
      <c r="C1244">
        <v>19</v>
      </c>
      <c r="D1244" s="5">
        <v>46146</v>
      </c>
      <c r="E1244" t="s">
        <v>113</v>
      </c>
      <c r="F1244" s="11">
        <v>206.54999999999998</v>
      </c>
    </row>
    <row r="1245" spans="3:6" ht="18.75">
      <c r="C1245">
        <v>19</v>
      </c>
      <c r="D1245" s="5">
        <v>46146</v>
      </c>
      <c r="E1245" t="s">
        <v>111</v>
      </c>
      <c r="F1245" s="11">
        <v>38.699999999999996</v>
      </c>
    </row>
    <row r="1246" spans="3:6" ht="18.75">
      <c r="C1246">
        <v>22</v>
      </c>
      <c r="D1246" s="5">
        <v>46167</v>
      </c>
      <c r="E1246" t="s">
        <v>112</v>
      </c>
      <c r="F1246" s="11">
        <v>87.100000000000037</v>
      </c>
    </row>
    <row r="1247" spans="3:6" ht="18.75">
      <c r="C1247">
        <v>22</v>
      </c>
      <c r="D1247" s="5">
        <v>46167</v>
      </c>
      <c r="E1247" t="s">
        <v>139</v>
      </c>
      <c r="F1247" s="11">
        <v>195.01999999999995</v>
      </c>
    </row>
    <row r="1248" spans="3:6" ht="18.75">
      <c r="C1248">
        <v>22</v>
      </c>
      <c r="D1248" s="5">
        <v>46167</v>
      </c>
      <c r="E1248" t="s">
        <v>134</v>
      </c>
      <c r="F1248" s="11">
        <v>280.2999999999999</v>
      </c>
    </row>
    <row r="1249" spans="3:6" ht="18.75">
      <c r="C1249">
        <v>22</v>
      </c>
      <c r="D1249" s="5">
        <v>46167</v>
      </c>
      <c r="E1249" t="s">
        <v>115</v>
      </c>
      <c r="F1249" s="11">
        <v>269.27000000000021</v>
      </c>
    </row>
    <row r="1250" spans="3:6" ht="18.75">
      <c r="C1250">
        <v>22</v>
      </c>
      <c r="D1250" s="5">
        <v>46167</v>
      </c>
      <c r="E1250" t="s">
        <v>147</v>
      </c>
      <c r="F1250" s="11">
        <v>308.81999999999988</v>
      </c>
    </row>
    <row r="1251" spans="3:6" ht="18.75">
      <c r="C1251">
        <v>22</v>
      </c>
      <c r="D1251" s="5">
        <v>46167</v>
      </c>
      <c r="E1251" t="s">
        <v>150</v>
      </c>
      <c r="F1251" s="11">
        <v>67.050000000000011</v>
      </c>
    </row>
    <row r="1252" spans="3:6" ht="18.75">
      <c r="C1252">
        <v>22</v>
      </c>
      <c r="D1252" s="5">
        <v>46167</v>
      </c>
      <c r="E1252" t="s">
        <v>114</v>
      </c>
      <c r="F1252" s="11">
        <v>287.58999999999986</v>
      </c>
    </row>
    <row r="1253" spans="3:6" ht="18.75">
      <c r="C1253">
        <v>22</v>
      </c>
      <c r="D1253" s="5">
        <v>46167</v>
      </c>
      <c r="E1253" t="s">
        <v>133</v>
      </c>
      <c r="F1253" s="11">
        <v>266.34999999999985</v>
      </c>
    </row>
    <row r="1254" spans="3:6" ht="18.75">
      <c r="C1254">
        <v>22</v>
      </c>
      <c r="D1254" s="5">
        <v>46167</v>
      </c>
      <c r="E1254" t="s">
        <v>136</v>
      </c>
      <c r="F1254" s="11">
        <v>114.49000000000001</v>
      </c>
    </row>
    <row r="1255" spans="3:6" ht="18.75">
      <c r="C1255">
        <v>22</v>
      </c>
      <c r="D1255" s="5">
        <v>46167</v>
      </c>
      <c r="E1255" t="s">
        <v>116</v>
      </c>
      <c r="F1255" s="11">
        <v>75.870000000000019</v>
      </c>
    </row>
    <row r="1256" spans="3:6" ht="18.75">
      <c r="C1256">
        <v>22</v>
      </c>
      <c r="D1256" s="5">
        <v>46167</v>
      </c>
      <c r="E1256" t="s">
        <v>141</v>
      </c>
      <c r="F1256" s="11">
        <v>439.01999999999987</v>
      </c>
    </row>
    <row r="1257" spans="3:6" ht="18.75">
      <c r="C1257">
        <v>22</v>
      </c>
      <c r="D1257" s="5">
        <v>46167</v>
      </c>
      <c r="E1257" t="s">
        <v>143</v>
      </c>
      <c r="F1257" s="11">
        <v>811.57000000000085</v>
      </c>
    </row>
    <row r="1258" spans="3:6" ht="18.75">
      <c r="C1258">
        <v>22</v>
      </c>
      <c r="D1258" s="5">
        <v>46167</v>
      </c>
      <c r="E1258" t="s">
        <v>129</v>
      </c>
      <c r="F1258" s="11">
        <v>373.43999999999983</v>
      </c>
    </row>
    <row r="1259" spans="3:6" ht="18.75">
      <c r="C1259">
        <v>22</v>
      </c>
      <c r="D1259" s="5">
        <v>46167</v>
      </c>
      <c r="E1259" t="s">
        <v>151</v>
      </c>
      <c r="F1259" s="11">
        <v>631.48999999999978</v>
      </c>
    </row>
    <row r="1260" spans="3:6" ht="18.75">
      <c r="C1260">
        <v>22</v>
      </c>
      <c r="D1260" s="5">
        <v>46167</v>
      </c>
      <c r="E1260" t="s">
        <v>137</v>
      </c>
      <c r="F1260" s="11">
        <v>75.67000000000003</v>
      </c>
    </row>
    <row r="1261" spans="3:6" ht="18.75">
      <c r="C1261">
        <v>22</v>
      </c>
      <c r="D1261" s="5">
        <v>46167</v>
      </c>
      <c r="E1261" t="s">
        <v>138</v>
      </c>
      <c r="F1261" s="11">
        <v>356.39999999999975</v>
      </c>
    </row>
    <row r="1262" spans="3:6" ht="18.75">
      <c r="C1262">
        <v>22</v>
      </c>
      <c r="D1262" s="5">
        <v>46167</v>
      </c>
      <c r="E1262" t="s">
        <v>132</v>
      </c>
      <c r="F1262" s="11">
        <v>173.48999999999998</v>
      </c>
    </row>
    <row r="1263" spans="3:6" ht="18.75">
      <c r="C1263">
        <v>22</v>
      </c>
      <c r="D1263" s="5">
        <v>46167</v>
      </c>
      <c r="E1263" t="s">
        <v>111</v>
      </c>
      <c r="F1263" s="11">
        <v>180.66</v>
      </c>
    </row>
    <row r="1264" spans="3:6" ht="18.75">
      <c r="C1264">
        <v>22</v>
      </c>
      <c r="D1264" s="5">
        <v>46167</v>
      </c>
      <c r="E1264" t="s">
        <v>135</v>
      </c>
      <c r="F1264" s="11">
        <v>62.020000000000017</v>
      </c>
    </row>
    <row r="1265" spans="3:6" ht="18.75">
      <c r="C1265">
        <v>22</v>
      </c>
      <c r="D1265" s="5">
        <v>46167</v>
      </c>
      <c r="E1265" t="s">
        <v>144</v>
      </c>
      <c r="F1265" s="11">
        <v>682.4799999999999</v>
      </c>
    </row>
    <row r="1266" spans="3:6" ht="18.75">
      <c r="C1266">
        <v>22</v>
      </c>
      <c r="D1266" s="5">
        <v>46167</v>
      </c>
      <c r="E1266" t="s">
        <v>131</v>
      </c>
      <c r="F1266" s="11">
        <v>264.22999999999979</v>
      </c>
    </row>
    <row r="1267" spans="3:6" ht="18.75">
      <c r="C1267">
        <v>22</v>
      </c>
      <c r="D1267" s="5">
        <v>46167</v>
      </c>
      <c r="E1267" t="s">
        <v>130</v>
      </c>
      <c r="F1267" s="11">
        <v>335.58999999999975</v>
      </c>
    </row>
    <row r="1268" spans="3:6" ht="18.75">
      <c r="C1268">
        <v>22</v>
      </c>
      <c r="D1268" s="5">
        <v>46167</v>
      </c>
      <c r="E1268" t="s">
        <v>121</v>
      </c>
      <c r="F1268" s="11">
        <v>153.47000000000006</v>
      </c>
    </row>
    <row r="1269" spans="3:6" ht="18.75">
      <c r="C1269">
        <v>22</v>
      </c>
      <c r="D1269" s="5">
        <v>46167</v>
      </c>
      <c r="E1269" t="s">
        <v>122</v>
      </c>
      <c r="F1269" s="11">
        <v>206.66999999999993</v>
      </c>
    </row>
    <row r="1270" spans="3:6" ht="18.75">
      <c r="C1270">
        <v>22</v>
      </c>
      <c r="D1270" s="5">
        <v>46167</v>
      </c>
      <c r="E1270" t="s">
        <v>216</v>
      </c>
      <c r="F1270" s="11">
        <v>312.24999999999977</v>
      </c>
    </row>
    <row r="1271" spans="3:6" ht="18.75">
      <c r="C1271">
        <v>22</v>
      </c>
      <c r="D1271" s="5">
        <v>46167</v>
      </c>
      <c r="E1271" t="s">
        <v>113</v>
      </c>
      <c r="F1271" s="11">
        <v>198.89999999999998</v>
      </c>
    </row>
    <row r="1272" spans="3:6" ht="18.75">
      <c r="C1272">
        <v>22</v>
      </c>
      <c r="D1272" s="5">
        <v>46167</v>
      </c>
      <c r="E1272" t="s">
        <v>119</v>
      </c>
      <c r="F1272" s="11">
        <v>308.92999999999984</v>
      </c>
    </row>
    <row r="1273" spans="3:6" ht="18.75">
      <c r="C1273">
        <v>22</v>
      </c>
      <c r="D1273" s="5">
        <v>46167</v>
      </c>
      <c r="E1273" t="s">
        <v>117</v>
      </c>
      <c r="F1273" s="11">
        <v>160.27000000000001</v>
      </c>
    </row>
    <row r="1274" spans="3:6" ht="18.75">
      <c r="C1274">
        <v>22</v>
      </c>
      <c r="D1274" s="5">
        <v>46167</v>
      </c>
      <c r="E1274" t="s">
        <v>148</v>
      </c>
      <c r="F1274" s="11">
        <v>96.110000000000014</v>
      </c>
    </row>
    <row r="1275" spans="3:6" ht="18.75">
      <c r="C1275">
        <v>22</v>
      </c>
      <c r="D1275" s="5">
        <v>46167</v>
      </c>
      <c r="E1275" t="s">
        <v>125</v>
      </c>
      <c r="F1275" s="11">
        <v>72.430000000000007</v>
      </c>
    </row>
    <row r="1276" spans="3:6" ht="18.75">
      <c r="C1276">
        <v>22</v>
      </c>
      <c r="D1276" s="5">
        <v>46167</v>
      </c>
      <c r="E1276" t="s">
        <v>146</v>
      </c>
      <c r="F1276" s="11">
        <v>563.97000000000014</v>
      </c>
    </row>
    <row r="1277" spans="3:6" ht="18.75">
      <c r="C1277">
        <v>22</v>
      </c>
      <c r="D1277" s="5">
        <v>46167</v>
      </c>
      <c r="E1277" t="s">
        <v>127</v>
      </c>
      <c r="F1277" s="11">
        <v>214.36000000000007</v>
      </c>
    </row>
    <row r="1278" spans="3:6" ht="18.75">
      <c r="C1278">
        <v>22</v>
      </c>
      <c r="D1278" s="5">
        <v>46167</v>
      </c>
      <c r="E1278" t="s">
        <v>142</v>
      </c>
      <c r="F1278" s="11">
        <v>115.45000000000003</v>
      </c>
    </row>
    <row r="1279" spans="3:6" ht="18.75">
      <c r="C1279">
        <v>22</v>
      </c>
      <c r="D1279" s="5">
        <v>46167</v>
      </c>
      <c r="E1279" t="s">
        <v>128</v>
      </c>
      <c r="F1279" s="11">
        <v>117.18</v>
      </c>
    </row>
    <row r="1280" spans="3:6" ht="18.75">
      <c r="C1280">
        <v>22</v>
      </c>
      <c r="D1280" s="5">
        <v>46167</v>
      </c>
      <c r="E1280" t="s">
        <v>126</v>
      </c>
      <c r="F1280" s="11">
        <v>111.43000000000009</v>
      </c>
    </row>
    <row r="1281" spans="3:6" ht="18.75">
      <c r="C1281">
        <v>22</v>
      </c>
      <c r="D1281" s="5">
        <v>46167</v>
      </c>
      <c r="E1281" t="s">
        <v>123</v>
      </c>
      <c r="F1281" s="11">
        <v>353.03999999999962</v>
      </c>
    </row>
    <row r="1282" spans="3:6" ht="18.75">
      <c r="C1282">
        <v>22</v>
      </c>
      <c r="D1282" s="5">
        <v>46167</v>
      </c>
      <c r="E1282" t="s">
        <v>145</v>
      </c>
      <c r="F1282" s="11">
        <v>150.35999999999999</v>
      </c>
    </row>
    <row r="1283" spans="3:6" ht="18.75">
      <c r="C1283">
        <v>22</v>
      </c>
      <c r="D1283" s="5">
        <v>46167</v>
      </c>
      <c r="E1283" t="s">
        <v>118</v>
      </c>
      <c r="F1283" s="11">
        <v>170.37000000000003</v>
      </c>
    </row>
    <row r="1284" spans="3:6" ht="18.75">
      <c r="C1284">
        <v>22</v>
      </c>
      <c r="D1284" s="5">
        <v>46167</v>
      </c>
      <c r="E1284" t="s">
        <v>124</v>
      </c>
      <c r="F1284" s="11">
        <v>297.47999999999979</v>
      </c>
    </row>
    <row r="1285" spans="3:6" ht="18.75">
      <c r="C1285">
        <v>22</v>
      </c>
      <c r="D1285" s="5">
        <v>46167</v>
      </c>
      <c r="E1285" t="s">
        <v>120</v>
      </c>
      <c r="F1285" s="11">
        <v>52.87</v>
      </c>
    </row>
    <row r="1286" spans="3:6" ht="18.75">
      <c r="C1286">
        <v>23</v>
      </c>
      <c r="D1286" s="5">
        <v>46174</v>
      </c>
      <c r="E1286" t="s">
        <v>112</v>
      </c>
      <c r="F1286" s="11">
        <v>86.010000000000034</v>
      </c>
    </row>
    <row r="1287" spans="3:6" ht="18.75">
      <c r="C1287">
        <v>23</v>
      </c>
      <c r="D1287" s="5">
        <v>46174</v>
      </c>
      <c r="E1287" t="s">
        <v>147</v>
      </c>
      <c r="F1287" s="11">
        <v>409.84999999999985</v>
      </c>
    </row>
    <row r="1288" spans="3:6" ht="18.75">
      <c r="C1288">
        <v>23</v>
      </c>
      <c r="D1288" s="5">
        <v>46174</v>
      </c>
      <c r="E1288" t="s">
        <v>115</v>
      </c>
      <c r="F1288" s="11">
        <v>288.99999999999989</v>
      </c>
    </row>
    <row r="1289" spans="3:6" ht="18.75">
      <c r="C1289">
        <v>23</v>
      </c>
      <c r="D1289" s="5">
        <v>46174</v>
      </c>
      <c r="E1289" t="s">
        <v>114</v>
      </c>
      <c r="F1289" s="11">
        <v>305.93999999999983</v>
      </c>
    </row>
    <row r="1290" spans="3:6" ht="18.75">
      <c r="C1290">
        <v>23</v>
      </c>
      <c r="D1290" s="5">
        <v>46174</v>
      </c>
      <c r="E1290" t="s">
        <v>146</v>
      </c>
      <c r="F1290" s="11">
        <v>656.59000000000037</v>
      </c>
    </row>
    <row r="1291" spans="3:6" ht="18.75">
      <c r="C1291">
        <v>23</v>
      </c>
      <c r="D1291" s="5">
        <v>46174</v>
      </c>
      <c r="E1291" t="s">
        <v>150</v>
      </c>
      <c r="F1291" s="11">
        <v>72.790000000000006</v>
      </c>
    </row>
    <row r="1292" spans="3:6" ht="18.75">
      <c r="C1292">
        <v>23</v>
      </c>
      <c r="D1292" s="5">
        <v>46174</v>
      </c>
      <c r="E1292" t="s">
        <v>133</v>
      </c>
      <c r="F1292" s="11">
        <v>425.19999999999976</v>
      </c>
    </row>
    <row r="1293" spans="3:6" ht="18.75">
      <c r="C1293">
        <v>23</v>
      </c>
      <c r="D1293" s="5">
        <v>46174</v>
      </c>
      <c r="E1293" t="s">
        <v>136</v>
      </c>
      <c r="F1293" s="11">
        <v>143.69000000000003</v>
      </c>
    </row>
    <row r="1294" spans="3:6" ht="18.75">
      <c r="C1294">
        <v>23</v>
      </c>
      <c r="D1294" s="5">
        <v>46174</v>
      </c>
      <c r="E1294" t="s">
        <v>134</v>
      </c>
      <c r="F1294" s="11">
        <v>394.92999999999989</v>
      </c>
    </row>
    <row r="1295" spans="3:6" ht="18.75">
      <c r="C1295">
        <v>23</v>
      </c>
      <c r="D1295" s="5">
        <v>46174</v>
      </c>
      <c r="E1295" t="s">
        <v>129</v>
      </c>
      <c r="F1295" s="11">
        <v>317.51999999999975</v>
      </c>
    </row>
    <row r="1296" spans="3:6" ht="18.75">
      <c r="C1296">
        <v>23</v>
      </c>
      <c r="D1296" s="5">
        <v>46174</v>
      </c>
      <c r="E1296" t="s">
        <v>138</v>
      </c>
      <c r="F1296" s="11">
        <v>440.9799999999999</v>
      </c>
    </row>
    <row r="1297" spans="3:6" ht="18.75">
      <c r="C1297">
        <v>23</v>
      </c>
      <c r="D1297" s="5">
        <v>46174</v>
      </c>
      <c r="E1297" t="s">
        <v>116</v>
      </c>
      <c r="F1297" s="11">
        <v>140.92000000000004</v>
      </c>
    </row>
    <row r="1298" spans="3:6" ht="18.75">
      <c r="C1298">
        <v>23</v>
      </c>
      <c r="D1298" s="5">
        <v>46174</v>
      </c>
      <c r="E1298" t="s">
        <v>144</v>
      </c>
      <c r="F1298" s="11">
        <v>1013.9300000000012</v>
      </c>
    </row>
    <row r="1299" spans="3:6" ht="18.75">
      <c r="C1299">
        <v>23</v>
      </c>
      <c r="D1299" s="5">
        <v>46174</v>
      </c>
      <c r="E1299" t="s">
        <v>119</v>
      </c>
      <c r="F1299" s="11">
        <v>278.60999999999984</v>
      </c>
    </row>
    <row r="1300" spans="3:6" ht="18.75">
      <c r="C1300">
        <v>23</v>
      </c>
      <c r="D1300" s="5">
        <v>46174</v>
      </c>
      <c r="E1300" t="s">
        <v>216</v>
      </c>
      <c r="F1300" s="11">
        <v>257.88</v>
      </c>
    </row>
    <row r="1301" spans="3:6" ht="18.75">
      <c r="C1301">
        <v>23</v>
      </c>
      <c r="D1301" s="5">
        <v>46174</v>
      </c>
      <c r="E1301" t="s">
        <v>111</v>
      </c>
      <c r="F1301" s="11">
        <v>169.35000000000008</v>
      </c>
    </row>
    <row r="1302" spans="3:6" ht="18.75">
      <c r="C1302">
        <v>23</v>
      </c>
      <c r="D1302" s="5">
        <v>46174</v>
      </c>
      <c r="E1302" t="s">
        <v>135</v>
      </c>
      <c r="F1302" s="11">
        <v>93.220000000000013</v>
      </c>
    </row>
    <row r="1303" spans="3:6" ht="18.75">
      <c r="C1303">
        <v>23</v>
      </c>
      <c r="D1303" s="5">
        <v>46174</v>
      </c>
      <c r="E1303" t="s">
        <v>131</v>
      </c>
      <c r="F1303" s="11">
        <v>278.68000000000006</v>
      </c>
    </row>
    <row r="1304" spans="3:6" ht="18.75">
      <c r="C1304">
        <v>23</v>
      </c>
      <c r="D1304" s="5">
        <v>46174</v>
      </c>
      <c r="E1304" t="s">
        <v>143</v>
      </c>
      <c r="F1304" s="11">
        <v>915.73000000000127</v>
      </c>
    </row>
    <row r="1305" spans="3:6" ht="18.75">
      <c r="C1305">
        <v>23</v>
      </c>
      <c r="D1305" s="5">
        <v>46174</v>
      </c>
      <c r="E1305" t="s">
        <v>139</v>
      </c>
      <c r="F1305" s="11">
        <v>222.58000000000004</v>
      </c>
    </row>
    <row r="1306" spans="3:6" ht="18.75">
      <c r="C1306">
        <v>23</v>
      </c>
      <c r="D1306" s="5">
        <v>46174</v>
      </c>
      <c r="E1306" t="s">
        <v>128</v>
      </c>
      <c r="F1306" s="11">
        <v>164.07000000000002</v>
      </c>
    </row>
    <row r="1307" spans="3:6" ht="18.75">
      <c r="C1307">
        <v>23</v>
      </c>
      <c r="D1307" s="5">
        <v>46174</v>
      </c>
      <c r="E1307" t="s">
        <v>132</v>
      </c>
      <c r="F1307" s="11">
        <v>207.1</v>
      </c>
    </row>
    <row r="1308" spans="3:6" ht="18.75">
      <c r="C1308">
        <v>23</v>
      </c>
      <c r="D1308" s="5">
        <v>46174</v>
      </c>
      <c r="E1308" t="s">
        <v>130</v>
      </c>
      <c r="F1308" s="11">
        <v>275.95999999999992</v>
      </c>
    </row>
    <row r="1309" spans="3:6" ht="18.75">
      <c r="C1309">
        <v>23</v>
      </c>
      <c r="D1309" s="5">
        <v>46174</v>
      </c>
      <c r="E1309" t="s">
        <v>118</v>
      </c>
      <c r="F1309" s="11">
        <v>205.25000000000003</v>
      </c>
    </row>
    <row r="1310" spans="3:6" ht="18.75">
      <c r="C1310">
        <v>23</v>
      </c>
      <c r="D1310" s="5">
        <v>46174</v>
      </c>
      <c r="E1310" t="s">
        <v>142</v>
      </c>
      <c r="F1310" s="11">
        <v>174.59000000000003</v>
      </c>
    </row>
    <row r="1311" spans="3:6" ht="18.75">
      <c r="C1311">
        <v>23</v>
      </c>
      <c r="D1311" s="5">
        <v>46174</v>
      </c>
      <c r="E1311" t="s">
        <v>145</v>
      </c>
      <c r="F1311" s="11">
        <v>200.96999999999991</v>
      </c>
    </row>
    <row r="1312" spans="3:6" ht="18.75">
      <c r="C1312">
        <v>23</v>
      </c>
      <c r="D1312" s="5">
        <v>46174</v>
      </c>
      <c r="E1312" t="s">
        <v>151</v>
      </c>
      <c r="F1312" s="11">
        <v>777.42000000000041</v>
      </c>
    </row>
    <row r="1313" spans="3:6" ht="18.75">
      <c r="C1313">
        <v>23</v>
      </c>
      <c r="D1313" s="5">
        <v>46174</v>
      </c>
      <c r="E1313" t="s">
        <v>141</v>
      </c>
      <c r="F1313" s="11">
        <v>450.9199999999995</v>
      </c>
    </row>
    <row r="1314" spans="3:6" ht="18.75">
      <c r="C1314">
        <v>23</v>
      </c>
      <c r="D1314" s="5">
        <v>46174</v>
      </c>
      <c r="E1314" t="s">
        <v>122</v>
      </c>
      <c r="F1314" s="11">
        <v>232.53</v>
      </c>
    </row>
    <row r="1315" spans="3:6" ht="18.75">
      <c r="C1315">
        <v>23</v>
      </c>
      <c r="D1315" s="5">
        <v>46174</v>
      </c>
      <c r="E1315" t="s">
        <v>113</v>
      </c>
      <c r="F1315" s="11">
        <v>295.78999999999979</v>
      </c>
    </row>
    <row r="1316" spans="3:6" ht="18.75">
      <c r="C1316">
        <v>23</v>
      </c>
      <c r="D1316" s="5">
        <v>46174</v>
      </c>
      <c r="E1316" t="s">
        <v>120</v>
      </c>
      <c r="F1316" s="11">
        <v>99.530000000000044</v>
      </c>
    </row>
    <row r="1317" spans="3:6" ht="18.75">
      <c r="C1317">
        <v>23</v>
      </c>
      <c r="D1317" s="5">
        <v>46174</v>
      </c>
      <c r="E1317" t="s">
        <v>125</v>
      </c>
      <c r="F1317" s="11">
        <v>132.48000000000002</v>
      </c>
    </row>
    <row r="1318" spans="3:6" ht="18.75">
      <c r="C1318">
        <v>23</v>
      </c>
      <c r="D1318" s="5">
        <v>46174</v>
      </c>
      <c r="E1318" t="s">
        <v>117</v>
      </c>
      <c r="F1318" s="11">
        <v>326.14999999999981</v>
      </c>
    </row>
    <row r="1319" spans="3:6" ht="18.75">
      <c r="C1319">
        <v>23</v>
      </c>
      <c r="D1319" s="5">
        <v>46174</v>
      </c>
      <c r="E1319" t="s">
        <v>137</v>
      </c>
      <c r="F1319" s="11">
        <v>82.420000000000016</v>
      </c>
    </row>
    <row r="1320" spans="3:6" ht="18.75">
      <c r="C1320">
        <v>23</v>
      </c>
      <c r="D1320" s="5">
        <v>46174</v>
      </c>
      <c r="E1320" t="s">
        <v>127</v>
      </c>
      <c r="F1320" s="11">
        <v>284.90999999999985</v>
      </c>
    </row>
    <row r="1321" spans="3:6" ht="18.75">
      <c r="C1321">
        <v>23</v>
      </c>
      <c r="D1321" s="5">
        <v>46174</v>
      </c>
      <c r="E1321" t="s">
        <v>126</v>
      </c>
      <c r="F1321" s="11">
        <v>156.59999999999997</v>
      </c>
    </row>
    <row r="1322" spans="3:6" ht="18.75">
      <c r="C1322">
        <v>23</v>
      </c>
      <c r="D1322" s="5">
        <v>46174</v>
      </c>
      <c r="E1322" t="s">
        <v>123</v>
      </c>
      <c r="F1322" s="11">
        <v>391.22999999999985</v>
      </c>
    </row>
    <row r="1323" spans="3:6" ht="18.75">
      <c r="C1323">
        <v>23</v>
      </c>
      <c r="D1323" s="5">
        <v>46174</v>
      </c>
      <c r="E1323" t="s">
        <v>121</v>
      </c>
      <c r="F1323" s="11">
        <v>143.01000000000005</v>
      </c>
    </row>
    <row r="1324" spans="3:6" ht="18.75">
      <c r="C1324">
        <v>23</v>
      </c>
      <c r="D1324" s="5">
        <v>46174</v>
      </c>
      <c r="E1324" t="s">
        <v>148</v>
      </c>
      <c r="F1324" s="11">
        <v>107.21000000000001</v>
      </c>
    </row>
    <row r="1325" spans="3:6" ht="18.75">
      <c r="C1325">
        <v>23</v>
      </c>
      <c r="D1325" s="5">
        <v>46174</v>
      </c>
      <c r="E1325" t="s">
        <v>124</v>
      </c>
      <c r="F1325" s="11">
        <v>412.54999999999967</v>
      </c>
    </row>
    <row r="1326" spans="3:6" ht="18.75">
      <c r="C1326">
        <v>23</v>
      </c>
      <c r="D1326" s="5">
        <v>46174</v>
      </c>
      <c r="E1326" t="s">
        <v>218</v>
      </c>
      <c r="F1326" s="11">
        <v>65.139999999999986</v>
      </c>
    </row>
    <row r="1327" spans="3:6" ht="18.75">
      <c r="C1327">
        <v>24</v>
      </c>
      <c r="D1327" s="5">
        <v>46181</v>
      </c>
      <c r="E1327" t="s">
        <v>134</v>
      </c>
      <c r="F1327" s="11">
        <v>406.41999999999967</v>
      </c>
    </row>
    <row r="1328" spans="3:6" ht="18.75">
      <c r="C1328">
        <v>24</v>
      </c>
      <c r="D1328" s="5">
        <v>46181</v>
      </c>
      <c r="E1328" t="s">
        <v>146</v>
      </c>
      <c r="F1328" s="11">
        <v>663.77</v>
      </c>
    </row>
    <row r="1329" spans="3:6" ht="18.75">
      <c r="C1329">
        <v>24</v>
      </c>
      <c r="D1329" s="5">
        <v>46181</v>
      </c>
      <c r="E1329" t="s">
        <v>112</v>
      </c>
      <c r="F1329" s="11">
        <v>90.470000000000056</v>
      </c>
    </row>
    <row r="1330" spans="3:6" ht="18.75">
      <c r="C1330">
        <v>24</v>
      </c>
      <c r="D1330" s="5">
        <v>46181</v>
      </c>
      <c r="E1330" t="s">
        <v>133</v>
      </c>
      <c r="F1330" s="11">
        <v>381.89999999999964</v>
      </c>
    </row>
    <row r="1331" spans="3:6" ht="18.75">
      <c r="C1331">
        <v>24</v>
      </c>
      <c r="D1331" s="5">
        <v>46181</v>
      </c>
      <c r="E1331" t="s">
        <v>218</v>
      </c>
      <c r="F1331" s="11">
        <v>175.27999999999994</v>
      </c>
    </row>
    <row r="1332" spans="3:6" ht="18.75">
      <c r="C1332">
        <v>24</v>
      </c>
      <c r="D1332" s="5">
        <v>46181</v>
      </c>
      <c r="E1332" t="s">
        <v>150</v>
      </c>
      <c r="F1332" s="11">
        <v>92.48</v>
      </c>
    </row>
    <row r="1333" spans="3:6" ht="18.75">
      <c r="C1333">
        <v>24</v>
      </c>
      <c r="D1333" s="5">
        <v>46181</v>
      </c>
      <c r="E1333" t="s">
        <v>141</v>
      </c>
      <c r="F1333" s="11">
        <v>500.23999999999921</v>
      </c>
    </row>
    <row r="1334" spans="3:6" ht="18.75">
      <c r="C1334">
        <v>24</v>
      </c>
      <c r="D1334" s="5">
        <v>46181</v>
      </c>
      <c r="E1334" t="s">
        <v>151</v>
      </c>
      <c r="F1334" s="11">
        <v>767.6</v>
      </c>
    </row>
    <row r="1335" spans="3:6" ht="18.75">
      <c r="C1335">
        <v>24</v>
      </c>
      <c r="D1335" s="5">
        <v>46181</v>
      </c>
      <c r="E1335" t="s">
        <v>147</v>
      </c>
      <c r="F1335" s="11">
        <v>377.58999999999963</v>
      </c>
    </row>
    <row r="1336" spans="3:6" ht="18.75">
      <c r="C1336">
        <v>24</v>
      </c>
      <c r="D1336" s="5">
        <v>46181</v>
      </c>
      <c r="E1336" t="s">
        <v>136</v>
      </c>
      <c r="F1336" s="11">
        <v>181.5</v>
      </c>
    </row>
    <row r="1337" spans="3:6" ht="18.75">
      <c r="C1337">
        <v>24</v>
      </c>
      <c r="D1337" s="5">
        <v>46181</v>
      </c>
      <c r="E1337" t="s">
        <v>111</v>
      </c>
      <c r="F1337" s="11">
        <v>177.42999999999998</v>
      </c>
    </row>
    <row r="1338" spans="3:6" ht="18.75">
      <c r="C1338">
        <v>24</v>
      </c>
      <c r="D1338" s="5">
        <v>46181</v>
      </c>
      <c r="E1338" t="s">
        <v>129</v>
      </c>
      <c r="F1338" s="11">
        <v>349.74999999999972</v>
      </c>
    </row>
    <row r="1339" spans="3:6" ht="18.75">
      <c r="C1339">
        <v>24</v>
      </c>
      <c r="D1339" s="5">
        <v>46181</v>
      </c>
      <c r="E1339" t="s">
        <v>115</v>
      </c>
      <c r="F1339" s="11">
        <v>373.26999999999987</v>
      </c>
    </row>
    <row r="1340" spans="3:6" ht="18.75">
      <c r="C1340">
        <v>24</v>
      </c>
      <c r="D1340" s="5">
        <v>46181</v>
      </c>
      <c r="E1340" t="s">
        <v>135</v>
      </c>
      <c r="F1340" s="11">
        <v>89.940000000000026</v>
      </c>
    </row>
    <row r="1341" spans="3:6" ht="18.75">
      <c r="C1341">
        <v>24</v>
      </c>
      <c r="D1341" s="5">
        <v>46181</v>
      </c>
      <c r="E1341" t="s">
        <v>143</v>
      </c>
      <c r="F1341" s="11">
        <v>608.26999999999907</v>
      </c>
    </row>
    <row r="1342" spans="3:6" ht="18.75">
      <c r="C1342">
        <v>24</v>
      </c>
      <c r="D1342" s="5">
        <v>46181</v>
      </c>
      <c r="E1342" t="s">
        <v>139</v>
      </c>
      <c r="F1342" s="11">
        <v>223.56000000000012</v>
      </c>
    </row>
    <row r="1343" spans="3:6" ht="18.75">
      <c r="C1343">
        <v>24</v>
      </c>
      <c r="D1343" s="5">
        <v>46181</v>
      </c>
      <c r="E1343" t="s">
        <v>114</v>
      </c>
      <c r="F1343" s="11">
        <v>346.7199999999998</v>
      </c>
    </row>
    <row r="1344" spans="3:6" ht="18.75">
      <c r="C1344">
        <v>24</v>
      </c>
      <c r="D1344" s="5">
        <v>46181</v>
      </c>
      <c r="E1344" t="s">
        <v>116</v>
      </c>
      <c r="F1344" s="11">
        <v>107.38</v>
      </c>
    </row>
    <row r="1345" spans="3:6" ht="18.75">
      <c r="C1345">
        <v>24</v>
      </c>
      <c r="D1345" s="5">
        <v>46181</v>
      </c>
      <c r="E1345" t="s">
        <v>121</v>
      </c>
      <c r="F1345" s="11">
        <v>108.22000000000003</v>
      </c>
    </row>
    <row r="1346" spans="3:6" ht="18.75">
      <c r="C1346">
        <v>24</v>
      </c>
      <c r="D1346" s="5">
        <v>46181</v>
      </c>
      <c r="E1346" t="s">
        <v>117</v>
      </c>
      <c r="F1346" s="11">
        <v>263.36</v>
      </c>
    </row>
    <row r="1347" spans="3:6" ht="18.75">
      <c r="C1347">
        <v>24</v>
      </c>
      <c r="D1347" s="5">
        <v>46181</v>
      </c>
      <c r="E1347" t="s">
        <v>130</v>
      </c>
      <c r="F1347" s="11">
        <v>328.0199999999997</v>
      </c>
    </row>
    <row r="1348" spans="3:6" ht="18.75">
      <c r="C1348">
        <v>24</v>
      </c>
      <c r="D1348" s="5">
        <v>46181</v>
      </c>
      <c r="E1348" t="s">
        <v>119</v>
      </c>
      <c r="F1348" s="11">
        <v>254.32999999999993</v>
      </c>
    </row>
    <row r="1349" spans="3:6" ht="18.75">
      <c r="C1349">
        <v>24</v>
      </c>
      <c r="D1349" s="5">
        <v>46181</v>
      </c>
      <c r="E1349" t="s">
        <v>131</v>
      </c>
      <c r="F1349" s="11">
        <v>278.5</v>
      </c>
    </row>
    <row r="1350" spans="3:6" ht="18.75">
      <c r="C1350">
        <v>24</v>
      </c>
      <c r="D1350" s="5">
        <v>46181</v>
      </c>
      <c r="E1350" t="s">
        <v>128</v>
      </c>
      <c r="F1350" s="11">
        <v>215.80000000000004</v>
      </c>
    </row>
    <row r="1351" spans="3:6" ht="18.75">
      <c r="C1351">
        <v>24</v>
      </c>
      <c r="D1351" s="5">
        <v>46181</v>
      </c>
      <c r="E1351" t="s">
        <v>148</v>
      </c>
      <c r="F1351" s="11">
        <v>108.01000000000002</v>
      </c>
    </row>
    <row r="1352" spans="3:6" ht="18.75">
      <c r="C1352">
        <v>24</v>
      </c>
      <c r="D1352" s="5">
        <v>46181</v>
      </c>
      <c r="E1352" t="s">
        <v>138</v>
      </c>
      <c r="F1352" s="11">
        <v>491.52999999999963</v>
      </c>
    </row>
    <row r="1353" spans="3:6" ht="18.75">
      <c r="C1353">
        <v>24</v>
      </c>
      <c r="D1353" s="5">
        <v>46181</v>
      </c>
      <c r="E1353" t="s">
        <v>144</v>
      </c>
      <c r="F1353" s="11">
        <v>942.81000000000142</v>
      </c>
    </row>
    <row r="1354" spans="3:6" ht="18.75">
      <c r="C1354">
        <v>24</v>
      </c>
      <c r="D1354" s="5">
        <v>46181</v>
      </c>
      <c r="E1354" t="s">
        <v>132</v>
      </c>
      <c r="F1354" s="11">
        <v>253.69999999999987</v>
      </c>
    </row>
    <row r="1355" spans="3:6" ht="18.75">
      <c r="C1355">
        <v>24</v>
      </c>
      <c r="D1355" s="5">
        <v>46181</v>
      </c>
      <c r="E1355" t="s">
        <v>125</v>
      </c>
      <c r="F1355" s="11">
        <v>105.38</v>
      </c>
    </row>
    <row r="1356" spans="3:6" ht="18.75">
      <c r="C1356">
        <v>24</v>
      </c>
      <c r="D1356" s="5">
        <v>46181</v>
      </c>
      <c r="E1356" t="s">
        <v>216</v>
      </c>
      <c r="F1356" s="11">
        <v>478.87999999999954</v>
      </c>
    </row>
    <row r="1357" spans="3:6" ht="18.75">
      <c r="C1357">
        <v>24</v>
      </c>
      <c r="D1357" s="5">
        <v>46181</v>
      </c>
      <c r="E1357" t="s">
        <v>137</v>
      </c>
      <c r="F1357" s="11">
        <v>97.01</v>
      </c>
    </row>
    <row r="1358" spans="3:6" ht="18.75">
      <c r="C1358">
        <v>24</v>
      </c>
      <c r="D1358" s="5">
        <v>46181</v>
      </c>
      <c r="E1358" t="s">
        <v>122</v>
      </c>
      <c r="F1358" s="11">
        <v>328.64999999999986</v>
      </c>
    </row>
    <row r="1359" spans="3:6" ht="18.75">
      <c r="C1359">
        <v>24</v>
      </c>
      <c r="D1359" s="5">
        <v>46181</v>
      </c>
      <c r="E1359" t="s">
        <v>118</v>
      </c>
      <c r="F1359" s="11">
        <v>153.81</v>
      </c>
    </row>
    <row r="1360" spans="3:6" ht="18.75">
      <c r="C1360">
        <v>24</v>
      </c>
      <c r="D1360" s="5">
        <v>46181</v>
      </c>
      <c r="E1360" t="s">
        <v>123</v>
      </c>
      <c r="F1360" s="11">
        <v>405.86999999999955</v>
      </c>
    </row>
    <row r="1361" spans="3:6" ht="18.75">
      <c r="C1361">
        <v>24</v>
      </c>
      <c r="D1361" s="5">
        <v>46181</v>
      </c>
      <c r="E1361" t="s">
        <v>142</v>
      </c>
      <c r="F1361" s="11">
        <v>198.64000000000001</v>
      </c>
    </row>
    <row r="1362" spans="3:6" ht="18.75">
      <c r="C1362">
        <v>24</v>
      </c>
      <c r="D1362" s="5">
        <v>46181</v>
      </c>
      <c r="E1362" t="s">
        <v>113</v>
      </c>
      <c r="F1362" s="11">
        <v>255.91000000000003</v>
      </c>
    </row>
    <row r="1363" spans="3:6" ht="18.75">
      <c r="C1363">
        <v>24</v>
      </c>
      <c r="D1363" s="5">
        <v>46181</v>
      </c>
      <c r="E1363" t="s">
        <v>145</v>
      </c>
      <c r="F1363" s="11">
        <v>213.97999999999993</v>
      </c>
    </row>
    <row r="1364" spans="3:6" ht="18.75">
      <c r="C1364">
        <v>24</v>
      </c>
      <c r="D1364" s="5">
        <v>46181</v>
      </c>
      <c r="E1364" t="s">
        <v>126</v>
      </c>
      <c r="F1364" s="11">
        <v>134.16000000000003</v>
      </c>
    </row>
    <row r="1365" spans="3:6" ht="18.75">
      <c r="C1365">
        <v>24</v>
      </c>
      <c r="D1365" s="5">
        <v>46181</v>
      </c>
      <c r="E1365" t="s">
        <v>120</v>
      </c>
      <c r="F1365" s="11">
        <v>84.29</v>
      </c>
    </row>
    <row r="1366" spans="3:6" ht="18.75">
      <c r="C1366">
        <v>24</v>
      </c>
      <c r="D1366" s="5">
        <v>46181</v>
      </c>
      <c r="E1366" t="s">
        <v>127</v>
      </c>
      <c r="F1366" s="11">
        <v>265.03999999999985</v>
      </c>
    </row>
    <row r="1367" spans="3:6" ht="18.75">
      <c r="C1367">
        <v>24</v>
      </c>
      <c r="D1367" s="5">
        <v>46181</v>
      </c>
      <c r="E1367" t="s">
        <v>124</v>
      </c>
      <c r="F1367" s="11">
        <v>435.46999999999969</v>
      </c>
    </row>
    <row r="1368" spans="3:6" ht="18.75">
      <c r="C1368">
        <v>26</v>
      </c>
      <c r="D1368" s="5">
        <v>46195</v>
      </c>
      <c r="E1368" t="s">
        <v>119</v>
      </c>
      <c r="F1368" s="240">
        <v>335.73</v>
      </c>
    </row>
    <row r="1369" spans="3:6" ht="18.75">
      <c r="C1369">
        <v>26</v>
      </c>
      <c r="D1369" s="5">
        <v>46195</v>
      </c>
      <c r="E1369" t="s">
        <v>218</v>
      </c>
      <c r="F1369" s="240">
        <v>116.24000000000002</v>
      </c>
    </row>
    <row r="1370" spans="3:6" ht="18.75">
      <c r="C1370">
        <v>26</v>
      </c>
      <c r="D1370" s="5">
        <v>46195</v>
      </c>
      <c r="E1370" t="s">
        <v>121</v>
      </c>
      <c r="F1370" s="240">
        <v>139.89000000000007</v>
      </c>
    </row>
    <row r="1371" spans="3:6" ht="18.75">
      <c r="C1371">
        <v>26</v>
      </c>
      <c r="D1371" s="5">
        <v>46195</v>
      </c>
      <c r="E1371" t="s">
        <v>128</v>
      </c>
      <c r="F1371" s="240">
        <v>208.09</v>
      </c>
    </row>
    <row r="1372" spans="3:6" ht="18.75">
      <c r="C1372">
        <v>26</v>
      </c>
      <c r="D1372" s="5">
        <v>46195</v>
      </c>
      <c r="E1372" t="s">
        <v>150</v>
      </c>
      <c r="F1372" s="240">
        <v>143.13000000000002</v>
      </c>
    </row>
    <row r="1373" spans="3:6" ht="18.75">
      <c r="C1373">
        <v>26</v>
      </c>
      <c r="D1373" s="5">
        <v>46195</v>
      </c>
      <c r="E1373" t="s">
        <v>112</v>
      </c>
      <c r="F1373" s="240">
        <v>71.240000000000009</v>
      </c>
    </row>
    <row r="1374" spans="3:6" ht="18.75">
      <c r="C1374">
        <v>26</v>
      </c>
      <c r="D1374" s="5">
        <v>46195</v>
      </c>
      <c r="E1374" t="s">
        <v>148</v>
      </c>
      <c r="F1374" s="240">
        <v>68.09</v>
      </c>
    </row>
    <row r="1375" spans="3:6" ht="18.75">
      <c r="C1375">
        <v>26</v>
      </c>
      <c r="D1375" s="5">
        <v>46195</v>
      </c>
      <c r="E1375" t="s">
        <v>143</v>
      </c>
      <c r="F1375" s="240">
        <v>570.11999999999978</v>
      </c>
    </row>
    <row r="1376" spans="3:6" ht="18.75">
      <c r="C1376">
        <v>26</v>
      </c>
      <c r="D1376" s="5">
        <v>46195</v>
      </c>
      <c r="E1376" t="s">
        <v>139</v>
      </c>
      <c r="F1376" s="240">
        <v>247.01000000000008</v>
      </c>
    </row>
    <row r="1377" spans="3:6" ht="18.75">
      <c r="C1377">
        <v>26</v>
      </c>
      <c r="D1377" s="5">
        <v>46195</v>
      </c>
      <c r="E1377" t="s">
        <v>122</v>
      </c>
      <c r="F1377" s="240">
        <v>275.34999999999997</v>
      </c>
    </row>
    <row r="1378" spans="3:6" ht="18.75">
      <c r="C1378">
        <v>26</v>
      </c>
      <c r="D1378" s="5">
        <v>46195</v>
      </c>
      <c r="E1378" t="s">
        <v>136</v>
      </c>
      <c r="F1378" s="240">
        <v>186.46999999999994</v>
      </c>
    </row>
    <row r="1379" spans="3:6" ht="18.75">
      <c r="C1379">
        <v>26</v>
      </c>
      <c r="D1379" s="5">
        <v>46195</v>
      </c>
      <c r="E1379" t="s">
        <v>117</v>
      </c>
      <c r="F1379" s="240">
        <v>240.69999999999993</v>
      </c>
    </row>
    <row r="1380" spans="3:6" ht="18.75">
      <c r="C1380">
        <v>26</v>
      </c>
      <c r="D1380" s="5">
        <v>46195</v>
      </c>
      <c r="E1380" t="s">
        <v>129</v>
      </c>
      <c r="F1380" s="240">
        <v>386.50999999999988</v>
      </c>
    </row>
    <row r="1381" spans="3:6" ht="18.75">
      <c r="C1381">
        <v>26</v>
      </c>
      <c r="D1381" s="5">
        <v>46195</v>
      </c>
      <c r="E1381" t="s">
        <v>144</v>
      </c>
      <c r="F1381" s="240">
        <v>1017.2700000000018</v>
      </c>
    </row>
    <row r="1382" spans="3:6" ht="18.75">
      <c r="C1382">
        <v>26</v>
      </c>
      <c r="D1382" s="5">
        <v>46195</v>
      </c>
      <c r="E1382" t="s">
        <v>216</v>
      </c>
      <c r="F1382" s="240">
        <v>424.78000000000009</v>
      </c>
    </row>
    <row r="1383" spans="3:6" ht="18.75">
      <c r="C1383">
        <v>26</v>
      </c>
      <c r="D1383" s="5">
        <v>46195</v>
      </c>
      <c r="E1383" t="s">
        <v>124</v>
      </c>
      <c r="F1383" s="240">
        <v>426.20999999999987</v>
      </c>
    </row>
    <row r="1384" spans="3:6" ht="18.75">
      <c r="C1384">
        <v>26</v>
      </c>
      <c r="D1384" s="5">
        <v>46195</v>
      </c>
      <c r="E1384" t="s">
        <v>146</v>
      </c>
      <c r="F1384" s="240">
        <v>556.44999999999982</v>
      </c>
    </row>
    <row r="1385" spans="3:6" ht="18.75">
      <c r="C1385">
        <v>26</v>
      </c>
      <c r="D1385" s="5">
        <v>46195</v>
      </c>
      <c r="E1385" t="s">
        <v>115</v>
      </c>
      <c r="F1385" s="240">
        <v>371.77999999999975</v>
      </c>
    </row>
    <row r="1386" spans="3:6" ht="18.75">
      <c r="C1386">
        <v>26</v>
      </c>
      <c r="D1386" s="5">
        <v>46195</v>
      </c>
      <c r="E1386" t="s">
        <v>127</v>
      </c>
      <c r="F1386" s="240">
        <v>308.15000000000003</v>
      </c>
    </row>
    <row r="1387" spans="3:6" ht="18.75">
      <c r="C1387">
        <v>26</v>
      </c>
      <c r="D1387" s="5">
        <v>46195</v>
      </c>
      <c r="E1387" t="s">
        <v>135</v>
      </c>
      <c r="F1387" s="240">
        <v>83.120000000000019</v>
      </c>
    </row>
    <row r="1388" spans="3:6" ht="18.75">
      <c r="C1388">
        <v>26</v>
      </c>
      <c r="D1388" s="5">
        <v>46195</v>
      </c>
      <c r="E1388" t="s">
        <v>130</v>
      </c>
      <c r="F1388" s="240">
        <v>363.32999999999976</v>
      </c>
    </row>
    <row r="1389" spans="3:6" ht="18.75">
      <c r="C1389">
        <v>26</v>
      </c>
      <c r="D1389" s="5">
        <v>46195</v>
      </c>
      <c r="E1389" t="s">
        <v>118</v>
      </c>
      <c r="F1389" s="240">
        <v>194.45000000000005</v>
      </c>
    </row>
    <row r="1390" spans="3:6" ht="18.75">
      <c r="C1390">
        <v>26</v>
      </c>
      <c r="D1390" s="5">
        <v>46195</v>
      </c>
      <c r="E1390" t="s">
        <v>126</v>
      </c>
      <c r="F1390" s="240">
        <v>161.74000000000004</v>
      </c>
    </row>
    <row r="1391" spans="3:6" ht="18.75">
      <c r="C1391">
        <v>26</v>
      </c>
      <c r="D1391" s="5">
        <v>46195</v>
      </c>
      <c r="E1391" t="s">
        <v>114</v>
      </c>
      <c r="F1391" s="240">
        <v>427.90000000000003</v>
      </c>
    </row>
    <row r="1392" spans="3:6" ht="18.75">
      <c r="C1392">
        <v>26</v>
      </c>
      <c r="D1392" s="5">
        <v>46195</v>
      </c>
      <c r="E1392" t="s">
        <v>151</v>
      </c>
      <c r="F1392" s="240">
        <v>848.56000000000097</v>
      </c>
    </row>
    <row r="1393" spans="3:6" ht="18.75">
      <c r="C1393">
        <v>26</v>
      </c>
      <c r="D1393" s="5">
        <v>46195</v>
      </c>
      <c r="E1393" t="s">
        <v>134</v>
      </c>
      <c r="F1393" s="240">
        <v>405.27999999999969</v>
      </c>
    </row>
    <row r="1394" spans="3:6" ht="18.75">
      <c r="C1394">
        <v>26</v>
      </c>
      <c r="D1394" s="5">
        <v>46195</v>
      </c>
      <c r="E1394" t="s">
        <v>113</v>
      </c>
      <c r="F1394" s="240">
        <v>252.86999999999992</v>
      </c>
    </row>
    <row r="1395" spans="3:6" ht="18.75">
      <c r="C1395">
        <v>26</v>
      </c>
      <c r="D1395" s="5">
        <v>46195</v>
      </c>
      <c r="E1395" t="s">
        <v>131</v>
      </c>
      <c r="F1395" s="240">
        <v>242.45999999999998</v>
      </c>
    </row>
    <row r="1396" spans="3:6" ht="18.75">
      <c r="C1396">
        <v>26</v>
      </c>
      <c r="D1396" s="5">
        <v>46195</v>
      </c>
      <c r="E1396" t="s">
        <v>145</v>
      </c>
      <c r="F1396" s="240">
        <v>158.06000000000003</v>
      </c>
    </row>
    <row r="1397" spans="3:6" ht="18.75">
      <c r="C1397">
        <v>26</v>
      </c>
      <c r="D1397" s="5">
        <v>46195</v>
      </c>
      <c r="E1397" t="s">
        <v>133</v>
      </c>
      <c r="F1397" s="240">
        <v>371.88</v>
      </c>
    </row>
    <row r="1398" spans="3:6" ht="18.75">
      <c r="C1398">
        <v>26</v>
      </c>
      <c r="D1398" s="5">
        <v>46195</v>
      </c>
      <c r="E1398" t="s">
        <v>141</v>
      </c>
      <c r="F1398" s="240">
        <v>505.08999999999924</v>
      </c>
    </row>
    <row r="1399" spans="3:6" ht="18.75">
      <c r="C1399">
        <v>26</v>
      </c>
      <c r="D1399" s="5">
        <v>46195</v>
      </c>
      <c r="E1399" t="s">
        <v>138</v>
      </c>
      <c r="F1399" s="240">
        <v>517.16999999999985</v>
      </c>
    </row>
    <row r="1400" spans="3:6" ht="18.75">
      <c r="C1400">
        <v>26</v>
      </c>
      <c r="D1400" s="5">
        <v>46195</v>
      </c>
      <c r="E1400" t="s">
        <v>137</v>
      </c>
      <c r="F1400" s="240">
        <v>126.24000000000002</v>
      </c>
    </row>
    <row r="1401" spans="3:6" ht="18.75">
      <c r="C1401">
        <v>26</v>
      </c>
      <c r="D1401" s="5">
        <v>46195</v>
      </c>
      <c r="E1401" t="s">
        <v>147</v>
      </c>
      <c r="F1401" s="240">
        <v>367.54999999999984</v>
      </c>
    </row>
    <row r="1402" spans="3:6" ht="18.75">
      <c r="C1402">
        <v>26</v>
      </c>
      <c r="D1402" s="5">
        <v>46195</v>
      </c>
      <c r="E1402" t="s">
        <v>123</v>
      </c>
      <c r="F1402" s="240">
        <v>452.41999999999985</v>
      </c>
    </row>
    <row r="1403" spans="3:6" ht="18.75">
      <c r="C1403">
        <v>26</v>
      </c>
      <c r="D1403" s="5">
        <v>46195</v>
      </c>
      <c r="E1403" t="s">
        <v>111</v>
      </c>
      <c r="F1403" s="240">
        <v>152.59000000000006</v>
      </c>
    </row>
    <row r="1404" spans="3:6" ht="18.75">
      <c r="C1404">
        <v>26</v>
      </c>
      <c r="D1404" s="5">
        <v>46195</v>
      </c>
      <c r="E1404" t="s">
        <v>132</v>
      </c>
      <c r="F1404" s="240">
        <v>182.80999999999995</v>
      </c>
    </row>
    <row r="1405" spans="3:6" ht="18.75">
      <c r="C1405">
        <v>26</v>
      </c>
      <c r="D1405" s="5">
        <v>46195</v>
      </c>
      <c r="E1405" t="s">
        <v>142</v>
      </c>
      <c r="F1405" s="240">
        <v>116.54000000000003</v>
      </c>
    </row>
    <row r="1406" spans="3:6" ht="18.75">
      <c r="C1406">
        <v>26</v>
      </c>
      <c r="D1406" s="5">
        <v>46195</v>
      </c>
      <c r="E1406" t="s">
        <v>125</v>
      </c>
      <c r="F1406" s="240">
        <v>78.36</v>
      </c>
    </row>
    <row r="1407" spans="3:6" ht="18.75">
      <c r="C1407">
        <v>26</v>
      </c>
      <c r="D1407" s="5">
        <v>46195</v>
      </c>
      <c r="E1407" t="s">
        <v>120</v>
      </c>
      <c r="F1407" s="240">
        <v>87.440000000000026</v>
      </c>
    </row>
    <row r="1408" spans="3:6" ht="18.75">
      <c r="C1408">
        <v>26</v>
      </c>
      <c r="D1408" s="5">
        <v>46195</v>
      </c>
      <c r="E1408" t="s">
        <v>116</v>
      </c>
      <c r="F1408" s="240">
        <v>78.38000000000001</v>
      </c>
    </row>
    <row r="1409" ht="18.75"/>
    <row r="1410" ht="18.75"/>
    <row r="1411" ht="18.75"/>
    <row r="1412" ht="18.75"/>
    <row r="1413" ht="18.75"/>
    <row r="1414" ht="18.75"/>
    <row r="1415" ht="18.75"/>
    <row r="1416" ht="18.75"/>
    <row r="1417" ht="18.75"/>
    <row r="1418" ht="18.75"/>
    <row r="1419" ht="18.75"/>
    <row r="1420" ht="18.75"/>
    <row r="1421" ht="18.75"/>
    <row r="1422" ht="18.75"/>
    <row r="1423" ht="18.75"/>
    <row r="1424" ht="18.75"/>
    <row r="1425" ht="18.75"/>
    <row r="1426" ht="18.75"/>
    <row r="1427" ht="18.75"/>
    <row r="1428" ht="18.75"/>
    <row r="1429" ht="18.75"/>
    <row r="1430" ht="18.75"/>
    <row r="1431" ht="18.75"/>
    <row r="1432" ht="18.75"/>
    <row r="1433" ht="18.75"/>
    <row r="1434" ht="18.75"/>
    <row r="1435" ht="18.75"/>
    <row r="1436" ht="18.75"/>
    <row r="1437" ht="18.75"/>
    <row r="1438" ht="18.75"/>
    <row r="1439" ht="18.75"/>
    <row r="1440" ht="18.75"/>
    <row r="1441" ht="18.75"/>
    <row r="1442" ht="18.75"/>
    <row r="1443" ht="18.75"/>
    <row r="1444" ht="18.75"/>
    <row r="1445" ht="18.75"/>
    <row r="1446" ht="18.75"/>
    <row r="1447" ht="18.75"/>
    <row r="1448" ht="18.75"/>
    <row r="1449" ht="18.75"/>
    <row r="1450" ht="18.75"/>
    <row r="1451" ht="18.75"/>
    <row r="1452" ht="18.75"/>
    <row r="1453" ht="18.75"/>
    <row r="1454" ht="18.75"/>
    <row r="1455" ht="18.75"/>
    <row r="1456" ht="18.75"/>
    <row r="1457" ht="18.75"/>
    <row r="1458" ht="18.75"/>
    <row r="1459" ht="18.75"/>
    <row r="1460" ht="18.75"/>
    <row r="1461" ht="18.75"/>
    <row r="1462" ht="18.75"/>
    <row r="1463" ht="18.75"/>
    <row r="1464" ht="18.75"/>
    <row r="1465" ht="18.75"/>
    <row r="1466" ht="18.75"/>
    <row r="1467" ht="18.75"/>
    <row r="1468" ht="18.75"/>
    <row r="1469" ht="18.75"/>
    <row r="1470" ht="18.75"/>
    <row r="1471" ht="18.75"/>
    <row r="1472" ht="18.75"/>
    <row r="1473" ht="18.75"/>
    <row r="1474" ht="18.75"/>
    <row r="1475" ht="18.75"/>
    <row r="1476" ht="18.75"/>
    <row r="1477" ht="18.75"/>
    <row r="1478" ht="18.75"/>
    <row r="1479" ht="18.75"/>
    <row r="1480" ht="18.75"/>
    <row r="1481" ht="18.75"/>
    <row r="1482" ht="18.75"/>
    <row r="1483" ht="18.75"/>
    <row r="1484" ht="18.75"/>
    <row r="1485" ht="18.75"/>
    <row r="1486" ht="18.75"/>
    <row r="1487" ht="18.75"/>
    <row r="1488" ht="18.75"/>
    <row r="1489" ht="18.75"/>
    <row r="1490" ht="18.75"/>
    <row r="1491" ht="18.75"/>
    <row r="1492" ht="18.75"/>
    <row r="1493" ht="18.75"/>
    <row r="1494" ht="18.75"/>
    <row r="1495" ht="18.75"/>
    <row r="1496" ht="18.75"/>
    <row r="1497" ht="18.75"/>
    <row r="1498" ht="18.75"/>
    <row r="1499" ht="18.75"/>
    <row r="1500" ht="18.75"/>
    <row r="1501" ht="18.75"/>
    <row r="1502" ht="18.75"/>
    <row r="1503" ht="18.75"/>
    <row r="1504" ht="18.75"/>
    <row r="1505" ht="18.75"/>
    <row r="1506" ht="18.75"/>
    <row r="1507" ht="18.75"/>
    <row r="1508" ht="18.75"/>
    <row r="1509" ht="18.75"/>
    <row r="1510" ht="18.75"/>
    <row r="1511" ht="18.75"/>
    <row r="1512" ht="18.75"/>
    <row r="1513" ht="18.75"/>
    <row r="1514" ht="18.75"/>
    <row r="1515" ht="18.75"/>
    <row r="1516" ht="18.75"/>
    <row r="1517" ht="18.75"/>
    <row r="1518" ht="18.75"/>
    <row r="1519" ht="18.75"/>
    <row r="1520" ht="18.75"/>
    <row r="1521" ht="18.75"/>
    <row r="1522" ht="18.75"/>
    <row r="1523" ht="18.75"/>
    <row r="1524" ht="18.75"/>
    <row r="1525" ht="18.75"/>
    <row r="1526" ht="18.75"/>
    <row r="1527" ht="18.75"/>
    <row r="1528" ht="18.75"/>
    <row r="1529" ht="18.75"/>
    <row r="1530" ht="18.75"/>
    <row r="1531" ht="18.75"/>
    <row r="1532" ht="18.75"/>
    <row r="1533" ht="18.75"/>
    <row r="1534" ht="18.75"/>
    <row r="1535" ht="18.75"/>
    <row r="1536" ht="18.75"/>
    <row r="1537" ht="18.75"/>
    <row r="1538" ht="18.75"/>
    <row r="1539" ht="18.75"/>
    <row r="1540" ht="18.75"/>
    <row r="1541" ht="18.75"/>
    <row r="1542" ht="18.75"/>
    <row r="1543" ht="18.75"/>
    <row r="1544" ht="18.75"/>
    <row r="1545" ht="18.75"/>
    <row r="1546" ht="18.75"/>
    <row r="1547" ht="18.75"/>
    <row r="1548" ht="18.75"/>
    <row r="1549" ht="18.75"/>
    <row r="1550" ht="18.75"/>
    <row r="1551" ht="18.75"/>
    <row r="1552" ht="18.75"/>
    <row r="1553" ht="18.75"/>
    <row r="1554" ht="18.75"/>
    <row r="1555" ht="18.75"/>
    <row r="1556" ht="18.75"/>
    <row r="1557" ht="18.75"/>
    <row r="1558" ht="18.75"/>
    <row r="1559" ht="18.75"/>
    <row r="1560" ht="18.75"/>
    <row r="1561" ht="18.75"/>
    <row r="1562" ht="18.75"/>
    <row r="1563" ht="18.75"/>
    <row r="1564" ht="18.75"/>
    <row r="1565" ht="18.75"/>
    <row r="1566" ht="18.75"/>
    <row r="1567" ht="18.75"/>
    <row r="1568" ht="18.75"/>
    <row r="1569" ht="18.75"/>
    <row r="1570" ht="18.75"/>
    <row r="1571" ht="18.75"/>
    <row r="1572" ht="18.75"/>
    <row r="1573" ht="18.75"/>
    <row r="1574" ht="18.75"/>
    <row r="1575" ht="18.75"/>
    <row r="1576" ht="18.75"/>
    <row r="1577" ht="18.75"/>
    <row r="1578" ht="18.75"/>
    <row r="1579" ht="18.75"/>
    <row r="1580" ht="18.75"/>
    <row r="1581" ht="18.75"/>
    <row r="1582" ht="18.75"/>
    <row r="1583" ht="18.75"/>
    <row r="1584" ht="18.75"/>
    <row r="1585" ht="18.75"/>
    <row r="1586" ht="18.75"/>
    <row r="1587" ht="18.75"/>
    <row r="1588" ht="18.75"/>
    <row r="1589" ht="18.75"/>
    <row r="1590" ht="18.75"/>
    <row r="1591" ht="18.75"/>
    <row r="1592" ht="18.75"/>
    <row r="1593" ht="18.75"/>
    <row r="1594" ht="18.75"/>
    <row r="1595" ht="18.75"/>
    <row r="1596" ht="18.75"/>
    <row r="1597" ht="18.75"/>
    <row r="1598" ht="18.75"/>
    <row r="1599" ht="18.75"/>
    <row r="1600" ht="18.75"/>
    <row r="1601" ht="18.75"/>
    <row r="1602" ht="18.75"/>
    <row r="1603" ht="18.75"/>
    <row r="1604" ht="18.75"/>
    <row r="1605" ht="18.75"/>
    <row r="1606" ht="18.75"/>
    <row r="1607" ht="18.75"/>
    <row r="1608" ht="18.75"/>
    <row r="1609" ht="18.75"/>
    <row r="1610" ht="18.75"/>
    <row r="1611" ht="18.75"/>
    <row r="1612" ht="18.75"/>
    <row r="1613" ht="18.75"/>
    <row r="1614" ht="18.75"/>
    <row r="1615" ht="18.75"/>
    <row r="1616" ht="18.75"/>
    <row r="1617" ht="18.75"/>
    <row r="1618" ht="18.75"/>
    <row r="1619" ht="18.75"/>
    <row r="1620" ht="18.75"/>
    <row r="1621" ht="18.75"/>
    <row r="1622" ht="18.75"/>
    <row r="1623" ht="18.75"/>
    <row r="1624" ht="18.75"/>
    <row r="1625" ht="18.75"/>
    <row r="1626" ht="18.75"/>
    <row r="1627" ht="18.75"/>
    <row r="1628" ht="18.75"/>
    <row r="1629" ht="18.75"/>
    <row r="1630" ht="18.75"/>
    <row r="1631" ht="18.75"/>
    <row r="1632" ht="18.75"/>
    <row r="1633" ht="18.75"/>
    <row r="1634" ht="18.75"/>
    <row r="1635" ht="18.75"/>
    <row r="1636" ht="18.75"/>
    <row r="1637" ht="18.75"/>
    <row r="1638" ht="18.75"/>
    <row r="1639" ht="18.75"/>
    <row r="1640" ht="18.75"/>
    <row r="1641" ht="18.75"/>
    <row r="1642" ht="18.75"/>
    <row r="1643" ht="18.75"/>
    <row r="1644" ht="18.75"/>
    <row r="1645" ht="18.75"/>
    <row r="1646" ht="18.75"/>
    <row r="1647" ht="18.75"/>
    <row r="1648" ht="18.75"/>
    <row r="1649" ht="18.75"/>
    <row r="1650" ht="18.75"/>
    <row r="1651" ht="18.75"/>
    <row r="1652" ht="18.75"/>
    <row r="1653" ht="18.75"/>
    <row r="1654" ht="18.75"/>
    <row r="1655" ht="18.75"/>
    <row r="1656" ht="18.75"/>
    <row r="1657" ht="18.75"/>
    <row r="1658" ht="18.75"/>
    <row r="1659" ht="18.75"/>
    <row r="1660" ht="18.75"/>
    <row r="1661" ht="18.75"/>
    <row r="1662" ht="18.75"/>
    <row r="1663" ht="18.75"/>
    <row r="1664" ht="18.75"/>
    <row r="1665" ht="18.75"/>
    <row r="1666" ht="18.75"/>
    <row r="1667" ht="18.75"/>
    <row r="1668" ht="18.75"/>
    <row r="1669" ht="18.75"/>
    <row r="1670" ht="18.75"/>
    <row r="1671" ht="18.75"/>
    <row r="1672" ht="18.75"/>
    <row r="1673" ht="18.75"/>
    <row r="1674" ht="18.75"/>
    <row r="1675" ht="18.75"/>
    <row r="1676" ht="18.75"/>
    <row r="1677" ht="18.75"/>
    <row r="1678" ht="18.75"/>
    <row r="1679" ht="18.75"/>
    <row r="1680" ht="18.75"/>
    <row r="1681" ht="18.75"/>
    <row r="1682" ht="18.75"/>
    <row r="1683" ht="18.75"/>
    <row r="1684" ht="18.75"/>
    <row r="1685" ht="18.75"/>
    <row r="1686" ht="18.75"/>
    <row r="1687" ht="18.75"/>
    <row r="1688" ht="18.75"/>
    <row r="1689" ht="18.75"/>
    <row r="1690" ht="18.75"/>
    <row r="1691" ht="18.75"/>
    <row r="1692" ht="18.75"/>
    <row r="1693" ht="18.75"/>
    <row r="1694" ht="18.75"/>
    <row r="1695" ht="18.75"/>
    <row r="1696" ht="18.75"/>
    <row r="1697" ht="18.75"/>
    <row r="1698" ht="18.75"/>
    <row r="1699" ht="18.75"/>
    <row r="1700" ht="18.75"/>
    <row r="1701" ht="18.75"/>
    <row r="1702" ht="18.75"/>
    <row r="1703" ht="18.75"/>
    <row r="1704" ht="18.75"/>
    <row r="1705" ht="18.75"/>
    <row r="1706" ht="18.75"/>
    <row r="1707" ht="18.75"/>
    <row r="1708" ht="18.75"/>
    <row r="1709" ht="18.75"/>
    <row r="1710" ht="18.75"/>
    <row r="1711" ht="18.75"/>
    <row r="1712" ht="18.75"/>
    <row r="1713" ht="18.75"/>
    <row r="1714" ht="18.75"/>
    <row r="1715" ht="18.75"/>
    <row r="1716" ht="18.75"/>
    <row r="1717" ht="18.75"/>
    <row r="1718" ht="18.75"/>
    <row r="1719" ht="18.75"/>
    <row r="1720" ht="18.75"/>
    <row r="1721" ht="18.75"/>
    <row r="1722" ht="18.75"/>
    <row r="1723" ht="18.75"/>
    <row r="1724" ht="18.75"/>
    <row r="1725" ht="18.75"/>
    <row r="1726" ht="18.75"/>
    <row r="1727" ht="18.75"/>
    <row r="1728" ht="18.75"/>
    <row r="1729" ht="18.75"/>
    <row r="1730" ht="18.75"/>
    <row r="1731" ht="18.75"/>
    <row r="1732" ht="18.75"/>
    <row r="1733" ht="18.75"/>
    <row r="1734" ht="18.75"/>
    <row r="1735" ht="18.75"/>
    <row r="1736" ht="18.75"/>
    <row r="1737" ht="18.75"/>
    <row r="1738" ht="18.75"/>
    <row r="1739" ht="18.75"/>
    <row r="1740" ht="18.75"/>
    <row r="1741" ht="18.75"/>
    <row r="1742" ht="18.75"/>
    <row r="1743" ht="18.75"/>
    <row r="1744" ht="18.75"/>
    <row r="1745" ht="18.75"/>
    <row r="1746" ht="18.75"/>
    <row r="1747" ht="18.75"/>
    <row r="1748" ht="18.75"/>
    <row r="1749" ht="18.75"/>
    <row r="1750" ht="18.75"/>
    <row r="1751" ht="18.75"/>
    <row r="1752" ht="18.75"/>
    <row r="1753" ht="18.75"/>
    <row r="1754" ht="18.75"/>
    <row r="1755" ht="18.75"/>
    <row r="1756" ht="18.75"/>
    <row r="1757" ht="18.75"/>
    <row r="1758" ht="18.75"/>
    <row r="1759" ht="18.75"/>
    <row r="1760" ht="18.75"/>
    <row r="1761" ht="18.75"/>
    <row r="1762" ht="18.75"/>
    <row r="1763" ht="18.75"/>
    <row r="1764" ht="18.75"/>
    <row r="1765" ht="18.75"/>
    <row r="1766" ht="18.75"/>
    <row r="1767" ht="18.75"/>
    <row r="1768" ht="18.75"/>
    <row r="1769" ht="18.75"/>
    <row r="1770" ht="18.75"/>
    <row r="1771" ht="18.75"/>
    <row r="1772" ht="18.75"/>
    <row r="1773" ht="18.75"/>
    <row r="1774" ht="18.75"/>
    <row r="1775" ht="18.75"/>
    <row r="1776" ht="18.75"/>
    <row r="1777" ht="18.75"/>
    <row r="1778" ht="18.75"/>
    <row r="1779" ht="18.75"/>
    <row r="1780" ht="18.75"/>
    <row r="1781" ht="18.75"/>
    <row r="1782" ht="18.75"/>
    <row r="1783" ht="18.75"/>
    <row r="1784" ht="18.75"/>
    <row r="1785" ht="18.75"/>
    <row r="1786" ht="18.75"/>
    <row r="1787" ht="18.75"/>
    <row r="1788" ht="18.75"/>
    <row r="1789" ht="18.75"/>
    <row r="1790" ht="18.75"/>
    <row r="1791" ht="18.75"/>
    <row r="1792" ht="18.75"/>
    <row r="1793" ht="18.75"/>
    <row r="1794" ht="18.75"/>
    <row r="1795" ht="18.75"/>
    <row r="1796" ht="18.75"/>
    <row r="1797" ht="18.75"/>
    <row r="1798" ht="18.75"/>
    <row r="1799" ht="18.75"/>
    <row r="1800" ht="18.75"/>
    <row r="1801" ht="18.75"/>
    <row r="1802" ht="18.75"/>
    <row r="1803" ht="18.75"/>
    <row r="1804" ht="18.75"/>
    <row r="1805" ht="18.75"/>
    <row r="1806" ht="18.75"/>
    <row r="1807" ht="18.75"/>
    <row r="1808" ht="18.75"/>
    <row r="1809" ht="18.75"/>
    <row r="1810" ht="18.75"/>
    <row r="1811" ht="18.75"/>
    <row r="1812" ht="18.75"/>
    <row r="1813" ht="18.75"/>
    <row r="1814" ht="18.75"/>
    <row r="1815" ht="18.75"/>
    <row r="1816" ht="18.75"/>
    <row r="1817" ht="18.75"/>
    <row r="1818" ht="18.75"/>
    <row r="1819" ht="18.75"/>
    <row r="1820" ht="18.75"/>
    <row r="1821" ht="18.75"/>
    <row r="1822" ht="18.75"/>
    <row r="1823" ht="18.75"/>
    <row r="1824" ht="18.75"/>
    <row r="1825" ht="18.75"/>
    <row r="1826" ht="18.75"/>
    <row r="1827" ht="18.75"/>
    <row r="1828" ht="18.75"/>
    <row r="1829" ht="18.75"/>
    <row r="1830" ht="18.75"/>
    <row r="1831" ht="18.75"/>
    <row r="1832" ht="18.75"/>
    <row r="1833" ht="18.75"/>
    <row r="1834" ht="18.75"/>
    <row r="1835" ht="18.75"/>
    <row r="1836" ht="18.75"/>
    <row r="1837" ht="18.75"/>
    <row r="1838" ht="18.75"/>
    <row r="1839" ht="18.75"/>
    <row r="1840" ht="18.75"/>
    <row r="1841" ht="18.75"/>
    <row r="1842" ht="18.75"/>
    <row r="1843" ht="18.75"/>
    <row r="1844" ht="18.75"/>
    <row r="1845" ht="18.75"/>
    <row r="1846" ht="18.75"/>
    <row r="1847" ht="18.75"/>
    <row r="1848" ht="18.75"/>
    <row r="1849" ht="18.75"/>
    <row r="1850" ht="18.75"/>
    <row r="1851" ht="18.75"/>
    <row r="1852" ht="18.75"/>
    <row r="1853" ht="18.75"/>
    <row r="1854" ht="18.75"/>
    <row r="1855" ht="18.75"/>
    <row r="1856" ht="18.75"/>
    <row r="1857" ht="18.75"/>
    <row r="1858" ht="18.75"/>
    <row r="1859" ht="18.75"/>
    <row r="1860" ht="18.75"/>
    <row r="1861" ht="18.75"/>
    <row r="1862" ht="18.75"/>
    <row r="1863" ht="18.75"/>
    <row r="1864" ht="18.75"/>
    <row r="1865" ht="18.75"/>
    <row r="1866" ht="18.75"/>
    <row r="1867" ht="18.75"/>
    <row r="1868" ht="18.75"/>
    <row r="1869" ht="18.75"/>
    <row r="1870" ht="18.75"/>
    <row r="1871" ht="18.75"/>
    <row r="1872" ht="18.75"/>
    <row r="1873" ht="18.75"/>
    <row r="1874" ht="18.75"/>
    <row r="1875" ht="18.75"/>
    <row r="1876" ht="18.75"/>
    <row r="1877" ht="18.75"/>
    <row r="1878" ht="18.75"/>
    <row r="1879" ht="18.75"/>
    <row r="1880" ht="18.75"/>
    <row r="1881" ht="18.75"/>
    <row r="1882" ht="18.75"/>
    <row r="1883" ht="18.75"/>
    <row r="1884" ht="18.75"/>
    <row r="1885" ht="18.75"/>
    <row r="1886" ht="18.75"/>
    <row r="1887" ht="18.75"/>
    <row r="1888" ht="18.75"/>
    <row r="1889" ht="18.75"/>
    <row r="1890" ht="18.75"/>
    <row r="1891" ht="18.75"/>
    <row r="1892" ht="18.75"/>
    <row r="1893" ht="18.75"/>
    <row r="1894" ht="18.75"/>
    <row r="1895" ht="18.75"/>
    <row r="1896" ht="18.75"/>
    <row r="1897" ht="18.75"/>
    <row r="1898" ht="18.75"/>
    <row r="1899" ht="18.75"/>
    <row r="1900" ht="18.75"/>
    <row r="1901" ht="18.75"/>
    <row r="1902" ht="18.75"/>
    <row r="1903" ht="18.75"/>
    <row r="1904" ht="18.75"/>
    <row r="1905" ht="18.75"/>
    <row r="1906" ht="18.75"/>
    <row r="1907" ht="18.75"/>
    <row r="1908" ht="18.75"/>
    <row r="1909" ht="18.75"/>
    <row r="1910" ht="18.75"/>
    <row r="1911" ht="18.75"/>
    <row r="1912" ht="18.75"/>
    <row r="1913" ht="18.75"/>
    <row r="1914" ht="18.75"/>
    <row r="1915" ht="18.75"/>
    <row r="1916" ht="18.75"/>
    <row r="1917" ht="18.75"/>
    <row r="1918" ht="18.75"/>
    <row r="1919" ht="18.75"/>
    <row r="1920" ht="18.75"/>
    <row r="1921" ht="18.75"/>
    <row r="1922" ht="18.75"/>
    <row r="1923" ht="18.75"/>
    <row r="1924" ht="18.75"/>
    <row r="1925" ht="18.75"/>
    <row r="1926" ht="18.75"/>
    <row r="1927" ht="18.75"/>
    <row r="1928" ht="18.75"/>
    <row r="1929" ht="18.75"/>
    <row r="1930" ht="18.75"/>
    <row r="1931" ht="18.75"/>
    <row r="1932" ht="18.75"/>
    <row r="1933" ht="18.75"/>
    <row r="1934" ht="18.75"/>
    <row r="1935" ht="18.75"/>
    <row r="1936" ht="18.75"/>
    <row r="1937" ht="18.75"/>
    <row r="1938" ht="18.75"/>
    <row r="1939" ht="18.75"/>
    <row r="1940" ht="18.75"/>
    <row r="1941" ht="18.75"/>
    <row r="1942" ht="18.75"/>
    <row r="1943" ht="18.75"/>
    <row r="1944" ht="18.75"/>
    <row r="1945" ht="18.75"/>
    <row r="1946" ht="18.75"/>
    <row r="1947" ht="18.75"/>
    <row r="1948" ht="18.75"/>
    <row r="1949" ht="18.75"/>
  </sheetData>
  <mergeCells count="2">
    <mergeCell ref="C4:P4"/>
    <mergeCell ref="R4:AE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C64D-2B13-49F5-BD05-A659E4AC0FBE}">
  <sheetPr codeName="Sheet2"/>
  <dimension ref="B1:BJ2208"/>
  <sheetViews>
    <sheetView showGridLines="0" topLeftCell="AH4" workbookViewId="0">
      <selection activeCell="AI8" sqref="AI8"/>
    </sheetView>
  </sheetViews>
  <sheetFormatPr defaultColWidth="8.69921875" defaultRowHeight="18.95"/>
  <cols>
    <col min="2" max="2" width="9.69921875" customWidth="1"/>
    <col min="3" max="3" width="15.8984375" customWidth="1"/>
    <col min="4" max="4" width="26.8984375" bestFit="1" customWidth="1"/>
    <col min="5" max="5" width="26.8984375" customWidth="1"/>
    <col min="6" max="6" width="14.59765625" customWidth="1"/>
    <col min="7" max="7" width="15" customWidth="1"/>
    <col min="8" max="8" width="16.69921875" bestFit="1" customWidth="1"/>
    <col min="9" max="9" width="15" bestFit="1" customWidth="1"/>
    <col min="10" max="10" width="12.8984375" customWidth="1"/>
    <col min="12" max="12" width="9.69921875" customWidth="1"/>
    <col min="13" max="13" width="15.8984375" customWidth="1"/>
    <col min="14" max="15" width="14.69921875" customWidth="1"/>
    <col min="16" max="16" width="14.59765625" customWidth="1"/>
    <col min="17" max="17" width="17" bestFit="1" customWidth="1"/>
    <col min="18" max="18" width="16.69921875" bestFit="1" customWidth="1"/>
    <col min="19" max="19" width="15.59765625" bestFit="1" customWidth="1"/>
    <col min="20" max="20" width="10.296875" bestFit="1" customWidth="1"/>
    <col min="22" max="22" width="9.69921875" customWidth="1"/>
    <col min="23" max="23" width="15.8984375" customWidth="1"/>
    <col min="24" max="25" width="15" customWidth="1"/>
    <col min="26" max="26" width="13.296875" bestFit="1" customWidth="1"/>
    <col min="27" max="28" width="13.296875" customWidth="1"/>
    <col min="29" max="29" width="13.8984375" bestFit="1" customWidth="1"/>
    <col min="30" max="30" width="10.296875" bestFit="1" customWidth="1"/>
    <col min="34" max="34" width="13.69921875" bestFit="1" customWidth="1"/>
    <col min="35" max="35" width="11.296875" bestFit="1" customWidth="1"/>
    <col min="36" max="36" width="13.3984375" bestFit="1" customWidth="1"/>
    <col min="37" max="37" width="13.3984375" customWidth="1"/>
    <col min="38" max="38" width="15.3984375" bestFit="1" customWidth="1"/>
    <col min="39" max="39" width="16" bestFit="1" customWidth="1"/>
    <col min="40" max="40" width="19.3984375" bestFit="1" customWidth="1"/>
    <col min="41" max="41" width="17" bestFit="1" customWidth="1"/>
    <col min="42" max="42" width="11.3984375" bestFit="1" customWidth="1"/>
    <col min="44" max="44" width="13.69921875" bestFit="1" customWidth="1"/>
    <col min="45" max="45" width="11.296875" bestFit="1" customWidth="1"/>
    <col min="46" max="46" width="19.69921875" customWidth="1"/>
    <col min="47" max="47" width="15.59765625" customWidth="1"/>
    <col min="48" max="48" width="15.3984375" bestFit="1" customWidth="1"/>
    <col min="49" max="49" width="19.3984375" bestFit="1" customWidth="1"/>
    <col min="50" max="50" width="17" bestFit="1" customWidth="1"/>
    <col min="51" max="51" width="16" bestFit="1" customWidth="1"/>
    <col min="52" max="52" width="11.3984375" bestFit="1" customWidth="1"/>
    <col min="54" max="54" width="13.69921875" bestFit="1" customWidth="1"/>
    <col min="55" max="55" width="11.296875" bestFit="1" customWidth="1"/>
    <col min="56" max="56" width="16" bestFit="1" customWidth="1"/>
    <col min="57" max="57" width="16" customWidth="1"/>
    <col min="58" max="58" width="15.3984375" bestFit="1" customWidth="1"/>
    <col min="59" max="59" width="19.3984375" bestFit="1" customWidth="1"/>
    <col min="60" max="60" width="17" bestFit="1" customWidth="1"/>
    <col min="61" max="61" width="16" bestFit="1" customWidth="1"/>
    <col min="62" max="62" width="11.3984375" bestFit="1" customWidth="1"/>
  </cols>
  <sheetData>
    <row r="1" spans="2:62" ht="18.75" customHeight="1">
      <c r="B1" s="207" t="s">
        <v>229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H1" s="207" t="s">
        <v>230</v>
      </c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</row>
    <row r="3" spans="2:62">
      <c r="B3" t="s">
        <v>17</v>
      </c>
      <c r="C3" t="s">
        <v>193</v>
      </c>
      <c r="D3" t="s">
        <v>31</v>
      </c>
      <c r="E3" t="s">
        <v>231</v>
      </c>
      <c r="F3" t="s">
        <v>29</v>
      </c>
      <c r="G3" t="s">
        <v>232</v>
      </c>
      <c r="H3" t="s">
        <v>51</v>
      </c>
      <c r="I3" t="s">
        <v>52</v>
      </c>
      <c r="J3" t="s">
        <v>32</v>
      </c>
      <c r="L3" t="s">
        <v>17</v>
      </c>
      <c r="M3" t="s">
        <v>193</v>
      </c>
      <c r="N3" t="s">
        <v>157</v>
      </c>
      <c r="O3" t="s">
        <v>231</v>
      </c>
      <c r="P3" t="s">
        <v>29</v>
      </c>
      <c r="Q3" t="s">
        <v>51</v>
      </c>
      <c r="R3" t="s">
        <v>52</v>
      </c>
      <c r="S3" t="s">
        <v>232</v>
      </c>
      <c r="T3" t="s">
        <v>32</v>
      </c>
      <c r="V3" t="s">
        <v>17</v>
      </c>
      <c r="W3" t="s">
        <v>193</v>
      </c>
      <c r="X3" t="s">
        <v>36</v>
      </c>
      <c r="Y3" t="s">
        <v>231</v>
      </c>
      <c r="Z3" t="s">
        <v>29</v>
      </c>
      <c r="AA3" t="s">
        <v>51</v>
      </c>
      <c r="AB3" t="s">
        <v>52</v>
      </c>
      <c r="AC3" t="s">
        <v>232</v>
      </c>
      <c r="AD3" t="s">
        <v>32</v>
      </c>
      <c r="AH3" t="s">
        <v>69</v>
      </c>
      <c r="AI3" t="s">
        <v>25</v>
      </c>
      <c r="AJ3" t="s">
        <v>31</v>
      </c>
      <c r="AK3" t="s">
        <v>231</v>
      </c>
      <c r="AL3" t="s">
        <v>29</v>
      </c>
      <c r="AM3" t="s">
        <v>232</v>
      </c>
      <c r="AN3" t="s">
        <v>51</v>
      </c>
      <c r="AO3" t="s">
        <v>52</v>
      </c>
      <c r="AP3" t="s">
        <v>32</v>
      </c>
      <c r="AR3" t="s">
        <v>69</v>
      </c>
      <c r="AS3" t="s">
        <v>25</v>
      </c>
      <c r="AT3" t="s">
        <v>157</v>
      </c>
      <c r="AU3" t="s">
        <v>231</v>
      </c>
      <c r="AV3" t="s">
        <v>29</v>
      </c>
      <c r="AW3" t="s">
        <v>51</v>
      </c>
      <c r="AX3" t="s">
        <v>52</v>
      </c>
      <c r="AY3" t="s">
        <v>232</v>
      </c>
      <c r="AZ3" t="s">
        <v>32</v>
      </c>
      <c r="BB3" t="s">
        <v>69</v>
      </c>
      <c r="BC3" t="s">
        <v>25</v>
      </c>
      <c r="BD3" t="s">
        <v>36</v>
      </c>
      <c r="BE3" t="s">
        <v>231</v>
      </c>
      <c r="BF3" t="s">
        <v>29</v>
      </c>
      <c r="BG3" t="s">
        <v>51</v>
      </c>
      <c r="BH3" t="s">
        <v>52</v>
      </c>
      <c r="BI3" t="s">
        <v>232</v>
      </c>
      <c r="BJ3" t="s">
        <v>32</v>
      </c>
    </row>
    <row r="4" spans="2:62">
      <c r="B4">
        <v>44</v>
      </c>
      <c r="C4" s="5">
        <v>45957</v>
      </c>
      <c r="D4" t="s">
        <v>118</v>
      </c>
      <c r="E4">
        <v>58</v>
      </c>
      <c r="F4" s="6">
        <v>181.27</v>
      </c>
      <c r="G4" s="6">
        <v>0</v>
      </c>
      <c r="H4" s="6">
        <v>0.97</v>
      </c>
      <c r="I4" s="6">
        <v>0</v>
      </c>
      <c r="J4" s="6">
        <v>181.27</v>
      </c>
      <c r="L4">
        <v>44</v>
      </c>
      <c r="M4" s="5">
        <v>45957</v>
      </c>
      <c r="N4" t="s">
        <v>168</v>
      </c>
      <c r="O4">
        <v>274</v>
      </c>
      <c r="P4" s="6">
        <v>516.6</v>
      </c>
      <c r="Q4" s="6">
        <v>0</v>
      </c>
      <c r="R4" s="6">
        <v>0.46</v>
      </c>
      <c r="S4" s="6">
        <v>69.989999999999995</v>
      </c>
      <c r="T4" s="6">
        <v>586.59</v>
      </c>
      <c r="V4">
        <v>44</v>
      </c>
      <c r="W4" s="5">
        <v>45957</v>
      </c>
      <c r="X4" t="s">
        <v>184</v>
      </c>
      <c r="Y4">
        <v>313</v>
      </c>
      <c r="Z4" s="6">
        <v>630.4</v>
      </c>
      <c r="AA4" s="6">
        <v>0</v>
      </c>
      <c r="AB4" s="6">
        <v>0.46</v>
      </c>
      <c r="AC4" s="6">
        <v>76.39</v>
      </c>
      <c r="AD4" s="6">
        <v>706.79</v>
      </c>
      <c r="AH4" t="s">
        <v>210</v>
      </c>
      <c r="AI4" s="5">
        <v>45931</v>
      </c>
      <c r="AJ4" t="s">
        <v>126</v>
      </c>
      <c r="AK4">
        <v>191</v>
      </c>
      <c r="AL4" s="6">
        <v>719.96000000000095</v>
      </c>
      <c r="AM4" s="6">
        <v>0</v>
      </c>
      <c r="AN4" s="6">
        <v>0</v>
      </c>
      <c r="AO4" s="6">
        <v>8.08</v>
      </c>
      <c r="AP4" s="6">
        <v>728.04000000000099</v>
      </c>
      <c r="AR4" t="s">
        <v>210</v>
      </c>
      <c r="AS4" s="5">
        <v>45931</v>
      </c>
      <c r="AT4" t="s">
        <v>169</v>
      </c>
      <c r="AU4">
        <v>4076</v>
      </c>
      <c r="AV4" s="6">
        <v>10307.270000000401</v>
      </c>
      <c r="AW4" s="6">
        <v>4.9000000000000004</v>
      </c>
      <c r="AX4" s="6">
        <v>0</v>
      </c>
      <c r="AY4" s="6">
        <v>553.54</v>
      </c>
      <c r="AZ4" s="6">
        <v>10855.9100000004</v>
      </c>
      <c r="BB4" t="s">
        <v>210</v>
      </c>
      <c r="BC4" s="5">
        <v>45931</v>
      </c>
      <c r="BD4" t="s">
        <v>182</v>
      </c>
      <c r="BE4">
        <v>4076</v>
      </c>
      <c r="BF4" s="6">
        <v>10307.270000000401</v>
      </c>
      <c r="BG4" s="6">
        <v>4.9000000000000004</v>
      </c>
      <c r="BH4" s="6">
        <v>0</v>
      </c>
      <c r="BI4" s="6">
        <v>553.54</v>
      </c>
      <c r="BJ4" s="6">
        <v>10855.9100000004</v>
      </c>
    </row>
    <row r="5" spans="2:62">
      <c r="B5">
        <v>44</v>
      </c>
      <c r="C5" s="5">
        <v>45957</v>
      </c>
      <c r="D5" t="s">
        <v>139</v>
      </c>
      <c r="E5">
        <v>83</v>
      </c>
      <c r="F5" s="6">
        <v>364.15</v>
      </c>
      <c r="G5" s="6">
        <v>0</v>
      </c>
      <c r="H5" s="6">
        <v>10.31</v>
      </c>
      <c r="I5" s="6">
        <v>0</v>
      </c>
      <c r="J5" s="6">
        <v>364.15</v>
      </c>
      <c r="L5">
        <v>44</v>
      </c>
      <c r="M5" s="5">
        <v>45957</v>
      </c>
      <c r="N5" t="s">
        <v>169</v>
      </c>
      <c r="O5">
        <v>1025</v>
      </c>
      <c r="P5" s="6">
        <v>2645.22999999997</v>
      </c>
      <c r="Q5" s="6">
        <v>0</v>
      </c>
      <c r="R5" s="6">
        <v>26.9</v>
      </c>
      <c r="S5" s="6">
        <v>84.14</v>
      </c>
      <c r="T5" s="6">
        <v>2729.3699999999699</v>
      </c>
      <c r="V5">
        <v>44</v>
      </c>
      <c r="W5" s="5">
        <v>45957</v>
      </c>
      <c r="X5" t="s">
        <v>182</v>
      </c>
      <c r="Y5">
        <v>1025</v>
      </c>
      <c r="Z5" s="6">
        <v>2645.22999999997</v>
      </c>
      <c r="AA5" s="6">
        <v>0</v>
      </c>
      <c r="AB5" s="6">
        <v>26.9</v>
      </c>
      <c r="AC5" s="6">
        <v>84.14</v>
      </c>
      <c r="AD5" s="6">
        <v>2729.3699999999699</v>
      </c>
      <c r="AH5" t="s">
        <v>210</v>
      </c>
      <c r="AI5" s="5">
        <v>45931</v>
      </c>
      <c r="AJ5" t="s">
        <v>139</v>
      </c>
      <c r="AK5">
        <v>333</v>
      </c>
      <c r="AL5" s="6">
        <v>1411.19</v>
      </c>
      <c r="AM5" s="6">
        <v>0</v>
      </c>
      <c r="AN5" s="6">
        <v>0</v>
      </c>
      <c r="AO5" s="6">
        <v>14.81</v>
      </c>
      <c r="AP5" s="6">
        <v>1426</v>
      </c>
      <c r="AR5" t="s">
        <v>210</v>
      </c>
      <c r="AS5" s="5">
        <v>45931</v>
      </c>
      <c r="AT5" t="s">
        <v>163</v>
      </c>
      <c r="AU5">
        <v>1276</v>
      </c>
      <c r="AV5" s="6">
        <v>2394.1999999999998</v>
      </c>
      <c r="AW5" s="6">
        <v>4</v>
      </c>
      <c r="AX5" s="6">
        <v>0</v>
      </c>
      <c r="AY5" s="6">
        <v>172.3</v>
      </c>
      <c r="AZ5" s="6">
        <v>2562.5</v>
      </c>
      <c r="BB5" t="s">
        <v>210</v>
      </c>
      <c r="BC5" s="5">
        <v>45931</v>
      </c>
      <c r="BD5" t="s">
        <v>183</v>
      </c>
      <c r="BE5">
        <v>1749</v>
      </c>
      <c r="BF5" s="6">
        <v>3587.01</v>
      </c>
      <c r="BG5" s="6">
        <v>11.2</v>
      </c>
      <c r="BH5" s="6">
        <v>0</v>
      </c>
      <c r="BI5" s="6">
        <v>249.06</v>
      </c>
      <c r="BJ5" s="6">
        <v>3824.87</v>
      </c>
    </row>
    <row r="6" spans="2:62">
      <c r="B6">
        <v>44</v>
      </c>
      <c r="C6" s="5">
        <v>45957</v>
      </c>
      <c r="D6" t="s">
        <v>143</v>
      </c>
      <c r="E6">
        <v>477</v>
      </c>
      <c r="F6" s="6">
        <v>1936.39</v>
      </c>
      <c r="G6" s="6">
        <v>0</v>
      </c>
      <c r="H6" s="6">
        <v>0</v>
      </c>
      <c r="I6" s="6">
        <v>1.86</v>
      </c>
      <c r="J6" s="6">
        <v>1938.25</v>
      </c>
      <c r="L6">
        <v>44</v>
      </c>
      <c r="M6" s="5">
        <v>45957</v>
      </c>
      <c r="N6" t="s">
        <v>171</v>
      </c>
      <c r="O6">
        <v>152</v>
      </c>
      <c r="P6" s="6">
        <v>1139.42</v>
      </c>
      <c r="Q6" s="6">
        <v>0</v>
      </c>
      <c r="R6" s="6">
        <v>4.7</v>
      </c>
      <c r="S6" s="6">
        <v>163.54</v>
      </c>
      <c r="T6" s="6">
        <v>1302.96</v>
      </c>
      <c r="V6">
        <v>44</v>
      </c>
      <c r="W6" s="5">
        <v>45957</v>
      </c>
      <c r="X6" t="s">
        <v>181</v>
      </c>
      <c r="Y6">
        <v>248</v>
      </c>
      <c r="Z6" s="6">
        <v>1859.2</v>
      </c>
      <c r="AA6" s="6">
        <v>0</v>
      </c>
      <c r="AB6" s="6">
        <v>8.06</v>
      </c>
      <c r="AC6" s="6">
        <v>258.14</v>
      </c>
      <c r="AD6" s="6">
        <v>2117.34</v>
      </c>
      <c r="AH6" t="s">
        <v>210</v>
      </c>
      <c r="AI6" s="5">
        <v>45931</v>
      </c>
      <c r="AJ6" t="s">
        <v>119</v>
      </c>
      <c r="AK6">
        <v>624</v>
      </c>
      <c r="AL6" s="6">
        <v>2451.76999999999</v>
      </c>
      <c r="AM6" s="6">
        <v>17.5</v>
      </c>
      <c r="AN6" s="6">
        <v>0</v>
      </c>
      <c r="AO6" s="6">
        <v>70.900000000000006</v>
      </c>
      <c r="AP6" s="6">
        <v>2505.1699999999901</v>
      </c>
      <c r="AR6" t="s">
        <v>210</v>
      </c>
      <c r="AS6" s="5">
        <v>45931</v>
      </c>
      <c r="AT6" t="s">
        <v>168</v>
      </c>
      <c r="AU6">
        <v>1323</v>
      </c>
      <c r="AV6" s="6">
        <v>2470.4699999999998</v>
      </c>
      <c r="AW6" s="6">
        <v>10.91</v>
      </c>
      <c r="AX6" s="6">
        <v>0</v>
      </c>
      <c r="AY6" s="6">
        <v>356.73</v>
      </c>
      <c r="AZ6" s="6">
        <v>2816.29</v>
      </c>
      <c r="BB6" t="s">
        <v>210</v>
      </c>
      <c r="BC6" s="5">
        <v>45931</v>
      </c>
      <c r="BD6" t="s">
        <v>184</v>
      </c>
      <c r="BE6">
        <v>1474</v>
      </c>
      <c r="BF6" s="6">
        <v>2918.79</v>
      </c>
      <c r="BG6" s="6">
        <v>10.91</v>
      </c>
      <c r="BH6" s="6">
        <v>0</v>
      </c>
      <c r="BI6" s="6">
        <v>390.80999999999898</v>
      </c>
      <c r="BJ6" s="6">
        <v>3298.69</v>
      </c>
    </row>
    <row r="7" spans="2:62">
      <c r="B7">
        <v>44</v>
      </c>
      <c r="C7" s="5">
        <v>45957</v>
      </c>
      <c r="D7" t="s">
        <v>123</v>
      </c>
      <c r="E7">
        <v>144</v>
      </c>
      <c r="F7" s="6">
        <v>614.32000000000096</v>
      </c>
      <c r="G7" s="6">
        <v>0</v>
      </c>
      <c r="H7" s="6">
        <v>11.33</v>
      </c>
      <c r="I7" s="6">
        <v>0</v>
      </c>
      <c r="J7" s="6">
        <v>614.32000000000096</v>
      </c>
      <c r="L7">
        <v>44</v>
      </c>
      <c r="M7" s="5">
        <v>45957</v>
      </c>
      <c r="N7" t="s">
        <v>163</v>
      </c>
      <c r="O7">
        <v>295</v>
      </c>
      <c r="P7" s="6">
        <v>561.6</v>
      </c>
      <c r="Q7" s="6">
        <v>0</v>
      </c>
      <c r="R7" s="6">
        <v>0.6</v>
      </c>
      <c r="S7" s="6">
        <v>31.3</v>
      </c>
      <c r="T7" s="6">
        <v>592.9</v>
      </c>
      <c r="V7">
        <v>44</v>
      </c>
      <c r="W7" s="5">
        <v>45957</v>
      </c>
      <c r="X7" t="s">
        <v>183</v>
      </c>
      <c r="Y7">
        <v>371</v>
      </c>
      <c r="Z7" s="6">
        <v>744.89</v>
      </c>
      <c r="AA7" s="6">
        <v>0</v>
      </c>
      <c r="AB7" s="6">
        <v>0.6</v>
      </c>
      <c r="AC7" s="6">
        <v>47.78</v>
      </c>
      <c r="AD7" s="6">
        <v>792.67</v>
      </c>
      <c r="AH7" t="s">
        <v>210</v>
      </c>
      <c r="AI7" s="5">
        <v>45931</v>
      </c>
      <c r="AJ7" t="s">
        <v>111</v>
      </c>
      <c r="AK7">
        <v>390</v>
      </c>
      <c r="AL7" s="6">
        <v>1520.56</v>
      </c>
      <c r="AM7" s="6">
        <v>2.99</v>
      </c>
      <c r="AN7" s="6">
        <v>0</v>
      </c>
      <c r="AO7" s="6">
        <v>27.36</v>
      </c>
      <c r="AP7" s="6">
        <v>1544.93</v>
      </c>
      <c r="AR7" t="s">
        <v>210</v>
      </c>
      <c r="AS7" s="5">
        <v>45931</v>
      </c>
      <c r="AT7" t="s">
        <v>173</v>
      </c>
      <c r="AU7">
        <v>682</v>
      </c>
      <c r="AV7" s="6">
        <v>3112.1399999999799</v>
      </c>
      <c r="AW7" s="6">
        <v>0</v>
      </c>
      <c r="AX7" s="6">
        <v>0</v>
      </c>
      <c r="AY7" s="6">
        <v>304.36</v>
      </c>
      <c r="AZ7" s="6">
        <v>3416.49999999998</v>
      </c>
      <c r="BB7" t="s">
        <v>210</v>
      </c>
      <c r="BC7" s="5">
        <v>45931</v>
      </c>
      <c r="BD7" t="s">
        <v>185</v>
      </c>
      <c r="BE7">
        <v>684</v>
      </c>
      <c r="BF7" s="6">
        <v>3119.7399999999798</v>
      </c>
      <c r="BG7" s="6">
        <v>0</v>
      </c>
      <c r="BH7" s="6">
        <v>0</v>
      </c>
      <c r="BI7" s="6">
        <v>304.36</v>
      </c>
      <c r="BJ7" s="6">
        <v>3424.0999999999799</v>
      </c>
    </row>
    <row r="8" spans="2:62">
      <c r="B8">
        <v>44</v>
      </c>
      <c r="C8" s="5">
        <v>45957</v>
      </c>
      <c r="D8" t="s">
        <v>113</v>
      </c>
      <c r="E8">
        <v>71</v>
      </c>
      <c r="F8" s="6">
        <v>221.76</v>
      </c>
      <c r="G8" s="6">
        <v>0</v>
      </c>
      <c r="H8" s="6">
        <v>0</v>
      </c>
      <c r="I8" s="6">
        <v>0</v>
      </c>
      <c r="J8" s="6">
        <v>221.76</v>
      </c>
      <c r="L8">
        <v>44</v>
      </c>
      <c r="M8" s="5">
        <v>45957</v>
      </c>
      <c r="N8" t="s">
        <v>173</v>
      </c>
      <c r="O8">
        <v>172</v>
      </c>
      <c r="P8" s="6">
        <v>789.12000000000103</v>
      </c>
      <c r="Q8" s="6">
        <v>0</v>
      </c>
      <c r="R8" s="6">
        <v>1.56</v>
      </c>
      <c r="S8" s="6">
        <v>79.959999999999994</v>
      </c>
      <c r="T8" s="6">
        <v>869.08000000000197</v>
      </c>
      <c r="V8">
        <v>44</v>
      </c>
      <c r="W8" s="5">
        <v>45957</v>
      </c>
      <c r="X8" t="s">
        <v>185</v>
      </c>
      <c r="Y8">
        <v>172</v>
      </c>
      <c r="Z8" s="6">
        <v>789.12000000000103</v>
      </c>
      <c r="AA8" s="6">
        <v>0</v>
      </c>
      <c r="AB8" s="6">
        <v>1.56</v>
      </c>
      <c r="AC8" s="6">
        <v>79.959999999999994</v>
      </c>
      <c r="AD8" s="6">
        <v>869.08000000000197</v>
      </c>
      <c r="AH8" t="s">
        <v>210</v>
      </c>
      <c r="AI8" s="5">
        <v>45931</v>
      </c>
      <c r="AJ8" t="s">
        <v>146</v>
      </c>
      <c r="AK8">
        <v>713</v>
      </c>
      <c r="AL8" s="6">
        <v>3981.9199999999701</v>
      </c>
      <c r="AM8" s="6">
        <v>14.1</v>
      </c>
      <c r="AN8" s="6">
        <v>0</v>
      </c>
      <c r="AO8" s="6">
        <v>50.55</v>
      </c>
      <c r="AP8" s="6">
        <v>4018.3699999999699</v>
      </c>
      <c r="AR8" t="s">
        <v>210</v>
      </c>
      <c r="AS8" s="5">
        <v>45931</v>
      </c>
      <c r="AT8" t="s">
        <v>176</v>
      </c>
      <c r="AU8">
        <v>332</v>
      </c>
      <c r="AV8" s="6">
        <v>704.10999999999899</v>
      </c>
      <c r="AW8" s="6">
        <v>0</v>
      </c>
      <c r="AX8" s="6">
        <v>0</v>
      </c>
      <c r="AY8" s="6">
        <v>43.86</v>
      </c>
      <c r="AZ8" s="6">
        <v>747.969999999999</v>
      </c>
      <c r="BB8" t="s">
        <v>210</v>
      </c>
      <c r="BC8" s="5">
        <v>45931</v>
      </c>
      <c r="BD8" t="s">
        <v>179</v>
      </c>
      <c r="BE8">
        <v>2562</v>
      </c>
      <c r="BF8" s="6">
        <v>14153.369999999801</v>
      </c>
      <c r="BG8" s="6">
        <v>18.190000000000001</v>
      </c>
      <c r="BH8" s="6">
        <v>0</v>
      </c>
      <c r="BI8" s="6">
        <v>1167.27</v>
      </c>
      <c r="BJ8" s="6">
        <v>15302.449999999901</v>
      </c>
    </row>
    <row r="9" spans="2:62">
      <c r="B9">
        <v>44</v>
      </c>
      <c r="C9" s="5">
        <v>45957</v>
      </c>
      <c r="D9" t="s">
        <v>117</v>
      </c>
      <c r="E9">
        <v>72</v>
      </c>
      <c r="F9" s="6">
        <v>348.88</v>
      </c>
      <c r="G9" s="6">
        <v>0</v>
      </c>
      <c r="H9" s="6">
        <v>10.78</v>
      </c>
      <c r="I9" s="6">
        <v>0</v>
      </c>
      <c r="J9" s="6">
        <v>348.88</v>
      </c>
      <c r="L9">
        <v>44</v>
      </c>
      <c r="M9" s="5">
        <v>45957</v>
      </c>
      <c r="N9" t="s">
        <v>176</v>
      </c>
      <c r="O9">
        <v>57</v>
      </c>
      <c r="P9" s="6">
        <v>113.74</v>
      </c>
      <c r="Q9" s="6">
        <v>0</v>
      </c>
      <c r="R9" s="6">
        <v>0</v>
      </c>
      <c r="S9" s="6">
        <v>15.04</v>
      </c>
      <c r="T9" s="6">
        <v>128.78</v>
      </c>
      <c r="V9">
        <v>44</v>
      </c>
      <c r="W9" s="5">
        <v>45957</v>
      </c>
      <c r="X9" t="s">
        <v>179</v>
      </c>
      <c r="Y9">
        <v>589</v>
      </c>
      <c r="Z9" s="6">
        <v>3255.3099999999799</v>
      </c>
      <c r="AA9" s="6">
        <v>0</v>
      </c>
      <c r="AB9" s="6">
        <v>126.04</v>
      </c>
      <c r="AC9" s="6">
        <v>151.69</v>
      </c>
      <c r="AD9" s="6">
        <v>3406.99999999998</v>
      </c>
      <c r="AH9" t="s">
        <v>210</v>
      </c>
      <c r="AI9" s="5">
        <v>45931</v>
      </c>
      <c r="AJ9" t="s">
        <v>113</v>
      </c>
      <c r="AK9">
        <v>365</v>
      </c>
      <c r="AL9" s="6">
        <v>1201.6400000000001</v>
      </c>
      <c r="AM9" s="6">
        <v>0</v>
      </c>
      <c r="AN9" s="6">
        <v>0</v>
      </c>
      <c r="AO9" s="6">
        <v>6.31</v>
      </c>
      <c r="AP9" s="6">
        <v>1207.95</v>
      </c>
      <c r="AR9" t="s">
        <v>210</v>
      </c>
      <c r="AS9" s="5">
        <v>45931</v>
      </c>
      <c r="AT9" t="s">
        <v>160</v>
      </c>
      <c r="AU9">
        <v>2846</v>
      </c>
      <c r="AV9" s="6">
        <v>18743.0799999997</v>
      </c>
      <c r="AW9" s="6">
        <v>21.39</v>
      </c>
      <c r="AX9" s="6">
        <v>0</v>
      </c>
      <c r="AY9" s="6">
        <v>1276.8100000000099</v>
      </c>
      <c r="AZ9" s="6">
        <v>19998.499999999702</v>
      </c>
      <c r="BB9" t="s">
        <v>210</v>
      </c>
      <c r="BC9" s="5">
        <v>45931</v>
      </c>
      <c r="BD9" t="s">
        <v>178</v>
      </c>
      <c r="BE9">
        <v>934</v>
      </c>
      <c r="BF9" s="6">
        <v>8492.7699999999895</v>
      </c>
      <c r="BG9" s="6">
        <v>20.399999999999999</v>
      </c>
      <c r="BH9" s="6">
        <v>0</v>
      </c>
      <c r="BI9" s="6">
        <v>486.14</v>
      </c>
      <c r="BJ9" s="6">
        <v>8958.5099999999893</v>
      </c>
    </row>
    <row r="10" spans="2:62">
      <c r="B10">
        <v>44</v>
      </c>
      <c r="C10" s="5">
        <v>45957</v>
      </c>
      <c r="D10" t="s">
        <v>146</v>
      </c>
      <c r="E10">
        <v>141</v>
      </c>
      <c r="F10" s="6">
        <v>772.01000000000101</v>
      </c>
      <c r="G10" s="6">
        <v>0</v>
      </c>
      <c r="H10" s="6">
        <v>19.71</v>
      </c>
      <c r="I10" s="6">
        <v>0</v>
      </c>
      <c r="J10" s="6">
        <v>772.01000000000101</v>
      </c>
      <c r="L10">
        <v>44</v>
      </c>
      <c r="M10" s="5">
        <v>45957</v>
      </c>
      <c r="N10" t="s">
        <v>160</v>
      </c>
      <c r="O10">
        <v>712</v>
      </c>
      <c r="P10" s="6">
        <v>4604.0399999999599</v>
      </c>
      <c r="Q10" s="6">
        <v>0</v>
      </c>
      <c r="R10" s="6">
        <v>152.86000000000001</v>
      </c>
      <c r="S10" s="6">
        <v>165.89</v>
      </c>
      <c r="T10" s="6">
        <v>4769.9299999999603</v>
      </c>
      <c r="V10">
        <v>44</v>
      </c>
      <c r="W10" s="5">
        <v>45957</v>
      </c>
      <c r="X10" t="s">
        <v>180</v>
      </c>
      <c r="Y10">
        <v>48</v>
      </c>
      <c r="Z10" s="6">
        <v>424.77</v>
      </c>
      <c r="AA10" s="6">
        <v>0</v>
      </c>
      <c r="AB10" s="6">
        <v>0</v>
      </c>
      <c r="AC10" s="6">
        <v>12.66</v>
      </c>
      <c r="AD10" s="6">
        <v>437.43</v>
      </c>
      <c r="AH10" t="s">
        <v>210</v>
      </c>
      <c r="AI10" s="5">
        <v>45931</v>
      </c>
      <c r="AJ10" t="s">
        <v>132</v>
      </c>
      <c r="AK10">
        <v>333</v>
      </c>
      <c r="AL10" s="6">
        <v>1253.8900000000001</v>
      </c>
      <c r="AM10" s="6">
        <v>0</v>
      </c>
      <c r="AN10" s="6">
        <v>0</v>
      </c>
      <c r="AO10" s="6">
        <v>20.37</v>
      </c>
      <c r="AP10" s="6">
        <v>1274.26</v>
      </c>
      <c r="AR10" t="s">
        <v>210</v>
      </c>
      <c r="AS10" s="5">
        <v>45931</v>
      </c>
      <c r="AT10" t="s">
        <v>171</v>
      </c>
      <c r="AU10">
        <v>515</v>
      </c>
      <c r="AV10" s="6">
        <v>3506.8499999999799</v>
      </c>
      <c r="AW10" s="6">
        <v>0</v>
      </c>
      <c r="AX10" s="6">
        <v>0</v>
      </c>
      <c r="AY10" s="6">
        <v>590.26</v>
      </c>
      <c r="AZ10" s="6">
        <v>4097.1099999999797</v>
      </c>
      <c r="BB10" t="s">
        <v>210</v>
      </c>
      <c r="BC10" s="5">
        <v>45931</v>
      </c>
      <c r="BD10" t="s">
        <v>181</v>
      </c>
      <c r="BE10">
        <v>1090</v>
      </c>
      <c r="BF10" s="6">
        <v>7298.0899999999401</v>
      </c>
      <c r="BG10" s="6">
        <v>17.8</v>
      </c>
      <c r="BH10" s="6">
        <v>0</v>
      </c>
      <c r="BI10" s="6">
        <v>1192.3800000000001</v>
      </c>
      <c r="BJ10" s="6">
        <v>8472.6699999999491</v>
      </c>
    </row>
    <row r="11" spans="2:62">
      <c r="B11">
        <v>44</v>
      </c>
      <c r="C11" s="5">
        <v>45957</v>
      </c>
      <c r="D11" t="s">
        <v>136</v>
      </c>
      <c r="E11">
        <v>25</v>
      </c>
      <c r="F11" s="6">
        <v>78.489999999999995</v>
      </c>
      <c r="G11" s="6">
        <v>0</v>
      </c>
      <c r="H11" s="6">
        <v>2.57</v>
      </c>
      <c r="I11" s="6">
        <v>33.520000000000003</v>
      </c>
      <c r="J11" s="6">
        <v>112.01</v>
      </c>
      <c r="L11">
        <v>44</v>
      </c>
      <c r="M11" s="5">
        <v>45957</v>
      </c>
      <c r="N11" t="s">
        <v>165</v>
      </c>
      <c r="O11">
        <v>48</v>
      </c>
      <c r="P11" s="6">
        <v>424.77</v>
      </c>
      <c r="Q11" s="6">
        <v>0</v>
      </c>
      <c r="R11" s="6">
        <v>0</v>
      </c>
      <c r="S11" s="6">
        <v>12.66</v>
      </c>
      <c r="T11" s="6">
        <v>437.43</v>
      </c>
      <c r="V11">
        <v>44</v>
      </c>
      <c r="W11" s="5">
        <v>45957</v>
      </c>
      <c r="X11" t="s">
        <v>178</v>
      </c>
      <c r="Y11">
        <v>192</v>
      </c>
      <c r="Z11" s="6">
        <v>1744.65</v>
      </c>
      <c r="AA11" s="6">
        <v>0</v>
      </c>
      <c r="AB11" s="6">
        <v>40.08</v>
      </c>
      <c r="AC11" s="6">
        <v>39.72</v>
      </c>
      <c r="AD11" s="6">
        <v>1784.37</v>
      </c>
      <c r="AH11" t="s">
        <v>210</v>
      </c>
      <c r="AI11" s="5">
        <v>45931</v>
      </c>
      <c r="AJ11" t="s">
        <v>122</v>
      </c>
      <c r="AK11">
        <v>332</v>
      </c>
      <c r="AL11" s="6">
        <v>1627.6</v>
      </c>
      <c r="AM11" s="6">
        <v>0</v>
      </c>
      <c r="AN11" s="6">
        <v>0</v>
      </c>
      <c r="AO11" s="6">
        <v>28.45</v>
      </c>
      <c r="AP11" s="6">
        <v>1656.05</v>
      </c>
      <c r="AR11" t="s">
        <v>210</v>
      </c>
      <c r="AS11" s="5">
        <v>45931</v>
      </c>
      <c r="AT11" t="s">
        <v>158</v>
      </c>
      <c r="AU11">
        <v>654</v>
      </c>
      <c r="AV11" s="6">
        <v>3918.2600000000202</v>
      </c>
      <c r="AW11" s="6">
        <v>17.2</v>
      </c>
      <c r="AX11" s="6">
        <v>0</v>
      </c>
      <c r="AY11" s="6">
        <v>376.6</v>
      </c>
      <c r="AZ11" s="6">
        <v>4277.6600000000299</v>
      </c>
      <c r="BB11" t="s">
        <v>210</v>
      </c>
      <c r="BC11" s="5">
        <v>45931</v>
      </c>
      <c r="BD11" t="s">
        <v>180</v>
      </c>
      <c r="BE11">
        <v>195</v>
      </c>
      <c r="BF11" s="6">
        <v>1659.11</v>
      </c>
      <c r="BG11" s="6">
        <v>0</v>
      </c>
      <c r="BH11" s="6">
        <v>0</v>
      </c>
      <c r="BI11" s="6">
        <v>103.04</v>
      </c>
      <c r="BJ11" s="6">
        <v>1762.15</v>
      </c>
    </row>
    <row r="12" spans="2:62">
      <c r="B12">
        <v>44</v>
      </c>
      <c r="C12" s="5">
        <v>45957</v>
      </c>
      <c r="D12" t="s">
        <v>219</v>
      </c>
      <c r="E12">
        <v>95</v>
      </c>
      <c r="F12" s="6">
        <v>535.68000000000097</v>
      </c>
      <c r="G12" s="6">
        <v>0</v>
      </c>
      <c r="H12" s="6">
        <v>4.74</v>
      </c>
      <c r="I12" s="6">
        <v>0</v>
      </c>
      <c r="J12" s="6">
        <v>535.68000000000097</v>
      </c>
      <c r="L12">
        <v>44</v>
      </c>
      <c r="M12" s="5">
        <v>45957</v>
      </c>
      <c r="N12" t="s">
        <v>174</v>
      </c>
      <c r="O12">
        <v>96</v>
      </c>
      <c r="P12" s="6">
        <v>719.78</v>
      </c>
      <c r="Q12" s="6">
        <v>0</v>
      </c>
      <c r="R12" s="6">
        <v>3.36</v>
      </c>
      <c r="S12" s="6">
        <v>94.6</v>
      </c>
      <c r="T12" s="6">
        <v>814.38</v>
      </c>
      <c r="V12">
        <v>43</v>
      </c>
      <c r="W12" s="5">
        <v>45950</v>
      </c>
      <c r="X12" t="s">
        <v>183</v>
      </c>
      <c r="Y12">
        <v>373</v>
      </c>
      <c r="Z12" s="6">
        <v>776.270000000001</v>
      </c>
      <c r="AA12" s="6">
        <v>2</v>
      </c>
      <c r="AB12" s="6">
        <v>0</v>
      </c>
      <c r="AC12" s="6">
        <v>53.59</v>
      </c>
      <c r="AD12" s="6">
        <v>827.86000000000104</v>
      </c>
      <c r="AH12" t="s">
        <v>210</v>
      </c>
      <c r="AI12" s="5">
        <v>45931</v>
      </c>
      <c r="AJ12" t="s">
        <v>141</v>
      </c>
      <c r="AK12">
        <v>1254</v>
      </c>
      <c r="AL12" s="6">
        <v>4046.0899999999601</v>
      </c>
      <c r="AM12" s="6">
        <v>1.5</v>
      </c>
      <c r="AN12" s="6">
        <v>0</v>
      </c>
      <c r="AO12" s="6">
        <v>55.91</v>
      </c>
      <c r="AP12" s="6">
        <v>4100.49999999996</v>
      </c>
      <c r="AR12" t="s">
        <v>210</v>
      </c>
      <c r="AS12" s="5">
        <v>45931</v>
      </c>
      <c r="AT12" t="s">
        <v>174</v>
      </c>
      <c r="AU12">
        <v>573</v>
      </c>
      <c r="AV12" s="6">
        <v>3781.7399999999898</v>
      </c>
      <c r="AW12" s="6">
        <v>17.8</v>
      </c>
      <c r="AX12" s="6">
        <v>0</v>
      </c>
      <c r="AY12" s="6">
        <v>592.62</v>
      </c>
      <c r="AZ12" s="6">
        <v>4356.5599999999904</v>
      </c>
      <c r="BB12" t="s">
        <v>210</v>
      </c>
      <c r="BC12" s="5">
        <v>45931</v>
      </c>
      <c r="BD12" t="s">
        <v>227</v>
      </c>
      <c r="BE12">
        <v>7</v>
      </c>
      <c r="BF12" s="6">
        <v>28.89</v>
      </c>
      <c r="BG12" s="6">
        <v>0</v>
      </c>
      <c r="BH12" s="6">
        <v>0</v>
      </c>
      <c r="BI12" s="6">
        <v>0</v>
      </c>
      <c r="BJ12" s="6">
        <v>28.89</v>
      </c>
    </row>
    <row r="13" spans="2:62">
      <c r="B13">
        <v>44</v>
      </c>
      <c r="C13" s="5">
        <v>45957</v>
      </c>
      <c r="D13" t="s">
        <v>126</v>
      </c>
      <c r="E13">
        <v>26</v>
      </c>
      <c r="F13" s="6">
        <v>104.47</v>
      </c>
      <c r="G13" s="6">
        <v>0</v>
      </c>
      <c r="H13" s="6">
        <v>1.1200000000000001</v>
      </c>
      <c r="I13" s="6">
        <v>0</v>
      </c>
      <c r="J13" s="6">
        <v>104.47</v>
      </c>
      <c r="L13">
        <v>44</v>
      </c>
      <c r="M13" s="5">
        <v>45957</v>
      </c>
      <c r="N13" t="s">
        <v>170</v>
      </c>
      <c r="O13">
        <v>8</v>
      </c>
      <c r="P13" s="6">
        <v>27.36</v>
      </c>
      <c r="Q13" s="6">
        <v>0</v>
      </c>
      <c r="R13" s="6">
        <v>0</v>
      </c>
      <c r="S13" s="6">
        <v>1.44</v>
      </c>
      <c r="T13" s="6">
        <v>28.8</v>
      </c>
      <c r="V13">
        <v>43</v>
      </c>
      <c r="W13" s="5">
        <v>45950</v>
      </c>
      <c r="X13" t="s">
        <v>182</v>
      </c>
      <c r="Y13">
        <v>995</v>
      </c>
      <c r="Z13" s="6">
        <v>2544.03999999997</v>
      </c>
      <c r="AA13" s="6">
        <v>2.1</v>
      </c>
      <c r="AB13" s="6">
        <v>17.579999999999998</v>
      </c>
      <c r="AC13" s="6">
        <v>80.92</v>
      </c>
      <c r="AD13" s="6">
        <v>2622.8599999999701</v>
      </c>
      <c r="AH13" t="s">
        <v>210</v>
      </c>
      <c r="AI13" s="5">
        <v>45931</v>
      </c>
      <c r="AJ13" t="s">
        <v>133</v>
      </c>
      <c r="AK13">
        <v>396</v>
      </c>
      <c r="AL13" s="6">
        <v>2111.1</v>
      </c>
      <c r="AM13" s="6">
        <v>4.4000000000000004</v>
      </c>
      <c r="AN13" s="6">
        <v>0</v>
      </c>
      <c r="AO13" s="6">
        <v>57.44</v>
      </c>
      <c r="AP13" s="6">
        <v>2164.14</v>
      </c>
      <c r="AR13" t="s">
        <v>210</v>
      </c>
      <c r="AS13" s="5">
        <v>45931</v>
      </c>
      <c r="AT13" t="s">
        <v>165</v>
      </c>
      <c r="AU13">
        <v>195</v>
      </c>
      <c r="AV13" s="6">
        <v>1659.11</v>
      </c>
      <c r="AW13" s="6">
        <v>0</v>
      </c>
      <c r="AX13" s="6">
        <v>0</v>
      </c>
      <c r="AY13" s="6">
        <v>103.04</v>
      </c>
      <c r="AZ13" s="6">
        <v>1762.15</v>
      </c>
      <c r="BB13" t="s">
        <v>210</v>
      </c>
      <c r="BC13" s="5">
        <v>45931</v>
      </c>
      <c r="BD13" t="s">
        <v>186</v>
      </c>
      <c r="BE13">
        <v>2</v>
      </c>
      <c r="BF13" s="6">
        <v>7.6</v>
      </c>
      <c r="BG13" s="6">
        <v>0</v>
      </c>
      <c r="BH13" s="6">
        <v>0</v>
      </c>
      <c r="BI13" s="6">
        <v>0</v>
      </c>
      <c r="BJ13" s="6">
        <v>7.6</v>
      </c>
    </row>
    <row r="14" spans="2:62">
      <c r="B14">
        <v>44</v>
      </c>
      <c r="C14" s="5">
        <v>45957</v>
      </c>
      <c r="D14" t="s">
        <v>129</v>
      </c>
      <c r="E14">
        <v>142</v>
      </c>
      <c r="F14" s="6">
        <v>52.29</v>
      </c>
      <c r="G14" s="6">
        <v>0</v>
      </c>
      <c r="H14" s="6">
        <v>0</v>
      </c>
      <c r="I14" s="6">
        <v>590.08000000000004</v>
      </c>
      <c r="J14" s="6">
        <v>642.37</v>
      </c>
      <c r="L14">
        <v>44</v>
      </c>
      <c r="M14" s="5">
        <v>45957</v>
      </c>
      <c r="N14" t="s">
        <v>158</v>
      </c>
      <c r="O14">
        <v>69</v>
      </c>
      <c r="P14" s="6">
        <v>395.92</v>
      </c>
      <c r="Q14" s="6">
        <v>0</v>
      </c>
      <c r="R14" s="6">
        <v>13.26</v>
      </c>
      <c r="S14" s="6">
        <v>25.52</v>
      </c>
      <c r="T14" s="6">
        <v>421.44</v>
      </c>
      <c r="V14">
        <v>43</v>
      </c>
      <c r="W14" s="5">
        <v>45950</v>
      </c>
      <c r="X14" t="s">
        <v>181</v>
      </c>
      <c r="Y14">
        <v>250</v>
      </c>
      <c r="Z14" s="6">
        <v>1585.31</v>
      </c>
      <c r="AA14" s="6">
        <v>0</v>
      </c>
      <c r="AB14" s="6">
        <v>0</v>
      </c>
      <c r="AC14" s="6">
        <v>246.82</v>
      </c>
      <c r="AD14" s="6">
        <v>1832.13</v>
      </c>
      <c r="AH14" t="s">
        <v>210</v>
      </c>
      <c r="AI14" s="5">
        <v>45931</v>
      </c>
      <c r="AJ14" t="s">
        <v>124</v>
      </c>
      <c r="AK14">
        <v>690</v>
      </c>
      <c r="AL14" s="6">
        <v>2733.8899999999799</v>
      </c>
      <c r="AM14" s="6">
        <v>0</v>
      </c>
      <c r="AN14" s="6">
        <v>0</v>
      </c>
      <c r="AO14" s="6">
        <v>38.090000000000003</v>
      </c>
      <c r="AP14" s="6">
        <v>2771.97999999999</v>
      </c>
      <c r="AR14" t="s">
        <v>210</v>
      </c>
      <c r="AS14" s="5">
        <v>45931</v>
      </c>
      <c r="AT14" t="s">
        <v>167</v>
      </c>
      <c r="AU14">
        <v>2</v>
      </c>
      <c r="AV14" s="6">
        <v>9.5</v>
      </c>
      <c r="AW14" s="6">
        <v>0</v>
      </c>
      <c r="AX14" s="6">
        <v>0</v>
      </c>
      <c r="AY14" s="6">
        <v>9.5</v>
      </c>
      <c r="AZ14" s="6">
        <v>19</v>
      </c>
      <c r="BB14" t="s">
        <v>225</v>
      </c>
      <c r="BC14" s="5">
        <v>45901</v>
      </c>
      <c r="BD14" t="s">
        <v>183</v>
      </c>
      <c r="BE14">
        <v>1740</v>
      </c>
      <c r="BF14" s="6">
        <v>3575.0299999999902</v>
      </c>
      <c r="BG14" s="6">
        <v>7.6</v>
      </c>
      <c r="BH14" s="6">
        <v>0</v>
      </c>
      <c r="BI14" s="6">
        <v>256.82</v>
      </c>
      <c r="BJ14" s="6">
        <v>3824.24999999999</v>
      </c>
    </row>
    <row r="15" spans="2:62">
      <c r="B15">
        <v>44</v>
      </c>
      <c r="C15" s="5">
        <v>45957</v>
      </c>
      <c r="D15" t="s">
        <v>138</v>
      </c>
      <c r="E15">
        <v>87</v>
      </c>
      <c r="F15" s="6">
        <v>500.29</v>
      </c>
      <c r="G15" s="6">
        <v>0</v>
      </c>
      <c r="H15" s="6">
        <v>5.4</v>
      </c>
      <c r="I15" s="6">
        <v>0.61</v>
      </c>
      <c r="J15" s="6">
        <v>500.9</v>
      </c>
      <c r="L15">
        <v>44</v>
      </c>
      <c r="M15" s="5">
        <v>45957</v>
      </c>
      <c r="N15" t="s">
        <v>172</v>
      </c>
      <c r="O15">
        <v>31</v>
      </c>
      <c r="P15" s="6">
        <v>94.4</v>
      </c>
      <c r="Q15" s="6">
        <v>0</v>
      </c>
      <c r="R15" s="6">
        <v>0</v>
      </c>
      <c r="S15" s="6">
        <v>6.4</v>
      </c>
      <c r="T15" s="6">
        <v>100.8</v>
      </c>
      <c r="V15">
        <v>43</v>
      </c>
      <c r="W15" s="5">
        <v>45950</v>
      </c>
      <c r="X15" t="s">
        <v>179</v>
      </c>
      <c r="Y15">
        <v>594</v>
      </c>
      <c r="Z15" s="6">
        <v>3297.0099999999902</v>
      </c>
      <c r="AA15" s="6">
        <v>0</v>
      </c>
      <c r="AB15" s="6">
        <v>72.78</v>
      </c>
      <c r="AC15" s="6">
        <v>137.44999999999999</v>
      </c>
      <c r="AD15" s="6">
        <v>3434.45999999999</v>
      </c>
      <c r="AH15" t="s">
        <v>210</v>
      </c>
      <c r="AI15" s="5">
        <v>45931</v>
      </c>
      <c r="AJ15" t="s">
        <v>150</v>
      </c>
      <c r="AK15">
        <v>56</v>
      </c>
      <c r="AL15" s="6">
        <v>314.98</v>
      </c>
      <c r="AM15" s="6">
        <v>0</v>
      </c>
      <c r="AN15" s="6">
        <v>0</v>
      </c>
      <c r="AO15" s="6">
        <v>21.53</v>
      </c>
      <c r="AP15" s="6">
        <v>336.51</v>
      </c>
      <c r="AR15" t="s">
        <v>210</v>
      </c>
      <c r="AS15" s="5">
        <v>45931</v>
      </c>
      <c r="AT15" t="s">
        <v>170</v>
      </c>
      <c r="AU15">
        <v>87</v>
      </c>
      <c r="AV15" s="6">
        <v>289.08</v>
      </c>
      <c r="AW15" s="6">
        <v>7.2</v>
      </c>
      <c r="AX15" s="6">
        <v>0</v>
      </c>
      <c r="AY15" s="6">
        <v>24.12</v>
      </c>
      <c r="AZ15" s="6">
        <v>306</v>
      </c>
      <c r="BB15" t="s">
        <v>225</v>
      </c>
      <c r="BC15" s="5">
        <v>45901</v>
      </c>
      <c r="BD15" t="s">
        <v>182</v>
      </c>
      <c r="BE15">
        <v>4036</v>
      </c>
      <c r="BF15" s="6">
        <v>11331.460000000499</v>
      </c>
      <c r="BG15" s="6">
        <v>16.2</v>
      </c>
      <c r="BH15" s="6">
        <v>0</v>
      </c>
      <c r="BI15" s="6">
        <v>867.84000000000401</v>
      </c>
      <c r="BJ15" s="6">
        <v>12183.100000000501</v>
      </c>
    </row>
    <row r="16" spans="2:62">
      <c r="B16">
        <v>44</v>
      </c>
      <c r="C16" s="5">
        <v>45957</v>
      </c>
      <c r="D16" t="s">
        <v>111</v>
      </c>
      <c r="E16">
        <v>79</v>
      </c>
      <c r="F16" s="6">
        <v>279.44</v>
      </c>
      <c r="G16" s="6">
        <v>0</v>
      </c>
      <c r="H16" s="6">
        <v>0</v>
      </c>
      <c r="I16" s="6">
        <v>0</v>
      </c>
      <c r="J16" s="6">
        <v>279.44</v>
      </c>
      <c r="L16">
        <v>44</v>
      </c>
      <c r="M16" s="5">
        <v>45957</v>
      </c>
      <c r="N16" t="s">
        <v>204</v>
      </c>
      <c r="O16">
        <v>8</v>
      </c>
      <c r="P16" s="6">
        <v>19.399999999999999</v>
      </c>
      <c r="Q16" s="6">
        <v>0</v>
      </c>
      <c r="R16" s="6">
        <v>0</v>
      </c>
      <c r="S16" s="6">
        <v>0</v>
      </c>
      <c r="T16" s="6">
        <v>19.399999999999999</v>
      </c>
      <c r="V16">
        <v>43</v>
      </c>
      <c r="W16" s="5">
        <v>45950</v>
      </c>
      <c r="X16" t="s">
        <v>184</v>
      </c>
      <c r="Y16">
        <v>334</v>
      </c>
      <c r="Z16" s="6">
        <v>668.62000000000103</v>
      </c>
      <c r="AA16" s="6">
        <v>2.99</v>
      </c>
      <c r="AB16" s="6">
        <v>0</v>
      </c>
      <c r="AC16" s="6">
        <v>90.56</v>
      </c>
      <c r="AD16" s="6">
        <v>756.19000000000096</v>
      </c>
      <c r="AH16" t="s">
        <v>210</v>
      </c>
      <c r="AI16" s="5">
        <v>45931</v>
      </c>
      <c r="AJ16" t="s">
        <v>219</v>
      </c>
      <c r="AK16">
        <v>381</v>
      </c>
      <c r="AL16" s="6">
        <v>1960.25</v>
      </c>
      <c r="AM16" s="6">
        <v>0</v>
      </c>
      <c r="AN16" s="6">
        <v>0</v>
      </c>
      <c r="AO16" s="6">
        <v>41.79</v>
      </c>
      <c r="AP16" s="6">
        <v>2002.04</v>
      </c>
      <c r="AR16" t="s">
        <v>210</v>
      </c>
      <c r="AS16" s="5">
        <v>45931</v>
      </c>
      <c r="AT16" t="s">
        <v>164</v>
      </c>
      <c r="AU16">
        <v>54</v>
      </c>
      <c r="AV16" s="6">
        <v>199.62</v>
      </c>
      <c r="AW16" s="6">
        <v>0</v>
      </c>
      <c r="AX16" s="6">
        <v>0</v>
      </c>
      <c r="AY16" s="6">
        <v>8.7799999999999994</v>
      </c>
      <c r="AZ16" s="6">
        <v>208.4</v>
      </c>
      <c r="BB16" t="s">
        <v>225</v>
      </c>
      <c r="BC16" s="5">
        <v>45901</v>
      </c>
      <c r="BD16" t="s">
        <v>179</v>
      </c>
      <c r="BE16">
        <v>2361</v>
      </c>
      <c r="BF16" s="6">
        <v>12927.4899999998</v>
      </c>
      <c r="BG16" s="6">
        <v>98.78</v>
      </c>
      <c r="BH16" s="6">
        <v>0</v>
      </c>
      <c r="BI16" s="6">
        <v>1034.32</v>
      </c>
      <c r="BJ16" s="6">
        <v>13863.029999999801</v>
      </c>
    </row>
    <row r="17" spans="2:62">
      <c r="B17">
        <v>44</v>
      </c>
      <c r="C17" s="5">
        <v>45957</v>
      </c>
      <c r="D17" t="s">
        <v>149</v>
      </c>
      <c r="E17">
        <v>54</v>
      </c>
      <c r="F17" s="6">
        <v>202.34</v>
      </c>
      <c r="G17" s="6">
        <v>0</v>
      </c>
      <c r="H17" s="6">
        <v>1.2</v>
      </c>
      <c r="I17" s="6">
        <v>0</v>
      </c>
      <c r="J17" s="6">
        <v>202.34</v>
      </c>
      <c r="L17">
        <v>44</v>
      </c>
      <c r="M17" s="5">
        <v>45957</v>
      </c>
      <c r="N17" t="s">
        <v>164</v>
      </c>
      <c r="O17">
        <v>11</v>
      </c>
      <c r="P17" s="6">
        <v>42.19</v>
      </c>
      <c r="Q17" s="6">
        <v>0</v>
      </c>
      <c r="R17" s="6">
        <v>0</v>
      </c>
      <c r="S17" s="6">
        <v>0</v>
      </c>
      <c r="T17" s="6">
        <v>42.19</v>
      </c>
      <c r="V17">
        <v>43</v>
      </c>
      <c r="W17" s="5">
        <v>45950</v>
      </c>
      <c r="X17" t="s">
        <v>178</v>
      </c>
      <c r="Y17">
        <v>254</v>
      </c>
      <c r="Z17" s="6">
        <v>2294.23</v>
      </c>
      <c r="AA17" s="6">
        <v>9.5</v>
      </c>
      <c r="AB17" s="6">
        <v>64.319999999999993</v>
      </c>
      <c r="AC17" s="6">
        <v>61.16</v>
      </c>
      <c r="AD17" s="6">
        <v>2345.89</v>
      </c>
      <c r="AH17" t="s">
        <v>210</v>
      </c>
      <c r="AI17" s="5">
        <v>45931</v>
      </c>
      <c r="AJ17" t="s">
        <v>145</v>
      </c>
      <c r="AK17">
        <v>346</v>
      </c>
      <c r="AL17" s="6">
        <v>1961.6</v>
      </c>
      <c r="AM17" s="6">
        <v>0</v>
      </c>
      <c r="AN17" s="6">
        <v>0</v>
      </c>
      <c r="AO17" s="6">
        <v>45.74</v>
      </c>
      <c r="AP17" s="6">
        <v>2007.34</v>
      </c>
      <c r="AR17" t="s">
        <v>210</v>
      </c>
      <c r="AS17" s="5">
        <v>45931</v>
      </c>
      <c r="AT17" t="s">
        <v>172</v>
      </c>
      <c r="AU17">
        <v>145</v>
      </c>
      <c r="AV17" s="6">
        <v>433.91999999999899</v>
      </c>
      <c r="AW17" s="6">
        <v>0</v>
      </c>
      <c r="AX17" s="6">
        <v>0</v>
      </c>
      <c r="AY17" s="6">
        <v>34.08</v>
      </c>
      <c r="AZ17" s="6">
        <v>467.99999999999898</v>
      </c>
      <c r="BB17" t="s">
        <v>225</v>
      </c>
      <c r="BC17" s="5">
        <v>45901</v>
      </c>
      <c r="BD17" t="s">
        <v>181</v>
      </c>
      <c r="BE17">
        <v>929</v>
      </c>
      <c r="BF17" s="6">
        <v>5945.74999999995</v>
      </c>
      <c r="BG17" s="6">
        <v>28.03</v>
      </c>
      <c r="BH17" s="6">
        <v>0</v>
      </c>
      <c r="BI17" s="6">
        <v>1074.1600000000001</v>
      </c>
      <c r="BJ17" s="6">
        <v>6991.8799999999601</v>
      </c>
    </row>
    <row r="18" spans="2:62">
      <c r="B18">
        <v>44</v>
      </c>
      <c r="C18" s="5">
        <v>45957</v>
      </c>
      <c r="D18" t="s">
        <v>112</v>
      </c>
      <c r="E18">
        <v>9</v>
      </c>
      <c r="F18" s="6">
        <v>31.72</v>
      </c>
      <c r="G18" s="6">
        <v>0</v>
      </c>
      <c r="H18" s="6">
        <v>0</v>
      </c>
      <c r="I18" s="6">
        <v>0</v>
      </c>
      <c r="J18" s="6">
        <v>31.72</v>
      </c>
      <c r="L18">
        <v>43</v>
      </c>
      <c r="M18" s="5">
        <v>45950</v>
      </c>
      <c r="N18" t="s">
        <v>176</v>
      </c>
      <c r="O18">
        <v>64</v>
      </c>
      <c r="P18" s="6">
        <v>136.04</v>
      </c>
      <c r="Q18" s="6">
        <v>0</v>
      </c>
      <c r="R18" s="6">
        <v>0</v>
      </c>
      <c r="S18" s="6">
        <v>9.1199999999999992</v>
      </c>
      <c r="T18" s="6">
        <v>145.16</v>
      </c>
      <c r="V18">
        <v>43</v>
      </c>
      <c r="W18" s="5">
        <v>45950</v>
      </c>
      <c r="X18" t="s">
        <v>185</v>
      </c>
      <c r="Y18">
        <v>130</v>
      </c>
      <c r="Z18" s="6">
        <v>602.05999999999995</v>
      </c>
      <c r="AA18" s="6">
        <v>0</v>
      </c>
      <c r="AB18" s="6">
        <v>0</v>
      </c>
      <c r="AC18" s="6">
        <v>54.38</v>
      </c>
      <c r="AD18" s="6">
        <v>656.44</v>
      </c>
      <c r="AH18" t="s">
        <v>210</v>
      </c>
      <c r="AI18" s="5">
        <v>45931</v>
      </c>
      <c r="AJ18" t="s">
        <v>117</v>
      </c>
      <c r="AK18">
        <v>328</v>
      </c>
      <c r="AL18" s="6">
        <v>1488.11</v>
      </c>
      <c r="AM18" s="6">
        <v>0</v>
      </c>
      <c r="AN18" s="6">
        <v>0</v>
      </c>
      <c r="AO18" s="6">
        <v>64.319999999999894</v>
      </c>
      <c r="AP18" s="6">
        <v>1552.43</v>
      </c>
      <c r="AR18" t="s">
        <v>210</v>
      </c>
      <c r="AS18" s="5">
        <v>45931</v>
      </c>
      <c r="AT18" t="s">
        <v>182</v>
      </c>
      <c r="AU18">
        <v>7</v>
      </c>
      <c r="AV18" s="6">
        <v>28.89</v>
      </c>
      <c r="AW18" s="6">
        <v>0</v>
      </c>
      <c r="AX18" s="6">
        <v>0</v>
      </c>
      <c r="AY18" s="6">
        <v>0</v>
      </c>
      <c r="AZ18" s="6">
        <v>28.89</v>
      </c>
      <c r="BB18" t="s">
        <v>225</v>
      </c>
      <c r="BC18" s="5">
        <v>45901</v>
      </c>
      <c r="BD18" t="s">
        <v>184</v>
      </c>
      <c r="BE18">
        <v>1256</v>
      </c>
      <c r="BF18" s="6">
        <v>2414.5300000000002</v>
      </c>
      <c r="BG18" s="6">
        <v>14.48</v>
      </c>
      <c r="BH18" s="6">
        <v>0</v>
      </c>
      <c r="BI18" s="6">
        <v>330.08</v>
      </c>
      <c r="BJ18" s="6">
        <v>2730.13</v>
      </c>
    </row>
    <row r="19" spans="2:62">
      <c r="B19">
        <v>44</v>
      </c>
      <c r="C19" s="5">
        <v>45957</v>
      </c>
      <c r="D19" t="s">
        <v>128</v>
      </c>
      <c r="E19">
        <v>47</v>
      </c>
      <c r="F19" s="6">
        <v>255.17</v>
      </c>
      <c r="G19" s="6">
        <v>0</v>
      </c>
      <c r="H19" s="6">
        <v>2.6</v>
      </c>
      <c r="I19" s="6">
        <v>0</v>
      </c>
      <c r="J19" s="6">
        <v>255.17</v>
      </c>
      <c r="L19">
        <v>43</v>
      </c>
      <c r="M19" s="5">
        <v>45950</v>
      </c>
      <c r="N19" t="s">
        <v>169</v>
      </c>
      <c r="O19">
        <v>995</v>
      </c>
      <c r="P19" s="6">
        <v>2544.03999999997</v>
      </c>
      <c r="Q19" s="6">
        <v>2.1</v>
      </c>
      <c r="R19" s="6">
        <v>17.579999999999998</v>
      </c>
      <c r="S19" s="6">
        <v>80.92</v>
      </c>
      <c r="T19" s="6">
        <v>2622.8599999999701</v>
      </c>
      <c r="V19">
        <v>43</v>
      </c>
      <c r="W19" s="5">
        <v>45950</v>
      </c>
      <c r="X19" t="s">
        <v>180</v>
      </c>
      <c r="Y19">
        <v>35</v>
      </c>
      <c r="Z19" s="6">
        <v>307.72000000000003</v>
      </c>
      <c r="AA19" s="6">
        <v>0</v>
      </c>
      <c r="AB19" s="6">
        <v>0</v>
      </c>
      <c r="AC19" s="6">
        <v>6.75</v>
      </c>
      <c r="AD19" s="6">
        <v>314.47000000000003</v>
      </c>
      <c r="AH19" t="s">
        <v>210</v>
      </c>
      <c r="AI19" s="5">
        <v>45931</v>
      </c>
      <c r="AJ19" t="s">
        <v>149</v>
      </c>
      <c r="AK19">
        <v>201</v>
      </c>
      <c r="AL19" s="6">
        <v>736.25000000000102</v>
      </c>
      <c r="AM19" s="6">
        <v>0</v>
      </c>
      <c r="AN19" s="6">
        <v>0</v>
      </c>
      <c r="AO19" s="6">
        <v>8.4600000000000009</v>
      </c>
      <c r="AP19" s="6">
        <v>744.71000000000095</v>
      </c>
      <c r="AR19" t="s">
        <v>210</v>
      </c>
      <c r="AS19" s="5">
        <v>45931</v>
      </c>
      <c r="AT19" t="s">
        <v>204</v>
      </c>
      <c r="AU19">
        <v>6</v>
      </c>
      <c r="AV19" s="6">
        <v>14.4</v>
      </c>
      <c r="AW19" s="6">
        <v>0</v>
      </c>
      <c r="AX19" s="6">
        <v>0</v>
      </c>
      <c r="AY19" s="6">
        <v>0</v>
      </c>
      <c r="AZ19" s="6">
        <v>14.4</v>
      </c>
      <c r="BB19" t="s">
        <v>225</v>
      </c>
      <c r="BC19" s="5">
        <v>45901</v>
      </c>
      <c r="BD19" t="s">
        <v>180</v>
      </c>
      <c r="BE19">
        <v>171</v>
      </c>
      <c r="BF19" s="6">
        <v>1409.1</v>
      </c>
      <c r="BG19" s="6">
        <v>53.94</v>
      </c>
      <c r="BH19" s="6">
        <v>0</v>
      </c>
      <c r="BI19" s="6">
        <v>157.56</v>
      </c>
      <c r="BJ19" s="6">
        <v>1512.72</v>
      </c>
    </row>
    <row r="20" spans="2:62">
      <c r="B20">
        <v>44</v>
      </c>
      <c r="C20" s="5">
        <v>45957</v>
      </c>
      <c r="D20" t="s">
        <v>124</v>
      </c>
      <c r="E20">
        <v>148</v>
      </c>
      <c r="F20" s="6">
        <v>606.22000000000105</v>
      </c>
      <c r="G20" s="6">
        <v>0</v>
      </c>
      <c r="H20" s="6">
        <v>7.93</v>
      </c>
      <c r="I20" s="6">
        <v>0</v>
      </c>
      <c r="J20" s="6">
        <v>606.22000000000105</v>
      </c>
      <c r="L20">
        <v>43</v>
      </c>
      <c r="M20" s="5">
        <v>45950</v>
      </c>
      <c r="N20" t="s">
        <v>171</v>
      </c>
      <c r="O20">
        <v>114</v>
      </c>
      <c r="P20" s="6">
        <v>780.31000000000097</v>
      </c>
      <c r="Q20" s="6">
        <v>0</v>
      </c>
      <c r="R20" s="6">
        <v>0</v>
      </c>
      <c r="S20" s="6">
        <v>117.32</v>
      </c>
      <c r="T20" s="6">
        <v>897.63000000000102</v>
      </c>
      <c r="V20">
        <v>42</v>
      </c>
      <c r="W20" s="5">
        <v>45943</v>
      </c>
      <c r="X20" t="s">
        <v>181</v>
      </c>
      <c r="Y20">
        <v>232</v>
      </c>
      <c r="Z20" s="6">
        <v>1511.54</v>
      </c>
      <c r="AA20" s="6">
        <v>8.5</v>
      </c>
      <c r="AB20" s="6">
        <v>12.48</v>
      </c>
      <c r="AC20" s="6">
        <v>214.94</v>
      </c>
      <c r="AD20" s="6">
        <v>1717.98</v>
      </c>
      <c r="AH20" t="s">
        <v>210</v>
      </c>
      <c r="AI20" s="5">
        <v>45931</v>
      </c>
      <c r="AJ20" t="s">
        <v>138</v>
      </c>
      <c r="AK20">
        <v>478</v>
      </c>
      <c r="AL20" s="6">
        <v>2466.5500000000002</v>
      </c>
      <c r="AM20" s="6">
        <v>5.99</v>
      </c>
      <c r="AN20" s="6">
        <v>0</v>
      </c>
      <c r="AO20" s="6">
        <v>62.98</v>
      </c>
      <c r="AP20" s="6">
        <v>2523.54</v>
      </c>
      <c r="AR20" t="s">
        <v>225</v>
      </c>
      <c r="AS20" s="5">
        <v>45901</v>
      </c>
      <c r="AT20" t="s">
        <v>163</v>
      </c>
      <c r="AU20">
        <v>1220</v>
      </c>
      <c r="AV20" s="6">
        <v>2302.9</v>
      </c>
      <c r="AW20" s="6">
        <v>4</v>
      </c>
      <c r="AX20" s="6">
        <v>0</v>
      </c>
      <c r="AY20" s="6">
        <v>161.6</v>
      </c>
      <c r="AZ20" s="6">
        <v>2460.5</v>
      </c>
      <c r="BB20" t="s">
        <v>225</v>
      </c>
      <c r="BC20" s="5">
        <v>45901</v>
      </c>
      <c r="BD20" t="s">
        <v>178</v>
      </c>
      <c r="BE20">
        <v>899</v>
      </c>
      <c r="BF20" s="6">
        <v>8314.0599999999795</v>
      </c>
      <c r="BG20" s="6">
        <v>38.9</v>
      </c>
      <c r="BH20" s="6">
        <v>0</v>
      </c>
      <c r="BI20" s="6">
        <v>445.21</v>
      </c>
      <c r="BJ20" s="6">
        <v>8720.3699999999899</v>
      </c>
    </row>
    <row r="21" spans="2:62">
      <c r="B21">
        <v>44</v>
      </c>
      <c r="C21" s="5">
        <v>45957</v>
      </c>
      <c r="D21" t="s">
        <v>140</v>
      </c>
      <c r="E21">
        <v>26</v>
      </c>
      <c r="F21" s="6">
        <v>81.510000000000005</v>
      </c>
      <c r="G21" s="6">
        <v>0</v>
      </c>
      <c r="H21" s="6">
        <v>3.09</v>
      </c>
      <c r="I21" s="6">
        <v>0</v>
      </c>
      <c r="J21" s="6">
        <v>81.510000000000005</v>
      </c>
      <c r="L21">
        <v>43</v>
      </c>
      <c r="M21" s="5">
        <v>45950</v>
      </c>
      <c r="N21" t="s">
        <v>160</v>
      </c>
      <c r="O21">
        <v>675</v>
      </c>
      <c r="P21" s="6">
        <v>4579.1699999999701</v>
      </c>
      <c r="Q21" s="6">
        <v>9.5</v>
      </c>
      <c r="R21" s="6">
        <v>110.57</v>
      </c>
      <c r="S21" s="6">
        <v>147.25</v>
      </c>
      <c r="T21" s="6">
        <v>4716.9199999999701</v>
      </c>
      <c r="V21">
        <v>42</v>
      </c>
      <c r="W21" s="5">
        <v>45943</v>
      </c>
      <c r="X21" t="s">
        <v>183</v>
      </c>
      <c r="Y21">
        <v>403</v>
      </c>
      <c r="Z21" s="6">
        <v>812.280000000001</v>
      </c>
      <c r="AA21" s="6">
        <v>0</v>
      </c>
      <c r="AB21" s="6">
        <v>6.01</v>
      </c>
      <c r="AC21" s="6">
        <v>47.34</v>
      </c>
      <c r="AD21" s="6">
        <v>859.62000000000103</v>
      </c>
      <c r="AH21" t="s">
        <v>210</v>
      </c>
      <c r="AI21" s="5">
        <v>45931</v>
      </c>
      <c r="AJ21" t="s">
        <v>135</v>
      </c>
      <c r="AK21">
        <v>54</v>
      </c>
      <c r="AL21" s="6">
        <v>169.59</v>
      </c>
      <c r="AM21" s="6">
        <v>0</v>
      </c>
      <c r="AN21" s="6">
        <v>0</v>
      </c>
      <c r="AO21" s="6">
        <v>60.39</v>
      </c>
      <c r="AP21" s="6">
        <v>229.98</v>
      </c>
      <c r="AR21" t="s">
        <v>225</v>
      </c>
      <c r="AS21" s="5">
        <v>45901</v>
      </c>
      <c r="AT21" t="s">
        <v>169</v>
      </c>
      <c r="AU21">
        <v>3374</v>
      </c>
      <c r="AV21" s="6">
        <v>8384.9200000003093</v>
      </c>
      <c r="AW21" s="6">
        <v>6.3</v>
      </c>
      <c r="AX21" s="6">
        <v>0</v>
      </c>
      <c r="AY21" s="6">
        <v>511.44</v>
      </c>
      <c r="AZ21" s="6">
        <v>8890.0600000003105</v>
      </c>
      <c r="BB21" t="s">
        <v>225</v>
      </c>
      <c r="BC21" s="5">
        <v>45901</v>
      </c>
      <c r="BD21" t="s">
        <v>185</v>
      </c>
      <c r="BE21">
        <v>10</v>
      </c>
      <c r="BF21" s="6">
        <v>47.52</v>
      </c>
      <c r="BG21" s="6">
        <v>0</v>
      </c>
      <c r="BH21" s="6">
        <v>0</v>
      </c>
      <c r="BI21" s="6">
        <v>1.98</v>
      </c>
      <c r="BJ21" s="6">
        <v>49.5</v>
      </c>
    </row>
    <row r="22" spans="2:62">
      <c r="B22">
        <v>44</v>
      </c>
      <c r="C22" s="5">
        <v>45957</v>
      </c>
      <c r="D22" t="s">
        <v>141</v>
      </c>
      <c r="E22">
        <v>274</v>
      </c>
      <c r="F22" s="6">
        <v>885.23000000000104</v>
      </c>
      <c r="G22" s="6">
        <v>0</v>
      </c>
      <c r="H22" s="6">
        <v>13.57</v>
      </c>
      <c r="I22" s="6">
        <v>0</v>
      </c>
      <c r="J22" s="6">
        <v>885.23000000000104</v>
      </c>
      <c r="L22">
        <v>43</v>
      </c>
      <c r="M22" s="5">
        <v>45950</v>
      </c>
      <c r="N22" t="s">
        <v>174</v>
      </c>
      <c r="O22">
        <v>136</v>
      </c>
      <c r="P22" s="6">
        <v>805</v>
      </c>
      <c r="Q22" s="6">
        <v>0</v>
      </c>
      <c r="R22" s="6">
        <v>0</v>
      </c>
      <c r="S22" s="6">
        <v>129.5</v>
      </c>
      <c r="T22" s="6">
        <v>934.5</v>
      </c>
      <c r="V22">
        <v>42</v>
      </c>
      <c r="W22" s="5">
        <v>45943</v>
      </c>
      <c r="X22" t="s">
        <v>182</v>
      </c>
      <c r="Y22">
        <v>896</v>
      </c>
      <c r="Z22" s="6">
        <v>2219.1699999999801</v>
      </c>
      <c r="AA22" s="6">
        <v>2.8</v>
      </c>
      <c r="AB22" s="6">
        <v>46.3</v>
      </c>
      <c r="AC22" s="6">
        <v>94.81</v>
      </c>
      <c r="AD22" s="6">
        <v>2311.1799999999798</v>
      </c>
      <c r="AH22" t="s">
        <v>210</v>
      </c>
      <c r="AI22" s="5">
        <v>45931</v>
      </c>
      <c r="AJ22" t="s">
        <v>121</v>
      </c>
      <c r="AK22">
        <v>270</v>
      </c>
      <c r="AL22" s="6">
        <v>894.55000000000098</v>
      </c>
      <c r="AM22" s="6">
        <v>0</v>
      </c>
      <c r="AN22" s="6">
        <v>0</v>
      </c>
      <c r="AO22" s="6">
        <v>24.79</v>
      </c>
      <c r="AP22" s="6">
        <v>919.34000000000106</v>
      </c>
      <c r="AR22" t="s">
        <v>225</v>
      </c>
      <c r="AS22" s="5">
        <v>45901</v>
      </c>
      <c r="AT22" t="s">
        <v>160</v>
      </c>
      <c r="AU22">
        <v>2935</v>
      </c>
      <c r="AV22" s="6">
        <v>19301.090000000098</v>
      </c>
      <c r="AW22" s="6">
        <v>125.08</v>
      </c>
      <c r="AX22" s="6">
        <v>0</v>
      </c>
      <c r="AY22" s="6">
        <v>1289.75</v>
      </c>
      <c r="AZ22" s="6">
        <v>20465.7600000001</v>
      </c>
      <c r="BB22" t="s">
        <v>225</v>
      </c>
      <c r="BC22" s="5">
        <v>45901</v>
      </c>
      <c r="BD22" t="s">
        <v>227</v>
      </c>
      <c r="BE22">
        <v>7</v>
      </c>
      <c r="BF22" s="6">
        <v>5.43</v>
      </c>
      <c r="BG22" s="6">
        <v>1.44</v>
      </c>
      <c r="BH22" s="6">
        <v>0</v>
      </c>
      <c r="BI22" s="6">
        <v>34.5</v>
      </c>
      <c r="BJ22" s="6">
        <v>38.49</v>
      </c>
    </row>
    <row r="23" spans="2:62">
      <c r="B23">
        <v>44</v>
      </c>
      <c r="C23" s="5">
        <v>45957</v>
      </c>
      <c r="D23" t="s">
        <v>119</v>
      </c>
      <c r="E23">
        <v>126</v>
      </c>
      <c r="F23" s="6">
        <v>498.84</v>
      </c>
      <c r="G23" s="6">
        <v>0</v>
      </c>
      <c r="H23" s="6">
        <v>10.61</v>
      </c>
      <c r="I23" s="6">
        <v>0</v>
      </c>
      <c r="J23" s="6">
        <v>498.84</v>
      </c>
      <c r="L23">
        <v>43</v>
      </c>
      <c r="M23" s="5">
        <v>45950</v>
      </c>
      <c r="N23" t="s">
        <v>168</v>
      </c>
      <c r="O23">
        <v>303</v>
      </c>
      <c r="P23" s="6">
        <v>572.62</v>
      </c>
      <c r="Q23" s="6">
        <v>2.99</v>
      </c>
      <c r="R23" s="6">
        <v>0</v>
      </c>
      <c r="S23" s="6">
        <v>87.36</v>
      </c>
      <c r="T23" s="6">
        <v>656.99</v>
      </c>
      <c r="V23">
        <v>42</v>
      </c>
      <c r="W23" s="5">
        <v>45943</v>
      </c>
      <c r="X23" t="s">
        <v>179</v>
      </c>
      <c r="Y23">
        <v>592</v>
      </c>
      <c r="Z23" s="6">
        <v>3280.0099999999902</v>
      </c>
      <c r="AA23" s="6">
        <v>0</v>
      </c>
      <c r="AB23" s="6">
        <v>119.64</v>
      </c>
      <c r="AC23" s="6">
        <v>196.97</v>
      </c>
      <c r="AD23" s="6">
        <v>3476.97999999999</v>
      </c>
      <c r="AH23" t="s">
        <v>210</v>
      </c>
      <c r="AI23" s="5">
        <v>45931</v>
      </c>
      <c r="AJ23" t="s">
        <v>114</v>
      </c>
      <c r="AK23">
        <v>277</v>
      </c>
      <c r="AL23" s="6">
        <v>1143.21</v>
      </c>
      <c r="AM23" s="6">
        <v>1.1200000000000001</v>
      </c>
      <c r="AN23" s="6">
        <v>0</v>
      </c>
      <c r="AO23" s="6">
        <v>427.99999999999898</v>
      </c>
      <c r="AP23" s="6">
        <v>1570.09</v>
      </c>
      <c r="AR23" t="s">
        <v>225</v>
      </c>
      <c r="AS23" s="5">
        <v>45901</v>
      </c>
      <c r="AT23" t="s">
        <v>173</v>
      </c>
      <c r="AU23">
        <v>672</v>
      </c>
      <c r="AV23" s="6">
        <v>2994.0599999999799</v>
      </c>
      <c r="AW23" s="6">
        <v>9.9</v>
      </c>
      <c r="AX23" s="6">
        <v>0</v>
      </c>
      <c r="AY23" s="6">
        <v>358.38000000000102</v>
      </c>
      <c r="AZ23" s="6">
        <v>3342.53999999998</v>
      </c>
      <c r="BB23" t="s">
        <v>226</v>
      </c>
      <c r="BC23" s="5">
        <v>45870</v>
      </c>
      <c r="BD23" t="s">
        <v>182</v>
      </c>
      <c r="BE23">
        <v>2958</v>
      </c>
      <c r="BF23" s="6">
        <v>8125.4500000001699</v>
      </c>
      <c r="BG23" s="6">
        <v>9.16</v>
      </c>
      <c r="BH23" s="6">
        <v>0</v>
      </c>
      <c r="BI23" s="6">
        <v>594.09000000000196</v>
      </c>
      <c r="BJ23" s="6">
        <v>8710.3800000001793</v>
      </c>
    </row>
    <row r="24" spans="2:62">
      <c r="B24">
        <v>44</v>
      </c>
      <c r="C24" s="5">
        <v>45957</v>
      </c>
      <c r="D24" t="s">
        <v>135</v>
      </c>
      <c r="E24">
        <v>16</v>
      </c>
      <c r="F24" s="6">
        <v>52.31</v>
      </c>
      <c r="G24" s="6">
        <v>0</v>
      </c>
      <c r="H24" s="6">
        <v>0</v>
      </c>
      <c r="I24" s="6">
        <v>16.5</v>
      </c>
      <c r="J24" s="6">
        <v>68.81</v>
      </c>
      <c r="L24">
        <v>43</v>
      </c>
      <c r="M24" s="5">
        <v>45950</v>
      </c>
      <c r="N24" t="s">
        <v>158</v>
      </c>
      <c r="O24">
        <v>173</v>
      </c>
      <c r="P24" s="6">
        <v>1012.07</v>
      </c>
      <c r="Q24" s="6">
        <v>0</v>
      </c>
      <c r="R24" s="6">
        <v>26.53</v>
      </c>
      <c r="S24" s="6">
        <v>51.36</v>
      </c>
      <c r="T24" s="6">
        <v>1063.43</v>
      </c>
      <c r="V24">
        <v>42</v>
      </c>
      <c r="W24" s="5">
        <v>45943</v>
      </c>
      <c r="X24" t="s">
        <v>178</v>
      </c>
      <c r="Y24">
        <v>225</v>
      </c>
      <c r="Z24" s="6">
        <v>2048.38</v>
      </c>
      <c r="AA24" s="6">
        <v>10.9</v>
      </c>
      <c r="AB24" s="6">
        <v>82.71</v>
      </c>
      <c r="AC24" s="6">
        <v>39.020000000000003</v>
      </c>
      <c r="AD24" s="6">
        <v>2076.5</v>
      </c>
      <c r="AH24" t="s">
        <v>210</v>
      </c>
      <c r="AI24" s="5">
        <v>45931</v>
      </c>
      <c r="AJ24" t="s">
        <v>136</v>
      </c>
      <c r="AK24">
        <v>112</v>
      </c>
      <c r="AL24" s="6">
        <v>307.88</v>
      </c>
      <c r="AM24" s="6">
        <v>0</v>
      </c>
      <c r="AN24" s="6">
        <v>0</v>
      </c>
      <c r="AO24" s="6">
        <v>115.05</v>
      </c>
      <c r="AP24" s="6">
        <v>422.93</v>
      </c>
      <c r="AR24" t="s">
        <v>225</v>
      </c>
      <c r="AS24" s="5">
        <v>45901</v>
      </c>
      <c r="AT24" t="s">
        <v>171</v>
      </c>
      <c r="AU24">
        <v>452</v>
      </c>
      <c r="AV24" s="6">
        <v>2900.49999999999</v>
      </c>
      <c r="AW24" s="6">
        <v>13.9</v>
      </c>
      <c r="AX24" s="6">
        <v>0</v>
      </c>
      <c r="AY24" s="6">
        <v>572.67999999999995</v>
      </c>
      <c r="AZ24" s="6">
        <v>3459.2799999999902</v>
      </c>
      <c r="BB24" t="s">
        <v>226</v>
      </c>
      <c r="BC24" s="5">
        <v>45870</v>
      </c>
      <c r="BD24" t="s">
        <v>183</v>
      </c>
      <c r="BE24">
        <v>1294</v>
      </c>
      <c r="BF24" s="6">
        <v>2654.51</v>
      </c>
      <c r="BG24" s="6">
        <v>3.6</v>
      </c>
      <c r="BH24" s="6">
        <v>0</v>
      </c>
      <c r="BI24" s="6">
        <v>202.78</v>
      </c>
      <c r="BJ24" s="6">
        <v>2853.69</v>
      </c>
    </row>
    <row r="25" spans="2:62">
      <c r="B25">
        <v>44</v>
      </c>
      <c r="C25" s="5">
        <v>45957</v>
      </c>
      <c r="D25" t="s">
        <v>142</v>
      </c>
      <c r="E25">
        <v>68</v>
      </c>
      <c r="F25" s="6">
        <v>316.63</v>
      </c>
      <c r="G25" s="6">
        <v>0</v>
      </c>
      <c r="H25" s="6">
        <v>35.22</v>
      </c>
      <c r="I25" s="6">
        <v>0</v>
      </c>
      <c r="J25" s="6">
        <v>316.63</v>
      </c>
      <c r="L25">
        <v>43</v>
      </c>
      <c r="M25" s="5">
        <v>45950</v>
      </c>
      <c r="N25" t="s">
        <v>163</v>
      </c>
      <c r="O25">
        <v>273</v>
      </c>
      <c r="P25" s="6">
        <v>514.4</v>
      </c>
      <c r="Q25" s="6">
        <v>2</v>
      </c>
      <c r="R25" s="6">
        <v>0</v>
      </c>
      <c r="S25" s="6">
        <v>37.1</v>
      </c>
      <c r="T25" s="6">
        <v>549.5</v>
      </c>
      <c r="V25">
        <v>42</v>
      </c>
      <c r="W25" s="5">
        <v>45943</v>
      </c>
      <c r="X25" t="s">
        <v>185</v>
      </c>
      <c r="Y25">
        <v>152</v>
      </c>
      <c r="Z25" s="6">
        <v>688.08000000000095</v>
      </c>
      <c r="AA25" s="6">
        <v>0</v>
      </c>
      <c r="AB25" s="6">
        <v>8.91</v>
      </c>
      <c r="AC25" s="6">
        <v>53.71</v>
      </c>
      <c r="AD25" s="6">
        <v>741.79000000000099</v>
      </c>
      <c r="AH25" t="s">
        <v>210</v>
      </c>
      <c r="AI25" s="5">
        <v>45931</v>
      </c>
      <c r="AJ25" t="s">
        <v>129</v>
      </c>
      <c r="AK25">
        <v>651</v>
      </c>
      <c r="AL25" s="6">
        <v>94.47</v>
      </c>
      <c r="AM25" s="6">
        <v>15.2</v>
      </c>
      <c r="AN25" s="6">
        <v>0</v>
      </c>
      <c r="AO25" s="6">
        <v>2708.95999999999</v>
      </c>
      <c r="AP25" s="6">
        <v>2788.22999999999</v>
      </c>
      <c r="AR25" t="s">
        <v>225</v>
      </c>
      <c r="AS25" s="5">
        <v>45901</v>
      </c>
      <c r="AT25" t="s">
        <v>174</v>
      </c>
      <c r="AU25">
        <v>431</v>
      </c>
      <c r="AV25" s="6">
        <v>2673.81</v>
      </c>
      <c r="AW25" s="6">
        <v>14.13</v>
      </c>
      <c r="AX25" s="6">
        <v>0</v>
      </c>
      <c r="AY25" s="6">
        <v>435.92</v>
      </c>
      <c r="AZ25" s="6">
        <v>3095.6</v>
      </c>
      <c r="BB25" t="s">
        <v>226</v>
      </c>
      <c r="BC25" s="5">
        <v>45870</v>
      </c>
      <c r="BD25" t="s">
        <v>179</v>
      </c>
      <c r="BE25">
        <v>1861</v>
      </c>
      <c r="BF25" s="6">
        <v>10034.5999999998</v>
      </c>
      <c r="BG25" s="6">
        <v>26.15</v>
      </c>
      <c r="BH25" s="6">
        <v>0</v>
      </c>
      <c r="BI25" s="6">
        <v>1000</v>
      </c>
      <c r="BJ25" s="6">
        <v>11008.449999999801</v>
      </c>
    </row>
    <row r="26" spans="2:62">
      <c r="B26">
        <v>44</v>
      </c>
      <c r="C26" s="5">
        <v>45957</v>
      </c>
      <c r="D26" t="s">
        <v>134</v>
      </c>
      <c r="E26">
        <v>90</v>
      </c>
      <c r="F26" s="6">
        <v>487.91</v>
      </c>
      <c r="G26" s="6">
        <v>0</v>
      </c>
      <c r="H26" s="6">
        <v>4.1399999999999997</v>
      </c>
      <c r="I26" s="6">
        <v>0</v>
      </c>
      <c r="J26" s="6">
        <v>487.91</v>
      </c>
      <c r="L26">
        <v>43</v>
      </c>
      <c r="M26" s="5">
        <v>45950</v>
      </c>
      <c r="N26" t="s">
        <v>173</v>
      </c>
      <c r="O26">
        <v>130</v>
      </c>
      <c r="P26" s="6">
        <v>602.05999999999995</v>
      </c>
      <c r="Q26" s="6">
        <v>0</v>
      </c>
      <c r="R26" s="6">
        <v>0</v>
      </c>
      <c r="S26" s="6">
        <v>54.38</v>
      </c>
      <c r="T26" s="6">
        <v>656.44</v>
      </c>
      <c r="V26">
        <v>42</v>
      </c>
      <c r="W26" s="5">
        <v>45943</v>
      </c>
      <c r="X26" t="s">
        <v>184</v>
      </c>
      <c r="Y26">
        <v>351</v>
      </c>
      <c r="Z26" s="6">
        <v>694.75999999999897</v>
      </c>
      <c r="AA26" s="6">
        <v>1.5</v>
      </c>
      <c r="AB26" s="6">
        <v>8.1300000000000008</v>
      </c>
      <c r="AC26" s="6">
        <v>81.14</v>
      </c>
      <c r="AD26" s="6">
        <v>774.39999999999895</v>
      </c>
      <c r="AH26" t="s">
        <v>210</v>
      </c>
      <c r="AI26" s="5">
        <v>45931</v>
      </c>
      <c r="AJ26" t="s">
        <v>137</v>
      </c>
      <c r="AK26">
        <v>87</v>
      </c>
      <c r="AL26" s="6">
        <v>261.01</v>
      </c>
      <c r="AM26" s="6">
        <v>0</v>
      </c>
      <c r="AN26" s="6">
        <v>0</v>
      </c>
      <c r="AO26" s="6">
        <v>195.03</v>
      </c>
      <c r="AP26" s="6">
        <v>456.04</v>
      </c>
      <c r="AR26" t="s">
        <v>225</v>
      </c>
      <c r="AS26" s="5">
        <v>45901</v>
      </c>
      <c r="AT26" t="s">
        <v>167</v>
      </c>
      <c r="AU26">
        <v>46</v>
      </c>
      <c r="AV26" s="6">
        <v>371.44</v>
      </c>
      <c r="AW26" s="6">
        <v>0</v>
      </c>
      <c r="AX26" s="6">
        <v>0</v>
      </c>
      <c r="AY26" s="6">
        <v>65.56</v>
      </c>
      <c r="AZ26" s="6">
        <v>437</v>
      </c>
      <c r="BB26" t="s">
        <v>226</v>
      </c>
      <c r="BC26" s="5">
        <v>45870</v>
      </c>
      <c r="BD26" t="s">
        <v>184</v>
      </c>
      <c r="BE26">
        <v>1085</v>
      </c>
      <c r="BF26" s="6">
        <v>1949.5</v>
      </c>
      <c r="BG26" s="6">
        <v>9.2899999999999991</v>
      </c>
      <c r="BH26" s="6">
        <v>0</v>
      </c>
      <c r="BI26" s="6">
        <v>346.5</v>
      </c>
      <c r="BJ26" s="6">
        <v>2286.71</v>
      </c>
    </row>
    <row r="27" spans="2:62">
      <c r="B27">
        <v>44</v>
      </c>
      <c r="C27" s="5">
        <v>45957</v>
      </c>
      <c r="D27" t="s">
        <v>122</v>
      </c>
      <c r="E27">
        <v>57</v>
      </c>
      <c r="F27" s="6">
        <v>250.43</v>
      </c>
      <c r="G27" s="6">
        <v>0</v>
      </c>
      <c r="H27" s="6">
        <v>7.59</v>
      </c>
      <c r="I27" s="6">
        <v>0</v>
      </c>
      <c r="J27" s="6">
        <v>250.43</v>
      </c>
      <c r="L27">
        <v>43</v>
      </c>
      <c r="M27" s="5">
        <v>45950</v>
      </c>
      <c r="N27" t="s">
        <v>165</v>
      </c>
      <c r="O27">
        <v>35</v>
      </c>
      <c r="P27" s="6">
        <v>307.72000000000003</v>
      </c>
      <c r="Q27" s="6">
        <v>0</v>
      </c>
      <c r="R27" s="6">
        <v>0</v>
      </c>
      <c r="S27" s="6">
        <v>6.75</v>
      </c>
      <c r="T27" s="6">
        <v>314.47000000000003</v>
      </c>
      <c r="V27">
        <v>42</v>
      </c>
      <c r="W27" s="5">
        <v>45943</v>
      </c>
      <c r="X27" t="s">
        <v>180</v>
      </c>
      <c r="Y27">
        <v>49</v>
      </c>
      <c r="Z27" s="6">
        <v>410.4</v>
      </c>
      <c r="AA27" s="6">
        <v>0</v>
      </c>
      <c r="AB27" s="6">
        <v>0</v>
      </c>
      <c r="AC27" s="6">
        <v>31.93</v>
      </c>
      <c r="AD27" s="6">
        <v>442.33</v>
      </c>
      <c r="AH27" t="s">
        <v>210</v>
      </c>
      <c r="AI27" s="5">
        <v>45931</v>
      </c>
      <c r="AJ27" t="s">
        <v>134</v>
      </c>
      <c r="AK27">
        <v>373</v>
      </c>
      <c r="AL27" s="6">
        <v>1895.75</v>
      </c>
      <c r="AM27" s="6">
        <v>0</v>
      </c>
      <c r="AN27" s="6">
        <v>0</v>
      </c>
      <c r="AO27" s="6">
        <v>21.13</v>
      </c>
      <c r="AP27" s="6">
        <v>1916.88</v>
      </c>
      <c r="AR27" t="s">
        <v>225</v>
      </c>
      <c r="AS27" s="5">
        <v>45901</v>
      </c>
      <c r="AT27" t="s">
        <v>168</v>
      </c>
      <c r="AU27">
        <v>1166</v>
      </c>
      <c r="AV27" s="6">
        <v>2136.9299999999998</v>
      </c>
      <c r="AW27" s="6">
        <v>14.48</v>
      </c>
      <c r="AX27" s="6">
        <v>0</v>
      </c>
      <c r="AY27" s="6">
        <v>317.27999999999997</v>
      </c>
      <c r="AZ27" s="6">
        <v>2439.73</v>
      </c>
      <c r="BB27" t="s">
        <v>226</v>
      </c>
      <c r="BC27" s="5">
        <v>45870</v>
      </c>
      <c r="BD27" t="s">
        <v>181</v>
      </c>
      <c r="BE27">
        <v>714</v>
      </c>
      <c r="BF27" s="6">
        <v>4544.9199999999701</v>
      </c>
      <c r="BG27" s="6">
        <v>0</v>
      </c>
      <c r="BH27" s="6">
        <v>0</v>
      </c>
      <c r="BI27" s="6">
        <v>824.05000000000098</v>
      </c>
      <c r="BJ27" s="6">
        <v>5368.9699999999702</v>
      </c>
    </row>
    <row r="28" spans="2:62">
      <c r="B28">
        <v>44</v>
      </c>
      <c r="C28" s="5">
        <v>45957</v>
      </c>
      <c r="D28" t="s">
        <v>127</v>
      </c>
      <c r="E28">
        <v>61</v>
      </c>
      <c r="F28" s="6">
        <v>321.83999999999997</v>
      </c>
      <c r="G28" s="6">
        <v>0</v>
      </c>
      <c r="H28" s="6">
        <v>4.5599999999999996</v>
      </c>
      <c r="I28" s="6">
        <v>0</v>
      </c>
      <c r="J28" s="6">
        <v>321.83999999999997</v>
      </c>
      <c r="L28">
        <v>43</v>
      </c>
      <c r="M28" s="5">
        <v>45950</v>
      </c>
      <c r="N28" t="s">
        <v>172</v>
      </c>
      <c r="O28">
        <v>31</v>
      </c>
      <c r="P28" s="6">
        <v>96</v>
      </c>
      <c r="Q28" s="6">
        <v>0</v>
      </c>
      <c r="R28" s="6">
        <v>0</v>
      </c>
      <c r="S28" s="6">
        <v>3.2</v>
      </c>
      <c r="T28" s="6">
        <v>99.2</v>
      </c>
      <c r="V28">
        <v>42</v>
      </c>
      <c r="W28" s="5">
        <v>45943</v>
      </c>
      <c r="X28" t="s">
        <v>186</v>
      </c>
      <c r="Y28">
        <v>2</v>
      </c>
      <c r="Z28" s="6">
        <v>7.6</v>
      </c>
      <c r="AA28" s="6">
        <v>0</v>
      </c>
      <c r="AB28" s="6">
        <v>0</v>
      </c>
      <c r="AC28" s="6">
        <v>0</v>
      </c>
      <c r="AD28" s="6">
        <v>7.6</v>
      </c>
      <c r="AH28" t="s">
        <v>210</v>
      </c>
      <c r="AI28" s="5">
        <v>45931</v>
      </c>
      <c r="AJ28" t="s">
        <v>128</v>
      </c>
      <c r="AK28">
        <v>226</v>
      </c>
      <c r="AL28" s="6">
        <v>1107.79</v>
      </c>
      <c r="AM28" s="6">
        <v>15.8</v>
      </c>
      <c r="AN28" s="6">
        <v>0</v>
      </c>
      <c r="AO28" s="6">
        <v>15.8</v>
      </c>
      <c r="AP28" s="6">
        <v>1107.79</v>
      </c>
      <c r="AR28" t="s">
        <v>225</v>
      </c>
      <c r="AS28" s="5">
        <v>45901</v>
      </c>
      <c r="AT28" t="s">
        <v>164</v>
      </c>
      <c r="AU28">
        <v>31</v>
      </c>
      <c r="AV28" s="6">
        <v>118.52</v>
      </c>
      <c r="AW28" s="6">
        <v>0</v>
      </c>
      <c r="AX28" s="6">
        <v>0</v>
      </c>
      <c r="AY28" s="6">
        <v>6.19</v>
      </c>
      <c r="AZ28" s="6">
        <v>124.71</v>
      </c>
      <c r="BB28" t="s">
        <v>226</v>
      </c>
      <c r="BC28" s="5">
        <v>45870</v>
      </c>
      <c r="BD28" t="s">
        <v>178</v>
      </c>
      <c r="BE28">
        <v>695</v>
      </c>
      <c r="BF28" s="6">
        <v>6365.92</v>
      </c>
      <c r="BG28" s="6">
        <v>0</v>
      </c>
      <c r="BH28" s="6">
        <v>0</v>
      </c>
      <c r="BI28" s="6">
        <v>395.47</v>
      </c>
      <c r="BJ28" s="6">
        <v>6761.39</v>
      </c>
    </row>
    <row r="29" spans="2:62">
      <c r="B29">
        <v>44</v>
      </c>
      <c r="C29" s="5">
        <v>45957</v>
      </c>
      <c r="D29" t="s">
        <v>133</v>
      </c>
      <c r="E29">
        <v>93</v>
      </c>
      <c r="F29" s="6">
        <v>496.96</v>
      </c>
      <c r="G29" s="6">
        <v>0</v>
      </c>
      <c r="H29" s="6">
        <v>20.260000000000002</v>
      </c>
      <c r="I29" s="6">
        <v>0</v>
      </c>
      <c r="J29" s="6">
        <v>496.96</v>
      </c>
      <c r="L29">
        <v>43</v>
      </c>
      <c r="M29" s="5">
        <v>45950</v>
      </c>
      <c r="N29" t="s">
        <v>164</v>
      </c>
      <c r="O29">
        <v>20</v>
      </c>
      <c r="P29" s="6">
        <v>70.569999999999993</v>
      </c>
      <c r="Q29" s="6">
        <v>0</v>
      </c>
      <c r="R29" s="6">
        <v>0</v>
      </c>
      <c r="S29" s="6">
        <v>5.03</v>
      </c>
      <c r="T29" s="6">
        <v>75.599999999999994</v>
      </c>
      <c r="V29">
        <v>41</v>
      </c>
      <c r="W29" s="5">
        <v>45936</v>
      </c>
      <c r="X29" t="s">
        <v>181</v>
      </c>
      <c r="Y29">
        <v>225</v>
      </c>
      <c r="Z29" s="6">
        <v>1545.62</v>
      </c>
      <c r="AA29" s="6">
        <v>0</v>
      </c>
      <c r="AB29" s="6">
        <v>0</v>
      </c>
      <c r="AC29" s="6">
        <v>295.43</v>
      </c>
      <c r="AD29" s="6">
        <v>1841.05</v>
      </c>
      <c r="AH29" t="s">
        <v>210</v>
      </c>
      <c r="AI29" s="5">
        <v>45931</v>
      </c>
      <c r="AJ29" t="s">
        <v>123</v>
      </c>
      <c r="AK29">
        <v>704</v>
      </c>
      <c r="AL29" s="6">
        <v>2980.01999999998</v>
      </c>
      <c r="AM29" s="6">
        <v>0</v>
      </c>
      <c r="AN29" s="6">
        <v>0</v>
      </c>
      <c r="AO29" s="6">
        <v>38.08</v>
      </c>
      <c r="AP29" s="6">
        <v>3018.0999999999799</v>
      </c>
      <c r="AR29" t="s">
        <v>225</v>
      </c>
      <c r="AS29" s="5">
        <v>45901</v>
      </c>
      <c r="AT29" t="s">
        <v>158</v>
      </c>
      <c r="AU29">
        <v>307</v>
      </c>
      <c r="AV29" s="6">
        <v>1881.0599999999899</v>
      </c>
      <c r="AW29" s="6">
        <v>12.6</v>
      </c>
      <c r="AX29" s="6">
        <v>0</v>
      </c>
      <c r="AY29" s="6">
        <v>153.84</v>
      </c>
      <c r="AZ29" s="6">
        <v>2022.29999999999</v>
      </c>
      <c r="BB29" t="s">
        <v>226</v>
      </c>
      <c r="BC29" s="5">
        <v>45870</v>
      </c>
      <c r="BD29" t="s">
        <v>180</v>
      </c>
      <c r="BE29">
        <v>225</v>
      </c>
      <c r="BF29" s="6">
        <v>1835.62</v>
      </c>
      <c r="BG29" s="6">
        <v>0</v>
      </c>
      <c r="BH29" s="6">
        <v>0</v>
      </c>
      <c r="BI29" s="6">
        <v>183.98</v>
      </c>
      <c r="BJ29" s="6">
        <v>2019.6</v>
      </c>
    </row>
    <row r="30" spans="2:62">
      <c r="B30">
        <v>44</v>
      </c>
      <c r="C30" s="5">
        <v>45957</v>
      </c>
      <c r="D30" t="s">
        <v>114</v>
      </c>
      <c r="E30">
        <v>54</v>
      </c>
      <c r="F30" s="6">
        <v>215.42</v>
      </c>
      <c r="G30" s="6">
        <v>0</v>
      </c>
      <c r="H30" s="6">
        <v>2.39</v>
      </c>
      <c r="I30" s="6">
        <v>72.78</v>
      </c>
      <c r="J30" s="6">
        <v>288.2</v>
      </c>
      <c r="L30">
        <v>43</v>
      </c>
      <c r="M30" s="5">
        <v>45950</v>
      </c>
      <c r="N30" t="s">
        <v>170</v>
      </c>
      <c r="O30">
        <v>16</v>
      </c>
      <c r="P30" s="6">
        <v>55.26</v>
      </c>
      <c r="Q30" s="6">
        <v>0</v>
      </c>
      <c r="R30" s="6">
        <v>0</v>
      </c>
      <c r="S30" s="6">
        <v>2.34</v>
      </c>
      <c r="T30" s="6">
        <v>57.6</v>
      </c>
      <c r="V30">
        <v>41</v>
      </c>
      <c r="W30" s="5">
        <v>45936</v>
      </c>
      <c r="X30" t="s">
        <v>182</v>
      </c>
      <c r="Y30">
        <v>801</v>
      </c>
      <c r="Z30" s="6">
        <v>2012.8199999999799</v>
      </c>
      <c r="AA30" s="6">
        <v>0</v>
      </c>
      <c r="AB30" s="6">
        <v>23.37</v>
      </c>
      <c r="AC30" s="6">
        <v>108.18</v>
      </c>
      <c r="AD30" s="6">
        <v>2120.99999999998</v>
      </c>
      <c r="AH30" t="s">
        <v>210</v>
      </c>
      <c r="AI30" s="5">
        <v>45931</v>
      </c>
      <c r="AJ30" t="s">
        <v>116</v>
      </c>
      <c r="AK30">
        <v>162</v>
      </c>
      <c r="AL30" s="6">
        <v>546.9</v>
      </c>
      <c r="AM30" s="6">
        <v>0</v>
      </c>
      <c r="AN30" s="6">
        <v>0</v>
      </c>
      <c r="AO30" s="6">
        <v>12.39</v>
      </c>
      <c r="AP30" s="6">
        <v>559.29</v>
      </c>
      <c r="AR30" t="s">
        <v>225</v>
      </c>
      <c r="AS30" s="5">
        <v>45901</v>
      </c>
      <c r="AT30" t="s">
        <v>176</v>
      </c>
      <c r="AU30">
        <v>387</v>
      </c>
      <c r="AV30" s="6">
        <v>796.31</v>
      </c>
      <c r="AW30" s="6">
        <v>0</v>
      </c>
      <c r="AX30" s="6">
        <v>0</v>
      </c>
      <c r="AY30" s="6">
        <v>77.33</v>
      </c>
      <c r="AZ30" s="6">
        <v>873.64</v>
      </c>
      <c r="BB30" t="s">
        <v>211</v>
      </c>
      <c r="BC30" s="5">
        <v>45962</v>
      </c>
      <c r="BD30" t="s">
        <v>179</v>
      </c>
      <c r="BE30">
        <v>2481</v>
      </c>
      <c r="BF30" s="6">
        <v>13904.9899999998</v>
      </c>
      <c r="BG30" s="6">
        <v>73.459999999999994</v>
      </c>
      <c r="BH30" s="6">
        <v>0</v>
      </c>
      <c r="BI30" s="6">
        <v>950.06999999999698</v>
      </c>
      <c r="BJ30" s="6">
        <v>14781.5999999998</v>
      </c>
    </row>
    <row r="31" spans="2:62">
      <c r="B31">
        <v>44</v>
      </c>
      <c r="C31" s="5">
        <v>45957</v>
      </c>
      <c r="D31" t="s">
        <v>116</v>
      </c>
      <c r="E31">
        <v>35</v>
      </c>
      <c r="F31" s="6">
        <v>119.52</v>
      </c>
      <c r="G31" s="6">
        <v>0</v>
      </c>
      <c r="H31" s="6">
        <v>0</v>
      </c>
      <c r="I31" s="6">
        <v>0</v>
      </c>
      <c r="J31" s="6">
        <v>119.52</v>
      </c>
      <c r="L31">
        <v>42</v>
      </c>
      <c r="M31" s="5">
        <v>45943</v>
      </c>
      <c r="N31" t="s">
        <v>171</v>
      </c>
      <c r="O31">
        <v>76</v>
      </c>
      <c r="P31" s="6">
        <v>462.09</v>
      </c>
      <c r="Q31" s="6">
        <v>0</v>
      </c>
      <c r="R31" s="6">
        <v>2.84</v>
      </c>
      <c r="S31" s="6">
        <v>66.73</v>
      </c>
      <c r="T31" s="6">
        <v>528.82000000000005</v>
      </c>
      <c r="V31">
        <v>41</v>
      </c>
      <c r="W31" s="5">
        <v>45936</v>
      </c>
      <c r="X31" t="s">
        <v>179</v>
      </c>
      <c r="Y31">
        <v>518</v>
      </c>
      <c r="Z31" s="6">
        <v>2899.6499999999901</v>
      </c>
      <c r="AA31" s="6">
        <v>6.3</v>
      </c>
      <c r="AB31" s="6">
        <v>81.400000000000006</v>
      </c>
      <c r="AC31" s="6">
        <v>130.1</v>
      </c>
      <c r="AD31" s="6">
        <v>3023.4499999999898</v>
      </c>
      <c r="AH31" t="s">
        <v>210</v>
      </c>
      <c r="AI31" s="5">
        <v>45931</v>
      </c>
      <c r="AJ31" t="s">
        <v>127</v>
      </c>
      <c r="AK31">
        <v>265</v>
      </c>
      <c r="AL31" s="6">
        <v>1378.08</v>
      </c>
      <c r="AM31" s="6">
        <v>0</v>
      </c>
      <c r="AN31" s="6">
        <v>0</v>
      </c>
      <c r="AO31" s="6">
        <v>12.51</v>
      </c>
      <c r="AP31" s="6">
        <v>1390.59</v>
      </c>
      <c r="AR31" t="s">
        <v>225</v>
      </c>
      <c r="AS31" s="5">
        <v>45901</v>
      </c>
      <c r="AT31" t="s">
        <v>165</v>
      </c>
      <c r="AU31">
        <v>171</v>
      </c>
      <c r="AV31" s="6">
        <v>1409.1</v>
      </c>
      <c r="AW31" s="6">
        <v>53.94</v>
      </c>
      <c r="AX31" s="6">
        <v>0</v>
      </c>
      <c r="AY31" s="6">
        <v>157.56</v>
      </c>
      <c r="AZ31" s="6">
        <v>1512.72</v>
      </c>
      <c r="BB31" t="s">
        <v>211</v>
      </c>
      <c r="BC31" s="5">
        <v>45962</v>
      </c>
      <c r="BD31" t="s">
        <v>186</v>
      </c>
      <c r="BE31">
        <v>264</v>
      </c>
      <c r="BF31" s="6">
        <v>868.28999999999701</v>
      </c>
      <c r="BG31" s="6">
        <v>7.3</v>
      </c>
      <c r="BH31" s="6">
        <v>0</v>
      </c>
      <c r="BI31" s="6">
        <v>104.01</v>
      </c>
      <c r="BJ31" s="6">
        <v>964.99999999999704</v>
      </c>
    </row>
    <row r="32" spans="2:62">
      <c r="B32">
        <v>44</v>
      </c>
      <c r="C32" s="5">
        <v>45957</v>
      </c>
      <c r="D32" t="s">
        <v>120</v>
      </c>
      <c r="E32">
        <v>34</v>
      </c>
      <c r="F32" s="6">
        <v>180.64</v>
      </c>
      <c r="G32" s="6">
        <v>0</v>
      </c>
      <c r="H32" s="6">
        <v>0</v>
      </c>
      <c r="I32" s="6">
        <v>4.1100000000000003</v>
      </c>
      <c r="J32" s="6">
        <v>184.75</v>
      </c>
      <c r="L32">
        <v>42</v>
      </c>
      <c r="M32" s="5">
        <v>45943</v>
      </c>
      <c r="N32" t="s">
        <v>176</v>
      </c>
      <c r="O32">
        <v>95</v>
      </c>
      <c r="P32" s="6">
        <v>204.68</v>
      </c>
      <c r="Q32" s="6">
        <v>0</v>
      </c>
      <c r="R32" s="6">
        <v>0.46</v>
      </c>
      <c r="S32" s="6">
        <v>8.24</v>
      </c>
      <c r="T32" s="6">
        <v>212.92</v>
      </c>
      <c r="V32">
        <v>41</v>
      </c>
      <c r="W32" s="5">
        <v>45936</v>
      </c>
      <c r="X32" t="s">
        <v>178</v>
      </c>
      <c r="Y32">
        <v>178</v>
      </c>
      <c r="Z32" s="6">
        <v>1647.6</v>
      </c>
      <c r="AA32" s="6">
        <v>0</v>
      </c>
      <c r="AB32" s="6">
        <v>47.78</v>
      </c>
      <c r="AC32" s="6">
        <v>34.46</v>
      </c>
      <c r="AD32" s="6">
        <v>1682.06</v>
      </c>
      <c r="AH32" t="s">
        <v>210</v>
      </c>
      <c r="AI32" s="5">
        <v>45931</v>
      </c>
      <c r="AJ32" t="s">
        <v>142</v>
      </c>
      <c r="AK32">
        <v>210</v>
      </c>
      <c r="AL32" s="6">
        <v>879.61</v>
      </c>
      <c r="AM32" s="6">
        <v>2</v>
      </c>
      <c r="AN32" s="6">
        <v>0</v>
      </c>
      <c r="AO32" s="6">
        <v>44.72</v>
      </c>
      <c r="AP32" s="6">
        <v>922.33</v>
      </c>
      <c r="AR32" t="s">
        <v>225</v>
      </c>
      <c r="AS32" s="5">
        <v>45901</v>
      </c>
      <c r="AT32" t="s">
        <v>170</v>
      </c>
      <c r="AU32">
        <v>102</v>
      </c>
      <c r="AV32" s="6">
        <v>357.3</v>
      </c>
      <c r="AW32" s="6">
        <v>3.6</v>
      </c>
      <c r="AX32" s="6">
        <v>0</v>
      </c>
      <c r="AY32" s="6">
        <v>11.7</v>
      </c>
      <c r="AZ32" s="6">
        <v>365.4</v>
      </c>
      <c r="BB32" t="s">
        <v>211</v>
      </c>
      <c r="BC32" s="5">
        <v>45962</v>
      </c>
      <c r="BD32" t="s">
        <v>181</v>
      </c>
      <c r="BE32">
        <v>1079</v>
      </c>
      <c r="BF32" s="6">
        <v>7481.0099999999302</v>
      </c>
      <c r="BG32" s="6">
        <v>16.45</v>
      </c>
      <c r="BH32" s="6">
        <v>0</v>
      </c>
      <c r="BI32" s="6">
        <v>1021.78</v>
      </c>
      <c r="BJ32" s="6">
        <v>8486.3399999999292</v>
      </c>
    </row>
    <row r="33" spans="2:62">
      <c r="B33">
        <v>44</v>
      </c>
      <c r="C33" s="5">
        <v>45957</v>
      </c>
      <c r="D33" t="s">
        <v>137</v>
      </c>
      <c r="E33">
        <v>14</v>
      </c>
      <c r="F33" s="6">
        <v>44.06</v>
      </c>
      <c r="G33" s="6">
        <v>0</v>
      </c>
      <c r="H33" s="6">
        <v>4.72</v>
      </c>
      <c r="I33" s="6">
        <v>31.02</v>
      </c>
      <c r="J33" s="6">
        <v>75.08</v>
      </c>
      <c r="L33">
        <v>42</v>
      </c>
      <c r="M33" s="5">
        <v>45943</v>
      </c>
      <c r="N33" t="s">
        <v>169</v>
      </c>
      <c r="O33">
        <v>896</v>
      </c>
      <c r="P33" s="6">
        <v>2219.1699999999801</v>
      </c>
      <c r="Q33" s="6">
        <v>2.8</v>
      </c>
      <c r="R33" s="6">
        <v>46.3</v>
      </c>
      <c r="S33" s="6">
        <v>94.81</v>
      </c>
      <c r="T33" s="6">
        <v>2311.1799999999798</v>
      </c>
      <c r="V33">
        <v>41</v>
      </c>
      <c r="W33" s="5">
        <v>45936</v>
      </c>
      <c r="X33" t="s">
        <v>185</v>
      </c>
      <c r="Y33">
        <v>144</v>
      </c>
      <c r="Z33" s="6">
        <v>655.24000000000103</v>
      </c>
      <c r="AA33" s="6">
        <v>0</v>
      </c>
      <c r="AB33" s="6">
        <v>0</v>
      </c>
      <c r="AC33" s="6">
        <v>63.76</v>
      </c>
      <c r="AD33" s="6">
        <v>719.00000000000102</v>
      </c>
      <c r="AH33" t="s">
        <v>210</v>
      </c>
      <c r="AI33" s="5">
        <v>45931</v>
      </c>
      <c r="AJ33" t="s">
        <v>140</v>
      </c>
      <c r="AK33">
        <v>108</v>
      </c>
      <c r="AL33" s="6">
        <v>357.66</v>
      </c>
      <c r="AM33" s="6">
        <v>0</v>
      </c>
      <c r="AN33" s="6">
        <v>0</v>
      </c>
      <c r="AO33" s="6">
        <v>3.09</v>
      </c>
      <c r="AP33" s="6">
        <v>360.75</v>
      </c>
      <c r="AR33" t="s">
        <v>225</v>
      </c>
      <c r="AS33" s="5">
        <v>45901</v>
      </c>
      <c r="AT33" t="s">
        <v>182</v>
      </c>
      <c r="AU33">
        <v>1</v>
      </c>
      <c r="AV33" s="6">
        <v>3.99</v>
      </c>
      <c r="AW33" s="6">
        <v>0</v>
      </c>
      <c r="AX33" s="6">
        <v>0</v>
      </c>
      <c r="AY33" s="6">
        <v>0</v>
      </c>
      <c r="AZ33" s="6">
        <v>3.99</v>
      </c>
      <c r="BB33" t="s">
        <v>211</v>
      </c>
      <c r="BC33" s="5">
        <v>45962</v>
      </c>
      <c r="BD33" t="s">
        <v>178</v>
      </c>
      <c r="BE33">
        <v>1028</v>
      </c>
      <c r="BF33" s="6">
        <v>9404.77</v>
      </c>
      <c r="BG33" s="6">
        <v>19.8</v>
      </c>
      <c r="BH33" s="6">
        <v>0</v>
      </c>
      <c r="BI33" s="6">
        <v>501.44000000000102</v>
      </c>
      <c r="BJ33" s="6">
        <v>9886.41</v>
      </c>
    </row>
    <row r="34" spans="2:62">
      <c r="B34">
        <v>44</v>
      </c>
      <c r="C34" s="5">
        <v>45957</v>
      </c>
      <c r="D34" t="s">
        <v>132</v>
      </c>
      <c r="E34">
        <v>91</v>
      </c>
      <c r="F34" s="6">
        <v>336.27</v>
      </c>
      <c r="G34" s="6">
        <v>0</v>
      </c>
      <c r="H34" s="6">
        <v>6.55</v>
      </c>
      <c r="I34" s="6">
        <v>0</v>
      </c>
      <c r="J34" s="6">
        <v>336.27</v>
      </c>
      <c r="L34">
        <v>42</v>
      </c>
      <c r="M34" s="5">
        <v>45943</v>
      </c>
      <c r="N34" t="s">
        <v>158</v>
      </c>
      <c r="O34">
        <v>320</v>
      </c>
      <c r="P34" s="6">
        <v>1976.42</v>
      </c>
      <c r="Q34" s="6">
        <v>10.9</v>
      </c>
      <c r="R34" s="6">
        <v>84.19</v>
      </c>
      <c r="S34" s="6">
        <v>129.99</v>
      </c>
      <c r="T34" s="6">
        <v>2095.5100000000002</v>
      </c>
      <c r="V34">
        <v>41</v>
      </c>
      <c r="W34" s="5">
        <v>45936</v>
      </c>
      <c r="X34" t="s">
        <v>183</v>
      </c>
      <c r="Y34">
        <v>345</v>
      </c>
      <c r="Z34" s="6">
        <v>727.38</v>
      </c>
      <c r="AA34" s="6">
        <v>9.1999999999999993</v>
      </c>
      <c r="AB34" s="6">
        <v>0</v>
      </c>
      <c r="AC34" s="6">
        <v>48.72</v>
      </c>
      <c r="AD34" s="6">
        <v>766.9</v>
      </c>
      <c r="AH34" t="s">
        <v>210</v>
      </c>
      <c r="AI34" s="5">
        <v>45931</v>
      </c>
      <c r="AJ34" t="s">
        <v>118</v>
      </c>
      <c r="AK34">
        <v>303</v>
      </c>
      <c r="AL34" s="6">
        <v>1029.44</v>
      </c>
      <c r="AM34" s="6">
        <v>0</v>
      </c>
      <c r="AN34" s="6">
        <v>0</v>
      </c>
      <c r="AO34" s="6">
        <v>7.86</v>
      </c>
      <c r="AP34" s="6">
        <v>1037.3</v>
      </c>
      <c r="AR34" t="s">
        <v>225</v>
      </c>
      <c r="AS34" s="5">
        <v>45901</v>
      </c>
      <c r="AT34" t="s">
        <v>166</v>
      </c>
      <c r="AU34">
        <v>6</v>
      </c>
      <c r="AV34" s="6">
        <v>0</v>
      </c>
      <c r="AW34" s="6">
        <v>0</v>
      </c>
      <c r="AX34" s="6">
        <v>0</v>
      </c>
      <c r="AY34" s="6">
        <v>35.94</v>
      </c>
      <c r="AZ34" s="6">
        <v>35.94</v>
      </c>
      <c r="BB34" t="s">
        <v>211</v>
      </c>
      <c r="BC34" s="5">
        <v>45962</v>
      </c>
      <c r="BD34" t="s">
        <v>185</v>
      </c>
      <c r="BE34">
        <v>666</v>
      </c>
      <c r="BF34" s="6">
        <v>3142.68999999998</v>
      </c>
      <c r="BG34" s="6">
        <v>0</v>
      </c>
      <c r="BH34" s="6">
        <v>0</v>
      </c>
      <c r="BI34" s="6">
        <v>239.47</v>
      </c>
      <c r="BJ34" s="6">
        <v>3382.1599999999798</v>
      </c>
    </row>
    <row r="35" spans="2:62">
      <c r="B35">
        <v>44</v>
      </c>
      <c r="C35" s="5">
        <v>45957</v>
      </c>
      <c r="D35" t="s">
        <v>145</v>
      </c>
      <c r="E35">
        <v>53</v>
      </c>
      <c r="F35" s="6">
        <v>288.98</v>
      </c>
      <c r="G35" s="6">
        <v>0</v>
      </c>
      <c r="H35" s="6">
        <v>9.4499999999999993</v>
      </c>
      <c r="I35" s="6">
        <v>0</v>
      </c>
      <c r="J35" s="6">
        <v>288.98</v>
      </c>
      <c r="L35">
        <v>42</v>
      </c>
      <c r="M35" s="5">
        <v>45943</v>
      </c>
      <c r="N35" t="s">
        <v>160</v>
      </c>
      <c r="O35">
        <v>501</v>
      </c>
      <c r="P35" s="6">
        <v>3367.1699999999801</v>
      </c>
      <c r="Q35" s="6">
        <v>0</v>
      </c>
      <c r="R35" s="6">
        <v>118.16</v>
      </c>
      <c r="S35" s="6">
        <v>106</v>
      </c>
      <c r="T35" s="6">
        <v>3473.1699999999801</v>
      </c>
      <c r="V35">
        <v>41</v>
      </c>
      <c r="W35" s="5">
        <v>45936</v>
      </c>
      <c r="X35" t="s">
        <v>180</v>
      </c>
      <c r="Y35">
        <v>41</v>
      </c>
      <c r="Z35" s="6">
        <v>351.43</v>
      </c>
      <c r="AA35" s="6">
        <v>0</v>
      </c>
      <c r="AB35" s="6">
        <v>0</v>
      </c>
      <c r="AC35" s="6">
        <v>17.98</v>
      </c>
      <c r="AD35" s="6">
        <v>369.41</v>
      </c>
      <c r="AH35" t="s">
        <v>210</v>
      </c>
      <c r="AI35" s="5">
        <v>45931</v>
      </c>
      <c r="AJ35" t="s">
        <v>125</v>
      </c>
      <c r="AK35">
        <v>61</v>
      </c>
      <c r="AL35" s="6">
        <v>301.11</v>
      </c>
      <c r="AM35" s="6">
        <v>0</v>
      </c>
      <c r="AN35" s="6">
        <v>0</v>
      </c>
      <c r="AO35" s="6">
        <v>7.45</v>
      </c>
      <c r="AP35" s="6">
        <v>308.56</v>
      </c>
      <c r="AR35" t="s">
        <v>225</v>
      </c>
      <c r="AS35" s="5">
        <v>45901</v>
      </c>
      <c r="AT35" t="s">
        <v>179</v>
      </c>
      <c r="AU35">
        <v>6</v>
      </c>
      <c r="AV35" s="6">
        <v>1.44</v>
      </c>
      <c r="AW35" s="6">
        <v>1.44</v>
      </c>
      <c r="AX35" s="6">
        <v>0</v>
      </c>
      <c r="AY35" s="6">
        <v>34.5</v>
      </c>
      <c r="AZ35" s="6">
        <v>34.5</v>
      </c>
      <c r="BB35" t="s">
        <v>211</v>
      </c>
      <c r="BC35" s="5">
        <v>45962</v>
      </c>
      <c r="BD35" t="s">
        <v>184</v>
      </c>
      <c r="BE35">
        <v>1324</v>
      </c>
      <c r="BF35" s="6">
        <v>2737.1699999999901</v>
      </c>
      <c r="BG35" s="6">
        <v>10.199999999999999</v>
      </c>
      <c r="BH35" s="6">
        <v>0</v>
      </c>
      <c r="BI35" s="6">
        <v>286.49</v>
      </c>
      <c r="BJ35" s="6">
        <v>3013.45999999999</v>
      </c>
    </row>
    <row r="36" spans="2:62">
      <c r="B36">
        <v>44</v>
      </c>
      <c r="C36" s="5">
        <v>45957</v>
      </c>
      <c r="D36" t="s">
        <v>121</v>
      </c>
      <c r="E36">
        <v>84</v>
      </c>
      <c r="F36" s="6">
        <v>297.26</v>
      </c>
      <c r="G36" s="6">
        <v>0</v>
      </c>
      <c r="H36" s="6">
        <v>2.42</v>
      </c>
      <c r="I36" s="6">
        <v>0</v>
      </c>
      <c r="J36" s="6">
        <v>297.26</v>
      </c>
      <c r="L36">
        <v>42</v>
      </c>
      <c r="M36" s="5">
        <v>45943</v>
      </c>
      <c r="N36" t="s">
        <v>163</v>
      </c>
      <c r="O36">
        <v>287</v>
      </c>
      <c r="P36" s="6">
        <v>532.9</v>
      </c>
      <c r="Q36" s="6">
        <v>0</v>
      </c>
      <c r="R36" s="6">
        <v>4.8</v>
      </c>
      <c r="S36" s="6">
        <v>37.299999999999997</v>
      </c>
      <c r="T36" s="6">
        <v>570.20000000000005</v>
      </c>
      <c r="V36">
        <v>41</v>
      </c>
      <c r="W36" s="5">
        <v>45936</v>
      </c>
      <c r="X36" t="s">
        <v>184</v>
      </c>
      <c r="Y36">
        <v>315</v>
      </c>
      <c r="Z36" s="6">
        <v>622.030000000001</v>
      </c>
      <c r="AA36" s="6">
        <v>2.62</v>
      </c>
      <c r="AB36" s="6">
        <v>0</v>
      </c>
      <c r="AC36" s="6">
        <v>78.02</v>
      </c>
      <c r="AD36" s="6">
        <v>697.43000000000097</v>
      </c>
      <c r="AH36" t="s">
        <v>210</v>
      </c>
      <c r="AI36" s="5">
        <v>45931</v>
      </c>
      <c r="AJ36" t="s">
        <v>112</v>
      </c>
      <c r="AK36">
        <v>89</v>
      </c>
      <c r="AL36" s="6">
        <v>384.22</v>
      </c>
      <c r="AM36" s="6">
        <v>0</v>
      </c>
      <c r="AN36" s="6">
        <v>0</v>
      </c>
      <c r="AO36" s="6">
        <v>0</v>
      </c>
      <c r="AP36" s="6">
        <v>384.22</v>
      </c>
      <c r="AR36" t="s">
        <v>225</v>
      </c>
      <c r="AS36" s="5">
        <v>45901</v>
      </c>
      <c r="AT36" t="s">
        <v>172</v>
      </c>
      <c r="AU36">
        <v>90</v>
      </c>
      <c r="AV36" s="6">
        <v>277.60000000000002</v>
      </c>
      <c r="AW36" s="6">
        <v>0</v>
      </c>
      <c r="AX36" s="6">
        <v>0</v>
      </c>
      <c r="AY36" s="6">
        <v>12.8</v>
      </c>
      <c r="AZ36" s="6">
        <v>290.39999999999998</v>
      </c>
      <c r="BB36" t="s">
        <v>211</v>
      </c>
      <c r="BC36" s="5">
        <v>45962</v>
      </c>
      <c r="BD36" t="s">
        <v>182</v>
      </c>
      <c r="BE36">
        <v>4228</v>
      </c>
      <c r="BF36" s="6">
        <v>10719.530000000301</v>
      </c>
      <c r="BG36" s="6">
        <v>2.1</v>
      </c>
      <c r="BH36" s="6">
        <v>0</v>
      </c>
      <c r="BI36" s="6">
        <v>528.91999999999996</v>
      </c>
      <c r="BJ36" s="6">
        <v>11246.3500000003</v>
      </c>
    </row>
    <row r="37" spans="2:62">
      <c r="B37">
        <v>44</v>
      </c>
      <c r="C37" s="5">
        <v>45957</v>
      </c>
      <c r="D37" t="s">
        <v>150</v>
      </c>
      <c r="E37">
        <v>10</v>
      </c>
      <c r="F37" s="6">
        <v>61.02</v>
      </c>
      <c r="G37" s="6">
        <v>0</v>
      </c>
      <c r="H37" s="6">
        <v>0</v>
      </c>
      <c r="I37" s="6">
        <v>0</v>
      </c>
      <c r="J37" s="6">
        <v>61.02</v>
      </c>
      <c r="L37">
        <v>42</v>
      </c>
      <c r="M37" s="5">
        <v>45943</v>
      </c>
      <c r="N37" t="s">
        <v>173</v>
      </c>
      <c r="O37">
        <v>150</v>
      </c>
      <c r="P37" s="6">
        <v>680.48000000000104</v>
      </c>
      <c r="Q37" s="6">
        <v>0</v>
      </c>
      <c r="R37" s="6">
        <v>8.91</v>
      </c>
      <c r="S37" s="6">
        <v>53.71</v>
      </c>
      <c r="T37" s="6">
        <v>734.19000000000096</v>
      </c>
      <c r="V37">
        <v>41</v>
      </c>
      <c r="W37" s="5">
        <v>45936</v>
      </c>
      <c r="X37" t="s">
        <v>227</v>
      </c>
      <c r="Y37">
        <v>5</v>
      </c>
      <c r="Z37" s="6">
        <v>20.91</v>
      </c>
      <c r="AA37" s="6">
        <v>0</v>
      </c>
      <c r="AB37" s="6">
        <v>0</v>
      </c>
      <c r="AC37" s="6">
        <v>0</v>
      </c>
      <c r="AD37" s="6">
        <v>20.91</v>
      </c>
      <c r="AH37" t="s">
        <v>210</v>
      </c>
      <c r="AI37" s="5">
        <v>45931</v>
      </c>
      <c r="AJ37" t="s">
        <v>143</v>
      </c>
      <c r="AK37">
        <v>1257</v>
      </c>
      <c r="AL37" s="6">
        <v>5138.1899999999896</v>
      </c>
      <c r="AM37" s="6">
        <v>2.8</v>
      </c>
      <c r="AN37" s="6">
        <v>0</v>
      </c>
      <c r="AO37" s="6">
        <v>102.04</v>
      </c>
      <c r="AP37" s="6">
        <v>5237.4299999999903</v>
      </c>
      <c r="AR37" t="s">
        <v>225</v>
      </c>
      <c r="AS37" s="5">
        <v>45901</v>
      </c>
      <c r="AT37" t="s">
        <v>159</v>
      </c>
      <c r="AU37">
        <v>12</v>
      </c>
      <c r="AV37" s="6">
        <v>59.4</v>
      </c>
      <c r="AW37" s="6">
        <v>0</v>
      </c>
      <c r="AX37" s="6">
        <v>0</v>
      </c>
      <c r="AY37" s="6">
        <v>0</v>
      </c>
      <c r="AZ37" s="6">
        <v>59.4</v>
      </c>
      <c r="BB37" t="s">
        <v>211</v>
      </c>
      <c r="BC37" s="5">
        <v>45962</v>
      </c>
      <c r="BD37" t="s">
        <v>183</v>
      </c>
      <c r="BE37">
        <v>1634</v>
      </c>
      <c r="BF37" s="6">
        <v>3351.6799999999898</v>
      </c>
      <c r="BG37" s="6">
        <v>2.2000000000000002</v>
      </c>
      <c r="BH37" s="6">
        <v>0</v>
      </c>
      <c r="BI37" s="6">
        <v>294.05</v>
      </c>
      <c r="BJ37" s="6">
        <v>3643.5299999999902</v>
      </c>
    </row>
    <row r="38" spans="2:62">
      <c r="B38">
        <v>44</v>
      </c>
      <c r="C38" s="5">
        <v>45957</v>
      </c>
      <c r="D38" t="s">
        <v>125</v>
      </c>
      <c r="E38">
        <v>14</v>
      </c>
      <c r="F38" s="6">
        <v>73.849999999999994</v>
      </c>
      <c r="G38" s="6">
        <v>0</v>
      </c>
      <c r="H38" s="6">
        <v>0.47</v>
      </c>
      <c r="I38" s="6">
        <v>0</v>
      </c>
      <c r="J38" s="6">
        <v>73.849999999999994</v>
      </c>
      <c r="L38">
        <v>42</v>
      </c>
      <c r="M38" s="5">
        <v>45943</v>
      </c>
      <c r="N38" t="s">
        <v>168</v>
      </c>
      <c r="O38">
        <v>315</v>
      </c>
      <c r="P38" s="6">
        <v>588.04</v>
      </c>
      <c r="Q38" s="6">
        <v>1.5</v>
      </c>
      <c r="R38" s="6">
        <v>3.65</v>
      </c>
      <c r="S38" s="6">
        <v>77.14</v>
      </c>
      <c r="T38" s="6">
        <v>663.68</v>
      </c>
      <c r="V38">
        <v>40</v>
      </c>
      <c r="W38" s="5">
        <v>45929</v>
      </c>
      <c r="X38" t="s">
        <v>182</v>
      </c>
      <c r="Y38">
        <v>872</v>
      </c>
      <c r="Z38" s="6">
        <v>2332.93999999998</v>
      </c>
      <c r="AA38" s="6">
        <v>0</v>
      </c>
      <c r="AB38" s="6">
        <v>14.3</v>
      </c>
      <c r="AC38" s="6">
        <v>148.15</v>
      </c>
      <c r="AD38" s="6">
        <v>2481.0899999999801</v>
      </c>
      <c r="AH38" t="s">
        <v>210</v>
      </c>
      <c r="AI38" s="5">
        <v>45931</v>
      </c>
      <c r="AJ38" t="s">
        <v>120</v>
      </c>
      <c r="AK38">
        <v>153</v>
      </c>
      <c r="AL38" s="6">
        <v>715.81000000000097</v>
      </c>
      <c r="AM38" s="6">
        <v>0</v>
      </c>
      <c r="AN38" s="6">
        <v>0</v>
      </c>
      <c r="AO38" s="6">
        <v>26.22</v>
      </c>
      <c r="AP38" s="6">
        <v>742.030000000001</v>
      </c>
      <c r="AR38" t="s">
        <v>226</v>
      </c>
      <c r="AS38" s="5">
        <v>45870</v>
      </c>
      <c r="AT38" t="s">
        <v>169</v>
      </c>
      <c r="AU38">
        <v>2504</v>
      </c>
      <c r="AV38" s="6">
        <v>6085.3000000001102</v>
      </c>
      <c r="AW38" s="6">
        <v>0</v>
      </c>
      <c r="AX38" s="6">
        <v>0</v>
      </c>
      <c r="AY38" s="6">
        <v>383.22</v>
      </c>
      <c r="AZ38" s="6">
        <v>6468.5200000001096</v>
      </c>
      <c r="BB38" t="s">
        <v>211</v>
      </c>
      <c r="BC38" s="5">
        <v>45962</v>
      </c>
      <c r="BD38" t="s">
        <v>180</v>
      </c>
      <c r="BE38">
        <v>206</v>
      </c>
      <c r="BF38" s="6">
        <v>1788.19</v>
      </c>
      <c r="BG38" s="6">
        <v>17.98</v>
      </c>
      <c r="BH38" s="6">
        <v>0</v>
      </c>
      <c r="BI38" s="6">
        <v>106.22</v>
      </c>
      <c r="BJ38" s="6">
        <v>1876.43</v>
      </c>
    </row>
    <row r="39" spans="2:62">
      <c r="B39">
        <v>43</v>
      </c>
      <c r="C39" s="5">
        <v>45950</v>
      </c>
      <c r="D39" t="s">
        <v>120</v>
      </c>
      <c r="E39">
        <v>54</v>
      </c>
      <c r="F39" s="6">
        <v>260.93</v>
      </c>
      <c r="G39" s="6">
        <v>0</v>
      </c>
      <c r="H39" s="6">
        <v>0</v>
      </c>
      <c r="I39" s="6">
        <v>0</v>
      </c>
      <c r="J39" s="6">
        <v>260.93</v>
      </c>
      <c r="L39">
        <v>42</v>
      </c>
      <c r="M39" s="5">
        <v>45943</v>
      </c>
      <c r="N39" t="s">
        <v>174</v>
      </c>
      <c r="O39">
        <v>156</v>
      </c>
      <c r="P39" s="6">
        <v>1049.45</v>
      </c>
      <c r="Q39" s="6">
        <v>8.5</v>
      </c>
      <c r="R39" s="6">
        <v>9.64</v>
      </c>
      <c r="S39" s="6">
        <v>148.21</v>
      </c>
      <c r="T39" s="6">
        <v>1189.1600000000001</v>
      </c>
      <c r="V39">
        <v>40</v>
      </c>
      <c r="W39" s="5">
        <v>45929</v>
      </c>
      <c r="X39" t="s">
        <v>179</v>
      </c>
      <c r="Y39">
        <v>525</v>
      </c>
      <c r="Z39" s="6">
        <v>2886.3999999999901</v>
      </c>
      <c r="AA39" s="6">
        <v>24.27</v>
      </c>
      <c r="AB39" s="6">
        <v>83.28</v>
      </c>
      <c r="AC39" s="6">
        <v>139.62</v>
      </c>
      <c r="AD39" s="6">
        <v>3001.74999999999</v>
      </c>
      <c r="AH39" t="s">
        <v>225</v>
      </c>
      <c r="AI39" s="5">
        <v>45901</v>
      </c>
      <c r="AJ39" t="s">
        <v>139</v>
      </c>
      <c r="AK39">
        <v>337</v>
      </c>
      <c r="AL39" s="6">
        <v>1304.33</v>
      </c>
      <c r="AM39" s="6">
        <v>8.99</v>
      </c>
      <c r="AN39" s="6">
        <v>0</v>
      </c>
      <c r="AO39" s="6">
        <v>36.85</v>
      </c>
      <c r="AP39" s="6">
        <v>1332.19</v>
      </c>
      <c r="AR39" t="s">
        <v>226</v>
      </c>
      <c r="AS39" s="5">
        <v>45870</v>
      </c>
      <c r="AT39" t="s">
        <v>176</v>
      </c>
      <c r="AU39">
        <v>267</v>
      </c>
      <c r="AV39" s="6">
        <v>555.12</v>
      </c>
      <c r="AW39" s="6">
        <v>0</v>
      </c>
      <c r="AX39" s="6">
        <v>0</v>
      </c>
      <c r="AY39" s="6">
        <v>46.07</v>
      </c>
      <c r="AZ39" s="6">
        <v>601.19000000000005</v>
      </c>
      <c r="BB39" t="s">
        <v>213</v>
      </c>
      <c r="BC39" s="5">
        <v>45992</v>
      </c>
      <c r="BD39" t="s">
        <v>184</v>
      </c>
      <c r="BE39">
        <v>1163</v>
      </c>
      <c r="BF39" s="6">
        <v>2341.3199999999902</v>
      </c>
      <c r="BG39" s="6">
        <v>4.5</v>
      </c>
      <c r="BH39" s="6">
        <v>0</v>
      </c>
      <c r="BI39" s="6">
        <v>302.5</v>
      </c>
      <c r="BJ39" s="6">
        <v>2639.3199999999902</v>
      </c>
    </row>
    <row r="40" spans="2:62">
      <c r="B40">
        <v>43</v>
      </c>
      <c r="C40" s="5">
        <v>45950</v>
      </c>
      <c r="D40" t="s">
        <v>123</v>
      </c>
      <c r="E40">
        <v>151</v>
      </c>
      <c r="F40" s="6">
        <v>630.59</v>
      </c>
      <c r="G40" s="6">
        <v>0</v>
      </c>
      <c r="H40" s="6">
        <v>10.17</v>
      </c>
      <c r="I40" s="6">
        <v>0</v>
      </c>
      <c r="J40" s="6">
        <v>630.59</v>
      </c>
      <c r="L40">
        <v>42</v>
      </c>
      <c r="M40" s="5">
        <v>45943</v>
      </c>
      <c r="N40" t="s">
        <v>165</v>
      </c>
      <c r="O40">
        <v>49</v>
      </c>
      <c r="P40" s="6">
        <v>410.4</v>
      </c>
      <c r="Q40" s="6">
        <v>0</v>
      </c>
      <c r="R40" s="6">
        <v>0</v>
      </c>
      <c r="S40" s="6">
        <v>31.93</v>
      </c>
      <c r="T40" s="6">
        <v>442.33</v>
      </c>
      <c r="V40">
        <v>40</v>
      </c>
      <c r="W40" s="5">
        <v>45929</v>
      </c>
      <c r="X40" t="s">
        <v>185</v>
      </c>
      <c r="Y40">
        <v>105</v>
      </c>
      <c r="Z40" s="6">
        <v>479.409999999999</v>
      </c>
      <c r="AA40" s="6">
        <v>0</v>
      </c>
      <c r="AB40" s="6">
        <v>0</v>
      </c>
      <c r="AC40" s="6">
        <v>44.06</v>
      </c>
      <c r="AD40" s="6">
        <v>523.469999999999</v>
      </c>
      <c r="AH40" t="s">
        <v>225</v>
      </c>
      <c r="AI40" s="5">
        <v>45901</v>
      </c>
      <c r="AJ40" t="s">
        <v>124</v>
      </c>
      <c r="AK40">
        <v>745</v>
      </c>
      <c r="AL40" s="6">
        <v>2852.76999999998</v>
      </c>
      <c r="AM40" s="6">
        <v>0</v>
      </c>
      <c r="AN40" s="6">
        <v>0</v>
      </c>
      <c r="AO40" s="6">
        <v>23.82</v>
      </c>
      <c r="AP40" s="6">
        <v>2876.5899999999801</v>
      </c>
      <c r="AR40" t="s">
        <v>226</v>
      </c>
      <c r="AS40" s="5">
        <v>45870</v>
      </c>
      <c r="AT40" t="s">
        <v>173</v>
      </c>
      <c r="AU40">
        <v>454</v>
      </c>
      <c r="AV40" s="6">
        <v>2040.1500000000101</v>
      </c>
      <c r="AW40" s="6">
        <v>9.16</v>
      </c>
      <c r="AX40" s="6">
        <v>0</v>
      </c>
      <c r="AY40" s="6">
        <v>210.87</v>
      </c>
      <c r="AZ40" s="6">
        <v>2241.8600000000101</v>
      </c>
      <c r="BB40" t="s">
        <v>213</v>
      </c>
      <c r="BC40" s="5">
        <v>45992</v>
      </c>
      <c r="BD40" t="s">
        <v>179</v>
      </c>
      <c r="BE40">
        <v>2353</v>
      </c>
      <c r="BF40" s="6">
        <v>13314.3299999998</v>
      </c>
      <c r="BG40" s="6">
        <v>12.29</v>
      </c>
      <c r="BH40" s="6">
        <v>0</v>
      </c>
      <c r="BI40" s="6">
        <v>910.09</v>
      </c>
      <c r="BJ40" s="6">
        <v>14212.129999999799</v>
      </c>
    </row>
    <row r="41" spans="2:62">
      <c r="B41">
        <v>43</v>
      </c>
      <c r="C41" s="5">
        <v>45950</v>
      </c>
      <c r="D41" t="s">
        <v>143</v>
      </c>
      <c r="E41">
        <v>488</v>
      </c>
      <c r="F41" s="6">
        <v>2026.6199999999899</v>
      </c>
      <c r="G41" s="6">
        <v>0</v>
      </c>
      <c r="H41" s="6">
        <v>0</v>
      </c>
      <c r="I41" s="6">
        <v>0</v>
      </c>
      <c r="J41" s="6">
        <v>2026.6199999999899</v>
      </c>
      <c r="L41">
        <v>42</v>
      </c>
      <c r="M41" s="5">
        <v>45943</v>
      </c>
      <c r="N41" t="s">
        <v>172</v>
      </c>
      <c r="O41">
        <v>36</v>
      </c>
      <c r="P41" s="6">
        <v>106.72</v>
      </c>
      <c r="Q41" s="6">
        <v>0</v>
      </c>
      <c r="R41" s="6">
        <v>4.4800000000000004</v>
      </c>
      <c r="S41" s="6">
        <v>4</v>
      </c>
      <c r="T41" s="6">
        <v>110.72</v>
      </c>
      <c r="V41">
        <v>40</v>
      </c>
      <c r="W41" s="5">
        <v>45929</v>
      </c>
      <c r="X41" t="s">
        <v>181</v>
      </c>
      <c r="Y41">
        <v>235</v>
      </c>
      <c r="Z41" s="6">
        <v>1394.49</v>
      </c>
      <c r="AA41" s="6">
        <v>0</v>
      </c>
      <c r="AB41" s="6">
        <v>0</v>
      </c>
      <c r="AC41" s="6">
        <v>266.85000000000002</v>
      </c>
      <c r="AD41" s="6">
        <v>1661.34</v>
      </c>
      <c r="AH41" t="s">
        <v>225</v>
      </c>
      <c r="AI41" s="5">
        <v>45901</v>
      </c>
      <c r="AJ41" t="s">
        <v>118</v>
      </c>
      <c r="AK41">
        <v>306</v>
      </c>
      <c r="AL41" s="6">
        <v>1116.0999999999999</v>
      </c>
      <c r="AM41" s="6">
        <v>0</v>
      </c>
      <c r="AN41" s="6">
        <v>0</v>
      </c>
      <c r="AO41" s="6">
        <v>19.940000000000001</v>
      </c>
      <c r="AP41" s="6">
        <v>1136.04</v>
      </c>
      <c r="AR41" t="s">
        <v>226</v>
      </c>
      <c r="AS41" s="5">
        <v>45870</v>
      </c>
      <c r="AT41" t="s">
        <v>160</v>
      </c>
      <c r="AU41">
        <v>2286</v>
      </c>
      <c r="AV41" s="6">
        <v>14715.959999999801</v>
      </c>
      <c r="AW41" s="6">
        <v>18.43</v>
      </c>
      <c r="AX41" s="6">
        <v>0</v>
      </c>
      <c r="AY41" s="6">
        <v>1210.76</v>
      </c>
      <c r="AZ41" s="6">
        <v>15908.289999999801</v>
      </c>
      <c r="BB41" t="s">
        <v>213</v>
      </c>
      <c r="BC41" s="5">
        <v>45992</v>
      </c>
      <c r="BD41" t="s">
        <v>183</v>
      </c>
      <c r="BE41">
        <v>1153</v>
      </c>
      <c r="BF41" s="6">
        <v>2392.08</v>
      </c>
      <c r="BG41" s="6">
        <v>0</v>
      </c>
      <c r="BH41" s="6">
        <v>0</v>
      </c>
      <c r="BI41" s="6">
        <v>131.61000000000001</v>
      </c>
      <c r="BJ41" s="6">
        <v>2523.69</v>
      </c>
    </row>
    <row r="42" spans="2:62">
      <c r="B42">
        <v>43</v>
      </c>
      <c r="C42" s="5">
        <v>45950</v>
      </c>
      <c r="D42" t="s">
        <v>117</v>
      </c>
      <c r="E42">
        <v>60</v>
      </c>
      <c r="F42" s="6">
        <v>241.94</v>
      </c>
      <c r="G42" s="6">
        <v>0</v>
      </c>
      <c r="H42" s="6">
        <v>11.11</v>
      </c>
      <c r="I42" s="6">
        <v>0</v>
      </c>
      <c r="J42" s="6">
        <v>241.94</v>
      </c>
      <c r="L42">
        <v>42</v>
      </c>
      <c r="M42" s="5">
        <v>45943</v>
      </c>
      <c r="N42" t="s">
        <v>164</v>
      </c>
      <c r="O42">
        <v>11</v>
      </c>
      <c r="P42" s="6">
        <v>40.5</v>
      </c>
      <c r="Q42" s="6">
        <v>0</v>
      </c>
      <c r="R42" s="6">
        <v>0.75</v>
      </c>
      <c r="S42" s="6">
        <v>0</v>
      </c>
      <c r="T42" s="6">
        <v>40.5</v>
      </c>
      <c r="V42">
        <v>40</v>
      </c>
      <c r="W42" s="5">
        <v>45929</v>
      </c>
      <c r="X42" t="s">
        <v>183</v>
      </c>
      <c r="Y42">
        <v>407</v>
      </c>
      <c r="Z42" s="6">
        <v>829.94000000000096</v>
      </c>
      <c r="AA42" s="6">
        <v>0</v>
      </c>
      <c r="AB42" s="6">
        <v>0</v>
      </c>
      <c r="AC42" s="6">
        <v>66.540000000000006</v>
      </c>
      <c r="AD42" s="6">
        <v>896.48000000000104</v>
      </c>
      <c r="AH42" t="s">
        <v>225</v>
      </c>
      <c r="AI42" s="5">
        <v>45901</v>
      </c>
      <c r="AJ42" t="s">
        <v>123</v>
      </c>
      <c r="AK42">
        <v>694</v>
      </c>
      <c r="AL42" s="6">
        <v>2819.3899999999799</v>
      </c>
      <c r="AM42" s="6">
        <v>0</v>
      </c>
      <c r="AN42" s="6">
        <v>0</v>
      </c>
      <c r="AO42" s="6">
        <v>42.72</v>
      </c>
      <c r="AP42" s="6">
        <v>2862.1099999999801</v>
      </c>
      <c r="AR42" t="s">
        <v>226</v>
      </c>
      <c r="AS42" s="5">
        <v>45870</v>
      </c>
      <c r="AT42" t="s">
        <v>163</v>
      </c>
      <c r="AU42">
        <v>910</v>
      </c>
      <c r="AV42" s="6">
        <v>1693.06</v>
      </c>
      <c r="AW42" s="6">
        <v>0</v>
      </c>
      <c r="AX42" s="6">
        <v>0</v>
      </c>
      <c r="AY42" s="6">
        <v>131.94</v>
      </c>
      <c r="AZ42" s="6">
        <v>1825</v>
      </c>
      <c r="BB42" t="s">
        <v>213</v>
      </c>
      <c r="BC42" s="5">
        <v>45992</v>
      </c>
      <c r="BD42" t="s">
        <v>180</v>
      </c>
      <c r="BE42">
        <v>243</v>
      </c>
      <c r="BF42" s="6">
        <v>1972.76</v>
      </c>
      <c r="BG42" s="6">
        <v>26.97</v>
      </c>
      <c r="BH42" s="6">
        <v>0</v>
      </c>
      <c r="BI42" s="6">
        <v>218</v>
      </c>
      <c r="BJ42" s="6">
        <v>2163.79</v>
      </c>
    </row>
    <row r="43" spans="2:62">
      <c r="B43">
        <v>43</v>
      </c>
      <c r="C43" s="5">
        <v>45950</v>
      </c>
      <c r="D43" t="s">
        <v>139</v>
      </c>
      <c r="E43">
        <v>74</v>
      </c>
      <c r="F43" s="6">
        <v>314.60000000000002</v>
      </c>
      <c r="G43" s="6">
        <v>0</v>
      </c>
      <c r="H43" s="6">
        <v>3.35</v>
      </c>
      <c r="I43" s="6">
        <v>0</v>
      </c>
      <c r="J43" s="6">
        <v>314.60000000000002</v>
      </c>
      <c r="L43">
        <v>42</v>
      </c>
      <c r="M43" s="5">
        <v>45943</v>
      </c>
      <c r="N43" t="s">
        <v>170</v>
      </c>
      <c r="O43">
        <v>10</v>
      </c>
      <c r="P43" s="6">
        <v>34.200000000000003</v>
      </c>
      <c r="Q43" s="6">
        <v>0</v>
      </c>
      <c r="R43" s="6">
        <v>0</v>
      </c>
      <c r="S43" s="6">
        <v>1.8</v>
      </c>
      <c r="T43" s="6">
        <v>36</v>
      </c>
      <c r="V43">
        <v>40</v>
      </c>
      <c r="W43" s="5">
        <v>45929</v>
      </c>
      <c r="X43" t="s">
        <v>184</v>
      </c>
      <c r="Y43">
        <v>301</v>
      </c>
      <c r="Z43" s="6">
        <v>569.75</v>
      </c>
      <c r="AA43" s="6">
        <v>5.3</v>
      </c>
      <c r="AB43" s="6">
        <v>0</v>
      </c>
      <c r="AC43" s="6">
        <v>82.77</v>
      </c>
      <c r="AD43" s="6">
        <v>647.22</v>
      </c>
      <c r="AH43" t="s">
        <v>225</v>
      </c>
      <c r="AI43" s="5">
        <v>45901</v>
      </c>
      <c r="AJ43" t="s">
        <v>129</v>
      </c>
      <c r="AK43">
        <v>628</v>
      </c>
      <c r="AL43" s="6">
        <v>60.86</v>
      </c>
      <c r="AM43" s="6">
        <v>7.85</v>
      </c>
      <c r="AN43" s="6">
        <v>0</v>
      </c>
      <c r="AO43" s="6">
        <v>2702.0299999999902</v>
      </c>
      <c r="AP43" s="6">
        <v>2755.03999999999</v>
      </c>
      <c r="AR43" t="s">
        <v>226</v>
      </c>
      <c r="AS43" s="5">
        <v>45870</v>
      </c>
      <c r="AT43" t="s">
        <v>168</v>
      </c>
      <c r="AU43">
        <v>1032</v>
      </c>
      <c r="AV43" s="6">
        <v>1787.1</v>
      </c>
      <c r="AW43" s="6">
        <v>6.09</v>
      </c>
      <c r="AX43" s="6">
        <v>0</v>
      </c>
      <c r="AY43" s="6">
        <v>339.3</v>
      </c>
      <c r="AZ43" s="6">
        <v>2120.31</v>
      </c>
      <c r="BB43" t="s">
        <v>213</v>
      </c>
      <c r="BC43" s="5">
        <v>45992</v>
      </c>
      <c r="BD43" t="s">
        <v>182</v>
      </c>
      <c r="BE43">
        <v>3366</v>
      </c>
      <c r="BF43" s="6">
        <v>8757.8199999999706</v>
      </c>
      <c r="BG43" s="6">
        <v>14.19</v>
      </c>
      <c r="BH43" s="6">
        <v>0</v>
      </c>
      <c r="BI43" s="6">
        <v>441.41</v>
      </c>
      <c r="BJ43" s="6">
        <v>9185.03999999997</v>
      </c>
    </row>
    <row r="44" spans="2:62">
      <c r="B44">
        <v>43</v>
      </c>
      <c r="C44" s="5">
        <v>45950</v>
      </c>
      <c r="D44" t="s">
        <v>118</v>
      </c>
      <c r="E44">
        <v>64</v>
      </c>
      <c r="F44" s="6">
        <v>247.24</v>
      </c>
      <c r="G44" s="6">
        <v>0</v>
      </c>
      <c r="H44" s="6">
        <v>2.38</v>
      </c>
      <c r="I44" s="6">
        <v>0</v>
      </c>
      <c r="J44" s="6">
        <v>247.24</v>
      </c>
      <c r="L44">
        <v>41</v>
      </c>
      <c r="M44" s="5">
        <v>45936</v>
      </c>
      <c r="N44" t="s">
        <v>171</v>
      </c>
      <c r="O44">
        <v>114</v>
      </c>
      <c r="P44" s="6">
        <v>790.53</v>
      </c>
      <c r="Q44" s="6">
        <v>0</v>
      </c>
      <c r="R44" s="6">
        <v>0</v>
      </c>
      <c r="S44" s="6">
        <v>149.87</v>
      </c>
      <c r="T44" s="6">
        <v>940.4</v>
      </c>
      <c r="V44">
        <v>40</v>
      </c>
      <c r="W44" s="5">
        <v>45929</v>
      </c>
      <c r="X44" t="s">
        <v>178</v>
      </c>
      <c r="Y44">
        <v>175</v>
      </c>
      <c r="Z44" s="6">
        <v>1605.56</v>
      </c>
      <c r="AA44" s="6">
        <v>0</v>
      </c>
      <c r="AB44" s="6">
        <v>61.36</v>
      </c>
      <c r="AC44" s="6">
        <v>47.88</v>
      </c>
      <c r="AD44" s="6">
        <v>1653.44</v>
      </c>
      <c r="AH44" t="s">
        <v>225</v>
      </c>
      <c r="AI44" s="5">
        <v>45901</v>
      </c>
      <c r="AJ44" t="s">
        <v>136</v>
      </c>
      <c r="AK44">
        <v>111</v>
      </c>
      <c r="AL44" s="6">
        <v>279.67</v>
      </c>
      <c r="AM44" s="6">
        <v>0</v>
      </c>
      <c r="AN44" s="6">
        <v>0</v>
      </c>
      <c r="AO44" s="6">
        <v>174.42</v>
      </c>
      <c r="AP44" s="6">
        <v>454.09</v>
      </c>
      <c r="AR44" t="s">
        <v>226</v>
      </c>
      <c r="AS44" s="5">
        <v>45870</v>
      </c>
      <c r="AT44" t="s">
        <v>171</v>
      </c>
      <c r="AU44">
        <v>326</v>
      </c>
      <c r="AV44" s="6">
        <v>1993.3600000000099</v>
      </c>
      <c r="AW44" s="6">
        <v>0</v>
      </c>
      <c r="AX44" s="6">
        <v>0</v>
      </c>
      <c r="AY44" s="6">
        <v>343.74</v>
      </c>
      <c r="AZ44" s="6">
        <v>2337.1000000000099</v>
      </c>
      <c r="BB44" t="s">
        <v>213</v>
      </c>
      <c r="BC44" s="5">
        <v>45992</v>
      </c>
      <c r="BD44" t="s">
        <v>185</v>
      </c>
      <c r="BE44">
        <v>690</v>
      </c>
      <c r="BF44" s="6">
        <v>3311.74999999997</v>
      </c>
      <c r="BG44" s="6">
        <v>9.9</v>
      </c>
      <c r="BH44" s="6">
        <v>0</v>
      </c>
      <c r="BI44" s="6">
        <v>220.85</v>
      </c>
      <c r="BJ44" s="6">
        <v>3522.6999999999698</v>
      </c>
    </row>
    <row r="45" spans="2:62">
      <c r="B45">
        <v>43</v>
      </c>
      <c r="C45" s="5">
        <v>45950</v>
      </c>
      <c r="D45" t="s">
        <v>150</v>
      </c>
      <c r="E45">
        <v>10</v>
      </c>
      <c r="F45" s="6">
        <v>54.4</v>
      </c>
      <c r="G45" s="6">
        <v>0</v>
      </c>
      <c r="H45" s="6">
        <v>0.98</v>
      </c>
      <c r="I45" s="6">
        <v>0</v>
      </c>
      <c r="J45" s="6">
        <v>54.4</v>
      </c>
      <c r="L45">
        <v>41</v>
      </c>
      <c r="M45" s="5">
        <v>45936</v>
      </c>
      <c r="N45" t="s">
        <v>169</v>
      </c>
      <c r="O45">
        <v>801</v>
      </c>
      <c r="P45" s="6">
        <v>2012.8199999999799</v>
      </c>
      <c r="Q45" s="6">
        <v>0</v>
      </c>
      <c r="R45" s="6">
        <v>23.37</v>
      </c>
      <c r="S45" s="6">
        <v>108.18</v>
      </c>
      <c r="T45" s="6">
        <v>2120.99999999998</v>
      </c>
      <c r="V45">
        <v>40</v>
      </c>
      <c r="W45" s="5">
        <v>45929</v>
      </c>
      <c r="X45" t="s">
        <v>180</v>
      </c>
      <c r="Y45">
        <v>44</v>
      </c>
      <c r="Z45" s="6">
        <v>352.24</v>
      </c>
      <c r="AA45" s="6">
        <v>0</v>
      </c>
      <c r="AB45" s="6">
        <v>0</v>
      </c>
      <c r="AC45" s="6">
        <v>44.96</v>
      </c>
      <c r="AD45" s="6">
        <v>397.2</v>
      </c>
      <c r="AH45" t="s">
        <v>225</v>
      </c>
      <c r="AI45" s="5">
        <v>45901</v>
      </c>
      <c r="AJ45" t="s">
        <v>117</v>
      </c>
      <c r="AK45">
        <v>316</v>
      </c>
      <c r="AL45" s="6">
        <v>1588.05</v>
      </c>
      <c r="AM45" s="6">
        <v>0</v>
      </c>
      <c r="AN45" s="6">
        <v>0</v>
      </c>
      <c r="AO45" s="6">
        <v>73.499999999999901</v>
      </c>
      <c r="AP45" s="6">
        <v>1661.55</v>
      </c>
      <c r="AR45" t="s">
        <v>226</v>
      </c>
      <c r="AS45" s="5">
        <v>45870</v>
      </c>
      <c r="AT45" t="s">
        <v>174</v>
      </c>
      <c r="AU45">
        <v>386</v>
      </c>
      <c r="AV45" s="6">
        <v>2533.58</v>
      </c>
      <c r="AW45" s="6">
        <v>0</v>
      </c>
      <c r="AX45" s="6">
        <v>0</v>
      </c>
      <c r="AY45" s="6">
        <v>480.31</v>
      </c>
      <c r="AZ45" s="6">
        <v>3013.89</v>
      </c>
      <c r="BB45" t="s">
        <v>213</v>
      </c>
      <c r="BC45" s="5">
        <v>45992</v>
      </c>
      <c r="BD45" t="s">
        <v>178</v>
      </c>
      <c r="BE45">
        <v>925</v>
      </c>
      <c r="BF45" s="6">
        <v>8505.6799999999694</v>
      </c>
      <c r="BG45" s="6">
        <v>36.33</v>
      </c>
      <c r="BH45" s="6">
        <v>0</v>
      </c>
      <c r="BI45" s="6">
        <v>481.43</v>
      </c>
      <c r="BJ45" s="6">
        <v>8950.7799999999697</v>
      </c>
    </row>
    <row r="46" spans="2:62">
      <c r="B46">
        <v>43</v>
      </c>
      <c r="C46" s="5">
        <v>45950</v>
      </c>
      <c r="D46" t="s">
        <v>112</v>
      </c>
      <c r="E46">
        <v>32</v>
      </c>
      <c r="F46" s="6">
        <v>128.47999999999999</v>
      </c>
      <c r="G46" s="6">
        <v>0</v>
      </c>
      <c r="H46" s="6">
        <v>0</v>
      </c>
      <c r="I46" s="6">
        <v>0</v>
      </c>
      <c r="J46" s="6">
        <v>128.47999999999999</v>
      </c>
      <c r="L46">
        <v>41</v>
      </c>
      <c r="M46" s="5">
        <v>45936</v>
      </c>
      <c r="N46" t="s">
        <v>160</v>
      </c>
      <c r="O46">
        <v>623</v>
      </c>
      <c r="P46" s="6">
        <v>4118.2699999999704</v>
      </c>
      <c r="Q46" s="6">
        <v>0</v>
      </c>
      <c r="R46" s="6">
        <v>122.84</v>
      </c>
      <c r="S46" s="6">
        <v>139.97999999999999</v>
      </c>
      <c r="T46" s="6">
        <v>4258.24999999997</v>
      </c>
      <c r="V46">
        <v>40</v>
      </c>
      <c r="W46" s="5">
        <v>45929</v>
      </c>
      <c r="X46" t="s">
        <v>227</v>
      </c>
      <c r="Y46">
        <v>2</v>
      </c>
      <c r="Z46" s="6">
        <v>7.98</v>
      </c>
      <c r="AA46" s="6">
        <v>0</v>
      </c>
      <c r="AB46" s="6">
        <v>0</v>
      </c>
      <c r="AC46" s="6">
        <v>0</v>
      </c>
      <c r="AD46" s="6">
        <v>7.98</v>
      </c>
      <c r="AH46" t="s">
        <v>225</v>
      </c>
      <c r="AI46" s="5">
        <v>45901</v>
      </c>
      <c r="AJ46" t="s">
        <v>134</v>
      </c>
      <c r="AK46">
        <v>382</v>
      </c>
      <c r="AL46" s="6">
        <v>1944.92</v>
      </c>
      <c r="AM46" s="6">
        <v>17.98</v>
      </c>
      <c r="AN46" s="6">
        <v>0</v>
      </c>
      <c r="AO46" s="6">
        <v>37.82</v>
      </c>
      <c r="AP46" s="6">
        <v>1964.76</v>
      </c>
      <c r="AR46" t="s">
        <v>226</v>
      </c>
      <c r="AS46" s="5">
        <v>45870</v>
      </c>
      <c r="AT46" t="s">
        <v>165</v>
      </c>
      <c r="AU46">
        <v>227</v>
      </c>
      <c r="AV46" s="6">
        <v>1853.6</v>
      </c>
      <c r="AW46" s="6">
        <v>0</v>
      </c>
      <c r="AX46" s="6">
        <v>0</v>
      </c>
      <c r="AY46" s="6">
        <v>183.98</v>
      </c>
      <c r="AZ46" s="6">
        <v>2037.58</v>
      </c>
      <c r="BB46" t="s">
        <v>213</v>
      </c>
      <c r="BC46" s="5">
        <v>45992</v>
      </c>
      <c r="BD46" t="s">
        <v>186</v>
      </c>
      <c r="BE46">
        <v>236</v>
      </c>
      <c r="BF46" s="6">
        <v>691.07999999999902</v>
      </c>
      <c r="BG46" s="6">
        <v>6.75</v>
      </c>
      <c r="BH46" s="6">
        <v>0</v>
      </c>
      <c r="BI46" s="6">
        <v>170.32</v>
      </c>
      <c r="BJ46" s="6">
        <v>854.65</v>
      </c>
    </row>
    <row r="47" spans="2:62">
      <c r="B47">
        <v>43</v>
      </c>
      <c r="C47" s="5">
        <v>45950</v>
      </c>
      <c r="D47" t="s">
        <v>145</v>
      </c>
      <c r="E47">
        <v>85</v>
      </c>
      <c r="F47" s="6">
        <v>484.84</v>
      </c>
      <c r="G47" s="6">
        <v>0</v>
      </c>
      <c r="H47" s="6">
        <v>4.2300000000000004</v>
      </c>
      <c r="I47" s="6">
        <v>0</v>
      </c>
      <c r="J47" s="6">
        <v>484.84</v>
      </c>
      <c r="L47">
        <v>41</v>
      </c>
      <c r="M47" s="5">
        <v>45936</v>
      </c>
      <c r="N47" t="s">
        <v>174</v>
      </c>
      <c r="O47">
        <v>111</v>
      </c>
      <c r="P47" s="6">
        <v>755.09</v>
      </c>
      <c r="Q47" s="6">
        <v>0</v>
      </c>
      <c r="R47" s="6">
        <v>0</v>
      </c>
      <c r="S47" s="6">
        <v>145.56</v>
      </c>
      <c r="T47" s="6">
        <v>900.650000000001</v>
      </c>
      <c r="V47">
        <v>39</v>
      </c>
      <c r="W47" s="5">
        <v>45922</v>
      </c>
      <c r="X47" t="s">
        <v>184</v>
      </c>
      <c r="Y47">
        <v>267</v>
      </c>
      <c r="Z47" s="6">
        <v>519.84</v>
      </c>
      <c r="AA47" s="6">
        <v>0</v>
      </c>
      <c r="AB47" s="6">
        <v>0</v>
      </c>
      <c r="AC47" s="6">
        <v>62.63</v>
      </c>
      <c r="AD47" s="6">
        <v>582.47</v>
      </c>
      <c r="AH47" t="s">
        <v>225</v>
      </c>
      <c r="AI47" s="5">
        <v>45901</v>
      </c>
      <c r="AJ47" t="s">
        <v>140</v>
      </c>
      <c r="AK47">
        <v>99</v>
      </c>
      <c r="AL47" s="6">
        <v>303.82</v>
      </c>
      <c r="AM47" s="6">
        <v>0</v>
      </c>
      <c r="AN47" s="6">
        <v>0</v>
      </c>
      <c r="AO47" s="6">
        <v>1.22</v>
      </c>
      <c r="AP47" s="6">
        <v>305.04000000000002</v>
      </c>
      <c r="AR47" t="s">
        <v>226</v>
      </c>
      <c r="AS47" s="5">
        <v>45870</v>
      </c>
      <c r="AT47" t="s">
        <v>158</v>
      </c>
      <c r="AU47">
        <v>257</v>
      </c>
      <c r="AV47" s="6">
        <v>1672.02</v>
      </c>
      <c r="AW47" s="6">
        <v>0</v>
      </c>
      <c r="AX47" s="6">
        <v>0</v>
      </c>
      <c r="AY47" s="6">
        <v>119.38</v>
      </c>
      <c r="AZ47" s="6">
        <v>1791.4</v>
      </c>
      <c r="BB47" t="s">
        <v>213</v>
      </c>
      <c r="BC47" s="5">
        <v>45992</v>
      </c>
      <c r="BD47" t="s">
        <v>181</v>
      </c>
      <c r="BE47">
        <v>1031</v>
      </c>
      <c r="BF47" s="6">
        <v>7258.8999999999496</v>
      </c>
      <c r="BG47" s="6">
        <v>9.25</v>
      </c>
      <c r="BH47" s="6">
        <v>0</v>
      </c>
      <c r="BI47" s="6">
        <v>1156.99</v>
      </c>
      <c r="BJ47" s="6">
        <v>8406.6399999999394</v>
      </c>
    </row>
    <row r="48" spans="2:62">
      <c r="B48">
        <v>43</v>
      </c>
      <c r="C48" s="5">
        <v>45950</v>
      </c>
      <c r="D48" t="s">
        <v>129</v>
      </c>
      <c r="E48">
        <v>137</v>
      </c>
      <c r="F48" s="6">
        <v>11.69</v>
      </c>
      <c r="G48" s="6">
        <v>0</v>
      </c>
      <c r="H48" s="6">
        <v>0</v>
      </c>
      <c r="I48" s="6">
        <v>562.26</v>
      </c>
      <c r="J48" s="6">
        <v>573.95000000000005</v>
      </c>
      <c r="L48">
        <v>41</v>
      </c>
      <c r="M48" s="5">
        <v>45936</v>
      </c>
      <c r="N48" t="s">
        <v>158</v>
      </c>
      <c r="O48">
        <v>73</v>
      </c>
      <c r="P48" s="6">
        <v>428.98000000000098</v>
      </c>
      <c r="Q48" s="6">
        <v>6.3</v>
      </c>
      <c r="R48" s="6">
        <v>6.34</v>
      </c>
      <c r="S48" s="6">
        <v>24.58</v>
      </c>
      <c r="T48" s="6">
        <v>447.26000000000101</v>
      </c>
      <c r="V48">
        <v>39</v>
      </c>
      <c r="W48" s="5">
        <v>45922</v>
      </c>
      <c r="X48" t="s">
        <v>183</v>
      </c>
      <c r="Y48">
        <v>368</v>
      </c>
      <c r="Z48" s="6">
        <v>785.25000000000102</v>
      </c>
      <c r="AA48" s="6">
        <v>0</v>
      </c>
      <c r="AB48" s="6">
        <v>0</v>
      </c>
      <c r="AC48" s="6">
        <v>28.64</v>
      </c>
      <c r="AD48" s="6">
        <v>813.89000000000101</v>
      </c>
      <c r="AH48" t="s">
        <v>225</v>
      </c>
      <c r="AI48" s="5">
        <v>45901</v>
      </c>
      <c r="AJ48" t="s">
        <v>128</v>
      </c>
      <c r="AK48">
        <v>231</v>
      </c>
      <c r="AL48" s="6">
        <v>1144.55</v>
      </c>
      <c r="AM48" s="6">
        <v>0</v>
      </c>
      <c r="AN48" s="6">
        <v>0</v>
      </c>
      <c r="AO48" s="6">
        <v>16.96</v>
      </c>
      <c r="AP48" s="6">
        <v>1161.51</v>
      </c>
      <c r="AR48" t="s">
        <v>226</v>
      </c>
      <c r="AS48" s="5">
        <v>45870</v>
      </c>
      <c r="AT48" t="s">
        <v>170</v>
      </c>
      <c r="AU48">
        <v>69</v>
      </c>
      <c r="AV48" s="6">
        <v>228.06</v>
      </c>
      <c r="AW48" s="6">
        <v>3.6</v>
      </c>
      <c r="AX48" s="6">
        <v>0</v>
      </c>
      <c r="AY48" s="6">
        <v>21.24</v>
      </c>
      <c r="AZ48" s="6">
        <v>245.7</v>
      </c>
      <c r="BB48" t="s">
        <v>215</v>
      </c>
      <c r="BC48" s="5">
        <v>46054</v>
      </c>
      <c r="BD48" t="s">
        <v>182</v>
      </c>
      <c r="BE48">
        <v>4867</v>
      </c>
      <c r="BF48" s="6">
        <v>13200.6999999994</v>
      </c>
      <c r="BG48" s="6">
        <v>0</v>
      </c>
      <c r="BH48" s="6">
        <v>0</v>
      </c>
      <c r="BI48" s="6">
        <v>503.97</v>
      </c>
      <c r="BJ48" s="6">
        <v>13704.6699999994</v>
      </c>
    </row>
    <row r="49" spans="2:62">
      <c r="B49">
        <v>43</v>
      </c>
      <c r="C49" s="5">
        <v>45950</v>
      </c>
      <c r="D49" t="s">
        <v>149</v>
      </c>
      <c r="E49">
        <v>43</v>
      </c>
      <c r="F49" s="6">
        <v>169.88</v>
      </c>
      <c r="G49" s="6">
        <v>0</v>
      </c>
      <c r="H49" s="6">
        <v>0</v>
      </c>
      <c r="I49" s="6">
        <v>0</v>
      </c>
      <c r="J49" s="6">
        <v>169.88</v>
      </c>
      <c r="L49">
        <v>41</v>
      </c>
      <c r="M49" s="5">
        <v>45936</v>
      </c>
      <c r="N49" t="s">
        <v>173</v>
      </c>
      <c r="O49">
        <v>144</v>
      </c>
      <c r="P49" s="6">
        <v>655.24000000000103</v>
      </c>
      <c r="Q49" s="6">
        <v>0</v>
      </c>
      <c r="R49" s="6">
        <v>0</v>
      </c>
      <c r="S49" s="6">
        <v>63.76</v>
      </c>
      <c r="T49" s="6">
        <v>719.00000000000102</v>
      </c>
      <c r="V49">
        <v>39</v>
      </c>
      <c r="W49" s="5">
        <v>45922</v>
      </c>
      <c r="X49" t="s">
        <v>182</v>
      </c>
      <c r="Y49">
        <v>918</v>
      </c>
      <c r="Z49" s="6">
        <v>2682.0599999999699</v>
      </c>
      <c r="AA49" s="6">
        <v>0</v>
      </c>
      <c r="AB49" s="6">
        <v>30.25</v>
      </c>
      <c r="AC49" s="6">
        <v>160.91</v>
      </c>
      <c r="AD49" s="6">
        <v>2842.9699999999698</v>
      </c>
      <c r="AH49" t="s">
        <v>225</v>
      </c>
      <c r="AI49" s="5">
        <v>45901</v>
      </c>
      <c r="AJ49" t="s">
        <v>219</v>
      </c>
      <c r="AK49">
        <v>458</v>
      </c>
      <c r="AL49" s="6">
        <v>2230.86</v>
      </c>
      <c r="AM49" s="6">
        <v>45.45</v>
      </c>
      <c r="AN49" s="6">
        <v>0</v>
      </c>
      <c r="AO49" s="6">
        <v>32.340000000000003</v>
      </c>
      <c r="AP49" s="6">
        <v>2217.75</v>
      </c>
      <c r="AR49" t="s">
        <v>226</v>
      </c>
      <c r="AS49" s="5">
        <v>45870</v>
      </c>
      <c r="AT49" t="s">
        <v>164</v>
      </c>
      <c r="AU49">
        <v>48</v>
      </c>
      <c r="AV49" s="6">
        <v>178.27</v>
      </c>
      <c r="AW49" s="6">
        <v>0</v>
      </c>
      <c r="AX49" s="6">
        <v>0</v>
      </c>
      <c r="AY49" s="6">
        <v>3.53</v>
      </c>
      <c r="AZ49" s="6">
        <v>181.8</v>
      </c>
      <c r="BB49" t="s">
        <v>215</v>
      </c>
      <c r="BC49" s="5">
        <v>46054</v>
      </c>
      <c r="BD49" t="s">
        <v>179</v>
      </c>
      <c r="BE49">
        <v>3040</v>
      </c>
      <c r="BF49" s="6">
        <v>16972.959999999799</v>
      </c>
      <c r="BG49" s="6">
        <v>15.68</v>
      </c>
      <c r="BH49" s="6">
        <v>0</v>
      </c>
      <c r="BI49" s="6">
        <v>1163.25</v>
      </c>
      <c r="BJ49" s="6">
        <v>18120.529999999799</v>
      </c>
    </row>
    <row r="50" spans="2:62">
      <c r="B50">
        <v>43</v>
      </c>
      <c r="C50" s="5">
        <v>45950</v>
      </c>
      <c r="D50" t="s">
        <v>141</v>
      </c>
      <c r="E50">
        <v>265</v>
      </c>
      <c r="F50" s="6">
        <v>833.22000000000196</v>
      </c>
      <c r="G50" s="6">
        <v>0</v>
      </c>
      <c r="H50" s="6">
        <v>14.27</v>
      </c>
      <c r="I50" s="6">
        <v>0</v>
      </c>
      <c r="J50" s="6">
        <v>833.22000000000196</v>
      </c>
      <c r="L50">
        <v>41</v>
      </c>
      <c r="M50" s="5">
        <v>45936</v>
      </c>
      <c r="N50" t="s">
        <v>170</v>
      </c>
      <c r="O50">
        <v>33</v>
      </c>
      <c r="P50" s="6">
        <v>105.66</v>
      </c>
      <c r="Q50" s="6">
        <v>7.2</v>
      </c>
      <c r="R50" s="6">
        <v>0</v>
      </c>
      <c r="S50" s="6">
        <v>13.14</v>
      </c>
      <c r="T50" s="6">
        <v>111.6</v>
      </c>
      <c r="V50">
        <v>39</v>
      </c>
      <c r="W50" s="5">
        <v>45922</v>
      </c>
      <c r="X50" t="s">
        <v>181</v>
      </c>
      <c r="Y50">
        <v>199</v>
      </c>
      <c r="Z50" s="6">
        <v>1341</v>
      </c>
      <c r="AA50" s="6">
        <v>6.95</v>
      </c>
      <c r="AB50" s="6">
        <v>0</v>
      </c>
      <c r="AC50" s="6">
        <v>181.37</v>
      </c>
      <c r="AD50" s="6">
        <v>1515.42</v>
      </c>
      <c r="AH50" t="s">
        <v>225</v>
      </c>
      <c r="AI50" s="5">
        <v>45901</v>
      </c>
      <c r="AJ50" t="s">
        <v>119</v>
      </c>
      <c r="AK50">
        <v>708</v>
      </c>
      <c r="AL50" s="6">
        <v>2748.6099999999801</v>
      </c>
      <c r="AM50" s="6">
        <v>3.6</v>
      </c>
      <c r="AN50" s="6">
        <v>0</v>
      </c>
      <c r="AO50" s="6">
        <v>38.56</v>
      </c>
      <c r="AP50" s="6">
        <v>2783.5699999999802</v>
      </c>
      <c r="AR50" t="s">
        <v>226</v>
      </c>
      <c r="AS50" s="5">
        <v>45870</v>
      </c>
      <c r="AT50" t="s">
        <v>172</v>
      </c>
      <c r="AU50">
        <v>53</v>
      </c>
      <c r="AV50" s="6">
        <v>162.4</v>
      </c>
      <c r="AW50" s="6">
        <v>3.2</v>
      </c>
      <c r="AX50" s="6">
        <v>0</v>
      </c>
      <c r="AY50" s="6">
        <v>7.2</v>
      </c>
      <c r="AZ50" s="6">
        <v>166.4</v>
      </c>
      <c r="BB50" t="s">
        <v>215</v>
      </c>
      <c r="BC50" s="5">
        <v>46054</v>
      </c>
      <c r="BD50" t="s">
        <v>181</v>
      </c>
      <c r="BE50">
        <v>1250</v>
      </c>
      <c r="BF50" s="6">
        <v>7946.8099999999404</v>
      </c>
      <c r="BG50" s="6">
        <v>0</v>
      </c>
      <c r="BH50" s="6">
        <v>0</v>
      </c>
      <c r="BI50" s="6">
        <v>1772.09</v>
      </c>
      <c r="BJ50" s="6">
        <v>9718.8999999999505</v>
      </c>
    </row>
    <row r="51" spans="2:62">
      <c r="B51">
        <v>43</v>
      </c>
      <c r="C51" s="5">
        <v>45950</v>
      </c>
      <c r="D51" t="s">
        <v>133</v>
      </c>
      <c r="E51">
        <v>70</v>
      </c>
      <c r="F51" s="6">
        <v>403.32</v>
      </c>
      <c r="G51" s="6">
        <v>2.1</v>
      </c>
      <c r="H51" s="6">
        <v>5.74</v>
      </c>
      <c r="I51" s="6">
        <v>0</v>
      </c>
      <c r="J51" s="6">
        <v>401.22</v>
      </c>
      <c r="L51">
        <v>41</v>
      </c>
      <c r="M51" s="5">
        <v>45936</v>
      </c>
      <c r="N51" t="s">
        <v>165</v>
      </c>
      <c r="O51">
        <v>41</v>
      </c>
      <c r="P51" s="6">
        <v>351.43</v>
      </c>
      <c r="Q51" s="6">
        <v>0</v>
      </c>
      <c r="R51" s="6">
        <v>0</v>
      </c>
      <c r="S51" s="6">
        <v>17.98</v>
      </c>
      <c r="T51" s="6">
        <v>369.41</v>
      </c>
      <c r="V51">
        <v>39</v>
      </c>
      <c r="W51" s="5">
        <v>45922</v>
      </c>
      <c r="X51" t="s">
        <v>180</v>
      </c>
      <c r="Y51">
        <v>62</v>
      </c>
      <c r="Z51" s="6">
        <v>489.22</v>
      </c>
      <c r="AA51" s="6">
        <v>0</v>
      </c>
      <c r="AB51" s="6">
        <v>0</v>
      </c>
      <c r="AC51" s="6">
        <v>82.16</v>
      </c>
      <c r="AD51" s="6">
        <v>571.38</v>
      </c>
      <c r="AH51" t="s">
        <v>225</v>
      </c>
      <c r="AI51" s="5">
        <v>45901</v>
      </c>
      <c r="AJ51" t="s">
        <v>111</v>
      </c>
      <c r="AK51">
        <v>408</v>
      </c>
      <c r="AL51" s="6">
        <v>1720.05</v>
      </c>
      <c r="AM51" s="6">
        <v>9.9</v>
      </c>
      <c r="AN51" s="6">
        <v>0</v>
      </c>
      <c r="AO51" s="6">
        <v>27.35</v>
      </c>
      <c r="AP51" s="6">
        <v>1737.5</v>
      </c>
      <c r="AR51" t="s">
        <v>226</v>
      </c>
      <c r="AS51" s="5">
        <v>45870</v>
      </c>
      <c r="AT51" t="s">
        <v>166</v>
      </c>
      <c r="AU51">
        <v>13</v>
      </c>
      <c r="AV51" s="6">
        <v>12.54</v>
      </c>
      <c r="AW51" s="6">
        <v>7.72</v>
      </c>
      <c r="AX51" s="6">
        <v>0</v>
      </c>
      <c r="AY51" s="6">
        <v>65.33</v>
      </c>
      <c r="AZ51" s="6">
        <v>70.150000000000006</v>
      </c>
      <c r="BB51" t="s">
        <v>215</v>
      </c>
      <c r="BC51" s="5">
        <v>46054</v>
      </c>
      <c r="BD51" t="s">
        <v>178</v>
      </c>
      <c r="BE51">
        <v>1257</v>
      </c>
      <c r="BF51" s="6">
        <v>11547.4</v>
      </c>
      <c r="BG51" s="6">
        <v>19.5</v>
      </c>
      <c r="BH51" s="6">
        <v>0</v>
      </c>
      <c r="BI51" s="6">
        <v>631.31000000000097</v>
      </c>
      <c r="BJ51" s="6">
        <v>12159.21</v>
      </c>
    </row>
    <row r="52" spans="2:62">
      <c r="B52">
        <v>43</v>
      </c>
      <c r="C52" s="5">
        <v>45950</v>
      </c>
      <c r="D52" t="s">
        <v>219</v>
      </c>
      <c r="E52">
        <v>75</v>
      </c>
      <c r="F52" s="6">
        <v>373.48</v>
      </c>
      <c r="G52" s="6">
        <v>0</v>
      </c>
      <c r="H52" s="6">
        <v>6.79</v>
      </c>
      <c r="I52" s="6">
        <v>0</v>
      </c>
      <c r="J52" s="6">
        <v>373.48</v>
      </c>
      <c r="L52">
        <v>41</v>
      </c>
      <c r="M52" s="5">
        <v>45936</v>
      </c>
      <c r="N52" t="s">
        <v>164</v>
      </c>
      <c r="O52">
        <v>7</v>
      </c>
      <c r="P52" s="6">
        <v>25.35</v>
      </c>
      <c r="Q52" s="6">
        <v>0</v>
      </c>
      <c r="R52" s="6">
        <v>0</v>
      </c>
      <c r="S52" s="6">
        <v>1.5</v>
      </c>
      <c r="T52" s="6">
        <v>26.85</v>
      </c>
      <c r="V52">
        <v>39</v>
      </c>
      <c r="W52" s="5">
        <v>45922</v>
      </c>
      <c r="X52" t="s">
        <v>179</v>
      </c>
      <c r="Y52">
        <v>507</v>
      </c>
      <c r="Z52" s="6">
        <v>2789.74999999999</v>
      </c>
      <c r="AA52" s="6">
        <v>12.44</v>
      </c>
      <c r="AB52" s="6">
        <v>69.459999999999994</v>
      </c>
      <c r="AC52" s="6">
        <v>135.72</v>
      </c>
      <c r="AD52" s="6">
        <v>2913.0299999999902</v>
      </c>
      <c r="AH52" t="s">
        <v>225</v>
      </c>
      <c r="AI52" s="5">
        <v>45901</v>
      </c>
      <c r="AJ52" t="s">
        <v>141</v>
      </c>
      <c r="AK52">
        <v>1071</v>
      </c>
      <c r="AL52" s="6">
        <v>3441.76999999996</v>
      </c>
      <c r="AM52" s="6">
        <v>5.7</v>
      </c>
      <c r="AN52" s="6">
        <v>0</v>
      </c>
      <c r="AO52" s="6">
        <v>26.9</v>
      </c>
      <c r="AP52" s="6">
        <v>3462.9699999999598</v>
      </c>
      <c r="AR52" t="s">
        <v>211</v>
      </c>
      <c r="AS52" s="5">
        <v>45962</v>
      </c>
      <c r="AT52" t="s">
        <v>158</v>
      </c>
      <c r="AU52">
        <v>346</v>
      </c>
      <c r="AV52" s="6">
        <v>2048.8999999999901</v>
      </c>
      <c r="AW52" s="6">
        <v>44.1</v>
      </c>
      <c r="AX52" s="6">
        <v>0</v>
      </c>
      <c r="AY52" s="6">
        <v>130.9</v>
      </c>
      <c r="AZ52" s="6">
        <v>2135.6999999999898</v>
      </c>
      <c r="BB52" t="s">
        <v>215</v>
      </c>
      <c r="BC52" s="5">
        <v>46054</v>
      </c>
      <c r="BD52" t="s">
        <v>186</v>
      </c>
      <c r="BE52">
        <v>116</v>
      </c>
      <c r="BF52" s="6">
        <v>367.26</v>
      </c>
      <c r="BG52" s="6">
        <v>10.95</v>
      </c>
      <c r="BH52" s="6">
        <v>0</v>
      </c>
      <c r="BI52" s="6">
        <v>56.14</v>
      </c>
      <c r="BJ52" s="6">
        <v>412.45</v>
      </c>
    </row>
    <row r="53" spans="2:62">
      <c r="B53">
        <v>43</v>
      </c>
      <c r="C53" s="5">
        <v>45950</v>
      </c>
      <c r="D53" t="s">
        <v>124</v>
      </c>
      <c r="E53">
        <v>144</v>
      </c>
      <c r="F53" s="6">
        <v>605.63000000000102</v>
      </c>
      <c r="G53" s="6">
        <v>0</v>
      </c>
      <c r="H53" s="6">
        <v>7.65</v>
      </c>
      <c r="I53" s="6">
        <v>0</v>
      </c>
      <c r="J53" s="6">
        <v>605.63000000000102</v>
      </c>
      <c r="L53">
        <v>41</v>
      </c>
      <c r="M53" s="5">
        <v>45936</v>
      </c>
      <c r="N53" t="s">
        <v>163</v>
      </c>
      <c r="O53">
        <v>231</v>
      </c>
      <c r="P53" s="6">
        <v>435.4</v>
      </c>
      <c r="Q53" s="6">
        <v>2</v>
      </c>
      <c r="R53" s="6">
        <v>0</v>
      </c>
      <c r="S53" s="6">
        <v>28.6</v>
      </c>
      <c r="T53" s="6">
        <v>462</v>
      </c>
      <c r="V53">
        <v>39</v>
      </c>
      <c r="W53" s="5">
        <v>45922</v>
      </c>
      <c r="X53" t="s">
        <v>178</v>
      </c>
      <c r="Y53">
        <v>203</v>
      </c>
      <c r="Z53" s="6">
        <v>1858.62</v>
      </c>
      <c r="AA53" s="6">
        <v>0</v>
      </c>
      <c r="AB53" s="6">
        <v>57.17</v>
      </c>
      <c r="AC53" s="6">
        <v>46.7</v>
      </c>
      <c r="AD53" s="6">
        <v>1905.32</v>
      </c>
      <c r="AH53" t="s">
        <v>225</v>
      </c>
      <c r="AI53" s="5">
        <v>45901</v>
      </c>
      <c r="AJ53" t="s">
        <v>132</v>
      </c>
      <c r="AK53">
        <v>332</v>
      </c>
      <c r="AL53" s="6">
        <v>1113.0999999999999</v>
      </c>
      <c r="AM53" s="6">
        <v>5.95</v>
      </c>
      <c r="AN53" s="6">
        <v>0</v>
      </c>
      <c r="AO53" s="6">
        <v>29.01</v>
      </c>
      <c r="AP53" s="6">
        <v>1136.1600000000001</v>
      </c>
      <c r="AR53" t="s">
        <v>211</v>
      </c>
      <c r="AS53" s="5">
        <v>45962</v>
      </c>
      <c r="AT53" t="s">
        <v>160</v>
      </c>
      <c r="AU53">
        <v>2994</v>
      </c>
      <c r="AV53" s="6">
        <v>19716.440000000301</v>
      </c>
      <c r="AW53" s="6">
        <v>39.26</v>
      </c>
      <c r="AX53" s="6">
        <v>0</v>
      </c>
      <c r="AY53" s="6">
        <v>1227.98</v>
      </c>
      <c r="AZ53" s="6">
        <v>20905.160000000302</v>
      </c>
      <c r="BB53" t="s">
        <v>215</v>
      </c>
      <c r="BC53" s="5">
        <v>46054</v>
      </c>
      <c r="BD53" t="s">
        <v>183</v>
      </c>
      <c r="BE53">
        <v>1271</v>
      </c>
      <c r="BF53" s="6">
        <v>2647.2199999999898</v>
      </c>
      <c r="BG53" s="6">
        <v>7.2</v>
      </c>
      <c r="BH53" s="6">
        <v>0</v>
      </c>
      <c r="BI53" s="6">
        <v>137.44999999999999</v>
      </c>
      <c r="BJ53" s="6">
        <v>2777.4699999999898</v>
      </c>
    </row>
    <row r="54" spans="2:62">
      <c r="B54">
        <v>43</v>
      </c>
      <c r="C54" s="5">
        <v>45950</v>
      </c>
      <c r="D54" t="s">
        <v>138</v>
      </c>
      <c r="E54">
        <v>105</v>
      </c>
      <c r="F54" s="6">
        <v>513.55999999999995</v>
      </c>
      <c r="G54" s="6">
        <v>0</v>
      </c>
      <c r="H54" s="6">
        <v>12.21</v>
      </c>
      <c r="I54" s="6">
        <v>0</v>
      </c>
      <c r="J54" s="6">
        <v>513.55999999999995</v>
      </c>
      <c r="L54">
        <v>41</v>
      </c>
      <c r="M54" s="5">
        <v>45936</v>
      </c>
      <c r="N54" t="s">
        <v>176</v>
      </c>
      <c r="O54">
        <v>74</v>
      </c>
      <c r="P54" s="6">
        <v>160.97</v>
      </c>
      <c r="Q54" s="6">
        <v>0</v>
      </c>
      <c r="R54" s="6">
        <v>0</v>
      </c>
      <c r="S54" s="6">
        <v>5.48</v>
      </c>
      <c r="T54" s="6">
        <v>166.45</v>
      </c>
      <c r="V54">
        <v>39</v>
      </c>
      <c r="W54" s="5">
        <v>45922</v>
      </c>
      <c r="X54" t="s">
        <v>227</v>
      </c>
      <c r="Y54">
        <v>1</v>
      </c>
      <c r="Z54" s="6">
        <v>3.99</v>
      </c>
      <c r="AA54" s="6">
        <v>0</v>
      </c>
      <c r="AB54" s="6">
        <v>0</v>
      </c>
      <c r="AC54" s="6">
        <v>0</v>
      </c>
      <c r="AD54" s="6">
        <v>3.99</v>
      </c>
      <c r="AH54" t="s">
        <v>225</v>
      </c>
      <c r="AI54" s="5">
        <v>45901</v>
      </c>
      <c r="AJ54" t="s">
        <v>133</v>
      </c>
      <c r="AK54">
        <v>435</v>
      </c>
      <c r="AL54" s="6">
        <v>2118.04</v>
      </c>
      <c r="AM54" s="6">
        <v>8.99</v>
      </c>
      <c r="AN54" s="6">
        <v>0</v>
      </c>
      <c r="AO54" s="6">
        <v>44.2</v>
      </c>
      <c r="AP54" s="6">
        <v>2153.25</v>
      </c>
      <c r="AR54" t="s">
        <v>211</v>
      </c>
      <c r="AS54" s="5">
        <v>45962</v>
      </c>
      <c r="AT54" t="s">
        <v>175</v>
      </c>
      <c r="AU54">
        <v>264</v>
      </c>
      <c r="AV54" s="6">
        <v>868.28999999999701</v>
      </c>
      <c r="AW54" s="6">
        <v>7.3</v>
      </c>
      <c r="AX54" s="6">
        <v>0</v>
      </c>
      <c r="AY54" s="6">
        <v>104.01</v>
      </c>
      <c r="AZ54" s="6">
        <v>964.99999999999704</v>
      </c>
      <c r="BB54" t="s">
        <v>215</v>
      </c>
      <c r="BC54" s="5">
        <v>46054</v>
      </c>
      <c r="BD54" t="s">
        <v>184</v>
      </c>
      <c r="BE54">
        <v>1458</v>
      </c>
      <c r="BF54" s="6">
        <v>3149.3899999999899</v>
      </c>
      <c r="BG54" s="6">
        <v>4.8</v>
      </c>
      <c r="BH54" s="6">
        <v>0</v>
      </c>
      <c r="BI54" s="6">
        <v>429.83999999999901</v>
      </c>
      <c r="BJ54" s="6">
        <v>3574.4299999999898</v>
      </c>
    </row>
    <row r="55" spans="2:62">
      <c r="B55">
        <v>43</v>
      </c>
      <c r="C55" s="5">
        <v>45950</v>
      </c>
      <c r="D55" t="s">
        <v>146</v>
      </c>
      <c r="E55">
        <v>167</v>
      </c>
      <c r="F55" s="6">
        <v>938.63</v>
      </c>
      <c r="G55" s="6">
        <v>2</v>
      </c>
      <c r="H55" s="6">
        <v>0</v>
      </c>
      <c r="I55" s="6">
        <v>0</v>
      </c>
      <c r="J55" s="6">
        <v>936.63</v>
      </c>
      <c r="L55">
        <v>41</v>
      </c>
      <c r="M55" s="5">
        <v>45936</v>
      </c>
      <c r="N55" t="s">
        <v>168</v>
      </c>
      <c r="O55">
        <v>282</v>
      </c>
      <c r="P55" s="6">
        <v>526.83000000000004</v>
      </c>
      <c r="Q55" s="6">
        <v>2.62</v>
      </c>
      <c r="R55" s="6">
        <v>0</v>
      </c>
      <c r="S55" s="6">
        <v>65.22</v>
      </c>
      <c r="T55" s="6">
        <v>589.42999999999995</v>
      </c>
      <c r="V55">
        <v>38</v>
      </c>
      <c r="W55" s="5">
        <v>45915</v>
      </c>
      <c r="X55" t="s">
        <v>184</v>
      </c>
      <c r="Y55">
        <v>268</v>
      </c>
      <c r="Z55" s="6">
        <v>517.67999999999995</v>
      </c>
      <c r="AA55" s="6">
        <v>0</v>
      </c>
      <c r="AB55" s="6">
        <v>0</v>
      </c>
      <c r="AC55" s="6">
        <v>78.83</v>
      </c>
      <c r="AD55" s="6">
        <v>596.51</v>
      </c>
      <c r="AH55" t="s">
        <v>225</v>
      </c>
      <c r="AI55" s="5">
        <v>45901</v>
      </c>
      <c r="AJ55" t="s">
        <v>126</v>
      </c>
      <c r="AK55">
        <v>154</v>
      </c>
      <c r="AL55" s="6">
        <v>577.66</v>
      </c>
      <c r="AM55" s="6">
        <v>0</v>
      </c>
      <c r="AN55" s="6">
        <v>0</v>
      </c>
      <c r="AO55" s="6">
        <v>4.34</v>
      </c>
      <c r="AP55" s="6">
        <v>582</v>
      </c>
      <c r="AR55" t="s">
        <v>211</v>
      </c>
      <c r="AS55" s="5">
        <v>45962</v>
      </c>
      <c r="AT55" t="s">
        <v>171</v>
      </c>
      <c r="AU55">
        <v>431</v>
      </c>
      <c r="AV55" s="6">
        <v>2861.2399999999898</v>
      </c>
      <c r="AW55" s="6">
        <v>6.95</v>
      </c>
      <c r="AX55" s="6">
        <v>0</v>
      </c>
      <c r="AY55" s="6">
        <v>364.9</v>
      </c>
      <c r="AZ55" s="6">
        <v>3219.1899999999901</v>
      </c>
      <c r="BB55" t="s">
        <v>215</v>
      </c>
      <c r="BC55" s="5">
        <v>46054</v>
      </c>
      <c r="BD55" t="s">
        <v>185</v>
      </c>
      <c r="BE55">
        <v>846</v>
      </c>
      <c r="BF55" s="6">
        <v>3993.5999999999499</v>
      </c>
      <c r="BG55" s="6">
        <v>15.65</v>
      </c>
      <c r="BH55" s="6">
        <v>0</v>
      </c>
      <c r="BI55" s="6">
        <v>328.94</v>
      </c>
      <c r="BJ55" s="6">
        <v>4306.8899999999503</v>
      </c>
    </row>
    <row r="56" spans="2:62">
      <c r="B56">
        <v>43</v>
      </c>
      <c r="C56" s="5">
        <v>45950</v>
      </c>
      <c r="D56" t="s">
        <v>134</v>
      </c>
      <c r="E56">
        <v>86</v>
      </c>
      <c r="F56" s="6">
        <v>446.39</v>
      </c>
      <c r="G56" s="6">
        <v>0</v>
      </c>
      <c r="H56" s="6">
        <v>5.91</v>
      </c>
      <c r="I56" s="6">
        <v>0</v>
      </c>
      <c r="J56" s="6">
        <v>446.39</v>
      </c>
      <c r="L56">
        <v>41</v>
      </c>
      <c r="M56" s="5">
        <v>45936</v>
      </c>
      <c r="N56" t="s">
        <v>182</v>
      </c>
      <c r="O56">
        <v>5</v>
      </c>
      <c r="P56" s="6">
        <v>20.91</v>
      </c>
      <c r="Q56" s="6">
        <v>0</v>
      </c>
      <c r="R56" s="6">
        <v>0</v>
      </c>
      <c r="S56" s="6">
        <v>0</v>
      </c>
      <c r="T56" s="6">
        <v>20.91</v>
      </c>
      <c r="V56">
        <v>38</v>
      </c>
      <c r="W56" s="5">
        <v>45915</v>
      </c>
      <c r="X56" t="s">
        <v>179</v>
      </c>
      <c r="Y56">
        <v>497</v>
      </c>
      <c r="Z56" s="6">
        <v>2735.1899999999901</v>
      </c>
      <c r="AA56" s="6">
        <v>40.39</v>
      </c>
      <c r="AB56" s="6">
        <v>87.91</v>
      </c>
      <c r="AC56" s="6">
        <v>156.29</v>
      </c>
      <c r="AD56" s="6">
        <v>2851.0899999999901</v>
      </c>
      <c r="AH56" t="s">
        <v>225</v>
      </c>
      <c r="AI56" s="5">
        <v>45901</v>
      </c>
      <c r="AJ56" t="s">
        <v>122</v>
      </c>
      <c r="AK56">
        <v>315</v>
      </c>
      <c r="AL56" s="6">
        <v>1532.58</v>
      </c>
      <c r="AM56" s="6">
        <v>19.920000000000002</v>
      </c>
      <c r="AN56" s="6">
        <v>0</v>
      </c>
      <c r="AO56" s="6">
        <v>25.05</v>
      </c>
      <c r="AP56" s="6">
        <v>1537.71</v>
      </c>
      <c r="AR56" t="s">
        <v>211</v>
      </c>
      <c r="AS56" s="5">
        <v>45962</v>
      </c>
      <c r="AT56" t="s">
        <v>173</v>
      </c>
      <c r="AU56">
        <v>666</v>
      </c>
      <c r="AV56" s="6">
        <v>3142.68999999998</v>
      </c>
      <c r="AW56" s="6">
        <v>0</v>
      </c>
      <c r="AX56" s="6">
        <v>0</v>
      </c>
      <c r="AY56" s="6">
        <v>239.47</v>
      </c>
      <c r="AZ56" s="6">
        <v>3382.1599999999798</v>
      </c>
      <c r="BB56" t="s">
        <v>215</v>
      </c>
      <c r="BC56" s="5">
        <v>46054</v>
      </c>
      <c r="BD56" t="s">
        <v>180</v>
      </c>
      <c r="BE56">
        <v>160</v>
      </c>
      <c r="BF56" s="6">
        <v>1314.79</v>
      </c>
      <c r="BG56" s="6">
        <v>25.23</v>
      </c>
      <c r="BH56" s="6">
        <v>0</v>
      </c>
      <c r="BI56" s="6">
        <v>154.87</v>
      </c>
      <c r="BJ56" s="6">
        <v>1444.43</v>
      </c>
    </row>
    <row r="57" spans="2:62">
      <c r="B57">
        <v>43</v>
      </c>
      <c r="C57" s="5">
        <v>45950</v>
      </c>
      <c r="D57" t="s">
        <v>121</v>
      </c>
      <c r="E57">
        <v>60</v>
      </c>
      <c r="F57" s="6">
        <v>200.14</v>
      </c>
      <c r="G57" s="6">
        <v>0</v>
      </c>
      <c r="H57" s="6">
        <v>8.08</v>
      </c>
      <c r="I57" s="6">
        <v>0</v>
      </c>
      <c r="J57" s="6">
        <v>200.14</v>
      </c>
      <c r="L57">
        <v>41</v>
      </c>
      <c r="M57" s="5">
        <v>45936</v>
      </c>
      <c r="N57" t="s">
        <v>172</v>
      </c>
      <c r="O57">
        <v>33</v>
      </c>
      <c r="P57" s="6">
        <v>95.2</v>
      </c>
      <c r="Q57" s="6">
        <v>0</v>
      </c>
      <c r="R57" s="6">
        <v>0</v>
      </c>
      <c r="S57" s="6">
        <v>12.8</v>
      </c>
      <c r="T57" s="6">
        <v>108</v>
      </c>
      <c r="V57">
        <v>38</v>
      </c>
      <c r="W57" s="5">
        <v>45915</v>
      </c>
      <c r="X57" t="s">
        <v>182</v>
      </c>
      <c r="Y57">
        <v>867</v>
      </c>
      <c r="Z57" s="6">
        <v>2438.5799999999799</v>
      </c>
      <c r="AA57" s="6">
        <v>4.95</v>
      </c>
      <c r="AB57" s="6">
        <v>40.380000000000003</v>
      </c>
      <c r="AC57" s="6">
        <v>174.38</v>
      </c>
      <c r="AD57" s="6">
        <v>2608.0099999999802</v>
      </c>
      <c r="AH57" t="s">
        <v>225</v>
      </c>
      <c r="AI57" s="5">
        <v>45901</v>
      </c>
      <c r="AJ57" t="s">
        <v>116</v>
      </c>
      <c r="AK57">
        <v>210</v>
      </c>
      <c r="AL57" s="6">
        <v>783.29000000000099</v>
      </c>
      <c r="AM57" s="6">
        <v>0</v>
      </c>
      <c r="AN57" s="6">
        <v>0</v>
      </c>
      <c r="AO57" s="6">
        <v>16.489999999999998</v>
      </c>
      <c r="AP57" s="6">
        <v>799.780000000001</v>
      </c>
      <c r="AR57" t="s">
        <v>211</v>
      </c>
      <c r="AS57" s="5">
        <v>45962</v>
      </c>
      <c r="AT57" t="s">
        <v>172</v>
      </c>
      <c r="AU57">
        <v>142</v>
      </c>
      <c r="AV57" s="6">
        <v>439.19999999999902</v>
      </c>
      <c r="AW57" s="6">
        <v>0</v>
      </c>
      <c r="AX57" s="6">
        <v>0</v>
      </c>
      <c r="AY57" s="6">
        <v>16</v>
      </c>
      <c r="AZ57" s="6">
        <v>455.19999999999902</v>
      </c>
      <c r="BB57" t="s">
        <v>199</v>
      </c>
      <c r="BC57" s="5">
        <v>46082</v>
      </c>
      <c r="BD57" t="s">
        <v>179</v>
      </c>
      <c r="BE57">
        <v>3612</v>
      </c>
      <c r="BF57" s="6">
        <v>20346.530000000301</v>
      </c>
      <c r="BG57" s="6">
        <v>17.190000000000001</v>
      </c>
      <c r="BH57" s="6">
        <v>0</v>
      </c>
      <c r="BI57" s="6">
        <v>1272.5999999999999</v>
      </c>
      <c r="BJ57" s="6">
        <v>21601.940000000301</v>
      </c>
    </row>
    <row r="58" spans="2:62">
      <c r="B58">
        <v>43</v>
      </c>
      <c r="C58" s="5">
        <v>45950</v>
      </c>
      <c r="D58" t="s">
        <v>128</v>
      </c>
      <c r="E58">
        <v>49</v>
      </c>
      <c r="F58" s="6">
        <v>259.18</v>
      </c>
      <c r="G58" s="6">
        <v>9.5</v>
      </c>
      <c r="H58" s="6">
        <v>0.98</v>
      </c>
      <c r="I58" s="6">
        <v>0</v>
      </c>
      <c r="J58" s="6">
        <v>249.68</v>
      </c>
      <c r="L58">
        <v>40</v>
      </c>
      <c r="M58" s="5">
        <v>45929</v>
      </c>
      <c r="N58" t="s">
        <v>169</v>
      </c>
      <c r="O58">
        <v>805</v>
      </c>
      <c r="P58" s="6">
        <v>2036.6799999999801</v>
      </c>
      <c r="Q58" s="6">
        <v>0</v>
      </c>
      <c r="R58" s="6">
        <v>14.3</v>
      </c>
      <c r="S58" s="6">
        <v>111.52</v>
      </c>
      <c r="T58" s="6">
        <v>2148.1999999999798</v>
      </c>
      <c r="V58">
        <v>38</v>
      </c>
      <c r="W58" s="5">
        <v>45915</v>
      </c>
      <c r="X58" t="s">
        <v>183</v>
      </c>
      <c r="Y58">
        <v>381</v>
      </c>
      <c r="Z58" s="6">
        <v>752.93000000000097</v>
      </c>
      <c r="AA58" s="6">
        <v>7.6</v>
      </c>
      <c r="AB58" s="6">
        <v>0</v>
      </c>
      <c r="AC58" s="6">
        <v>85.18</v>
      </c>
      <c r="AD58" s="6">
        <v>830.51</v>
      </c>
      <c r="AH58" t="s">
        <v>225</v>
      </c>
      <c r="AI58" s="5">
        <v>45901</v>
      </c>
      <c r="AJ58" t="s">
        <v>138</v>
      </c>
      <c r="AK58">
        <v>476</v>
      </c>
      <c r="AL58" s="6">
        <v>2568.1599999999899</v>
      </c>
      <c r="AM58" s="6">
        <v>21.68</v>
      </c>
      <c r="AN58" s="6">
        <v>0</v>
      </c>
      <c r="AO58" s="6">
        <v>37.99</v>
      </c>
      <c r="AP58" s="6">
        <v>2584.4699999999898</v>
      </c>
      <c r="AR58" t="s">
        <v>211</v>
      </c>
      <c r="AS58" s="5">
        <v>45962</v>
      </c>
      <c r="AT58" t="s">
        <v>169</v>
      </c>
      <c r="AU58">
        <v>4228</v>
      </c>
      <c r="AV58" s="6">
        <v>10719.530000000301</v>
      </c>
      <c r="AW58" s="6">
        <v>2.1</v>
      </c>
      <c r="AX58" s="6">
        <v>0</v>
      </c>
      <c r="AY58" s="6">
        <v>528.91999999999996</v>
      </c>
      <c r="AZ58" s="6">
        <v>11246.3500000003</v>
      </c>
      <c r="BB58" t="s">
        <v>199</v>
      </c>
      <c r="BC58" s="5">
        <v>46082</v>
      </c>
      <c r="BD58" t="s">
        <v>181</v>
      </c>
      <c r="BE58">
        <v>1473</v>
      </c>
      <c r="BF58" s="6">
        <v>9559.1299999999992</v>
      </c>
      <c r="BG58" s="6">
        <v>5.99</v>
      </c>
      <c r="BH58" s="6">
        <v>0</v>
      </c>
      <c r="BI58" s="6">
        <v>2069.21000000001</v>
      </c>
      <c r="BJ58" s="6">
        <v>11622.35</v>
      </c>
    </row>
    <row r="59" spans="2:62">
      <c r="B59">
        <v>43</v>
      </c>
      <c r="C59" s="5">
        <v>45950</v>
      </c>
      <c r="D59" t="s">
        <v>119</v>
      </c>
      <c r="E59">
        <v>120</v>
      </c>
      <c r="F59" s="6">
        <v>479.61</v>
      </c>
      <c r="G59" s="6">
        <v>0</v>
      </c>
      <c r="H59" s="6">
        <v>8.65</v>
      </c>
      <c r="I59" s="6">
        <v>0</v>
      </c>
      <c r="J59" s="6">
        <v>479.61</v>
      </c>
      <c r="L59">
        <v>40</v>
      </c>
      <c r="M59" s="5">
        <v>45929</v>
      </c>
      <c r="N59" t="s">
        <v>158</v>
      </c>
      <c r="O59">
        <v>69</v>
      </c>
      <c r="P59" s="6">
        <v>409.45</v>
      </c>
      <c r="Q59" s="6">
        <v>6.3</v>
      </c>
      <c r="R59" s="6">
        <v>10.75</v>
      </c>
      <c r="S59" s="6">
        <v>14.5</v>
      </c>
      <c r="T59" s="6">
        <v>417.65</v>
      </c>
      <c r="V59">
        <v>38</v>
      </c>
      <c r="W59" s="5">
        <v>45915</v>
      </c>
      <c r="X59" t="s">
        <v>178</v>
      </c>
      <c r="Y59">
        <v>186</v>
      </c>
      <c r="Z59" s="6">
        <v>1706.92</v>
      </c>
      <c r="AA59" s="6">
        <v>29.4</v>
      </c>
      <c r="AB59" s="6">
        <v>42.13</v>
      </c>
      <c r="AC59" s="6">
        <v>76.680000000000007</v>
      </c>
      <c r="AD59" s="6">
        <v>1754.2</v>
      </c>
      <c r="AH59" t="s">
        <v>225</v>
      </c>
      <c r="AI59" s="5">
        <v>45901</v>
      </c>
      <c r="AJ59" t="s">
        <v>127</v>
      </c>
      <c r="AK59">
        <v>293</v>
      </c>
      <c r="AL59" s="6">
        <v>1532.66</v>
      </c>
      <c r="AM59" s="6">
        <v>0</v>
      </c>
      <c r="AN59" s="6">
        <v>0</v>
      </c>
      <c r="AO59" s="6">
        <v>8.9499999999999993</v>
      </c>
      <c r="AP59" s="6">
        <v>1541.61</v>
      </c>
      <c r="AR59" t="s">
        <v>211</v>
      </c>
      <c r="AS59" s="5">
        <v>45962</v>
      </c>
      <c r="AT59" t="s">
        <v>168</v>
      </c>
      <c r="AU59">
        <v>1157</v>
      </c>
      <c r="AV59" s="6">
        <v>2237.67</v>
      </c>
      <c r="AW59" s="6">
        <v>10.199999999999999</v>
      </c>
      <c r="AX59" s="6">
        <v>0</v>
      </c>
      <c r="AY59" s="6">
        <v>270.49</v>
      </c>
      <c r="AZ59" s="6">
        <v>2497.96</v>
      </c>
      <c r="BB59" t="s">
        <v>199</v>
      </c>
      <c r="BC59" s="5">
        <v>46082</v>
      </c>
      <c r="BD59" t="s">
        <v>182</v>
      </c>
      <c r="BE59">
        <v>5762</v>
      </c>
      <c r="BF59" s="6">
        <v>14865.0099999992</v>
      </c>
      <c r="BG59" s="6">
        <v>6.75</v>
      </c>
      <c r="BH59" s="6">
        <v>0</v>
      </c>
      <c r="BI59" s="6">
        <v>526.40999999999894</v>
      </c>
      <c r="BJ59" s="6">
        <v>15384.6699999992</v>
      </c>
    </row>
    <row r="60" spans="2:62">
      <c r="B60">
        <v>43</v>
      </c>
      <c r="C60" s="5">
        <v>45950</v>
      </c>
      <c r="D60" t="s">
        <v>122</v>
      </c>
      <c r="E60">
        <v>64</v>
      </c>
      <c r="F60" s="6">
        <v>311.01</v>
      </c>
      <c r="G60" s="6">
        <v>0</v>
      </c>
      <c r="H60" s="6">
        <v>8.56</v>
      </c>
      <c r="I60" s="6">
        <v>0</v>
      </c>
      <c r="J60" s="6">
        <v>311.01</v>
      </c>
      <c r="L60">
        <v>40</v>
      </c>
      <c r="M60" s="5">
        <v>45929</v>
      </c>
      <c r="N60" t="s">
        <v>160</v>
      </c>
      <c r="O60">
        <v>631</v>
      </c>
      <c r="P60" s="6">
        <v>4082.5099999999802</v>
      </c>
      <c r="Q60" s="6">
        <v>17.97</v>
      </c>
      <c r="R60" s="6">
        <v>133.88999999999999</v>
      </c>
      <c r="S60" s="6">
        <v>173</v>
      </c>
      <c r="T60" s="6">
        <v>4237.53999999998</v>
      </c>
      <c r="V60">
        <v>38</v>
      </c>
      <c r="W60" s="5">
        <v>45915</v>
      </c>
      <c r="X60" t="s">
        <v>180</v>
      </c>
      <c r="Y60">
        <v>38</v>
      </c>
      <c r="Z60" s="6">
        <v>301.39999999999998</v>
      </c>
      <c r="AA60" s="6">
        <v>44.95</v>
      </c>
      <c r="AB60" s="6">
        <v>0</v>
      </c>
      <c r="AC60" s="6">
        <v>47.95</v>
      </c>
      <c r="AD60" s="6">
        <v>304.39999999999998</v>
      </c>
      <c r="AH60" t="s">
        <v>225</v>
      </c>
      <c r="AI60" s="5">
        <v>45901</v>
      </c>
      <c r="AJ60" t="s">
        <v>149</v>
      </c>
      <c r="AK60">
        <v>199</v>
      </c>
      <c r="AL60" s="6">
        <v>719.72000000000105</v>
      </c>
      <c r="AM60" s="6">
        <v>6.3</v>
      </c>
      <c r="AN60" s="6">
        <v>0</v>
      </c>
      <c r="AO60" s="6">
        <v>16.62</v>
      </c>
      <c r="AP60" s="6">
        <v>730.04000000000099</v>
      </c>
      <c r="AR60" t="s">
        <v>211</v>
      </c>
      <c r="AS60" s="5">
        <v>45962</v>
      </c>
      <c r="AT60" t="s">
        <v>163</v>
      </c>
      <c r="AU60">
        <v>1067</v>
      </c>
      <c r="AV60" s="6">
        <v>2000.2</v>
      </c>
      <c r="AW60" s="6">
        <v>0</v>
      </c>
      <c r="AX60" s="6">
        <v>0</v>
      </c>
      <c r="AY60" s="6">
        <v>149.30000000000001</v>
      </c>
      <c r="AZ60" s="6">
        <v>2149.5</v>
      </c>
      <c r="BB60" t="s">
        <v>199</v>
      </c>
      <c r="BC60" s="5">
        <v>46082</v>
      </c>
      <c r="BD60" t="s">
        <v>184</v>
      </c>
      <c r="BE60">
        <v>1844</v>
      </c>
      <c r="BF60" s="6">
        <v>3991.4899999999502</v>
      </c>
      <c r="BG60" s="6">
        <v>4.9000000000000004</v>
      </c>
      <c r="BH60" s="6">
        <v>0</v>
      </c>
      <c r="BI60" s="6">
        <v>555.87</v>
      </c>
      <c r="BJ60" s="6">
        <v>4542.45999999995</v>
      </c>
    </row>
    <row r="61" spans="2:62">
      <c r="B61">
        <v>43</v>
      </c>
      <c r="C61" s="5">
        <v>45950</v>
      </c>
      <c r="D61" t="s">
        <v>126</v>
      </c>
      <c r="E61">
        <v>41</v>
      </c>
      <c r="F61" s="6">
        <v>171.47</v>
      </c>
      <c r="G61" s="6">
        <v>0</v>
      </c>
      <c r="H61" s="6">
        <v>0</v>
      </c>
      <c r="I61" s="6">
        <v>1.98</v>
      </c>
      <c r="J61" s="6">
        <v>173.45</v>
      </c>
      <c r="L61">
        <v>40</v>
      </c>
      <c r="M61" s="5">
        <v>45929</v>
      </c>
      <c r="N61" t="s">
        <v>173</v>
      </c>
      <c r="O61">
        <v>172</v>
      </c>
      <c r="P61" s="6">
        <v>775.67000000000201</v>
      </c>
      <c r="Q61" s="6">
        <v>0</v>
      </c>
      <c r="R61" s="6">
        <v>0</v>
      </c>
      <c r="S61" s="6">
        <v>80.69</v>
      </c>
      <c r="T61" s="6">
        <v>856.36000000000195</v>
      </c>
      <c r="V61">
        <v>38</v>
      </c>
      <c r="W61" s="5">
        <v>45915</v>
      </c>
      <c r="X61" t="s">
        <v>181</v>
      </c>
      <c r="Y61">
        <v>221</v>
      </c>
      <c r="Z61" s="6">
        <v>1424.34</v>
      </c>
      <c r="AA61" s="6">
        <v>6.75</v>
      </c>
      <c r="AB61" s="6">
        <v>0</v>
      </c>
      <c r="AC61" s="6">
        <v>238.59</v>
      </c>
      <c r="AD61" s="6">
        <v>1656.18</v>
      </c>
      <c r="AH61" t="s">
        <v>225</v>
      </c>
      <c r="AI61" s="5">
        <v>45901</v>
      </c>
      <c r="AJ61" t="s">
        <v>145</v>
      </c>
      <c r="AK61">
        <v>410</v>
      </c>
      <c r="AL61" s="6">
        <v>2357.0300000000002</v>
      </c>
      <c r="AM61" s="6">
        <v>0</v>
      </c>
      <c r="AN61" s="6">
        <v>0</v>
      </c>
      <c r="AO61" s="6">
        <v>39.340000000000003</v>
      </c>
      <c r="AP61" s="6">
        <v>2396.37</v>
      </c>
      <c r="AR61" t="s">
        <v>211</v>
      </c>
      <c r="AS61" s="5">
        <v>45962</v>
      </c>
      <c r="AT61" t="s">
        <v>170</v>
      </c>
      <c r="AU61">
        <v>87</v>
      </c>
      <c r="AV61" s="6">
        <v>290.8</v>
      </c>
      <c r="AW61" s="6">
        <v>0</v>
      </c>
      <c r="AX61" s="6">
        <v>0</v>
      </c>
      <c r="AY61" s="6">
        <v>22.4</v>
      </c>
      <c r="AZ61" s="6">
        <v>313.2</v>
      </c>
      <c r="BB61" t="s">
        <v>199</v>
      </c>
      <c r="BC61" s="5">
        <v>46082</v>
      </c>
      <c r="BD61" t="s">
        <v>178</v>
      </c>
      <c r="BE61">
        <v>1475</v>
      </c>
      <c r="BF61" s="6">
        <v>13860.869999999901</v>
      </c>
      <c r="BG61" s="6">
        <v>39.299999999999997</v>
      </c>
      <c r="BH61" s="6">
        <v>0</v>
      </c>
      <c r="BI61" s="6">
        <v>620.35000000000105</v>
      </c>
      <c r="BJ61" s="6">
        <v>14441.9199999999</v>
      </c>
    </row>
    <row r="62" spans="2:62">
      <c r="B62">
        <v>43</v>
      </c>
      <c r="C62" s="5">
        <v>45950</v>
      </c>
      <c r="D62" t="s">
        <v>114</v>
      </c>
      <c r="E62">
        <v>75</v>
      </c>
      <c r="F62" s="6">
        <v>302.89999999999998</v>
      </c>
      <c r="G62" s="6">
        <v>0</v>
      </c>
      <c r="H62" s="6">
        <v>11.29</v>
      </c>
      <c r="I62" s="6">
        <v>105</v>
      </c>
      <c r="J62" s="6">
        <v>407.9</v>
      </c>
      <c r="L62">
        <v>40</v>
      </c>
      <c r="M62" s="5">
        <v>45929</v>
      </c>
      <c r="N62" t="s">
        <v>174</v>
      </c>
      <c r="O62">
        <v>146</v>
      </c>
      <c r="P62" s="6">
        <v>892.13000000000204</v>
      </c>
      <c r="Q62" s="6">
        <v>0</v>
      </c>
      <c r="R62" s="6">
        <v>0</v>
      </c>
      <c r="S62" s="6">
        <v>122.57</v>
      </c>
      <c r="T62" s="6">
        <v>1014.7</v>
      </c>
      <c r="V62">
        <v>38</v>
      </c>
      <c r="W62" s="5">
        <v>45915</v>
      </c>
      <c r="X62" t="s">
        <v>227</v>
      </c>
      <c r="Y62">
        <v>3</v>
      </c>
      <c r="Z62" s="6">
        <v>1.44</v>
      </c>
      <c r="AA62" s="6">
        <v>1.44</v>
      </c>
      <c r="AB62" s="6">
        <v>0</v>
      </c>
      <c r="AC62" s="6">
        <v>16.53</v>
      </c>
      <c r="AD62" s="6">
        <v>16.53</v>
      </c>
      <c r="AH62" t="s">
        <v>225</v>
      </c>
      <c r="AI62" s="5">
        <v>45901</v>
      </c>
      <c r="AJ62" t="s">
        <v>114</v>
      </c>
      <c r="AK62">
        <v>269</v>
      </c>
      <c r="AL62" s="6">
        <v>1110.0899999999999</v>
      </c>
      <c r="AM62" s="6">
        <v>0</v>
      </c>
      <c r="AN62" s="6">
        <v>0</v>
      </c>
      <c r="AO62" s="6">
        <v>396.71</v>
      </c>
      <c r="AP62" s="6">
        <v>1506.8</v>
      </c>
      <c r="AR62" t="s">
        <v>211</v>
      </c>
      <c r="AS62" s="5">
        <v>45962</v>
      </c>
      <c r="AT62" t="s">
        <v>165</v>
      </c>
      <c r="AU62">
        <v>206</v>
      </c>
      <c r="AV62" s="6">
        <v>1788.19</v>
      </c>
      <c r="AW62" s="6">
        <v>17.98</v>
      </c>
      <c r="AX62" s="6">
        <v>0</v>
      </c>
      <c r="AY62" s="6">
        <v>106.22</v>
      </c>
      <c r="AZ62" s="6">
        <v>1876.43</v>
      </c>
      <c r="BB62" t="s">
        <v>199</v>
      </c>
      <c r="BC62" s="5">
        <v>46082</v>
      </c>
      <c r="BD62" t="s">
        <v>183</v>
      </c>
      <c r="BE62">
        <v>1659</v>
      </c>
      <c r="BF62" s="6">
        <v>3515.3199999999802</v>
      </c>
      <c r="BG62" s="6">
        <v>2.2000000000000002</v>
      </c>
      <c r="BH62" s="6">
        <v>0</v>
      </c>
      <c r="BI62" s="6">
        <v>235.31</v>
      </c>
      <c r="BJ62" s="6">
        <v>3748.4299999999798</v>
      </c>
    </row>
    <row r="63" spans="2:62">
      <c r="B63">
        <v>43</v>
      </c>
      <c r="C63" s="5">
        <v>45950</v>
      </c>
      <c r="D63" t="s">
        <v>111</v>
      </c>
      <c r="E63">
        <v>74</v>
      </c>
      <c r="F63" s="6">
        <v>306.5</v>
      </c>
      <c r="G63" s="6">
        <v>2.99</v>
      </c>
      <c r="H63" s="6">
        <v>13.13</v>
      </c>
      <c r="I63" s="6">
        <v>0</v>
      </c>
      <c r="J63" s="6">
        <v>303.51</v>
      </c>
      <c r="L63">
        <v>40</v>
      </c>
      <c r="M63" s="5">
        <v>45929</v>
      </c>
      <c r="N63" t="s">
        <v>163</v>
      </c>
      <c r="O63">
        <v>300</v>
      </c>
      <c r="P63" s="6">
        <v>564.4</v>
      </c>
      <c r="Q63" s="6">
        <v>0</v>
      </c>
      <c r="R63" s="6">
        <v>0</v>
      </c>
      <c r="S63" s="6">
        <v>40.6</v>
      </c>
      <c r="T63" s="6">
        <v>605</v>
      </c>
      <c r="V63">
        <v>37</v>
      </c>
      <c r="W63" s="5">
        <v>45908</v>
      </c>
      <c r="X63" t="s">
        <v>179</v>
      </c>
      <c r="Y63">
        <v>569</v>
      </c>
      <c r="Z63" s="6">
        <v>3073.7399999999798</v>
      </c>
      <c r="AA63" s="6">
        <v>18.239999999999998</v>
      </c>
      <c r="AB63" s="6">
        <v>113.3</v>
      </c>
      <c r="AC63" s="6">
        <v>170.82</v>
      </c>
      <c r="AD63" s="6">
        <v>3226.3199999999802</v>
      </c>
      <c r="AH63" t="s">
        <v>225</v>
      </c>
      <c r="AI63" s="5">
        <v>45901</v>
      </c>
      <c r="AJ63" t="s">
        <v>146</v>
      </c>
      <c r="AK63">
        <v>715</v>
      </c>
      <c r="AL63" s="6">
        <v>3899.6599999999698</v>
      </c>
      <c r="AM63" s="6">
        <v>67.569999999999993</v>
      </c>
      <c r="AN63" s="6">
        <v>0</v>
      </c>
      <c r="AO63" s="6">
        <v>25.4</v>
      </c>
      <c r="AP63" s="6">
        <v>3857.4899999999702</v>
      </c>
      <c r="AR63" t="s">
        <v>211</v>
      </c>
      <c r="AS63" s="5">
        <v>45962</v>
      </c>
      <c r="AT63" t="s">
        <v>174</v>
      </c>
      <c r="AU63">
        <v>420</v>
      </c>
      <c r="AV63" s="6">
        <v>2723.21</v>
      </c>
      <c r="AW63" s="6">
        <v>0</v>
      </c>
      <c r="AX63" s="6">
        <v>0</v>
      </c>
      <c r="AY63" s="6">
        <v>377.64</v>
      </c>
      <c r="AZ63" s="6">
        <v>3100.85</v>
      </c>
      <c r="BB63" t="s">
        <v>199</v>
      </c>
      <c r="BC63" s="5">
        <v>46082</v>
      </c>
      <c r="BD63" t="s">
        <v>185</v>
      </c>
      <c r="BE63">
        <v>1150</v>
      </c>
      <c r="BF63" s="6">
        <v>5525.0999999998903</v>
      </c>
      <c r="BG63" s="6">
        <v>10.4</v>
      </c>
      <c r="BH63" s="6">
        <v>0</v>
      </c>
      <c r="BI63" s="6">
        <v>347.26</v>
      </c>
      <c r="BJ63" s="6">
        <v>5861.95999999989</v>
      </c>
    </row>
    <row r="64" spans="2:62">
      <c r="B64">
        <v>43</v>
      </c>
      <c r="C64" s="5">
        <v>45950</v>
      </c>
      <c r="D64" t="s">
        <v>132</v>
      </c>
      <c r="E64">
        <v>62</v>
      </c>
      <c r="F64" s="6">
        <v>243.06</v>
      </c>
      <c r="G64" s="6">
        <v>0</v>
      </c>
      <c r="H64" s="6">
        <v>0</v>
      </c>
      <c r="I64" s="6">
        <v>0</v>
      </c>
      <c r="J64" s="6">
        <v>243.06</v>
      </c>
      <c r="L64">
        <v>40</v>
      </c>
      <c r="M64" s="5">
        <v>45929</v>
      </c>
      <c r="N64" t="s">
        <v>168</v>
      </c>
      <c r="O64">
        <v>280</v>
      </c>
      <c r="P64" s="6">
        <v>505.75</v>
      </c>
      <c r="Q64" s="6">
        <v>5.3</v>
      </c>
      <c r="R64" s="6">
        <v>0</v>
      </c>
      <c r="S64" s="6">
        <v>79.569999999999993</v>
      </c>
      <c r="T64" s="6">
        <v>580.02</v>
      </c>
      <c r="V64">
        <v>37</v>
      </c>
      <c r="W64" s="5">
        <v>45908</v>
      </c>
      <c r="X64" t="s">
        <v>183</v>
      </c>
      <c r="Y64">
        <v>432</v>
      </c>
      <c r="Z64" s="6">
        <v>918.26000000000101</v>
      </c>
      <c r="AA64" s="6">
        <v>0</v>
      </c>
      <c r="AB64" s="6">
        <v>0</v>
      </c>
      <c r="AC64" s="6">
        <v>47.39</v>
      </c>
      <c r="AD64" s="6">
        <v>965.650000000001</v>
      </c>
      <c r="AH64" t="s">
        <v>225</v>
      </c>
      <c r="AI64" s="5">
        <v>45901</v>
      </c>
      <c r="AJ64" t="s">
        <v>113</v>
      </c>
      <c r="AK64">
        <v>392</v>
      </c>
      <c r="AL64" s="6">
        <v>1448.77</v>
      </c>
      <c r="AM64" s="6">
        <v>0</v>
      </c>
      <c r="AN64" s="6">
        <v>0</v>
      </c>
      <c r="AO64" s="6">
        <v>36.36</v>
      </c>
      <c r="AP64" s="6">
        <v>1485.13</v>
      </c>
      <c r="AR64" t="s">
        <v>211</v>
      </c>
      <c r="AS64" s="5">
        <v>45962</v>
      </c>
      <c r="AT64" t="s">
        <v>198</v>
      </c>
      <c r="AU64">
        <v>397</v>
      </c>
      <c r="AV64" s="6">
        <v>3440.98</v>
      </c>
      <c r="AW64" s="6">
        <v>19.399999999999999</v>
      </c>
      <c r="AX64" s="6">
        <v>0</v>
      </c>
      <c r="AY64" s="6">
        <v>371.87</v>
      </c>
      <c r="AZ64" s="6">
        <v>3793.45</v>
      </c>
      <c r="BB64" t="s">
        <v>199</v>
      </c>
      <c r="BC64" s="5">
        <v>46082</v>
      </c>
      <c r="BD64" t="s">
        <v>180</v>
      </c>
      <c r="BE64">
        <v>146</v>
      </c>
      <c r="BF64" s="6">
        <v>1190.1199999999999</v>
      </c>
      <c r="BG64" s="6">
        <v>9.5</v>
      </c>
      <c r="BH64" s="6">
        <v>0</v>
      </c>
      <c r="BI64" s="6">
        <v>134.57</v>
      </c>
      <c r="BJ64" s="6">
        <v>1315.19</v>
      </c>
    </row>
    <row r="65" spans="2:62">
      <c r="B65">
        <v>43</v>
      </c>
      <c r="C65" s="5">
        <v>45950</v>
      </c>
      <c r="D65" t="s">
        <v>142</v>
      </c>
      <c r="E65">
        <v>41</v>
      </c>
      <c r="F65" s="6">
        <v>176.09</v>
      </c>
      <c r="G65" s="6">
        <v>0</v>
      </c>
      <c r="H65" s="6">
        <v>4.9800000000000004</v>
      </c>
      <c r="I65" s="6">
        <v>0</v>
      </c>
      <c r="J65" s="6">
        <v>176.09</v>
      </c>
      <c r="L65">
        <v>40</v>
      </c>
      <c r="M65" s="5">
        <v>45929</v>
      </c>
      <c r="N65" t="s">
        <v>176</v>
      </c>
      <c r="O65">
        <v>74</v>
      </c>
      <c r="P65" s="6">
        <v>151.34</v>
      </c>
      <c r="Q65" s="6">
        <v>0</v>
      </c>
      <c r="R65" s="6">
        <v>0</v>
      </c>
      <c r="S65" s="6">
        <v>15.44</v>
      </c>
      <c r="T65" s="6">
        <v>166.78</v>
      </c>
      <c r="V65">
        <v>37</v>
      </c>
      <c r="W65" s="5">
        <v>45908</v>
      </c>
      <c r="X65" t="s">
        <v>182</v>
      </c>
      <c r="Y65">
        <v>902</v>
      </c>
      <c r="Z65" s="6">
        <v>2467.5799999999699</v>
      </c>
      <c r="AA65" s="6">
        <v>6.3</v>
      </c>
      <c r="AB65" s="6">
        <v>29.53</v>
      </c>
      <c r="AC65" s="6">
        <v>166.3</v>
      </c>
      <c r="AD65" s="6">
        <v>2627.5799999999699</v>
      </c>
      <c r="AH65" t="s">
        <v>225</v>
      </c>
      <c r="AI65" s="5">
        <v>45901</v>
      </c>
      <c r="AJ65" t="s">
        <v>142</v>
      </c>
      <c r="AK65">
        <v>169</v>
      </c>
      <c r="AL65" s="6">
        <v>734.32000000000096</v>
      </c>
      <c r="AM65" s="6">
        <v>0</v>
      </c>
      <c r="AN65" s="6">
        <v>0</v>
      </c>
      <c r="AO65" s="6">
        <v>10.33</v>
      </c>
      <c r="AP65" s="6">
        <v>744.650000000001</v>
      </c>
      <c r="AR65" t="s">
        <v>211</v>
      </c>
      <c r="AS65" s="5">
        <v>45962</v>
      </c>
      <c r="AT65" t="s">
        <v>164</v>
      </c>
      <c r="AU65">
        <v>58</v>
      </c>
      <c r="AV65" s="6">
        <v>218.46</v>
      </c>
      <c r="AW65" s="6">
        <v>0</v>
      </c>
      <c r="AX65" s="6">
        <v>0</v>
      </c>
      <c r="AY65" s="6">
        <v>8.44</v>
      </c>
      <c r="AZ65" s="6">
        <v>226.9</v>
      </c>
      <c r="BB65" t="s">
        <v>200</v>
      </c>
      <c r="BC65" s="5">
        <v>46113</v>
      </c>
      <c r="BD65" t="s">
        <v>178</v>
      </c>
      <c r="BE65">
        <v>1325</v>
      </c>
      <c r="BF65" s="6">
        <v>12496.549999999899</v>
      </c>
      <c r="BG65" s="6">
        <v>0</v>
      </c>
      <c r="BH65" s="6">
        <v>0</v>
      </c>
      <c r="BI65" s="6">
        <v>539.83000000000004</v>
      </c>
      <c r="BJ65" s="6">
        <v>13036.379999999899</v>
      </c>
    </row>
    <row r="66" spans="2:62">
      <c r="B66">
        <v>43</v>
      </c>
      <c r="C66" s="5">
        <v>45950</v>
      </c>
      <c r="D66" t="s">
        <v>116</v>
      </c>
      <c r="E66">
        <v>30</v>
      </c>
      <c r="F66" s="6">
        <v>94.29</v>
      </c>
      <c r="G66" s="6">
        <v>0</v>
      </c>
      <c r="H66" s="6">
        <v>4.76</v>
      </c>
      <c r="I66" s="6">
        <v>0</v>
      </c>
      <c r="J66" s="6">
        <v>94.29</v>
      </c>
      <c r="L66">
        <v>40</v>
      </c>
      <c r="M66" s="5">
        <v>45929</v>
      </c>
      <c r="N66" t="s">
        <v>170</v>
      </c>
      <c r="O66">
        <v>25</v>
      </c>
      <c r="P66" s="6">
        <v>81</v>
      </c>
      <c r="Q66" s="6">
        <v>0</v>
      </c>
      <c r="R66" s="6">
        <v>0</v>
      </c>
      <c r="S66" s="6">
        <v>9</v>
      </c>
      <c r="T66" s="6">
        <v>90</v>
      </c>
      <c r="V66">
        <v>37</v>
      </c>
      <c r="W66" s="5">
        <v>45908</v>
      </c>
      <c r="X66" t="s">
        <v>178</v>
      </c>
      <c r="Y66">
        <v>233</v>
      </c>
      <c r="Z66" s="6">
        <v>2164.2800000000002</v>
      </c>
      <c r="AA66" s="6">
        <v>9.5</v>
      </c>
      <c r="AB66" s="6">
        <v>48.68</v>
      </c>
      <c r="AC66" s="6">
        <v>59.71</v>
      </c>
      <c r="AD66" s="6">
        <v>2214.4899999999998</v>
      </c>
      <c r="AH66" t="s">
        <v>225</v>
      </c>
      <c r="AI66" s="5">
        <v>45901</v>
      </c>
      <c r="AJ66" t="s">
        <v>135</v>
      </c>
      <c r="AK66">
        <v>84</v>
      </c>
      <c r="AL66" s="6">
        <v>208.37</v>
      </c>
      <c r="AM66" s="6">
        <v>0</v>
      </c>
      <c r="AN66" s="6">
        <v>0</v>
      </c>
      <c r="AO66" s="6">
        <v>68.62</v>
      </c>
      <c r="AP66" s="6">
        <v>276.99</v>
      </c>
      <c r="AR66" t="s">
        <v>211</v>
      </c>
      <c r="AS66" s="5">
        <v>45962</v>
      </c>
      <c r="AT66" t="s">
        <v>176</v>
      </c>
      <c r="AU66">
        <v>422</v>
      </c>
      <c r="AV66" s="6">
        <v>842.22</v>
      </c>
      <c r="AW66" s="6">
        <v>2.2000000000000002</v>
      </c>
      <c r="AX66" s="6">
        <v>0</v>
      </c>
      <c r="AY66" s="6">
        <v>113.91</v>
      </c>
      <c r="AZ66" s="6">
        <v>953.93</v>
      </c>
      <c r="BB66" t="s">
        <v>200</v>
      </c>
      <c r="BC66" s="5">
        <v>46113</v>
      </c>
      <c r="BD66" t="s">
        <v>179</v>
      </c>
      <c r="BE66">
        <v>3236</v>
      </c>
      <c r="BF66" s="6">
        <v>18159.949999999899</v>
      </c>
      <c r="BG66" s="6">
        <v>29.16</v>
      </c>
      <c r="BH66" s="6">
        <v>0</v>
      </c>
      <c r="BI66" s="6">
        <v>1236.8399999999999</v>
      </c>
      <c r="BJ66" s="6">
        <v>19367.629999999899</v>
      </c>
    </row>
    <row r="67" spans="2:62">
      <c r="B67">
        <v>43</v>
      </c>
      <c r="C67" s="5">
        <v>45950</v>
      </c>
      <c r="D67" t="s">
        <v>113</v>
      </c>
      <c r="E67">
        <v>89</v>
      </c>
      <c r="F67" s="6">
        <v>256.25</v>
      </c>
      <c r="G67" s="6">
        <v>0</v>
      </c>
      <c r="H67" s="6">
        <v>1.44</v>
      </c>
      <c r="I67" s="6">
        <v>2.35</v>
      </c>
      <c r="J67" s="6">
        <v>258.60000000000002</v>
      </c>
      <c r="L67">
        <v>40</v>
      </c>
      <c r="M67" s="5">
        <v>45929</v>
      </c>
      <c r="N67" t="s">
        <v>165</v>
      </c>
      <c r="O67">
        <v>44</v>
      </c>
      <c r="P67" s="6">
        <v>352.24</v>
      </c>
      <c r="Q67" s="6">
        <v>0</v>
      </c>
      <c r="R67" s="6">
        <v>0</v>
      </c>
      <c r="S67" s="6">
        <v>44.96</v>
      </c>
      <c r="T67" s="6">
        <v>397.2</v>
      </c>
      <c r="V67">
        <v>37</v>
      </c>
      <c r="W67" s="5">
        <v>45908</v>
      </c>
      <c r="X67" t="s">
        <v>181</v>
      </c>
      <c r="Y67">
        <v>208</v>
      </c>
      <c r="Z67" s="6">
        <v>1342.54</v>
      </c>
      <c r="AA67" s="6">
        <v>6.95</v>
      </c>
      <c r="AB67" s="6">
        <v>1.04</v>
      </c>
      <c r="AC67" s="6">
        <v>239.33</v>
      </c>
      <c r="AD67" s="6">
        <v>1574.92</v>
      </c>
      <c r="AH67" t="s">
        <v>225</v>
      </c>
      <c r="AI67" s="5">
        <v>45901</v>
      </c>
      <c r="AJ67" t="s">
        <v>137</v>
      </c>
      <c r="AK67">
        <v>81</v>
      </c>
      <c r="AL67" s="6">
        <v>229.89</v>
      </c>
      <c r="AM67" s="6">
        <v>0</v>
      </c>
      <c r="AN67" s="6">
        <v>0</v>
      </c>
      <c r="AO67" s="6">
        <v>151.80000000000001</v>
      </c>
      <c r="AP67" s="6">
        <v>381.69</v>
      </c>
      <c r="AR67" t="s">
        <v>211</v>
      </c>
      <c r="AS67" s="5">
        <v>45962</v>
      </c>
      <c r="AT67" t="s">
        <v>204</v>
      </c>
      <c r="AU67">
        <v>25</v>
      </c>
      <c r="AV67" s="6">
        <v>60.3</v>
      </c>
      <c r="AW67" s="6">
        <v>0</v>
      </c>
      <c r="AX67" s="6">
        <v>0</v>
      </c>
      <c r="AY67" s="6">
        <v>0</v>
      </c>
      <c r="AZ67" s="6">
        <v>60.3</v>
      </c>
      <c r="BB67" t="s">
        <v>200</v>
      </c>
      <c r="BC67" s="5">
        <v>46113</v>
      </c>
      <c r="BD67" t="s">
        <v>181</v>
      </c>
      <c r="BE67">
        <v>1282</v>
      </c>
      <c r="BF67" s="6">
        <v>8277.6699999999491</v>
      </c>
      <c r="BG67" s="6">
        <v>0</v>
      </c>
      <c r="BH67" s="6">
        <v>0</v>
      </c>
      <c r="BI67" s="6">
        <v>1735.02</v>
      </c>
      <c r="BJ67" s="6">
        <v>10012.6899999999</v>
      </c>
    </row>
    <row r="68" spans="2:62">
      <c r="B68">
        <v>43</v>
      </c>
      <c r="C68" s="5">
        <v>45950</v>
      </c>
      <c r="D68" t="s">
        <v>136</v>
      </c>
      <c r="E68">
        <v>25</v>
      </c>
      <c r="F68" s="6">
        <v>69.77</v>
      </c>
      <c r="G68" s="6">
        <v>0</v>
      </c>
      <c r="H68" s="6">
        <v>0.72</v>
      </c>
      <c r="I68" s="6">
        <v>15.26</v>
      </c>
      <c r="J68" s="6">
        <v>85.03</v>
      </c>
      <c r="L68">
        <v>40</v>
      </c>
      <c r="M68" s="5">
        <v>45929</v>
      </c>
      <c r="N68" t="s">
        <v>182</v>
      </c>
      <c r="O68">
        <v>2</v>
      </c>
      <c r="P68" s="6">
        <v>7.98</v>
      </c>
      <c r="Q68" s="6">
        <v>0</v>
      </c>
      <c r="R68" s="6">
        <v>0</v>
      </c>
      <c r="S68" s="6">
        <v>0</v>
      </c>
      <c r="T68" s="6">
        <v>7.98</v>
      </c>
      <c r="V68">
        <v>37</v>
      </c>
      <c r="W68" s="5">
        <v>45908</v>
      </c>
      <c r="X68" t="s">
        <v>184</v>
      </c>
      <c r="Y68">
        <v>289</v>
      </c>
      <c r="Z68" s="6">
        <v>550.52</v>
      </c>
      <c r="AA68" s="6">
        <v>3</v>
      </c>
      <c r="AB68" s="6">
        <v>0</v>
      </c>
      <c r="AC68" s="6">
        <v>78.11</v>
      </c>
      <c r="AD68" s="6">
        <v>625.63</v>
      </c>
      <c r="AH68" t="s">
        <v>225</v>
      </c>
      <c r="AI68" s="5">
        <v>45901</v>
      </c>
      <c r="AJ68" t="s">
        <v>150</v>
      </c>
      <c r="AK68">
        <v>69</v>
      </c>
      <c r="AL68" s="6">
        <v>398.05</v>
      </c>
      <c r="AM68" s="6">
        <v>0</v>
      </c>
      <c r="AN68" s="6">
        <v>0</v>
      </c>
      <c r="AO68" s="6">
        <v>3.6</v>
      </c>
      <c r="AP68" s="6">
        <v>401.65</v>
      </c>
      <c r="AR68" t="s">
        <v>213</v>
      </c>
      <c r="AS68" s="5">
        <v>45992</v>
      </c>
      <c r="AT68" t="s">
        <v>168</v>
      </c>
      <c r="AU68">
        <v>1025</v>
      </c>
      <c r="AV68" s="6">
        <v>1919.52</v>
      </c>
      <c r="AW68" s="6">
        <v>4.5</v>
      </c>
      <c r="AX68" s="6">
        <v>0</v>
      </c>
      <c r="AY68" s="6">
        <v>283.3</v>
      </c>
      <c r="AZ68" s="6">
        <v>2198.3200000000002</v>
      </c>
      <c r="BB68" t="s">
        <v>200</v>
      </c>
      <c r="BC68" s="5">
        <v>46113</v>
      </c>
      <c r="BD68" t="s">
        <v>182</v>
      </c>
      <c r="BE68">
        <v>4894</v>
      </c>
      <c r="BF68" s="6">
        <v>12180.7599999996</v>
      </c>
      <c r="BG68" s="6">
        <v>6.8</v>
      </c>
      <c r="BH68" s="6">
        <v>0</v>
      </c>
      <c r="BI68" s="6">
        <v>558.81000000000097</v>
      </c>
      <c r="BJ68" s="6">
        <v>12732.7699999996</v>
      </c>
    </row>
    <row r="69" spans="2:62">
      <c r="B69">
        <v>43</v>
      </c>
      <c r="C69" s="5">
        <v>45950</v>
      </c>
      <c r="D69" t="s">
        <v>137</v>
      </c>
      <c r="E69">
        <v>17</v>
      </c>
      <c r="F69" s="6">
        <v>56.79</v>
      </c>
      <c r="G69" s="6">
        <v>0</v>
      </c>
      <c r="H69" s="6">
        <v>3.7</v>
      </c>
      <c r="I69" s="6">
        <v>32.14</v>
      </c>
      <c r="J69" s="6">
        <v>88.93</v>
      </c>
      <c r="L69">
        <v>40</v>
      </c>
      <c r="M69" s="5">
        <v>45929</v>
      </c>
      <c r="N69" t="s">
        <v>171</v>
      </c>
      <c r="O69">
        <v>84</v>
      </c>
      <c r="P69" s="6">
        <v>473.86</v>
      </c>
      <c r="Q69" s="6">
        <v>0</v>
      </c>
      <c r="R69" s="6">
        <v>0</v>
      </c>
      <c r="S69" s="6">
        <v>125.28</v>
      </c>
      <c r="T69" s="6">
        <v>599.14</v>
      </c>
      <c r="V69">
        <v>37</v>
      </c>
      <c r="W69" s="5">
        <v>45908</v>
      </c>
      <c r="X69" t="s">
        <v>180</v>
      </c>
      <c r="Y69">
        <v>18</v>
      </c>
      <c r="Z69" s="6">
        <v>155.57</v>
      </c>
      <c r="AA69" s="6">
        <v>8.99</v>
      </c>
      <c r="AB69" s="6">
        <v>0</v>
      </c>
      <c r="AC69" s="6">
        <v>7.16</v>
      </c>
      <c r="AD69" s="6">
        <v>153.74</v>
      </c>
      <c r="AH69" t="s">
        <v>225</v>
      </c>
      <c r="AI69" s="5">
        <v>45901</v>
      </c>
      <c r="AJ69" t="s">
        <v>125</v>
      </c>
      <c r="AK69">
        <v>62</v>
      </c>
      <c r="AL69" s="6">
        <v>291.57</v>
      </c>
      <c r="AM69" s="6">
        <v>0</v>
      </c>
      <c r="AN69" s="6">
        <v>0</v>
      </c>
      <c r="AO69" s="6">
        <v>5.38</v>
      </c>
      <c r="AP69" s="6">
        <v>296.95</v>
      </c>
      <c r="AR69" t="s">
        <v>213</v>
      </c>
      <c r="AS69" s="5">
        <v>45992</v>
      </c>
      <c r="AT69" t="s">
        <v>160</v>
      </c>
      <c r="AU69">
        <v>2501</v>
      </c>
      <c r="AV69" s="6">
        <v>16610.629999999899</v>
      </c>
      <c r="AW69" s="6">
        <v>42.32</v>
      </c>
      <c r="AX69" s="6">
        <v>0</v>
      </c>
      <c r="AY69" s="6">
        <v>1037.23</v>
      </c>
      <c r="AZ69" s="6">
        <v>17605.539999999899</v>
      </c>
      <c r="BB69" t="s">
        <v>200</v>
      </c>
      <c r="BC69" s="5">
        <v>46113</v>
      </c>
      <c r="BD69" t="s">
        <v>183</v>
      </c>
      <c r="BE69">
        <v>1744</v>
      </c>
      <c r="BF69" s="6">
        <v>3722.5399999999599</v>
      </c>
      <c r="BG69" s="6">
        <v>2.2000000000000002</v>
      </c>
      <c r="BH69" s="6">
        <v>0</v>
      </c>
      <c r="BI69" s="6">
        <v>276.02</v>
      </c>
      <c r="BJ69" s="6">
        <v>3996.3599999999601</v>
      </c>
    </row>
    <row r="70" spans="2:62">
      <c r="B70">
        <v>43</v>
      </c>
      <c r="C70" s="5">
        <v>45950</v>
      </c>
      <c r="D70" t="s">
        <v>125</v>
      </c>
      <c r="E70">
        <v>18</v>
      </c>
      <c r="F70" s="6">
        <v>76.05</v>
      </c>
      <c r="G70" s="6">
        <v>0</v>
      </c>
      <c r="H70" s="6">
        <v>1.19</v>
      </c>
      <c r="I70" s="6">
        <v>0</v>
      </c>
      <c r="J70" s="6">
        <v>76.05</v>
      </c>
      <c r="L70">
        <v>40</v>
      </c>
      <c r="M70" s="5">
        <v>45929</v>
      </c>
      <c r="N70" t="s">
        <v>167</v>
      </c>
      <c r="O70">
        <v>5</v>
      </c>
      <c r="P70" s="6">
        <v>28.5</v>
      </c>
      <c r="Q70" s="6">
        <v>0</v>
      </c>
      <c r="R70" s="6">
        <v>0</v>
      </c>
      <c r="S70" s="6">
        <v>19</v>
      </c>
      <c r="T70" s="6">
        <v>47.5</v>
      </c>
      <c r="V70">
        <v>37</v>
      </c>
      <c r="W70" s="5">
        <v>45908</v>
      </c>
      <c r="X70" t="s">
        <v>227</v>
      </c>
      <c r="Y70">
        <v>3</v>
      </c>
      <c r="Z70" s="6">
        <v>0</v>
      </c>
      <c r="AA70" s="6">
        <v>0</v>
      </c>
      <c r="AB70" s="6">
        <v>0</v>
      </c>
      <c r="AC70" s="6">
        <v>17.97</v>
      </c>
      <c r="AD70" s="6">
        <v>17.97</v>
      </c>
      <c r="AH70" t="s">
        <v>225</v>
      </c>
      <c r="AI70" s="5">
        <v>45901</v>
      </c>
      <c r="AJ70" t="s">
        <v>121</v>
      </c>
      <c r="AK70">
        <v>181</v>
      </c>
      <c r="AL70" s="6">
        <v>498.35</v>
      </c>
      <c r="AM70" s="6">
        <v>0</v>
      </c>
      <c r="AN70" s="6">
        <v>0</v>
      </c>
      <c r="AO70" s="6">
        <v>9.49</v>
      </c>
      <c r="AP70" s="6">
        <v>507.84</v>
      </c>
      <c r="AR70" t="s">
        <v>213</v>
      </c>
      <c r="AS70" s="5">
        <v>45992</v>
      </c>
      <c r="AT70" t="s">
        <v>163</v>
      </c>
      <c r="AU70">
        <v>810</v>
      </c>
      <c r="AV70" s="6">
        <v>1571.5</v>
      </c>
      <c r="AW70" s="6">
        <v>0</v>
      </c>
      <c r="AX70" s="6">
        <v>0</v>
      </c>
      <c r="AY70" s="6">
        <v>58.5</v>
      </c>
      <c r="AZ70" s="6">
        <v>1630</v>
      </c>
      <c r="BB70" t="s">
        <v>200</v>
      </c>
      <c r="BC70" s="5">
        <v>46113</v>
      </c>
      <c r="BD70" t="s">
        <v>185</v>
      </c>
      <c r="BE70">
        <v>1086</v>
      </c>
      <c r="BF70" s="6">
        <v>5156.5899999999001</v>
      </c>
      <c r="BG70" s="6">
        <v>0</v>
      </c>
      <c r="BH70" s="6">
        <v>0</v>
      </c>
      <c r="BI70" s="6">
        <v>349.99</v>
      </c>
      <c r="BJ70" s="6">
        <v>5506.5799999998999</v>
      </c>
    </row>
    <row r="71" spans="2:62">
      <c r="B71">
        <v>43</v>
      </c>
      <c r="C71" s="5">
        <v>45950</v>
      </c>
      <c r="D71" t="s">
        <v>135</v>
      </c>
      <c r="E71">
        <v>13</v>
      </c>
      <c r="F71" s="6">
        <v>46.62</v>
      </c>
      <c r="G71" s="6">
        <v>0</v>
      </c>
      <c r="H71" s="6">
        <v>1.26</v>
      </c>
      <c r="I71" s="6">
        <v>12.64</v>
      </c>
      <c r="J71" s="6">
        <v>59.26</v>
      </c>
      <c r="L71">
        <v>40</v>
      </c>
      <c r="M71" s="5">
        <v>45929</v>
      </c>
      <c r="N71" t="s">
        <v>172</v>
      </c>
      <c r="O71">
        <v>21</v>
      </c>
      <c r="P71" s="6">
        <v>64</v>
      </c>
      <c r="Q71" s="6">
        <v>0</v>
      </c>
      <c r="R71" s="6">
        <v>0</v>
      </c>
      <c r="S71" s="6">
        <v>3.2</v>
      </c>
      <c r="T71" s="6">
        <v>67.2</v>
      </c>
      <c r="V71">
        <v>36</v>
      </c>
      <c r="W71" s="5">
        <v>45901</v>
      </c>
      <c r="X71" t="s">
        <v>183</v>
      </c>
      <c r="Y71">
        <v>423</v>
      </c>
      <c r="Z71" s="6">
        <v>846.09</v>
      </c>
      <c r="AA71" s="6">
        <v>0</v>
      </c>
      <c r="AB71" s="6">
        <v>0</v>
      </c>
      <c r="AC71" s="6">
        <v>74.09</v>
      </c>
      <c r="AD71" s="6">
        <v>920.18000000000097</v>
      </c>
      <c r="AH71" t="s">
        <v>225</v>
      </c>
      <c r="AI71" s="5">
        <v>45901</v>
      </c>
      <c r="AJ71" t="s">
        <v>112</v>
      </c>
      <c r="AK71">
        <v>69</v>
      </c>
      <c r="AL71" s="6">
        <v>293.31</v>
      </c>
      <c r="AM71" s="6">
        <v>29.49</v>
      </c>
      <c r="AN71" s="6">
        <v>0</v>
      </c>
      <c r="AO71" s="6">
        <v>18.36</v>
      </c>
      <c r="AP71" s="6">
        <v>282.18</v>
      </c>
      <c r="AR71" t="s">
        <v>213</v>
      </c>
      <c r="AS71" s="5">
        <v>45992</v>
      </c>
      <c r="AT71" t="s">
        <v>165</v>
      </c>
      <c r="AU71">
        <v>243</v>
      </c>
      <c r="AV71" s="6">
        <v>1972.76</v>
      </c>
      <c r="AW71" s="6">
        <v>26.97</v>
      </c>
      <c r="AX71" s="6">
        <v>0</v>
      </c>
      <c r="AY71" s="6">
        <v>218</v>
      </c>
      <c r="AZ71" s="6">
        <v>2163.79</v>
      </c>
      <c r="BB71" t="s">
        <v>200</v>
      </c>
      <c r="BC71" s="5">
        <v>46113</v>
      </c>
      <c r="BD71" t="s">
        <v>184</v>
      </c>
      <c r="BE71">
        <v>1696</v>
      </c>
      <c r="BF71" s="6">
        <v>3608.1499999999901</v>
      </c>
      <c r="BG71" s="6">
        <v>0</v>
      </c>
      <c r="BH71" s="6">
        <v>0</v>
      </c>
      <c r="BI71" s="6">
        <v>459.38</v>
      </c>
      <c r="BJ71" s="6">
        <v>4067.5299999999902</v>
      </c>
    </row>
    <row r="72" spans="2:62">
      <c r="B72">
        <v>43</v>
      </c>
      <c r="C72" s="5">
        <v>45950</v>
      </c>
      <c r="D72" t="s">
        <v>140</v>
      </c>
      <c r="E72">
        <v>22</v>
      </c>
      <c r="F72" s="6">
        <v>61.59</v>
      </c>
      <c r="G72" s="6">
        <v>0</v>
      </c>
      <c r="H72" s="6">
        <v>0</v>
      </c>
      <c r="I72" s="6">
        <v>0</v>
      </c>
      <c r="J72" s="6">
        <v>61.59</v>
      </c>
      <c r="L72">
        <v>40</v>
      </c>
      <c r="M72" s="5">
        <v>45929</v>
      </c>
      <c r="N72" t="s">
        <v>164</v>
      </c>
      <c r="O72">
        <v>8</v>
      </c>
      <c r="P72" s="6">
        <v>33.200000000000003</v>
      </c>
      <c r="Q72" s="6">
        <v>0</v>
      </c>
      <c r="R72" s="6">
        <v>0</v>
      </c>
      <c r="S72" s="6">
        <v>1.5</v>
      </c>
      <c r="T72" s="6">
        <v>34.700000000000003</v>
      </c>
      <c r="V72">
        <v>36</v>
      </c>
      <c r="W72" s="5">
        <v>45901</v>
      </c>
      <c r="X72" t="s">
        <v>182</v>
      </c>
      <c r="Y72">
        <v>874</v>
      </c>
      <c r="Z72" s="6">
        <v>2392.6099999999801</v>
      </c>
      <c r="AA72" s="6">
        <v>4.95</v>
      </c>
      <c r="AB72" s="6">
        <v>33.22</v>
      </c>
      <c r="AC72" s="6">
        <v>141.76</v>
      </c>
      <c r="AD72" s="6">
        <v>2529.4199999999801</v>
      </c>
      <c r="AH72" t="s">
        <v>226</v>
      </c>
      <c r="AI72" s="5">
        <v>45870</v>
      </c>
      <c r="AJ72" t="s">
        <v>124</v>
      </c>
      <c r="AK72">
        <v>603</v>
      </c>
      <c r="AL72" s="6">
        <v>2270.9199999999901</v>
      </c>
      <c r="AM72" s="6">
        <v>6.45</v>
      </c>
      <c r="AN72" s="6">
        <v>0</v>
      </c>
      <c r="AO72" s="6">
        <v>23.18</v>
      </c>
      <c r="AP72" s="6">
        <v>2287.6499999999901</v>
      </c>
      <c r="AR72" t="s">
        <v>213</v>
      </c>
      <c r="AS72" s="5">
        <v>45992</v>
      </c>
      <c r="AT72" t="s">
        <v>169</v>
      </c>
      <c r="AU72">
        <v>3366</v>
      </c>
      <c r="AV72" s="6">
        <v>8757.8199999999706</v>
      </c>
      <c r="AW72" s="6">
        <v>14.19</v>
      </c>
      <c r="AX72" s="6">
        <v>0</v>
      </c>
      <c r="AY72" s="6">
        <v>441.41</v>
      </c>
      <c r="AZ72" s="6">
        <v>9185.03999999997</v>
      </c>
      <c r="BB72" t="s">
        <v>200</v>
      </c>
      <c r="BC72" s="5">
        <v>46113</v>
      </c>
      <c r="BD72" t="s">
        <v>180</v>
      </c>
      <c r="BE72">
        <v>139</v>
      </c>
      <c r="BF72" s="6">
        <v>1179.44</v>
      </c>
      <c r="BG72" s="6">
        <v>0</v>
      </c>
      <c r="BH72" s="6">
        <v>0</v>
      </c>
      <c r="BI72" s="6">
        <v>70.86</v>
      </c>
      <c r="BJ72" s="6">
        <v>1250.3</v>
      </c>
    </row>
    <row r="73" spans="2:62">
      <c r="B73">
        <v>43</v>
      </c>
      <c r="C73" s="5">
        <v>45950</v>
      </c>
      <c r="D73" t="s">
        <v>127</v>
      </c>
      <c r="E73">
        <v>55</v>
      </c>
      <c r="F73" s="6">
        <v>278.5</v>
      </c>
      <c r="G73" s="6">
        <v>0</v>
      </c>
      <c r="H73" s="6">
        <v>1.1499999999999999</v>
      </c>
      <c r="I73" s="6">
        <v>0</v>
      </c>
      <c r="J73" s="6">
        <v>278.5</v>
      </c>
      <c r="L73">
        <v>39</v>
      </c>
      <c r="M73" s="5">
        <v>45922</v>
      </c>
      <c r="N73" t="s">
        <v>168</v>
      </c>
      <c r="O73">
        <v>247</v>
      </c>
      <c r="P73" s="6">
        <v>458.24</v>
      </c>
      <c r="Q73" s="6">
        <v>0</v>
      </c>
      <c r="R73" s="6">
        <v>0</v>
      </c>
      <c r="S73" s="6">
        <v>59.43</v>
      </c>
      <c r="T73" s="6">
        <v>517.67000000000098</v>
      </c>
      <c r="V73">
        <v>36</v>
      </c>
      <c r="W73" s="5">
        <v>45901</v>
      </c>
      <c r="X73" t="s">
        <v>179</v>
      </c>
      <c r="Y73">
        <v>559</v>
      </c>
      <c r="Z73" s="6">
        <v>3018.1099999999901</v>
      </c>
      <c r="AA73" s="6">
        <v>9.43</v>
      </c>
      <c r="AB73" s="6">
        <v>91.29</v>
      </c>
      <c r="AC73" s="6">
        <v>151.11000000000001</v>
      </c>
      <c r="AD73" s="6">
        <v>3159.78999999999</v>
      </c>
      <c r="AH73" t="s">
        <v>226</v>
      </c>
      <c r="AI73" s="5">
        <v>45870</v>
      </c>
      <c r="AJ73" t="s">
        <v>139</v>
      </c>
      <c r="AK73">
        <v>387</v>
      </c>
      <c r="AL73" s="6">
        <v>1609.89</v>
      </c>
      <c r="AM73" s="6">
        <v>0</v>
      </c>
      <c r="AN73" s="6">
        <v>0</v>
      </c>
      <c r="AO73" s="6">
        <v>26.38</v>
      </c>
      <c r="AP73" s="6">
        <v>1636.27</v>
      </c>
      <c r="AR73" t="s">
        <v>213</v>
      </c>
      <c r="AS73" s="5">
        <v>45992</v>
      </c>
      <c r="AT73" t="s">
        <v>173</v>
      </c>
      <c r="AU73">
        <v>690</v>
      </c>
      <c r="AV73" s="6">
        <v>3311.74999999997</v>
      </c>
      <c r="AW73" s="6">
        <v>9.9</v>
      </c>
      <c r="AX73" s="6">
        <v>0</v>
      </c>
      <c r="AY73" s="6">
        <v>220.85</v>
      </c>
      <c r="AZ73" s="6">
        <v>3522.6999999999698</v>
      </c>
      <c r="BB73" t="s">
        <v>200</v>
      </c>
      <c r="BC73" s="5">
        <v>46113</v>
      </c>
      <c r="BD73" t="s">
        <v>227</v>
      </c>
      <c r="BE73">
        <v>9</v>
      </c>
      <c r="BF73" s="6">
        <v>24.45</v>
      </c>
      <c r="BG73" s="6">
        <v>0</v>
      </c>
      <c r="BH73" s="6">
        <v>0</v>
      </c>
      <c r="BI73" s="6">
        <v>0</v>
      </c>
      <c r="BJ73" s="6">
        <v>24.45</v>
      </c>
    </row>
    <row r="74" spans="2:62">
      <c r="B74">
        <v>42</v>
      </c>
      <c r="C74" s="5">
        <v>45943</v>
      </c>
      <c r="D74" t="s">
        <v>124</v>
      </c>
      <c r="E74">
        <v>164</v>
      </c>
      <c r="F74" s="6">
        <v>653.83000000000004</v>
      </c>
      <c r="G74" s="6">
        <v>0</v>
      </c>
      <c r="H74" s="6">
        <v>5.25</v>
      </c>
      <c r="I74" s="6">
        <v>0</v>
      </c>
      <c r="J74" s="6">
        <v>653.83000000000004</v>
      </c>
      <c r="L74">
        <v>39</v>
      </c>
      <c r="M74" s="5">
        <v>45922</v>
      </c>
      <c r="N74" t="s">
        <v>176</v>
      </c>
      <c r="O74">
        <v>74</v>
      </c>
      <c r="P74" s="6">
        <v>160.02000000000001</v>
      </c>
      <c r="Q74" s="6">
        <v>0</v>
      </c>
      <c r="R74" s="6">
        <v>0</v>
      </c>
      <c r="S74" s="6">
        <v>7.14</v>
      </c>
      <c r="T74" s="6">
        <v>167.16</v>
      </c>
      <c r="V74">
        <v>36</v>
      </c>
      <c r="W74" s="5">
        <v>45901</v>
      </c>
      <c r="X74" t="s">
        <v>178</v>
      </c>
      <c r="Y74">
        <v>194</v>
      </c>
      <c r="Z74" s="6">
        <v>1798.62</v>
      </c>
      <c r="AA74" s="6">
        <v>0</v>
      </c>
      <c r="AB74" s="6">
        <v>40.18</v>
      </c>
      <c r="AC74" s="6">
        <v>46.88</v>
      </c>
      <c r="AD74" s="6">
        <v>1845.5</v>
      </c>
      <c r="AH74" t="s">
        <v>226</v>
      </c>
      <c r="AI74" s="5">
        <v>45870</v>
      </c>
      <c r="AJ74" t="s">
        <v>134</v>
      </c>
      <c r="AK74">
        <v>308</v>
      </c>
      <c r="AL74" s="6">
        <v>1701.06</v>
      </c>
      <c r="AM74" s="6">
        <v>0</v>
      </c>
      <c r="AN74" s="6">
        <v>0</v>
      </c>
      <c r="AO74" s="6">
        <v>41.72</v>
      </c>
      <c r="AP74" s="6">
        <v>1742.78</v>
      </c>
      <c r="AR74" t="s">
        <v>213</v>
      </c>
      <c r="AS74" s="5">
        <v>45992</v>
      </c>
      <c r="AT74" t="s">
        <v>158</v>
      </c>
      <c r="AU74">
        <v>679</v>
      </c>
      <c r="AV74" s="6">
        <v>4340.4900000000298</v>
      </c>
      <c r="AW74" s="6">
        <v>6.3</v>
      </c>
      <c r="AX74" s="6">
        <v>0</v>
      </c>
      <c r="AY74" s="6">
        <v>266.58</v>
      </c>
      <c r="AZ74" s="6">
        <v>4600.7700000000304</v>
      </c>
      <c r="BB74" t="s">
        <v>200</v>
      </c>
      <c r="BC74" s="5">
        <v>46113</v>
      </c>
      <c r="BD74" t="s">
        <v>233</v>
      </c>
      <c r="BE74">
        <v>5</v>
      </c>
      <c r="BF74" s="6">
        <v>15</v>
      </c>
      <c r="BG74" s="6">
        <v>0</v>
      </c>
      <c r="BH74" s="6">
        <v>0</v>
      </c>
      <c r="BI74" s="6">
        <v>0</v>
      </c>
      <c r="BJ74" s="6">
        <v>15</v>
      </c>
    </row>
    <row r="75" spans="2:62">
      <c r="B75">
        <v>42</v>
      </c>
      <c r="C75" s="5">
        <v>45943</v>
      </c>
      <c r="D75" t="s">
        <v>123</v>
      </c>
      <c r="E75">
        <v>158</v>
      </c>
      <c r="F75" s="6">
        <v>656.45000000000095</v>
      </c>
      <c r="G75" s="6">
        <v>0</v>
      </c>
      <c r="H75" s="6">
        <v>5.25</v>
      </c>
      <c r="I75" s="6">
        <v>0</v>
      </c>
      <c r="J75" s="6">
        <v>656.45000000000095</v>
      </c>
      <c r="L75">
        <v>39</v>
      </c>
      <c r="M75" s="5">
        <v>45922</v>
      </c>
      <c r="N75" t="s">
        <v>163</v>
      </c>
      <c r="O75">
        <v>261</v>
      </c>
      <c r="P75" s="6">
        <v>504.4</v>
      </c>
      <c r="Q75" s="6">
        <v>0</v>
      </c>
      <c r="R75" s="6">
        <v>0</v>
      </c>
      <c r="S75" s="6">
        <v>20.6</v>
      </c>
      <c r="T75" s="6">
        <v>525</v>
      </c>
      <c r="V75">
        <v>36</v>
      </c>
      <c r="W75" s="5">
        <v>45901</v>
      </c>
      <c r="X75" t="s">
        <v>184</v>
      </c>
      <c r="Y75">
        <v>304</v>
      </c>
      <c r="Z75" s="6">
        <v>584.77</v>
      </c>
      <c r="AA75" s="6">
        <v>9.98</v>
      </c>
      <c r="AB75" s="6">
        <v>0</v>
      </c>
      <c r="AC75" s="6">
        <v>83.85</v>
      </c>
      <c r="AD75" s="6">
        <v>658.64</v>
      </c>
      <c r="AH75" t="s">
        <v>226</v>
      </c>
      <c r="AI75" s="5">
        <v>45870</v>
      </c>
      <c r="AJ75" t="s">
        <v>122</v>
      </c>
      <c r="AK75">
        <v>218</v>
      </c>
      <c r="AL75" s="6">
        <v>1136.28</v>
      </c>
      <c r="AM75" s="6">
        <v>5.8</v>
      </c>
      <c r="AN75" s="6">
        <v>0</v>
      </c>
      <c r="AO75" s="6">
        <v>27.92</v>
      </c>
      <c r="AP75" s="6">
        <v>1158.4000000000001</v>
      </c>
      <c r="AR75" t="s">
        <v>213</v>
      </c>
      <c r="AS75" s="5">
        <v>45992</v>
      </c>
      <c r="AT75" t="s">
        <v>204</v>
      </c>
      <c r="AU75">
        <v>4</v>
      </c>
      <c r="AV75" s="6">
        <v>9.8000000000000007</v>
      </c>
      <c r="AW75" s="6">
        <v>0</v>
      </c>
      <c r="AX75" s="6">
        <v>0</v>
      </c>
      <c r="AY75" s="6">
        <v>0</v>
      </c>
      <c r="AZ75" s="6">
        <v>9.8000000000000007</v>
      </c>
      <c r="BB75" t="s">
        <v>200</v>
      </c>
      <c r="BC75" s="5">
        <v>46113</v>
      </c>
      <c r="BD75" t="s">
        <v>202</v>
      </c>
      <c r="BE75">
        <v>197</v>
      </c>
      <c r="BF75" s="6">
        <v>591</v>
      </c>
      <c r="BG75" s="6">
        <v>0</v>
      </c>
      <c r="BH75" s="6">
        <v>0</v>
      </c>
      <c r="BI75" s="6">
        <v>0</v>
      </c>
      <c r="BJ75" s="6">
        <v>591</v>
      </c>
    </row>
    <row r="76" spans="2:62" ht="18.75">
      <c r="B76">
        <v>42</v>
      </c>
      <c r="C76" s="5">
        <v>45943</v>
      </c>
      <c r="D76" t="s">
        <v>139</v>
      </c>
      <c r="E76">
        <v>70</v>
      </c>
      <c r="F76" s="6">
        <v>267.26</v>
      </c>
      <c r="G76" s="6">
        <v>0</v>
      </c>
      <c r="H76" s="6">
        <v>2.14</v>
      </c>
      <c r="I76" s="6">
        <v>0</v>
      </c>
      <c r="J76" s="6">
        <v>267.26</v>
      </c>
      <c r="L76">
        <v>39</v>
      </c>
      <c r="M76" s="5">
        <v>45922</v>
      </c>
      <c r="N76" t="s">
        <v>173</v>
      </c>
      <c r="O76">
        <v>166</v>
      </c>
      <c r="P76" s="6">
        <v>747.72000000000105</v>
      </c>
      <c r="Q76" s="6">
        <v>0</v>
      </c>
      <c r="R76" s="6">
        <v>7.91</v>
      </c>
      <c r="S76" s="6">
        <v>75.989999999999995</v>
      </c>
      <c r="T76" s="6">
        <v>823.71000000000095</v>
      </c>
      <c r="V76">
        <v>36</v>
      </c>
      <c r="W76" s="5">
        <v>45901</v>
      </c>
      <c r="X76" t="s">
        <v>181</v>
      </c>
      <c r="Y76">
        <v>203</v>
      </c>
      <c r="Z76" s="6">
        <v>1253.96</v>
      </c>
      <c r="AA76" s="6">
        <v>7.38</v>
      </c>
      <c r="AB76" s="6">
        <v>0</v>
      </c>
      <c r="AC76" s="6">
        <v>303.49</v>
      </c>
      <c r="AD76" s="6">
        <v>1550.07</v>
      </c>
      <c r="AH76" t="s">
        <v>226</v>
      </c>
      <c r="AI76" s="5">
        <v>45870</v>
      </c>
      <c r="AJ76" t="s">
        <v>114</v>
      </c>
      <c r="AK76">
        <v>270</v>
      </c>
      <c r="AL76" s="6">
        <v>1131.1099999999999</v>
      </c>
      <c r="AM76" s="6">
        <v>0</v>
      </c>
      <c r="AN76" s="6">
        <v>0</v>
      </c>
      <c r="AO76" s="6">
        <v>406.71</v>
      </c>
      <c r="AP76" s="6">
        <v>1537.82</v>
      </c>
      <c r="AR76" t="s">
        <v>213</v>
      </c>
      <c r="AS76" s="5">
        <v>45992</v>
      </c>
      <c r="AT76" t="s">
        <v>170</v>
      </c>
      <c r="AU76">
        <v>52</v>
      </c>
      <c r="AV76" s="6">
        <v>177.48</v>
      </c>
      <c r="AW76" s="6">
        <v>0</v>
      </c>
      <c r="AX76" s="6">
        <v>0</v>
      </c>
      <c r="AY76" s="6">
        <v>9.7200000000000006</v>
      </c>
      <c r="AZ76" s="6">
        <v>187.2</v>
      </c>
      <c r="BB76" t="s">
        <v>203</v>
      </c>
      <c r="BC76" s="5">
        <v>46143</v>
      </c>
      <c r="BD76" t="s">
        <v>202</v>
      </c>
      <c r="BE76">
        <v>305</v>
      </c>
      <c r="BF76" s="6">
        <v>915</v>
      </c>
      <c r="BG76" s="6">
        <v>0</v>
      </c>
      <c r="BH76" s="6">
        <v>0</v>
      </c>
      <c r="BI76" s="6">
        <v>0</v>
      </c>
      <c r="BJ76" s="6">
        <v>915</v>
      </c>
    </row>
    <row r="77" spans="2:62" ht="18.75">
      <c r="B77">
        <v>42</v>
      </c>
      <c r="C77" s="5">
        <v>45943</v>
      </c>
      <c r="D77" t="s">
        <v>121</v>
      </c>
      <c r="E77">
        <v>55</v>
      </c>
      <c r="F77" s="6">
        <v>188.81</v>
      </c>
      <c r="G77" s="6">
        <v>0</v>
      </c>
      <c r="H77" s="6">
        <v>6.22</v>
      </c>
      <c r="I77" s="6">
        <v>0</v>
      </c>
      <c r="J77" s="6">
        <v>188.81</v>
      </c>
      <c r="L77">
        <v>39</v>
      </c>
      <c r="M77" s="5">
        <v>45922</v>
      </c>
      <c r="N77" t="s">
        <v>174</v>
      </c>
      <c r="O77">
        <v>108</v>
      </c>
      <c r="P77" s="6">
        <v>697.36</v>
      </c>
      <c r="Q77" s="6">
        <v>0</v>
      </c>
      <c r="R77" s="6">
        <v>0</v>
      </c>
      <c r="S77" s="6">
        <v>81.87</v>
      </c>
      <c r="T77" s="6">
        <v>779.23</v>
      </c>
      <c r="V77">
        <v>36</v>
      </c>
      <c r="W77" s="5">
        <v>45901</v>
      </c>
      <c r="X77" t="s">
        <v>180</v>
      </c>
      <c r="Y77">
        <v>42</v>
      </c>
      <c r="Z77" s="6">
        <v>374.35</v>
      </c>
      <c r="AA77" s="6">
        <v>0</v>
      </c>
      <c r="AB77" s="6">
        <v>0</v>
      </c>
      <c r="AC77" s="6">
        <v>9.0500000000000007</v>
      </c>
      <c r="AD77" s="6">
        <v>383.4</v>
      </c>
      <c r="AH77" t="s">
        <v>226</v>
      </c>
      <c r="AI77" s="5">
        <v>45870</v>
      </c>
      <c r="AJ77" t="s">
        <v>117</v>
      </c>
      <c r="AK77">
        <v>264</v>
      </c>
      <c r="AL77" s="6">
        <v>1405.45</v>
      </c>
      <c r="AM77" s="6">
        <v>0</v>
      </c>
      <c r="AN77" s="6">
        <v>0</v>
      </c>
      <c r="AO77" s="6">
        <v>60.019999999999897</v>
      </c>
      <c r="AP77" s="6">
        <v>1465.47</v>
      </c>
      <c r="AR77" t="s">
        <v>213</v>
      </c>
      <c r="AS77" s="5">
        <v>45992</v>
      </c>
      <c r="AT77" t="s">
        <v>175</v>
      </c>
      <c r="AU77">
        <v>236</v>
      </c>
      <c r="AV77" s="6">
        <v>691.07999999999902</v>
      </c>
      <c r="AW77" s="6">
        <v>6.75</v>
      </c>
      <c r="AX77" s="6">
        <v>0</v>
      </c>
      <c r="AY77" s="6">
        <v>170.32</v>
      </c>
      <c r="AZ77" s="6">
        <v>854.65</v>
      </c>
      <c r="BB77" t="s">
        <v>203</v>
      </c>
      <c r="BC77" s="5">
        <v>46143</v>
      </c>
      <c r="BD77" t="s">
        <v>179</v>
      </c>
      <c r="BE77">
        <v>2912</v>
      </c>
      <c r="BF77" s="6">
        <v>16324.049999999799</v>
      </c>
      <c r="BG77" s="6">
        <v>40.200000000000003</v>
      </c>
      <c r="BH77" s="6">
        <v>0</v>
      </c>
      <c r="BI77" s="6">
        <v>1170.17</v>
      </c>
      <c r="BJ77" s="6">
        <v>17454.0199999998</v>
      </c>
    </row>
    <row r="78" spans="2:62" ht="18.75">
      <c r="B78">
        <v>42</v>
      </c>
      <c r="C78" s="5">
        <v>45943</v>
      </c>
      <c r="D78" t="s">
        <v>117</v>
      </c>
      <c r="E78">
        <v>75</v>
      </c>
      <c r="F78" s="6">
        <v>345.27</v>
      </c>
      <c r="G78" s="6">
        <v>0</v>
      </c>
      <c r="H78" s="6">
        <v>15.19</v>
      </c>
      <c r="I78" s="6">
        <v>0</v>
      </c>
      <c r="J78" s="6">
        <v>345.27</v>
      </c>
      <c r="L78">
        <v>39</v>
      </c>
      <c r="M78" s="5">
        <v>45922</v>
      </c>
      <c r="N78" t="s">
        <v>169</v>
      </c>
      <c r="O78">
        <v>752</v>
      </c>
      <c r="P78" s="6">
        <v>1934.3399999999799</v>
      </c>
      <c r="Q78" s="6">
        <v>0</v>
      </c>
      <c r="R78" s="6">
        <v>22.34</v>
      </c>
      <c r="S78" s="6">
        <v>84.92</v>
      </c>
      <c r="T78" s="6">
        <v>2019.25999999998</v>
      </c>
      <c r="V78">
        <v>35</v>
      </c>
      <c r="W78" s="5">
        <v>45894</v>
      </c>
      <c r="X78" t="s">
        <v>179</v>
      </c>
      <c r="Y78">
        <v>504</v>
      </c>
      <c r="Z78" s="6">
        <v>2722.1599999999899</v>
      </c>
      <c r="AA78" s="6">
        <v>5.21</v>
      </c>
      <c r="AB78" s="6">
        <v>87.49</v>
      </c>
      <c r="AC78" s="6">
        <v>200.45</v>
      </c>
      <c r="AD78" s="6">
        <v>2917.3999999999901</v>
      </c>
      <c r="AH78" t="s">
        <v>226</v>
      </c>
      <c r="AI78" s="5">
        <v>45870</v>
      </c>
      <c r="AJ78" t="s">
        <v>219</v>
      </c>
      <c r="AK78">
        <v>528</v>
      </c>
      <c r="AL78" s="6">
        <v>2485.3999999999901</v>
      </c>
      <c r="AM78" s="6">
        <v>4.95</v>
      </c>
      <c r="AN78" s="6">
        <v>0</v>
      </c>
      <c r="AO78" s="6">
        <v>49.46</v>
      </c>
      <c r="AP78" s="6">
        <v>2529.9099999999899</v>
      </c>
      <c r="AR78" t="s">
        <v>213</v>
      </c>
      <c r="AS78" s="5">
        <v>45992</v>
      </c>
      <c r="AT78" t="s">
        <v>198</v>
      </c>
      <c r="AU78">
        <v>420</v>
      </c>
      <c r="AV78" s="6">
        <v>3428.6100000000101</v>
      </c>
      <c r="AW78" s="6">
        <v>9.25</v>
      </c>
      <c r="AX78" s="6">
        <v>0</v>
      </c>
      <c r="AY78" s="6">
        <v>515.34000000000106</v>
      </c>
      <c r="AZ78" s="6">
        <v>3934.7000000000098</v>
      </c>
      <c r="BB78" t="s">
        <v>203</v>
      </c>
      <c r="BC78" s="5">
        <v>46143</v>
      </c>
      <c r="BD78" t="s">
        <v>184</v>
      </c>
      <c r="BE78">
        <v>1561</v>
      </c>
      <c r="BF78" s="6">
        <v>3117.56</v>
      </c>
      <c r="BG78" s="6">
        <v>12</v>
      </c>
      <c r="BH78" s="6">
        <v>0</v>
      </c>
      <c r="BI78" s="6">
        <v>425.29</v>
      </c>
      <c r="BJ78" s="6">
        <v>3530.85</v>
      </c>
    </row>
    <row r="79" spans="2:62" ht="18.75">
      <c r="B79">
        <v>42</v>
      </c>
      <c r="C79" s="5">
        <v>45943</v>
      </c>
      <c r="D79" t="s">
        <v>129</v>
      </c>
      <c r="E79">
        <v>135</v>
      </c>
      <c r="F79" s="6">
        <v>5.99</v>
      </c>
      <c r="G79" s="6">
        <v>0</v>
      </c>
      <c r="H79" s="6">
        <v>0</v>
      </c>
      <c r="I79" s="6">
        <v>571.66999999999996</v>
      </c>
      <c r="J79" s="6">
        <v>577.66</v>
      </c>
      <c r="L79">
        <v>39</v>
      </c>
      <c r="M79" s="5">
        <v>45922</v>
      </c>
      <c r="N79" t="s">
        <v>165</v>
      </c>
      <c r="O79">
        <v>62</v>
      </c>
      <c r="P79" s="6">
        <v>489.22</v>
      </c>
      <c r="Q79" s="6">
        <v>0</v>
      </c>
      <c r="R79" s="6">
        <v>0</v>
      </c>
      <c r="S79" s="6">
        <v>82.16</v>
      </c>
      <c r="T79" s="6">
        <v>571.38</v>
      </c>
      <c r="V79">
        <v>35</v>
      </c>
      <c r="W79" s="5">
        <v>45894</v>
      </c>
      <c r="X79" t="s">
        <v>184</v>
      </c>
      <c r="Y79">
        <v>288</v>
      </c>
      <c r="Z79" s="6">
        <v>544.97000000000105</v>
      </c>
      <c r="AA79" s="6">
        <v>2.2000000000000002</v>
      </c>
      <c r="AB79" s="6">
        <v>0</v>
      </c>
      <c r="AC79" s="6">
        <v>72.63</v>
      </c>
      <c r="AD79" s="6">
        <v>615.400000000001</v>
      </c>
      <c r="AH79" t="s">
        <v>226</v>
      </c>
      <c r="AI79" s="5">
        <v>45870</v>
      </c>
      <c r="AJ79" t="s">
        <v>119</v>
      </c>
      <c r="AK79">
        <v>637</v>
      </c>
      <c r="AL79" s="6">
        <v>2344.1699999999901</v>
      </c>
      <c r="AM79" s="6">
        <v>3.2</v>
      </c>
      <c r="AN79" s="6">
        <v>0</v>
      </c>
      <c r="AO79" s="6">
        <v>41.77</v>
      </c>
      <c r="AP79" s="6">
        <v>2382.7399999999898</v>
      </c>
      <c r="AR79" t="s">
        <v>213</v>
      </c>
      <c r="AS79" s="5">
        <v>45992</v>
      </c>
      <c r="AT79" t="s">
        <v>176</v>
      </c>
      <c r="AU79">
        <v>262</v>
      </c>
      <c r="AV79" s="6">
        <v>534.34</v>
      </c>
      <c r="AW79" s="6">
        <v>0</v>
      </c>
      <c r="AX79" s="6">
        <v>0</v>
      </c>
      <c r="AY79" s="6">
        <v>59.64</v>
      </c>
      <c r="AZ79" s="6">
        <v>593.98</v>
      </c>
      <c r="BB79" t="s">
        <v>203</v>
      </c>
      <c r="BC79" s="5">
        <v>46143</v>
      </c>
      <c r="BD79" t="s">
        <v>182</v>
      </c>
      <c r="BE79">
        <v>4222</v>
      </c>
      <c r="BF79" s="6">
        <v>10378.859999999901</v>
      </c>
      <c r="BG79" s="6">
        <v>9.4499999999999993</v>
      </c>
      <c r="BH79" s="6">
        <v>0</v>
      </c>
      <c r="BI79" s="6">
        <v>521.46000000000095</v>
      </c>
      <c r="BJ79" s="6">
        <v>10890.869999999901</v>
      </c>
    </row>
    <row r="80" spans="2:62" ht="18.75">
      <c r="B80">
        <v>42</v>
      </c>
      <c r="C80" s="5">
        <v>45943</v>
      </c>
      <c r="D80" t="s">
        <v>119</v>
      </c>
      <c r="E80">
        <v>153</v>
      </c>
      <c r="F80" s="6">
        <v>593.44000000000005</v>
      </c>
      <c r="G80" s="6">
        <v>12.4</v>
      </c>
      <c r="H80" s="6">
        <v>26.58</v>
      </c>
      <c r="I80" s="6">
        <v>0</v>
      </c>
      <c r="J80" s="6">
        <v>581.04</v>
      </c>
      <c r="L80">
        <v>39</v>
      </c>
      <c r="M80" s="5">
        <v>45922</v>
      </c>
      <c r="N80" t="s">
        <v>158</v>
      </c>
      <c r="O80">
        <v>65</v>
      </c>
      <c r="P80" s="6">
        <v>376.37</v>
      </c>
      <c r="Q80" s="6">
        <v>0</v>
      </c>
      <c r="R80" s="6">
        <v>8.5500000000000007</v>
      </c>
      <c r="S80" s="6">
        <v>24.58</v>
      </c>
      <c r="T80" s="6">
        <v>400.95</v>
      </c>
      <c r="V80">
        <v>35</v>
      </c>
      <c r="W80" s="5">
        <v>45894</v>
      </c>
      <c r="X80" t="s">
        <v>183</v>
      </c>
      <c r="Y80">
        <v>340</v>
      </c>
      <c r="Z80" s="6">
        <v>703.32000000000096</v>
      </c>
      <c r="AA80" s="6">
        <v>0</v>
      </c>
      <c r="AB80" s="6">
        <v>0</v>
      </c>
      <c r="AC80" s="6">
        <v>36.880000000000003</v>
      </c>
      <c r="AD80" s="6">
        <v>740.20000000000095</v>
      </c>
      <c r="AH80" t="s">
        <v>226</v>
      </c>
      <c r="AI80" s="5">
        <v>45870</v>
      </c>
      <c r="AJ80" t="s">
        <v>149</v>
      </c>
      <c r="AK80">
        <v>183</v>
      </c>
      <c r="AL80" s="6">
        <v>604.04000000000099</v>
      </c>
      <c r="AM80" s="6">
        <v>0</v>
      </c>
      <c r="AN80" s="6">
        <v>0</v>
      </c>
      <c r="AO80" s="6">
        <v>19.350000000000001</v>
      </c>
      <c r="AP80" s="6">
        <v>623.39000000000101</v>
      </c>
      <c r="AR80" t="s">
        <v>213</v>
      </c>
      <c r="AS80" s="5">
        <v>45992</v>
      </c>
      <c r="AT80" t="s">
        <v>164</v>
      </c>
      <c r="AU80">
        <v>29</v>
      </c>
      <c r="AV80" s="6">
        <v>108.76</v>
      </c>
      <c r="AW80" s="6">
        <v>0</v>
      </c>
      <c r="AX80" s="6">
        <v>0</v>
      </c>
      <c r="AY80" s="6">
        <v>3.75</v>
      </c>
      <c r="AZ80" s="6">
        <v>112.51</v>
      </c>
      <c r="BB80" t="s">
        <v>203</v>
      </c>
      <c r="BC80" s="5">
        <v>46143</v>
      </c>
      <c r="BD80" t="s">
        <v>183</v>
      </c>
      <c r="BE80">
        <v>1478</v>
      </c>
      <c r="BF80" s="6">
        <v>2978.1099999999701</v>
      </c>
      <c r="BG80" s="6">
        <v>0</v>
      </c>
      <c r="BH80" s="6">
        <v>0</v>
      </c>
      <c r="BI80" s="6">
        <v>284.52</v>
      </c>
      <c r="BJ80" s="6">
        <v>3262.6299999999701</v>
      </c>
    </row>
    <row r="81" spans="2:62" ht="18.75">
      <c r="B81">
        <v>42</v>
      </c>
      <c r="C81" s="5">
        <v>45943</v>
      </c>
      <c r="D81" t="s">
        <v>138</v>
      </c>
      <c r="E81">
        <v>99</v>
      </c>
      <c r="F81" s="6">
        <v>530.23</v>
      </c>
      <c r="G81" s="6">
        <v>0</v>
      </c>
      <c r="H81" s="6">
        <v>9.5</v>
      </c>
      <c r="I81" s="6">
        <v>0</v>
      </c>
      <c r="J81" s="6">
        <v>530.23</v>
      </c>
      <c r="L81">
        <v>39</v>
      </c>
      <c r="M81" s="5">
        <v>45922</v>
      </c>
      <c r="N81" t="s">
        <v>160</v>
      </c>
      <c r="O81">
        <v>645</v>
      </c>
      <c r="P81" s="6">
        <v>4271.99999999997</v>
      </c>
      <c r="Q81" s="6">
        <v>12.44</v>
      </c>
      <c r="R81" s="6">
        <v>118.08</v>
      </c>
      <c r="S81" s="6">
        <v>157.84</v>
      </c>
      <c r="T81" s="6">
        <v>4417.3999999999696</v>
      </c>
      <c r="V81">
        <v>35</v>
      </c>
      <c r="W81" s="5">
        <v>45894</v>
      </c>
      <c r="X81" t="s">
        <v>182</v>
      </c>
      <c r="Y81">
        <v>753</v>
      </c>
      <c r="Z81" s="6">
        <v>2112.01999999999</v>
      </c>
      <c r="AA81" s="6">
        <v>0</v>
      </c>
      <c r="AB81" s="6">
        <v>14.37</v>
      </c>
      <c r="AC81" s="6">
        <v>138.41</v>
      </c>
      <c r="AD81" s="6">
        <v>2250.4299999999898</v>
      </c>
      <c r="AH81" t="s">
        <v>226</v>
      </c>
      <c r="AI81" s="5">
        <v>45870</v>
      </c>
      <c r="AJ81" t="s">
        <v>123</v>
      </c>
      <c r="AK81">
        <v>615</v>
      </c>
      <c r="AL81" s="6">
        <v>2367.0499999999902</v>
      </c>
      <c r="AM81" s="6">
        <v>0</v>
      </c>
      <c r="AN81" s="6">
        <v>0</v>
      </c>
      <c r="AO81" s="6">
        <v>26.57</v>
      </c>
      <c r="AP81" s="6">
        <v>2393.6199999999899</v>
      </c>
      <c r="AR81" t="s">
        <v>213</v>
      </c>
      <c r="AS81" s="5">
        <v>45992</v>
      </c>
      <c r="AT81" t="s">
        <v>171</v>
      </c>
      <c r="AU81">
        <v>547</v>
      </c>
      <c r="AV81" s="6">
        <v>3570.9699999999698</v>
      </c>
      <c r="AW81" s="6">
        <v>0</v>
      </c>
      <c r="AX81" s="6">
        <v>0</v>
      </c>
      <c r="AY81" s="6">
        <v>567.19000000000005</v>
      </c>
      <c r="AZ81" s="6">
        <v>4138.1599999999698</v>
      </c>
      <c r="BB81" t="s">
        <v>203</v>
      </c>
      <c r="BC81" s="5">
        <v>46143</v>
      </c>
      <c r="BD81" t="s">
        <v>185</v>
      </c>
      <c r="BE81">
        <v>812</v>
      </c>
      <c r="BF81" s="6">
        <v>3826.6699999999501</v>
      </c>
      <c r="BG81" s="6">
        <v>9.9</v>
      </c>
      <c r="BH81" s="6">
        <v>0</v>
      </c>
      <c r="BI81" s="6">
        <v>286.13</v>
      </c>
      <c r="BJ81" s="6">
        <v>4102.8999999999496</v>
      </c>
    </row>
    <row r="82" spans="2:62" ht="18.75">
      <c r="B82">
        <v>42</v>
      </c>
      <c r="C82" s="5">
        <v>45943</v>
      </c>
      <c r="D82" t="s">
        <v>134</v>
      </c>
      <c r="E82">
        <v>72</v>
      </c>
      <c r="F82" s="6">
        <v>342.45</v>
      </c>
      <c r="G82" s="6">
        <v>0</v>
      </c>
      <c r="H82" s="6">
        <v>3.49</v>
      </c>
      <c r="I82" s="6">
        <v>0.6</v>
      </c>
      <c r="J82" s="6">
        <v>343.05</v>
      </c>
      <c r="L82">
        <v>39</v>
      </c>
      <c r="M82" s="5">
        <v>45922</v>
      </c>
      <c r="N82" t="s">
        <v>171</v>
      </c>
      <c r="O82">
        <v>48</v>
      </c>
      <c r="P82" s="6">
        <v>291.2</v>
      </c>
      <c r="Q82" s="6">
        <v>6.95</v>
      </c>
      <c r="R82" s="6">
        <v>0</v>
      </c>
      <c r="S82" s="6">
        <v>43.44</v>
      </c>
      <c r="T82" s="6">
        <v>327.69</v>
      </c>
      <c r="V82">
        <v>35</v>
      </c>
      <c r="W82" s="5">
        <v>45894</v>
      </c>
      <c r="X82" t="s">
        <v>181</v>
      </c>
      <c r="Y82">
        <v>197</v>
      </c>
      <c r="Z82" s="6">
        <v>1212.6300000000001</v>
      </c>
      <c r="AA82" s="6">
        <v>0</v>
      </c>
      <c r="AB82" s="6">
        <v>0</v>
      </c>
      <c r="AC82" s="6">
        <v>262.77</v>
      </c>
      <c r="AD82" s="6">
        <v>1475.4</v>
      </c>
      <c r="AH82" t="s">
        <v>226</v>
      </c>
      <c r="AI82" s="5">
        <v>45870</v>
      </c>
      <c r="AJ82" t="s">
        <v>146</v>
      </c>
      <c r="AK82">
        <v>470</v>
      </c>
      <c r="AL82" s="6">
        <v>2543.71</v>
      </c>
      <c r="AM82" s="6">
        <v>1.5</v>
      </c>
      <c r="AN82" s="6">
        <v>0</v>
      </c>
      <c r="AO82" s="6">
        <v>13.45</v>
      </c>
      <c r="AP82" s="6">
        <v>2555.66</v>
      </c>
      <c r="AR82" t="s">
        <v>213</v>
      </c>
      <c r="AS82" s="5">
        <v>45992</v>
      </c>
      <c r="AT82" t="s">
        <v>174</v>
      </c>
      <c r="AU82">
        <v>162</v>
      </c>
      <c r="AV82" s="6">
        <v>1128.21</v>
      </c>
      <c r="AW82" s="6">
        <v>0</v>
      </c>
      <c r="AX82" s="6">
        <v>0</v>
      </c>
      <c r="AY82" s="6">
        <v>162.16999999999999</v>
      </c>
      <c r="AZ82" s="6">
        <v>1290.3800000000001</v>
      </c>
      <c r="BB82" t="s">
        <v>203</v>
      </c>
      <c r="BC82" s="5">
        <v>46143</v>
      </c>
      <c r="BD82" t="s">
        <v>180</v>
      </c>
      <c r="BE82">
        <v>128</v>
      </c>
      <c r="BF82" s="6">
        <v>1096.97</v>
      </c>
      <c r="BG82" s="6">
        <v>8.99</v>
      </c>
      <c r="BH82" s="6">
        <v>0</v>
      </c>
      <c r="BI82" s="6">
        <v>60.28</v>
      </c>
      <c r="BJ82" s="6">
        <v>1148.26</v>
      </c>
    </row>
    <row r="83" spans="2:62" ht="18.75">
      <c r="B83">
        <v>42</v>
      </c>
      <c r="C83" s="5">
        <v>45943</v>
      </c>
      <c r="D83" t="s">
        <v>133</v>
      </c>
      <c r="E83">
        <v>88</v>
      </c>
      <c r="F83" s="6">
        <v>488.86</v>
      </c>
      <c r="G83" s="6">
        <v>0</v>
      </c>
      <c r="H83" s="6">
        <v>9.32</v>
      </c>
      <c r="I83" s="6">
        <v>10.5</v>
      </c>
      <c r="J83" s="6">
        <v>499.36</v>
      </c>
      <c r="L83">
        <v>39</v>
      </c>
      <c r="M83" s="5">
        <v>45922</v>
      </c>
      <c r="N83" t="s">
        <v>167</v>
      </c>
      <c r="O83">
        <v>43</v>
      </c>
      <c r="P83" s="6">
        <v>352.44</v>
      </c>
      <c r="Q83" s="6">
        <v>0</v>
      </c>
      <c r="R83" s="6">
        <v>0</v>
      </c>
      <c r="S83" s="6">
        <v>56.06</v>
      </c>
      <c r="T83" s="6">
        <v>408.5</v>
      </c>
      <c r="V83">
        <v>35</v>
      </c>
      <c r="W83" s="5">
        <v>45894</v>
      </c>
      <c r="X83" t="s">
        <v>178</v>
      </c>
      <c r="Y83">
        <v>180</v>
      </c>
      <c r="Z83" s="6">
        <v>1664.09</v>
      </c>
      <c r="AA83" s="6">
        <v>0</v>
      </c>
      <c r="AB83" s="6">
        <v>33.380000000000003</v>
      </c>
      <c r="AC83" s="6">
        <v>66.83</v>
      </c>
      <c r="AD83" s="6">
        <v>1730.92</v>
      </c>
      <c r="AH83" t="s">
        <v>226</v>
      </c>
      <c r="AI83" s="5">
        <v>45870</v>
      </c>
      <c r="AJ83" t="s">
        <v>138</v>
      </c>
      <c r="AK83">
        <v>409</v>
      </c>
      <c r="AL83" s="6">
        <v>2139.14</v>
      </c>
      <c r="AM83" s="6">
        <v>5.99</v>
      </c>
      <c r="AN83" s="6">
        <v>0</v>
      </c>
      <c r="AO83" s="6">
        <v>56.6</v>
      </c>
      <c r="AP83" s="6">
        <v>2189.75</v>
      </c>
      <c r="AR83" t="s">
        <v>213</v>
      </c>
      <c r="AS83" s="5">
        <v>45992</v>
      </c>
      <c r="AT83" t="s">
        <v>172</v>
      </c>
      <c r="AU83">
        <v>134</v>
      </c>
      <c r="AV83" s="6">
        <v>411.99999999999898</v>
      </c>
      <c r="AW83" s="6">
        <v>0</v>
      </c>
      <c r="AX83" s="6">
        <v>0</v>
      </c>
      <c r="AY83" s="6">
        <v>19.2</v>
      </c>
      <c r="AZ83" s="6">
        <v>431.19999999999902</v>
      </c>
      <c r="BB83" t="s">
        <v>203</v>
      </c>
      <c r="BC83" s="5">
        <v>46143</v>
      </c>
      <c r="BD83" t="s">
        <v>227</v>
      </c>
      <c r="BE83">
        <v>64</v>
      </c>
      <c r="BF83" s="6">
        <v>265.39999999999998</v>
      </c>
      <c r="BG83" s="6">
        <v>0</v>
      </c>
      <c r="BH83" s="6">
        <v>0</v>
      </c>
      <c r="BI83" s="6">
        <v>26.45</v>
      </c>
      <c r="BJ83" s="6">
        <v>291.85000000000002</v>
      </c>
    </row>
    <row r="84" spans="2:62" ht="18.75">
      <c r="B84">
        <v>42</v>
      </c>
      <c r="C84" s="5">
        <v>45943</v>
      </c>
      <c r="D84" t="s">
        <v>146</v>
      </c>
      <c r="E84">
        <v>173</v>
      </c>
      <c r="F84" s="6">
        <v>998.10000000000105</v>
      </c>
      <c r="G84" s="6">
        <v>8.5</v>
      </c>
      <c r="H84" s="6">
        <v>6</v>
      </c>
      <c r="I84" s="6">
        <v>0</v>
      </c>
      <c r="J84" s="6">
        <v>989.60000000000105</v>
      </c>
      <c r="L84">
        <v>39</v>
      </c>
      <c r="M84" s="5">
        <v>45922</v>
      </c>
      <c r="N84" t="s">
        <v>182</v>
      </c>
      <c r="O84">
        <v>1</v>
      </c>
      <c r="P84" s="6">
        <v>3.99</v>
      </c>
      <c r="Q84" s="6">
        <v>0</v>
      </c>
      <c r="R84" s="6">
        <v>0</v>
      </c>
      <c r="S84" s="6">
        <v>0</v>
      </c>
      <c r="T84" s="6">
        <v>3.99</v>
      </c>
      <c r="V84">
        <v>35</v>
      </c>
      <c r="W84" s="5">
        <v>45894</v>
      </c>
      <c r="X84" t="s">
        <v>180</v>
      </c>
      <c r="Y84">
        <v>53</v>
      </c>
      <c r="Z84" s="6">
        <v>442.23</v>
      </c>
      <c r="AA84" s="6">
        <v>0</v>
      </c>
      <c r="AB84" s="6">
        <v>0</v>
      </c>
      <c r="AC84" s="6">
        <v>33.700000000000003</v>
      </c>
      <c r="AD84" s="6">
        <v>475.93</v>
      </c>
      <c r="AH84" t="s">
        <v>226</v>
      </c>
      <c r="AI84" s="5">
        <v>45870</v>
      </c>
      <c r="AJ84" t="s">
        <v>127</v>
      </c>
      <c r="AK84">
        <v>216</v>
      </c>
      <c r="AL84" s="6">
        <v>1090.32</v>
      </c>
      <c r="AM84" s="6">
        <v>0</v>
      </c>
      <c r="AN84" s="6">
        <v>0</v>
      </c>
      <c r="AO84" s="6">
        <v>33.880000000000003</v>
      </c>
      <c r="AP84" s="6">
        <v>1124.2</v>
      </c>
      <c r="AR84" t="s">
        <v>215</v>
      </c>
      <c r="AS84" s="5">
        <v>46054</v>
      </c>
      <c r="AT84" t="s">
        <v>169</v>
      </c>
      <c r="AU84">
        <v>4867</v>
      </c>
      <c r="AV84" s="6">
        <v>13200.6999999994</v>
      </c>
      <c r="AW84" s="6">
        <v>0</v>
      </c>
      <c r="AX84" s="6">
        <v>0</v>
      </c>
      <c r="AY84" s="6">
        <v>503.97</v>
      </c>
      <c r="AZ84" s="6">
        <v>13704.6699999994</v>
      </c>
      <c r="BB84" t="s">
        <v>203</v>
      </c>
      <c r="BC84" s="5">
        <v>46143</v>
      </c>
      <c r="BD84" t="s">
        <v>178</v>
      </c>
      <c r="BE84">
        <v>1222</v>
      </c>
      <c r="BF84" s="6">
        <v>11498.28</v>
      </c>
      <c r="BG84" s="6">
        <v>40.619999999999997</v>
      </c>
      <c r="BH84" s="6">
        <v>0</v>
      </c>
      <c r="BI84" s="6">
        <v>623.98000000000104</v>
      </c>
      <c r="BJ84" s="6">
        <v>12081.64</v>
      </c>
    </row>
    <row r="85" spans="2:62" ht="18.75">
      <c r="B85">
        <v>42</v>
      </c>
      <c r="C85" s="5">
        <v>45943</v>
      </c>
      <c r="D85" t="s">
        <v>112</v>
      </c>
      <c r="E85">
        <v>18</v>
      </c>
      <c r="F85" s="6">
        <v>76</v>
      </c>
      <c r="G85" s="6">
        <v>0</v>
      </c>
      <c r="H85" s="6">
        <v>0</v>
      </c>
      <c r="I85" s="6">
        <v>0</v>
      </c>
      <c r="J85" s="6">
        <v>76</v>
      </c>
      <c r="L85">
        <v>39</v>
      </c>
      <c r="M85" s="5">
        <v>45922</v>
      </c>
      <c r="N85" t="s">
        <v>170</v>
      </c>
      <c r="O85">
        <v>26</v>
      </c>
      <c r="P85" s="6">
        <v>92.7</v>
      </c>
      <c r="Q85" s="6">
        <v>0</v>
      </c>
      <c r="R85" s="6">
        <v>0</v>
      </c>
      <c r="S85" s="6">
        <v>0.9</v>
      </c>
      <c r="T85" s="6">
        <v>93.6</v>
      </c>
      <c r="V85">
        <v>45</v>
      </c>
      <c r="W85" s="5">
        <v>45964</v>
      </c>
      <c r="X85" t="s">
        <v>179</v>
      </c>
      <c r="Y85">
        <v>631</v>
      </c>
      <c r="Z85" s="6">
        <v>3523.5999999999799</v>
      </c>
      <c r="AA85" s="6">
        <v>36.19</v>
      </c>
      <c r="AB85" s="6">
        <v>104.63</v>
      </c>
      <c r="AC85" s="6">
        <v>144.91999999999999</v>
      </c>
      <c r="AD85" s="6">
        <v>3632.3299999999799</v>
      </c>
      <c r="AH85" t="s">
        <v>226</v>
      </c>
      <c r="AI85" s="5">
        <v>45870</v>
      </c>
      <c r="AJ85" t="s">
        <v>121</v>
      </c>
      <c r="AK85">
        <v>138</v>
      </c>
      <c r="AL85" s="6">
        <v>387.84</v>
      </c>
      <c r="AM85" s="6">
        <v>0</v>
      </c>
      <c r="AN85" s="6">
        <v>0</v>
      </c>
      <c r="AO85" s="6">
        <v>2.42</v>
      </c>
      <c r="AP85" s="6">
        <v>390.26</v>
      </c>
      <c r="AR85" t="s">
        <v>215</v>
      </c>
      <c r="AS85" s="5">
        <v>46054</v>
      </c>
      <c r="AT85" t="s">
        <v>160</v>
      </c>
      <c r="AU85">
        <v>3839</v>
      </c>
      <c r="AV85" s="6">
        <v>25824.170000000999</v>
      </c>
      <c r="AW85" s="6">
        <v>35.18</v>
      </c>
      <c r="AX85" s="6">
        <v>0</v>
      </c>
      <c r="AY85" s="6">
        <v>1613.45000000001</v>
      </c>
      <c r="AZ85" s="6">
        <v>27402.440000000999</v>
      </c>
      <c r="BB85" t="s">
        <v>203</v>
      </c>
      <c r="BC85" s="5">
        <v>46143</v>
      </c>
      <c r="BD85" t="s">
        <v>181</v>
      </c>
      <c r="BE85">
        <v>990</v>
      </c>
      <c r="BF85" s="6">
        <v>7281.2999999999602</v>
      </c>
      <c r="BG85" s="6">
        <v>9.9</v>
      </c>
      <c r="BH85" s="6">
        <v>0</v>
      </c>
      <c r="BI85" s="6">
        <v>1214.5999999999999</v>
      </c>
      <c r="BJ85" s="6">
        <v>8485.99999999996</v>
      </c>
    </row>
    <row r="86" spans="2:62" ht="18.75">
      <c r="B86">
        <v>42</v>
      </c>
      <c r="C86" s="5">
        <v>45943</v>
      </c>
      <c r="D86" t="s">
        <v>140</v>
      </c>
      <c r="E86">
        <v>23</v>
      </c>
      <c r="F86" s="6">
        <v>72.67</v>
      </c>
      <c r="G86" s="6">
        <v>0</v>
      </c>
      <c r="H86" s="6">
        <v>0</v>
      </c>
      <c r="I86" s="6">
        <v>0</v>
      </c>
      <c r="J86" s="6">
        <v>72.67</v>
      </c>
      <c r="L86">
        <v>39</v>
      </c>
      <c r="M86" s="5">
        <v>45922</v>
      </c>
      <c r="N86" t="s">
        <v>172</v>
      </c>
      <c r="O86">
        <v>20</v>
      </c>
      <c r="P86" s="6">
        <v>61.6</v>
      </c>
      <c r="Q86" s="6">
        <v>0</v>
      </c>
      <c r="R86" s="6">
        <v>0</v>
      </c>
      <c r="S86" s="6">
        <v>3.2</v>
      </c>
      <c r="T86" s="6">
        <v>64.8</v>
      </c>
      <c r="V86">
        <v>45</v>
      </c>
      <c r="W86" s="5">
        <v>45964</v>
      </c>
      <c r="X86" t="s">
        <v>184</v>
      </c>
      <c r="Y86">
        <v>334</v>
      </c>
      <c r="Z86" s="6">
        <v>710.530000000001</v>
      </c>
      <c r="AA86" s="6">
        <v>1.5</v>
      </c>
      <c r="AB86" s="6">
        <v>0</v>
      </c>
      <c r="AC86" s="6">
        <v>70.400000000000006</v>
      </c>
      <c r="AD86" s="6">
        <v>779.43000000000097</v>
      </c>
      <c r="AH86" t="s">
        <v>226</v>
      </c>
      <c r="AI86" s="5">
        <v>45870</v>
      </c>
      <c r="AJ86" t="s">
        <v>111</v>
      </c>
      <c r="AK86">
        <v>275</v>
      </c>
      <c r="AL86" s="6">
        <v>1121.79</v>
      </c>
      <c r="AM86" s="6">
        <v>0</v>
      </c>
      <c r="AN86" s="6">
        <v>0</v>
      </c>
      <c r="AO86" s="6">
        <v>14.74</v>
      </c>
      <c r="AP86" s="6">
        <v>1136.53</v>
      </c>
      <c r="AR86" t="s">
        <v>215</v>
      </c>
      <c r="AS86" s="5">
        <v>46054</v>
      </c>
      <c r="AT86" t="s">
        <v>171</v>
      </c>
      <c r="AU86">
        <v>665</v>
      </c>
      <c r="AV86" s="6">
        <v>4110.1999999999698</v>
      </c>
      <c r="AW86" s="6">
        <v>0</v>
      </c>
      <c r="AX86" s="6">
        <v>0</v>
      </c>
      <c r="AY86" s="6">
        <v>897.92000000000098</v>
      </c>
      <c r="AZ86" s="6">
        <v>5008.1199999999699</v>
      </c>
      <c r="BB86" s="242" t="s">
        <v>205</v>
      </c>
      <c r="BC86" s="243">
        <v>46174</v>
      </c>
      <c r="BD86" s="242" t="s">
        <v>185</v>
      </c>
      <c r="BE86" s="242">
        <v>1070</v>
      </c>
      <c r="BF86" s="244">
        <v>5085.9399999999105</v>
      </c>
      <c r="BG86" s="244">
        <v>4.95</v>
      </c>
      <c r="BH86" s="244">
        <v>0</v>
      </c>
      <c r="BI86" s="244">
        <v>339.18000000000035</v>
      </c>
      <c r="BJ86" s="244">
        <v>5420.1699999999109</v>
      </c>
    </row>
    <row r="87" spans="2:62" ht="18.75">
      <c r="B87">
        <v>42</v>
      </c>
      <c r="C87" s="5">
        <v>45943</v>
      </c>
      <c r="D87" t="s">
        <v>149</v>
      </c>
      <c r="E87">
        <v>44</v>
      </c>
      <c r="F87" s="6">
        <v>156.04</v>
      </c>
      <c r="G87" s="6">
        <v>0</v>
      </c>
      <c r="H87" s="6">
        <v>4.9400000000000004</v>
      </c>
      <c r="I87" s="6">
        <v>0</v>
      </c>
      <c r="J87" s="6">
        <v>156.04</v>
      </c>
      <c r="L87">
        <v>39</v>
      </c>
      <c r="M87" s="5">
        <v>45922</v>
      </c>
      <c r="N87" t="s">
        <v>164</v>
      </c>
      <c r="O87">
        <v>7</v>
      </c>
      <c r="P87" s="6">
        <v>28.13</v>
      </c>
      <c r="Q87" s="6">
        <v>0</v>
      </c>
      <c r="R87" s="6">
        <v>0</v>
      </c>
      <c r="S87" s="6">
        <v>0</v>
      </c>
      <c r="T87" s="6">
        <v>28.13</v>
      </c>
      <c r="V87">
        <v>45</v>
      </c>
      <c r="W87" s="5">
        <v>45964</v>
      </c>
      <c r="X87" t="s">
        <v>181</v>
      </c>
      <c r="Y87">
        <v>287</v>
      </c>
      <c r="Z87" s="6">
        <v>1996.13</v>
      </c>
      <c r="AA87" s="6">
        <v>6.95</v>
      </c>
      <c r="AB87" s="6">
        <v>0</v>
      </c>
      <c r="AC87" s="6">
        <v>251.86</v>
      </c>
      <c r="AD87" s="6">
        <v>2241.04</v>
      </c>
      <c r="AH87" t="s">
        <v>226</v>
      </c>
      <c r="AI87" s="5">
        <v>45870</v>
      </c>
      <c r="AJ87" t="s">
        <v>129</v>
      </c>
      <c r="AK87">
        <v>535</v>
      </c>
      <c r="AL87" s="6">
        <v>62.19</v>
      </c>
      <c r="AM87" s="6">
        <v>16.100000000000001</v>
      </c>
      <c r="AN87" s="6">
        <v>0</v>
      </c>
      <c r="AO87" s="6">
        <v>2227.81</v>
      </c>
      <c r="AP87" s="6">
        <v>2273.9</v>
      </c>
      <c r="AR87" t="s">
        <v>215</v>
      </c>
      <c r="AS87" s="5">
        <v>46054</v>
      </c>
      <c r="AT87" t="s">
        <v>175</v>
      </c>
      <c r="AU87">
        <v>116</v>
      </c>
      <c r="AV87" s="6">
        <v>367.26</v>
      </c>
      <c r="AW87" s="6">
        <v>10.95</v>
      </c>
      <c r="AX87" s="6">
        <v>0</v>
      </c>
      <c r="AY87" s="6">
        <v>56.14</v>
      </c>
      <c r="AZ87" s="6">
        <v>412.45</v>
      </c>
      <c r="BB87" s="242" t="s">
        <v>205</v>
      </c>
      <c r="BC87" s="243">
        <v>46174</v>
      </c>
      <c r="BD87" s="242" t="s">
        <v>183</v>
      </c>
      <c r="BE87" s="242">
        <v>1698</v>
      </c>
      <c r="BF87" s="244">
        <v>3416.8299999999599</v>
      </c>
      <c r="BG87" s="244">
        <v>6.7700000000000005</v>
      </c>
      <c r="BH87" s="244">
        <v>0</v>
      </c>
      <c r="BI87" s="244">
        <v>317.41000000000042</v>
      </c>
      <c r="BJ87" s="244">
        <v>3727.4699999999602</v>
      </c>
    </row>
    <row r="88" spans="2:62" ht="18.75">
      <c r="B88">
        <v>42</v>
      </c>
      <c r="C88" s="5">
        <v>45943</v>
      </c>
      <c r="D88" t="s">
        <v>136</v>
      </c>
      <c r="E88">
        <v>28</v>
      </c>
      <c r="F88" s="6">
        <v>81.09</v>
      </c>
      <c r="G88" s="6">
        <v>0</v>
      </c>
      <c r="H88" s="6">
        <v>0</v>
      </c>
      <c r="I88" s="6">
        <v>23.56</v>
      </c>
      <c r="J88" s="6">
        <v>104.65</v>
      </c>
      <c r="L88">
        <v>38</v>
      </c>
      <c r="M88" s="5">
        <v>45915</v>
      </c>
      <c r="N88" t="s">
        <v>168</v>
      </c>
      <c r="O88">
        <v>254</v>
      </c>
      <c r="P88" s="6">
        <v>479.28</v>
      </c>
      <c r="Q88" s="6">
        <v>0</v>
      </c>
      <c r="R88" s="6">
        <v>0</v>
      </c>
      <c r="S88" s="6">
        <v>72.430000000000007</v>
      </c>
      <c r="T88" s="6">
        <v>551.71</v>
      </c>
      <c r="V88">
        <v>45</v>
      </c>
      <c r="W88" s="5">
        <v>45964</v>
      </c>
      <c r="X88" t="s">
        <v>183</v>
      </c>
      <c r="Y88">
        <v>463</v>
      </c>
      <c r="Z88" s="6">
        <v>931.51000000000101</v>
      </c>
      <c r="AA88" s="6">
        <v>0</v>
      </c>
      <c r="AB88" s="6">
        <v>0</v>
      </c>
      <c r="AC88" s="6">
        <v>94.31</v>
      </c>
      <c r="AD88" s="6">
        <v>1025.82</v>
      </c>
      <c r="AH88" t="s">
        <v>226</v>
      </c>
      <c r="AI88" s="5">
        <v>45870</v>
      </c>
      <c r="AJ88" t="s">
        <v>132</v>
      </c>
      <c r="AK88">
        <v>250</v>
      </c>
      <c r="AL88" s="6">
        <v>938.91000000000201</v>
      </c>
      <c r="AM88" s="6">
        <v>0</v>
      </c>
      <c r="AN88" s="6">
        <v>0</v>
      </c>
      <c r="AO88" s="6">
        <v>26.33</v>
      </c>
      <c r="AP88" s="6">
        <v>965.24000000000206</v>
      </c>
      <c r="AR88" t="s">
        <v>215</v>
      </c>
      <c r="AS88" s="5">
        <v>46054</v>
      </c>
      <c r="AT88" t="s">
        <v>163</v>
      </c>
      <c r="AU88">
        <v>772</v>
      </c>
      <c r="AV88" s="6">
        <v>1486.73</v>
      </c>
      <c r="AW88" s="6">
        <v>0</v>
      </c>
      <c r="AX88" s="6">
        <v>0</v>
      </c>
      <c r="AY88" s="6">
        <v>68.77</v>
      </c>
      <c r="AZ88" s="6">
        <v>1555.5</v>
      </c>
      <c r="BB88" s="242" t="s">
        <v>205</v>
      </c>
      <c r="BC88" s="243">
        <v>46174</v>
      </c>
      <c r="BD88" s="242" t="s">
        <v>184</v>
      </c>
      <c r="BE88" s="242">
        <v>1787</v>
      </c>
      <c r="BF88" s="244">
        <v>3714.3299999999922</v>
      </c>
      <c r="BG88" s="244">
        <v>20.8</v>
      </c>
      <c r="BH88" s="244">
        <v>0</v>
      </c>
      <c r="BI88" s="244">
        <v>430.88999999999976</v>
      </c>
      <c r="BJ88" s="244">
        <v>4124.4199999999919</v>
      </c>
    </row>
    <row r="89" spans="2:62" ht="18.75">
      <c r="B89">
        <v>42</v>
      </c>
      <c r="C89" s="5">
        <v>45943</v>
      </c>
      <c r="D89" t="s">
        <v>141</v>
      </c>
      <c r="E89">
        <v>254</v>
      </c>
      <c r="F89" s="6">
        <v>845.99000000000103</v>
      </c>
      <c r="G89" s="6">
        <v>0</v>
      </c>
      <c r="H89" s="6">
        <v>9.51</v>
      </c>
      <c r="I89" s="6">
        <v>0</v>
      </c>
      <c r="J89" s="6">
        <v>845.99000000000103</v>
      </c>
      <c r="L89">
        <v>38</v>
      </c>
      <c r="M89" s="5">
        <v>45915</v>
      </c>
      <c r="N89" t="s">
        <v>160</v>
      </c>
      <c r="O89">
        <v>609</v>
      </c>
      <c r="P89" s="6">
        <v>4030.5699999999802</v>
      </c>
      <c r="Q89" s="6">
        <v>69.790000000000006</v>
      </c>
      <c r="R89" s="6">
        <v>124.98</v>
      </c>
      <c r="S89" s="6">
        <v>199.57</v>
      </c>
      <c r="T89" s="6">
        <v>4160.3499999999804</v>
      </c>
      <c r="V89">
        <v>45</v>
      </c>
      <c r="W89" s="5">
        <v>45964</v>
      </c>
      <c r="X89" t="s">
        <v>182</v>
      </c>
      <c r="Y89">
        <v>987</v>
      </c>
      <c r="Z89" s="6">
        <v>2518.70999999997</v>
      </c>
      <c r="AA89" s="6">
        <v>0</v>
      </c>
      <c r="AB89" s="6">
        <v>19.48</v>
      </c>
      <c r="AC89" s="6">
        <v>104.55</v>
      </c>
      <c r="AD89" s="6">
        <v>2623.2599999999702</v>
      </c>
      <c r="AH89" t="s">
        <v>226</v>
      </c>
      <c r="AI89" s="5">
        <v>45870</v>
      </c>
      <c r="AJ89" t="s">
        <v>133</v>
      </c>
      <c r="AK89">
        <v>305</v>
      </c>
      <c r="AL89" s="6">
        <v>1699.96</v>
      </c>
      <c r="AM89" s="6">
        <v>0</v>
      </c>
      <c r="AN89" s="6">
        <v>0</v>
      </c>
      <c r="AO89" s="6">
        <v>43.02</v>
      </c>
      <c r="AP89" s="6">
        <v>1742.98</v>
      </c>
      <c r="AR89" t="s">
        <v>215</v>
      </c>
      <c r="AS89" s="5">
        <v>46054</v>
      </c>
      <c r="AT89" t="s">
        <v>168</v>
      </c>
      <c r="AU89">
        <v>1211</v>
      </c>
      <c r="AV89" s="6">
        <v>2331.91</v>
      </c>
      <c r="AW89" s="6">
        <v>4.8</v>
      </c>
      <c r="AX89" s="6">
        <v>0</v>
      </c>
      <c r="AY89" s="6">
        <v>221.27</v>
      </c>
      <c r="AZ89" s="6">
        <v>2548.38</v>
      </c>
      <c r="BB89" s="242" t="s">
        <v>205</v>
      </c>
      <c r="BC89" s="243">
        <v>46174</v>
      </c>
      <c r="BD89" s="242" t="s">
        <v>182</v>
      </c>
      <c r="BE89" s="242">
        <v>4271</v>
      </c>
      <c r="BF89" s="244">
        <v>10987.370000000145</v>
      </c>
      <c r="BG89" s="244">
        <v>11.2</v>
      </c>
      <c r="BH89" s="244">
        <v>0</v>
      </c>
      <c r="BI89" s="244">
        <v>435.24000000000132</v>
      </c>
      <c r="BJ89" s="244">
        <v>11411.410000000145</v>
      </c>
    </row>
    <row r="90" spans="2:62" ht="18.75">
      <c r="B90">
        <v>42</v>
      </c>
      <c r="C90" s="5">
        <v>45943</v>
      </c>
      <c r="D90" t="s">
        <v>111</v>
      </c>
      <c r="E90">
        <v>99</v>
      </c>
      <c r="F90" s="6">
        <v>398.27</v>
      </c>
      <c r="G90" s="6">
        <v>0</v>
      </c>
      <c r="H90" s="6">
        <v>0</v>
      </c>
      <c r="I90" s="6">
        <v>0</v>
      </c>
      <c r="J90" s="6">
        <v>398.27</v>
      </c>
      <c r="L90">
        <v>38</v>
      </c>
      <c r="M90" s="5">
        <v>45915</v>
      </c>
      <c r="N90" t="s">
        <v>169</v>
      </c>
      <c r="O90">
        <v>710</v>
      </c>
      <c r="P90" s="6">
        <v>1754.23999999998</v>
      </c>
      <c r="Q90" s="6">
        <v>0</v>
      </c>
      <c r="R90" s="6">
        <v>27.02</v>
      </c>
      <c r="S90" s="6">
        <v>92.45</v>
      </c>
      <c r="T90" s="6">
        <v>1846.68999999998</v>
      </c>
      <c r="V90">
        <v>45</v>
      </c>
      <c r="W90" s="5">
        <v>45964</v>
      </c>
      <c r="X90" t="s">
        <v>185</v>
      </c>
      <c r="Y90">
        <v>162</v>
      </c>
      <c r="Z90" s="6">
        <v>764.25000000000102</v>
      </c>
      <c r="AA90" s="6">
        <v>0</v>
      </c>
      <c r="AB90" s="6">
        <v>0</v>
      </c>
      <c r="AC90" s="6">
        <v>59.67</v>
      </c>
      <c r="AD90" s="6">
        <v>823.92000000000098</v>
      </c>
      <c r="AH90" t="s">
        <v>226</v>
      </c>
      <c r="AI90" s="5">
        <v>45870</v>
      </c>
      <c r="AJ90" t="s">
        <v>145</v>
      </c>
      <c r="AK90">
        <v>254</v>
      </c>
      <c r="AL90" s="6">
        <v>1362.66</v>
      </c>
      <c r="AM90" s="6">
        <v>0</v>
      </c>
      <c r="AN90" s="6">
        <v>0</v>
      </c>
      <c r="AO90" s="6">
        <v>17.739999999999998</v>
      </c>
      <c r="AP90" s="6">
        <v>1380.4</v>
      </c>
      <c r="AR90" t="s">
        <v>215</v>
      </c>
      <c r="AS90" s="5">
        <v>46054</v>
      </c>
      <c r="AT90" t="s">
        <v>201</v>
      </c>
      <c r="AU90">
        <v>170</v>
      </c>
      <c r="AV90" s="6">
        <v>605.42999999999904</v>
      </c>
      <c r="AW90" s="6">
        <v>4.75</v>
      </c>
      <c r="AX90" s="6">
        <v>0</v>
      </c>
      <c r="AY90" s="6">
        <v>202.07</v>
      </c>
      <c r="AZ90" s="6">
        <v>802.74999999999898</v>
      </c>
      <c r="BB90" s="242" t="s">
        <v>205</v>
      </c>
      <c r="BC90" s="243">
        <v>46174</v>
      </c>
      <c r="BD90" s="242" t="s">
        <v>179</v>
      </c>
      <c r="BE90" s="242">
        <v>3451</v>
      </c>
      <c r="BF90" s="244">
        <v>19494.160000000116</v>
      </c>
      <c r="BG90" s="244">
        <v>66.67</v>
      </c>
      <c r="BH90" s="244">
        <v>0</v>
      </c>
      <c r="BI90" s="244">
        <v>1117.6400000000019</v>
      </c>
      <c r="BJ90" s="244">
        <v>20545.130000000121</v>
      </c>
    </row>
    <row r="91" spans="2:62" ht="18.75">
      <c r="B91">
        <v>42</v>
      </c>
      <c r="C91" s="5">
        <v>45943</v>
      </c>
      <c r="D91" t="s">
        <v>135</v>
      </c>
      <c r="E91">
        <v>8</v>
      </c>
      <c r="F91" s="6">
        <v>16.37</v>
      </c>
      <c r="G91" s="6">
        <v>0</v>
      </c>
      <c r="H91" s="6">
        <v>1.73</v>
      </c>
      <c r="I91" s="6">
        <v>8.94</v>
      </c>
      <c r="J91" s="6">
        <v>25.31</v>
      </c>
      <c r="L91">
        <v>38</v>
      </c>
      <c r="M91" s="5">
        <v>45915</v>
      </c>
      <c r="N91" t="s">
        <v>176</v>
      </c>
      <c r="O91">
        <v>77</v>
      </c>
      <c r="P91" s="6">
        <v>150.26</v>
      </c>
      <c r="Q91" s="6">
        <v>0</v>
      </c>
      <c r="R91" s="6">
        <v>0</v>
      </c>
      <c r="S91" s="6">
        <v>24.28</v>
      </c>
      <c r="T91" s="6">
        <v>174.54</v>
      </c>
      <c r="V91">
        <v>45</v>
      </c>
      <c r="W91" s="5">
        <v>45964</v>
      </c>
      <c r="X91" t="s">
        <v>180</v>
      </c>
      <c r="Y91">
        <v>35</v>
      </c>
      <c r="Z91" s="6">
        <v>299.68</v>
      </c>
      <c r="AA91" s="6">
        <v>0</v>
      </c>
      <c r="AB91" s="6">
        <v>0</v>
      </c>
      <c r="AC91" s="6">
        <v>27.97</v>
      </c>
      <c r="AD91" s="6">
        <v>327.64999999999998</v>
      </c>
      <c r="AH91" t="s">
        <v>226</v>
      </c>
      <c r="AI91" s="5">
        <v>45870</v>
      </c>
      <c r="AJ91" t="s">
        <v>141</v>
      </c>
      <c r="AK91">
        <v>714</v>
      </c>
      <c r="AL91" s="6">
        <v>2298.0499999999902</v>
      </c>
      <c r="AM91" s="6">
        <v>0</v>
      </c>
      <c r="AN91" s="6">
        <v>0</v>
      </c>
      <c r="AO91" s="6">
        <v>61.18</v>
      </c>
      <c r="AP91" s="6">
        <v>2359.22999999999</v>
      </c>
      <c r="AR91" t="s">
        <v>215</v>
      </c>
      <c r="AS91" s="5">
        <v>46054</v>
      </c>
      <c r="AT91" t="s">
        <v>165</v>
      </c>
      <c r="AU91">
        <v>160</v>
      </c>
      <c r="AV91" s="6">
        <v>1314.79</v>
      </c>
      <c r="AW91" s="6">
        <v>25.23</v>
      </c>
      <c r="AX91" s="6">
        <v>0</v>
      </c>
      <c r="AY91" s="6">
        <v>154.87</v>
      </c>
      <c r="AZ91" s="6">
        <v>1444.43</v>
      </c>
      <c r="BB91" s="242" t="s">
        <v>205</v>
      </c>
      <c r="BC91" s="243">
        <v>46174</v>
      </c>
      <c r="BD91" s="242" t="s">
        <v>181</v>
      </c>
      <c r="BE91" s="242">
        <v>1139</v>
      </c>
      <c r="BF91" s="244">
        <v>7781.579999999949</v>
      </c>
      <c r="BG91" s="244">
        <v>14.940000000000001</v>
      </c>
      <c r="BH91" s="244">
        <v>0</v>
      </c>
      <c r="BI91" s="244">
        <v>1634.8500000000065</v>
      </c>
      <c r="BJ91" s="244">
        <v>9401.4899999999543</v>
      </c>
    </row>
    <row r="92" spans="2:62" ht="18.75">
      <c r="B92">
        <v>42</v>
      </c>
      <c r="C92" s="5">
        <v>45943</v>
      </c>
      <c r="D92" t="s">
        <v>113</v>
      </c>
      <c r="E92">
        <v>72</v>
      </c>
      <c r="F92" s="6">
        <v>248.19</v>
      </c>
      <c r="G92" s="6">
        <v>0</v>
      </c>
      <c r="H92" s="6">
        <v>0</v>
      </c>
      <c r="I92" s="6">
        <v>1.26</v>
      </c>
      <c r="J92" s="6">
        <v>249.45</v>
      </c>
      <c r="L92">
        <v>38</v>
      </c>
      <c r="M92" s="5">
        <v>45915</v>
      </c>
      <c r="N92" t="s">
        <v>173</v>
      </c>
      <c r="O92">
        <v>157</v>
      </c>
      <c r="P92" s="6">
        <v>684.34000000000106</v>
      </c>
      <c r="Q92" s="6">
        <v>4.95</v>
      </c>
      <c r="R92" s="6">
        <v>13.36</v>
      </c>
      <c r="S92" s="6">
        <v>81.93</v>
      </c>
      <c r="T92" s="6">
        <v>761.32000000000096</v>
      </c>
      <c r="V92">
        <v>45</v>
      </c>
      <c r="W92" s="5">
        <v>45964</v>
      </c>
      <c r="X92" t="s">
        <v>178</v>
      </c>
      <c r="Y92">
        <v>269</v>
      </c>
      <c r="Z92" s="6">
        <v>2408.46</v>
      </c>
      <c r="AA92" s="6">
        <v>0</v>
      </c>
      <c r="AB92" s="6">
        <v>83.05</v>
      </c>
      <c r="AC92" s="6">
        <v>58.4</v>
      </c>
      <c r="AD92" s="6">
        <v>2466.86</v>
      </c>
      <c r="AH92" t="s">
        <v>226</v>
      </c>
      <c r="AI92" s="5">
        <v>45870</v>
      </c>
      <c r="AJ92" t="s">
        <v>128</v>
      </c>
      <c r="AK92">
        <v>201</v>
      </c>
      <c r="AL92" s="6">
        <v>1040.1500000000001</v>
      </c>
      <c r="AM92" s="6">
        <v>0</v>
      </c>
      <c r="AN92" s="6">
        <v>0</v>
      </c>
      <c r="AO92" s="6">
        <v>20.51</v>
      </c>
      <c r="AP92" s="6">
        <v>1060.6600000000001</v>
      </c>
      <c r="AR92" t="s">
        <v>215</v>
      </c>
      <c r="AS92" s="5">
        <v>46054</v>
      </c>
      <c r="AT92" t="s">
        <v>170</v>
      </c>
      <c r="AU92">
        <v>56</v>
      </c>
      <c r="AV92" s="6">
        <v>191.88</v>
      </c>
      <c r="AW92" s="6">
        <v>7.2</v>
      </c>
      <c r="AX92" s="6">
        <v>0</v>
      </c>
      <c r="AY92" s="6">
        <v>13.32</v>
      </c>
      <c r="AZ92" s="6">
        <v>198</v>
      </c>
      <c r="BB92" s="242" t="s">
        <v>205</v>
      </c>
      <c r="BC92" s="243">
        <v>46174</v>
      </c>
      <c r="BD92" s="242" t="s">
        <v>178</v>
      </c>
      <c r="BE92" s="242">
        <v>1385</v>
      </c>
      <c r="BF92" s="244">
        <v>13057.449999999977</v>
      </c>
      <c r="BG92" s="244">
        <v>16.53</v>
      </c>
      <c r="BH92" s="244">
        <v>0</v>
      </c>
      <c r="BI92" s="244">
        <v>727.2400000000016</v>
      </c>
      <c r="BJ92" s="244">
        <v>13768.159999999978</v>
      </c>
    </row>
    <row r="93" spans="2:62" ht="18.75">
      <c r="B93">
        <v>42</v>
      </c>
      <c r="C93" s="5">
        <v>45943</v>
      </c>
      <c r="D93" t="s">
        <v>145</v>
      </c>
      <c r="E93">
        <v>80</v>
      </c>
      <c r="F93" s="6">
        <v>481.23</v>
      </c>
      <c r="G93" s="6">
        <v>0</v>
      </c>
      <c r="H93" s="6">
        <v>20.57</v>
      </c>
      <c r="I93" s="6">
        <v>0</v>
      </c>
      <c r="J93" s="6">
        <v>481.23</v>
      </c>
      <c r="L93">
        <v>38</v>
      </c>
      <c r="M93" s="5">
        <v>45915</v>
      </c>
      <c r="N93" t="s">
        <v>165</v>
      </c>
      <c r="O93">
        <v>38</v>
      </c>
      <c r="P93" s="6">
        <v>301.39999999999998</v>
      </c>
      <c r="Q93" s="6">
        <v>44.95</v>
      </c>
      <c r="R93" s="6">
        <v>0</v>
      </c>
      <c r="S93" s="6">
        <v>47.95</v>
      </c>
      <c r="T93" s="6">
        <v>304.39999999999998</v>
      </c>
      <c r="V93">
        <v>34</v>
      </c>
      <c r="W93" s="5">
        <v>45887</v>
      </c>
      <c r="X93" t="s">
        <v>182</v>
      </c>
      <c r="Y93">
        <v>767</v>
      </c>
      <c r="Z93" s="6">
        <v>2100.5999999999899</v>
      </c>
      <c r="AA93" s="6">
        <v>0</v>
      </c>
      <c r="AB93" s="6">
        <v>22.96</v>
      </c>
      <c r="AC93" s="6">
        <v>128</v>
      </c>
      <c r="AD93" s="6">
        <v>2228.5999999999899</v>
      </c>
      <c r="AH93" t="s">
        <v>226</v>
      </c>
      <c r="AI93" s="5">
        <v>45870</v>
      </c>
      <c r="AJ93" t="s">
        <v>126</v>
      </c>
      <c r="AK93">
        <v>121</v>
      </c>
      <c r="AL93" s="6">
        <v>413.23</v>
      </c>
      <c r="AM93" s="6">
        <v>0</v>
      </c>
      <c r="AN93" s="6">
        <v>0</v>
      </c>
      <c r="AO93" s="6">
        <v>10.27</v>
      </c>
      <c r="AP93" s="6">
        <v>423.5</v>
      </c>
      <c r="AR93" t="s">
        <v>215</v>
      </c>
      <c r="AS93" s="5">
        <v>46054</v>
      </c>
      <c r="AT93" t="s">
        <v>173</v>
      </c>
      <c r="AU93">
        <v>827</v>
      </c>
      <c r="AV93" s="6">
        <v>3912.8499999999499</v>
      </c>
      <c r="AW93" s="6">
        <v>10.9</v>
      </c>
      <c r="AX93" s="6">
        <v>0</v>
      </c>
      <c r="AY93" s="6">
        <v>319.44</v>
      </c>
      <c r="AZ93" s="6">
        <v>4221.3899999999503</v>
      </c>
      <c r="BB93" s="242" t="s">
        <v>205</v>
      </c>
      <c r="BC93" s="243">
        <v>46174</v>
      </c>
      <c r="BD93" s="242" t="s">
        <v>180</v>
      </c>
      <c r="BE93" s="242">
        <v>146</v>
      </c>
      <c r="BF93" s="244">
        <v>1208.5800000000006</v>
      </c>
      <c r="BG93" s="244">
        <v>42.43</v>
      </c>
      <c r="BH93" s="244">
        <v>0</v>
      </c>
      <c r="BI93" s="244">
        <v>121.80999999999999</v>
      </c>
      <c r="BJ93" s="244">
        <v>1287.9600000000005</v>
      </c>
    </row>
    <row r="94" spans="2:62" ht="18.75">
      <c r="B94">
        <v>42</v>
      </c>
      <c r="C94" s="5">
        <v>45943</v>
      </c>
      <c r="D94" t="s">
        <v>219</v>
      </c>
      <c r="E94">
        <v>74</v>
      </c>
      <c r="F94" s="6">
        <v>361.75</v>
      </c>
      <c r="G94" s="6">
        <v>0</v>
      </c>
      <c r="H94" s="6">
        <v>13.99</v>
      </c>
      <c r="I94" s="6">
        <v>0</v>
      </c>
      <c r="J94" s="6">
        <v>361.75</v>
      </c>
      <c r="L94">
        <v>38</v>
      </c>
      <c r="M94" s="5">
        <v>45915</v>
      </c>
      <c r="N94" t="s">
        <v>171</v>
      </c>
      <c r="O94">
        <v>164</v>
      </c>
      <c r="P94" s="6">
        <v>1086.8499999999999</v>
      </c>
      <c r="Q94" s="6">
        <v>0</v>
      </c>
      <c r="R94" s="6">
        <v>0</v>
      </c>
      <c r="S94" s="6">
        <v>191.33</v>
      </c>
      <c r="T94" s="6">
        <v>1278.18</v>
      </c>
      <c r="V94">
        <v>34</v>
      </c>
      <c r="W94" s="5">
        <v>45887</v>
      </c>
      <c r="X94" t="s">
        <v>179</v>
      </c>
      <c r="Y94">
        <v>466</v>
      </c>
      <c r="Z94" s="6">
        <v>2519.0099999999902</v>
      </c>
      <c r="AA94" s="6">
        <v>8.5</v>
      </c>
      <c r="AB94" s="6">
        <v>61.84</v>
      </c>
      <c r="AC94" s="6">
        <v>158.32</v>
      </c>
      <c r="AD94" s="6">
        <v>2668.8299999999899</v>
      </c>
      <c r="AH94" t="s">
        <v>226</v>
      </c>
      <c r="AI94" s="5">
        <v>45870</v>
      </c>
      <c r="AJ94" t="s">
        <v>136</v>
      </c>
      <c r="AK94">
        <v>63</v>
      </c>
      <c r="AL94" s="6">
        <v>146.62</v>
      </c>
      <c r="AM94" s="6">
        <v>0</v>
      </c>
      <c r="AN94" s="6">
        <v>0</v>
      </c>
      <c r="AO94" s="6">
        <v>97.21</v>
      </c>
      <c r="AP94" s="6">
        <v>243.83</v>
      </c>
      <c r="AR94" t="s">
        <v>215</v>
      </c>
      <c r="AS94" s="5">
        <v>46054</v>
      </c>
      <c r="AT94" t="s">
        <v>164</v>
      </c>
      <c r="AU94">
        <v>20</v>
      </c>
      <c r="AV94" s="6">
        <v>69.75</v>
      </c>
      <c r="AW94" s="6">
        <v>0</v>
      </c>
      <c r="AX94" s="6">
        <v>0</v>
      </c>
      <c r="AY94" s="6">
        <v>5.25</v>
      </c>
      <c r="AZ94" s="6">
        <v>75</v>
      </c>
      <c r="BB94" s="242" t="s">
        <v>205</v>
      </c>
      <c r="BC94" s="243">
        <v>46174</v>
      </c>
      <c r="BD94" s="242" t="s">
        <v>202</v>
      </c>
      <c r="BE94" s="242">
        <v>318</v>
      </c>
      <c r="BF94" s="244">
        <v>1004.5700000000002</v>
      </c>
      <c r="BG94" s="244">
        <v>0</v>
      </c>
      <c r="BH94" s="244">
        <v>0</v>
      </c>
      <c r="BI94" s="244">
        <v>0</v>
      </c>
      <c r="BJ94" s="244">
        <v>1004.5700000000002</v>
      </c>
    </row>
    <row r="95" spans="2:62" ht="18.75">
      <c r="B95">
        <v>42</v>
      </c>
      <c r="C95" s="5">
        <v>45943</v>
      </c>
      <c r="D95" t="s">
        <v>142</v>
      </c>
      <c r="E95">
        <v>43</v>
      </c>
      <c r="F95" s="6">
        <v>153.77000000000001</v>
      </c>
      <c r="G95" s="6">
        <v>0</v>
      </c>
      <c r="H95" s="6">
        <v>0</v>
      </c>
      <c r="I95" s="6">
        <v>0</v>
      </c>
      <c r="J95" s="6">
        <v>153.77000000000001</v>
      </c>
      <c r="L95">
        <v>38</v>
      </c>
      <c r="M95" s="5">
        <v>45915</v>
      </c>
      <c r="N95" t="s">
        <v>163</v>
      </c>
      <c r="O95">
        <v>274</v>
      </c>
      <c r="P95" s="6">
        <v>491.1</v>
      </c>
      <c r="Q95" s="6">
        <v>4</v>
      </c>
      <c r="R95" s="6">
        <v>0</v>
      </c>
      <c r="S95" s="6">
        <v>60.9</v>
      </c>
      <c r="T95" s="6">
        <v>548</v>
      </c>
      <c r="V95">
        <v>34</v>
      </c>
      <c r="W95" s="5">
        <v>45887</v>
      </c>
      <c r="X95" t="s">
        <v>178</v>
      </c>
      <c r="Y95">
        <v>177</v>
      </c>
      <c r="Z95" s="6">
        <v>1611.49</v>
      </c>
      <c r="AA95" s="6">
        <v>0</v>
      </c>
      <c r="AB95" s="6">
        <v>59.42</v>
      </c>
      <c r="AC95" s="6">
        <v>48.28</v>
      </c>
      <c r="AD95" s="6">
        <v>1659.77</v>
      </c>
      <c r="AH95" t="s">
        <v>226</v>
      </c>
      <c r="AI95" s="5">
        <v>45870</v>
      </c>
      <c r="AJ95" t="s">
        <v>118</v>
      </c>
      <c r="AK95">
        <v>328</v>
      </c>
      <c r="AL95" s="6">
        <v>1152.6300000000001</v>
      </c>
      <c r="AM95" s="6">
        <v>4.21</v>
      </c>
      <c r="AN95" s="6">
        <v>0</v>
      </c>
      <c r="AO95" s="6">
        <v>21.91</v>
      </c>
      <c r="AP95" s="6">
        <v>1170.33</v>
      </c>
      <c r="AR95" t="s">
        <v>215</v>
      </c>
      <c r="AS95" s="5">
        <v>46054</v>
      </c>
      <c r="AT95" t="s">
        <v>158</v>
      </c>
      <c r="AU95">
        <v>452</v>
      </c>
      <c r="AV95" s="6">
        <v>2667.48</v>
      </c>
      <c r="AW95" s="6">
        <v>0</v>
      </c>
      <c r="AX95" s="6">
        <v>0</v>
      </c>
      <c r="AY95" s="6">
        <v>180.12</v>
      </c>
      <c r="AZ95" s="6">
        <v>2847.6</v>
      </c>
      <c r="BB95" s="242" t="s">
        <v>205</v>
      </c>
      <c r="BC95" s="243">
        <v>46174</v>
      </c>
      <c r="BD95" s="242" t="s">
        <v>227</v>
      </c>
      <c r="BE95" s="242">
        <v>4</v>
      </c>
      <c r="BF95" s="244">
        <v>11.2</v>
      </c>
      <c r="BG95" s="244">
        <v>0</v>
      </c>
      <c r="BH95" s="244">
        <v>0</v>
      </c>
      <c r="BI95" s="244">
        <v>1.6</v>
      </c>
      <c r="BJ95" s="244">
        <v>12.799999999999999</v>
      </c>
    </row>
    <row r="96" spans="2:62" ht="18.75">
      <c r="B96">
        <v>42</v>
      </c>
      <c r="C96" s="5">
        <v>45943</v>
      </c>
      <c r="D96" t="s">
        <v>122</v>
      </c>
      <c r="E96">
        <v>87</v>
      </c>
      <c r="F96" s="6">
        <v>429.55</v>
      </c>
      <c r="G96" s="6">
        <v>0</v>
      </c>
      <c r="H96" s="6">
        <v>6.6</v>
      </c>
      <c r="I96" s="6">
        <v>0</v>
      </c>
      <c r="J96" s="6">
        <v>429.55</v>
      </c>
      <c r="L96">
        <v>38</v>
      </c>
      <c r="M96" s="5">
        <v>45915</v>
      </c>
      <c r="N96" t="s">
        <v>174</v>
      </c>
      <c r="O96">
        <v>57</v>
      </c>
      <c r="P96" s="6">
        <v>337.49</v>
      </c>
      <c r="Q96" s="6">
        <v>6.75</v>
      </c>
      <c r="R96" s="6">
        <v>0</v>
      </c>
      <c r="S96" s="6">
        <v>47.26</v>
      </c>
      <c r="T96" s="6">
        <v>378</v>
      </c>
      <c r="V96">
        <v>34</v>
      </c>
      <c r="W96" s="5">
        <v>45887</v>
      </c>
      <c r="X96" t="s">
        <v>181</v>
      </c>
      <c r="Y96">
        <v>180</v>
      </c>
      <c r="Z96" s="6">
        <v>1219.26</v>
      </c>
      <c r="AA96" s="6">
        <v>0</v>
      </c>
      <c r="AB96" s="6">
        <v>0</v>
      </c>
      <c r="AC96" s="6">
        <v>199.58</v>
      </c>
      <c r="AD96" s="6">
        <v>1418.84</v>
      </c>
      <c r="AH96" t="s">
        <v>226</v>
      </c>
      <c r="AI96" s="5">
        <v>45870</v>
      </c>
      <c r="AJ96" t="s">
        <v>142</v>
      </c>
      <c r="AK96">
        <v>114</v>
      </c>
      <c r="AL96" s="6">
        <v>492.09</v>
      </c>
      <c r="AM96" s="6">
        <v>0</v>
      </c>
      <c r="AN96" s="6">
        <v>0</v>
      </c>
      <c r="AO96" s="6">
        <v>19</v>
      </c>
      <c r="AP96" s="6">
        <v>511.09</v>
      </c>
      <c r="AR96" t="s">
        <v>215</v>
      </c>
      <c r="AS96" s="5">
        <v>46054</v>
      </c>
      <c r="AT96" t="s">
        <v>174</v>
      </c>
      <c r="AU96">
        <v>421</v>
      </c>
      <c r="AV96" s="6">
        <v>2569.91</v>
      </c>
      <c r="AW96" s="6">
        <v>0</v>
      </c>
      <c r="AX96" s="6">
        <v>0</v>
      </c>
      <c r="AY96" s="6">
        <v>591.47</v>
      </c>
      <c r="AZ96" s="6">
        <v>3161.38</v>
      </c>
    </row>
    <row r="97" spans="2:52" ht="18.75">
      <c r="B97">
        <v>42</v>
      </c>
      <c r="C97" s="5">
        <v>45943</v>
      </c>
      <c r="D97" t="s">
        <v>143</v>
      </c>
      <c r="E97">
        <v>353</v>
      </c>
      <c r="F97" s="6">
        <v>1423.84</v>
      </c>
      <c r="G97" s="6">
        <v>2.8</v>
      </c>
      <c r="H97" s="6">
        <v>102.04</v>
      </c>
      <c r="I97" s="6">
        <v>0</v>
      </c>
      <c r="J97" s="6">
        <v>1421.04</v>
      </c>
      <c r="L97">
        <v>38</v>
      </c>
      <c r="M97" s="5">
        <v>45915</v>
      </c>
      <c r="N97" t="s">
        <v>158</v>
      </c>
      <c r="O97">
        <v>62</v>
      </c>
      <c r="P97" s="6">
        <v>352.14</v>
      </c>
      <c r="Q97" s="6">
        <v>0</v>
      </c>
      <c r="R97" s="6">
        <v>5.0599999999999996</v>
      </c>
      <c r="S97" s="6">
        <v>33.4</v>
      </c>
      <c r="T97" s="6">
        <v>385.54</v>
      </c>
      <c r="V97">
        <v>34</v>
      </c>
      <c r="W97" s="5">
        <v>45887</v>
      </c>
      <c r="X97" t="s">
        <v>184</v>
      </c>
      <c r="Y97">
        <v>272</v>
      </c>
      <c r="Z97" s="6">
        <v>503.54</v>
      </c>
      <c r="AA97" s="6">
        <v>0</v>
      </c>
      <c r="AB97" s="6">
        <v>0</v>
      </c>
      <c r="AC97" s="6">
        <v>61.92</v>
      </c>
      <c r="AD97" s="6">
        <v>565.46</v>
      </c>
      <c r="AH97" t="s">
        <v>226</v>
      </c>
      <c r="AI97" s="5">
        <v>45870</v>
      </c>
      <c r="AJ97" t="s">
        <v>116</v>
      </c>
      <c r="AK97">
        <v>111</v>
      </c>
      <c r="AL97" s="6">
        <v>400.43</v>
      </c>
      <c r="AM97" s="6">
        <v>0</v>
      </c>
      <c r="AN97" s="6">
        <v>0</v>
      </c>
      <c r="AO97" s="6">
        <v>7.14</v>
      </c>
      <c r="AP97" s="6">
        <v>407.57</v>
      </c>
      <c r="AR97" t="s">
        <v>215</v>
      </c>
      <c r="AS97" s="5">
        <v>46054</v>
      </c>
      <c r="AT97" t="s">
        <v>176</v>
      </c>
      <c r="AU97">
        <v>423</v>
      </c>
      <c r="AV97" s="6">
        <v>898.86000000000195</v>
      </c>
      <c r="AW97" s="6">
        <v>0</v>
      </c>
      <c r="AX97" s="6">
        <v>0</v>
      </c>
      <c r="AY97" s="6">
        <v>50.11</v>
      </c>
      <c r="AZ97" s="6">
        <v>948.97000000000196</v>
      </c>
    </row>
    <row r="98" spans="2:52" ht="18.75">
      <c r="B98">
        <v>42</v>
      </c>
      <c r="C98" s="5">
        <v>45943</v>
      </c>
      <c r="D98" t="s">
        <v>126</v>
      </c>
      <c r="E98">
        <v>52</v>
      </c>
      <c r="F98" s="6">
        <v>156.71</v>
      </c>
      <c r="G98" s="6">
        <v>0</v>
      </c>
      <c r="H98" s="6">
        <v>2.2000000000000002</v>
      </c>
      <c r="I98" s="6">
        <v>1.98</v>
      </c>
      <c r="J98" s="6">
        <v>158.69</v>
      </c>
      <c r="L98">
        <v>38</v>
      </c>
      <c r="M98" s="5">
        <v>45915</v>
      </c>
      <c r="N98" t="s">
        <v>170</v>
      </c>
      <c r="O98">
        <v>25</v>
      </c>
      <c r="P98" s="6">
        <v>90</v>
      </c>
      <c r="Q98" s="6">
        <v>3.6</v>
      </c>
      <c r="R98" s="6">
        <v>0</v>
      </c>
      <c r="S98" s="6">
        <v>0</v>
      </c>
      <c r="T98" s="6">
        <v>86.4</v>
      </c>
      <c r="V98">
        <v>34</v>
      </c>
      <c r="W98" s="5">
        <v>45887</v>
      </c>
      <c r="X98" t="s">
        <v>180</v>
      </c>
      <c r="Y98">
        <v>69</v>
      </c>
      <c r="Z98" s="6">
        <v>560.53</v>
      </c>
      <c r="AA98" s="6">
        <v>0</v>
      </c>
      <c r="AB98" s="6">
        <v>0</v>
      </c>
      <c r="AC98" s="6">
        <v>59.33</v>
      </c>
      <c r="AD98" s="6">
        <v>619.86</v>
      </c>
      <c r="AH98" t="s">
        <v>226</v>
      </c>
      <c r="AI98" s="5">
        <v>45870</v>
      </c>
      <c r="AJ98" t="s">
        <v>140</v>
      </c>
      <c r="AK98">
        <v>86</v>
      </c>
      <c r="AL98" s="6">
        <v>257.14999999999998</v>
      </c>
      <c r="AM98" s="6">
        <v>0</v>
      </c>
      <c r="AN98" s="6">
        <v>0</v>
      </c>
      <c r="AO98" s="6">
        <v>3</v>
      </c>
      <c r="AP98" s="6">
        <v>260.14999999999998</v>
      </c>
      <c r="AR98" t="s">
        <v>215</v>
      </c>
      <c r="AS98" s="5">
        <v>46054</v>
      </c>
      <c r="AT98" t="s">
        <v>198</v>
      </c>
      <c r="AU98">
        <v>164</v>
      </c>
      <c r="AV98" s="6">
        <v>1266.7</v>
      </c>
      <c r="AW98" s="6">
        <v>0</v>
      </c>
      <c r="AX98" s="6">
        <v>0</v>
      </c>
      <c r="AY98" s="6">
        <v>282.7</v>
      </c>
      <c r="AZ98" s="6">
        <v>1549.4</v>
      </c>
    </row>
    <row r="99" spans="2:52" ht="18.75">
      <c r="B99">
        <v>42</v>
      </c>
      <c r="C99" s="5">
        <v>45943</v>
      </c>
      <c r="D99" t="s">
        <v>127</v>
      </c>
      <c r="E99">
        <v>55</v>
      </c>
      <c r="F99" s="6">
        <v>289.83999999999997</v>
      </c>
      <c r="G99" s="6">
        <v>0</v>
      </c>
      <c r="H99" s="6">
        <v>0</v>
      </c>
      <c r="I99" s="6">
        <v>0</v>
      </c>
      <c r="J99" s="6">
        <v>289.83999999999997</v>
      </c>
      <c r="L99">
        <v>38</v>
      </c>
      <c r="M99" s="5">
        <v>45915</v>
      </c>
      <c r="N99" t="s">
        <v>172</v>
      </c>
      <c r="O99">
        <v>14</v>
      </c>
      <c r="P99" s="6">
        <v>38.4</v>
      </c>
      <c r="Q99" s="6">
        <v>0</v>
      </c>
      <c r="R99" s="6">
        <v>0</v>
      </c>
      <c r="S99" s="6">
        <v>6.4</v>
      </c>
      <c r="T99" s="6">
        <v>44.8</v>
      </c>
      <c r="V99">
        <v>34</v>
      </c>
      <c r="W99" s="5">
        <v>45887</v>
      </c>
      <c r="X99" t="s">
        <v>183</v>
      </c>
      <c r="Y99">
        <v>326</v>
      </c>
      <c r="Z99" s="6">
        <v>657.38</v>
      </c>
      <c r="AA99" s="6">
        <v>0</v>
      </c>
      <c r="AB99" s="6">
        <v>0</v>
      </c>
      <c r="AC99" s="6">
        <v>65.319999999999993</v>
      </c>
      <c r="AD99" s="6">
        <v>722.7</v>
      </c>
      <c r="AH99" t="s">
        <v>226</v>
      </c>
      <c r="AI99" s="5">
        <v>45870</v>
      </c>
      <c r="AJ99" t="s">
        <v>137</v>
      </c>
      <c r="AK99">
        <v>51</v>
      </c>
      <c r="AL99" s="6">
        <v>151.47</v>
      </c>
      <c r="AM99" s="6">
        <v>0</v>
      </c>
      <c r="AN99" s="6">
        <v>0</v>
      </c>
      <c r="AO99" s="6">
        <v>110.85</v>
      </c>
      <c r="AP99" s="6">
        <v>262.32</v>
      </c>
      <c r="AR99" t="s">
        <v>215</v>
      </c>
      <c r="AS99" s="5">
        <v>46054</v>
      </c>
      <c r="AT99" t="s">
        <v>172</v>
      </c>
      <c r="AU99">
        <v>96</v>
      </c>
      <c r="AV99" s="6">
        <v>292.79999999999899</v>
      </c>
      <c r="AW99" s="6">
        <v>0</v>
      </c>
      <c r="AX99" s="6">
        <v>0</v>
      </c>
      <c r="AY99" s="6">
        <v>16</v>
      </c>
      <c r="AZ99" s="6">
        <v>308.79999999999899</v>
      </c>
    </row>
    <row r="100" spans="2:52" ht="18.75">
      <c r="B100">
        <v>42</v>
      </c>
      <c r="C100" s="5">
        <v>45943</v>
      </c>
      <c r="D100" t="s">
        <v>118</v>
      </c>
      <c r="E100">
        <v>83</v>
      </c>
      <c r="F100" s="6">
        <v>280.94</v>
      </c>
      <c r="G100" s="6">
        <v>0</v>
      </c>
      <c r="H100" s="6">
        <v>1.27</v>
      </c>
      <c r="I100" s="6">
        <v>0</v>
      </c>
      <c r="J100" s="6">
        <v>280.94</v>
      </c>
      <c r="L100">
        <v>38</v>
      </c>
      <c r="M100" s="5">
        <v>45915</v>
      </c>
      <c r="N100" t="s">
        <v>179</v>
      </c>
      <c r="O100">
        <v>3</v>
      </c>
      <c r="P100" s="6">
        <v>1.44</v>
      </c>
      <c r="Q100" s="6">
        <v>1.44</v>
      </c>
      <c r="R100" s="6">
        <v>0</v>
      </c>
      <c r="S100" s="6">
        <v>16.53</v>
      </c>
      <c r="T100" s="6">
        <v>16.53</v>
      </c>
      <c r="V100">
        <v>46</v>
      </c>
      <c r="W100" s="5">
        <v>45971</v>
      </c>
      <c r="X100" t="s">
        <v>184</v>
      </c>
      <c r="Y100">
        <v>285</v>
      </c>
      <c r="Z100" s="6">
        <v>564.73</v>
      </c>
      <c r="AA100" s="6">
        <v>2.5</v>
      </c>
      <c r="AB100" s="6">
        <v>0</v>
      </c>
      <c r="AC100" s="6">
        <v>87.34</v>
      </c>
      <c r="AD100" s="6">
        <v>649.57000000000005</v>
      </c>
      <c r="AH100" t="s">
        <v>226</v>
      </c>
      <c r="AI100" s="5">
        <v>45870</v>
      </c>
      <c r="AJ100" t="s">
        <v>135</v>
      </c>
      <c r="AK100">
        <v>48</v>
      </c>
      <c r="AL100" s="6">
        <v>110.22</v>
      </c>
      <c r="AM100" s="6">
        <v>0</v>
      </c>
      <c r="AN100" s="6">
        <v>0</v>
      </c>
      <c r="AO100" s="6">
        <v>31.97</v>
      </c>
      <c r="AP100" s="6">
        <v>142.19</v>
      </c>
      <c r="AR100" t="s">
        <v>215</v>
      </c>
      <c r="AS100" s="5">
        <v>46054</v>
      </c>
      <c r="AT100" t="s">
        <v>159</v>
      </c>
      <c r="AU100">
        <v>6</v>
      </c>
      <c r="AV100" s="6">
        <v>28.71</v>
      </c>
      <c r="AW100" s="6">
        <v>0</v>
      </c>
      <c r="AX100" s="6">
        <v>0</v>
      </c>
      <c r="AY100" s="6">
        <v>0.99</v>
      </c>
      <c r="AZ100" s="6">
        <v>29.7</v>
      </c>
    </row>
    <row r="101" spans="2:52" ht="18.75">
      <c r="B101">
        <v>42</v>
      </c>
      <c r="C101" s="5">
        <v>45943</v>
      </c>
      <c r="D101" t="s">
        <v>114</v>
      </c>
      <c r="E101">
        <v>43</v>
      </c>
      <c r="F101" s="6">
        <v>187.91</v>
      </c>
      <c r="G101" s="6">
        <v>0</v>
      </c>
      <c r="H101" s="6">
        <v>3.09</v>
      </c>
      <c r="I101" s="6">
        <v>63.84</v>
      </c>
      <c r="J101" s="6">
        <v>251.75</v>
      </c>
      <c r="L101">
        <v>38</v>
      </c>
      <c r="M101" s="5">
        <v>45915</v>
      </c>
      <c r="N101" t="s">
        <v>164</v>
      </c>
      <c r="O101">
        <v>5</v>
      </c>
      <c r="P101" s="6">
        <v>21.57</v>
      </c>
      <c r="Q101" s="6">
        <v>0</v>
      </c>
      <c r="R101" s="6">
        <v>0</v>
      </c>
      <c r="S101" s="6">
        <v>0</v>
      </c>
      <c r="T101" s="6">
        <v>21.57</v>
      </c>
      <c r="V101">
        <v>46</v>
      </c>
      <c r="W101" s="5">
        <v>45971</v>
      </c>
      <c r="X101" t="s">
        <v>183</v>
      </c>
      <c r="Y101">
        <v>332</v>
      </c>
      <c r="Z101" s="6">
        <v>702.85000000000105</v>
      </c>
      <c r="AA101" s="6">
        <v>0</v>
      </c>
      <c r="AB101" s="6">
        <v>0</v>
      </c>
      <c r="AC101" s="6">
        <v>47.42</v>
      </c>
      <c r="AD101" s="6">
        <v>750.270000000001</v>
      </c>
      <c r="AH101" t="s">
        <v>226</v>
      </c>
      <c r="AI101" s="5">
        <v>45870</v>
      </c>
      <c r="AJ101" t="s">
        <v>125</v>
      </c>
      <c r="AK101">
        <v>58</v>
      </c>
      <c r="AL101" s="6">
        <v>263.41000000000003</v>
      </c>
      <c r="AM101" s="6">
        <v>0</v>
      </c>
      <c r="AN101" s="6">
        <v>0</v>
      </c>
      <c r="AO101" s="6">
        <v>1.72</v>
      </c>
      <c r="AP101" s="6">
        <v>265.13</v>
      </c>
      <c r="AR101" t="s">
        <v>199</v>
      </c>
      <c r="AS101" s="5">
        <v>46082</v>
      </c>
      <c r="AT101" t="s">
        <v>160</v>
      </c>
      <c r="AU101">
        <v>4370</v>
      </c>
      <c r="AV101" s="6">
        <v>29815.3700000016</v>
      </c>
      <c r="AW101" s="6">
        <v>50.19</v>
      </c>
      <c r="AX101" s="6">
        <v>0</v>
      </c>
      <c r="AY101" s="6">
        <v>1650.28000000001</v>
      </c>
      <c r="AZ101" s="6">
        <v>31415.4600000016</v>
      </c>
    </row>
    <row r="102" spans="2:52" ht="18.75">
      <c r="B102">
        <v>42</v>
      </c>
      <c r="C102" s="5">
        <v>45943</v>
      </c>
      <c r="D102" t="s">
        <v>120</v>
      </c>
      <c r="E102">
        <v>65</v>
      </c>
      <c r="F102" s="6">
        <v>274.24</v>
      </c>
      <c r="G102" s="6">
        <v>0</v>
      </c>
      <c r="H102" s="6">
        <v>0</v>
      </c>
      <c r="I102" s="6">
        <v>22.11</v>
      </c>
      <c r="J102" s="6">
        <v>296.35000000000002</v>
      </c>
      <c r="L102">
        <v>38</v>
      </c>
      <c r="M102" s="5">
        <v>45915</v>
      </c>
      <c r="N102" t="s">
        <v>159</v>
      </c>
      <c r="O102">
        <v>12</v>
      </c>
      <c r="P102" s="6">
        <v>59.4</v>
      </c>
      <c r="Q102" s="6">
        <v>0</v>
      </c>
      <c r="R102" s="6">
        <v>0</v>
      </c>
      <c r="S102" s="6">
        <v>0</v>
      </c>
      <c r="T102" s="6">
        <v>59.4</v>
      </c>
      <c r="V102">
        <v>46</v>
      </c>
      <c r="W102" s="5">
        <v>45971</v>
      </c>
      <c r="X102" t="s">
        <v>179</v>
      </c>
      <c r="Y102">
        <v>487</v>
      </c>
      <c r="Z102" s="6">
        <v>2698.2599999999902</v>
      </c>
      <c r="AA102" s="6">
        <v>0</v>
      </c>
      <c r="AB102" s="6">
        <v>107.54</v>
      </c>
      <c r="AC102" s="6">
        <v>103.15</v>
      </c>
      <c r="AD102" s="6">
        <v>2801.4099999999899</v>
      </c>
      <c r="AH102" t="s">
        <v>226</v>
      </c>
      <c r="AI102" s="5">
        <v>45870</v>
      </c>
      <c r="AJ102" t="s">
        <v>150</v>
      </c>
      <c r="AK102">
        <v>71</v>
      </c>
      <c r="AL102" s="6">
        <v>383.18</v>
      </c>
      <c r="AM102" s="6">
        <v>0</v>
      </c>
      <c r="AN102" s="6">
        <v>0</v>
      </c>
      <c r="AO102" s="6">
        <v>0.84</v>
      </c>
      <c r="AP102" s="6">
        <v>384.02</v>
      </c>
      <c r="AR102" t="s">
        <v>199</v>
      </c>
      <c r="AS102" s="5">
        <v>46082</v>
      </c>
      <c r="AT102" t="s">
        <v>174</v>
      </c>
      <c r="AU102">
        <v>603</v>
      </c>
      <c r="AV102" s="6">
        <v>3670.78999999998</v>
      </c>
      <c r="AW102" s="6">
        <v>0</v>
      </c>
      <c r="AX102" s="6">
        <v>0</v>
      </c>
      <c r="AY102" s="6">
        <v>854.76999999999896</v>
      </c>
      <c r="AZ102" s="6">
        <v>4525.5599999999804</v>
      </c>
    </row>
    <row r="103" spans="2:52" ht="18.75">
      <c r="B103">
        <v>42</v>
      </c>
      <c r="C103" s="5">
        <v>45943</v>
      </c>
      <c r="D103" t="s">
        <v>128</v>
      </c>
      <c r="E103">
        <v>36</v>
      </c>
      <c r="F103" s="6">
        <v>150.32</v>
      </c>
      <c r="G103" s="6">
        <v>0</v>
      </c>
      <c r="H103" s="6">
        <v>4.8099999999999996</v>
      </c>
      <c r="I103" s="6">
        <v>0</v>
      </c>
      <c r="J103" s="6">
        <v>150.32</v>
      </c>
      <c r="L103">
        <v>37</v>
      </c>
      <c r="M103" s="5">
        <v>45908</v>
      </c>
      <c r="N103" t="s">
        <v>158</v>
      </c>
      <c r="O103">
        <v>56</v>
      </c>
      <c r="P103" s="6">
        <v>322.22000000000003</v>
      </c>
      <c r="Q103" s="6">
        <v>6.3</v>
      </c>
      <c r="R103" s="6">
        <v>11.36</v>
      </c>
      <c r="S103" s="6">
        <v>19.22</v>
      </c>
      <c r="T103" s="6">
        <v>335.14</v>
      </c>
      <c r="V103">
        <v>46</v>
      </c>
      <c r="W103" s="5">
        <v>45971</v>
      </c>
      <c r="X103" t="s">
        <v>181</v>
      </c>
      <c r="Y103">
        <v>213</v>
      </c>
      <c r="Z103" s="6">
        <v>1520.59</v>
      </c>
      <c r="AA103" s="6">
        <v>0</v>
      </c>
      <c r="AB103" s="6">
        <v>0</v>
      </c>
      <c r="AC103" s="6">
        <v>215.58</v>
      </c>
      <c r="AD103" s="6">
        <v>1736.17</v>
      </c>
      <c r="AH103" t="s">
        <v>226</v>
      </c>
      <c r="AI103" s="5">
        <v>45870</v>
      </c>
      <c r="AJ103" t="s">
        <v>113</v>
      </c>
      <c r="AK103">
        <v>1</v>
      </c>
      <c r="AL103" s="6">
        <v>0</v>
      </c>
      <c r="AM103" s="6">
        <v>0</v>
      </c>
      <c r="AN103" s="6">
        <v>0</v>
      </c>
      <c r="AO103" s="6">
        <v>2.2000000000000002</v>
      </c>
      <c r="AP103" s="6">
        <v>2.2000000000000002</v>
      </c>
      <c r="AR103" t="s">
        <v>199</v>
      </c>
      <c r="AS103" s="5">
        <v>46082</v>
      </c>
      <c r="AT103" t="s">
        <v>169</v>
      </c>
      <c r="AU103">
        <v>5762</v>
      </c>
      <c r="AV103" s="6">
        <v>14865.0099999992</v>
      </c>
      <c r="AW103" s="6">
        <v>6.75</v>
      </c>
      <c r="AX103" s="6">
        <v>0</v>
      </c>
      <c r="AY103" s="6">
        <v>526.40999999999894</v>
      </c>
      <c r="AZ103" s="6">
        <v>15384.6699999992</v>
      </c>
    </row>
    <row r="104" spans="2:52" ht="18.75">
      <c r="B104">
        <v>42</v>
      </c>
      <c r="C104" s="5">
        <v>45943</v>
      </c>
      <c r="D104" t="s">
        <v>150</v>
      </c>
      <c r="E104">
        <v>10</v>
      </c>
      <c r="F104" s="6">
        <v>56.61</v>
      </c>
      <c r="G104" s="6">
        <v>0</v>
      </c>
      <c r="H104" s="6">
        <v>3.27</v>
      </c>
      <c r="I104" s="6">
        <v>0</v>
      </c>
      <c r="J104" s="6">
        <v>56.61</v>
      </c>
      <c r="L104">
        <v>37</v>
      </c>
      <c r="M104" s="5">
        <v>45908</v>
      </c>
      <c r="N104" t="s">
        <v>163</v>
      </c>
      <c r="O104">
        <v>272</v>
      </c>
      <c r="P104" s="6">
        <v>528.79999999999995</v>
      </c>
      <c r="Q104" s="6">
        <v>0</v>
      </c>
      <c r="R104" s="6">
        <v>0</v>
      </c>
      <c r="S104" s="6">
        <v>22.2</v>
      </c>
      <c r="T104" s="6">
        <v>551</v>
      </c>
      <c r="V104">
        <v>46</v>
      </c>
      <c r="W104" s="5">
        <v>45971</v>
      </c>
      <c r="X104" t="s">
        <v>182</v>
      </c>
      <c r="Y104">
        <v>912</v>
      </c>
      <c r="Z104" s="6">
        <v>2313.5099999999802</v>
      </c>
      <c r="AA104" s="6">
        <v>0</v>
      </c>
      <c r="AB104" s="6">
        <v>22.95</v>
      </c>
      <c r="AC104" s="6">
        <v>85.48</v>
      </c>
      <c r="AD104" s="6">
        <v>2398.9899999999798</v>
      </c>
      <c r="AH104" t="s">
        <v>211</v>
      </c>
      <c r="AI104" s="5">
        <v>45962</v>
      </c>
      <c r="AJ104" t="s">
        <v>138</v>
      </c>
      <c r="AK104">
        <v>474</v>
      </c>
      <c r="AL104" s="6">
        <v>2532.16</v>
      </c>
      <c r="AM104" s="6">
        <v>4.99</v>
      </c>
      <c r="AN104" s="6">
        <v>0</v>
      </c>
      <c r="AO104" s="6">
        <v>69.98</v>
      </c>
      <c r="AP104" s="6">
        <v>2597.15</v>
      </c>
      <c r="AR104" t="s">
        <v>199</v>
      </c>
      <c r="AS104" s="5">
        <v>46082</v>
      </c>
      <c r="AT104" t="s">
        <v>168</v>
      </c>
      <c r="AU104">
        <v>1606</v>
      </c>
      <c r="AV104" s="6">
        <v>3310.1199999999899</v>
      </c>
      <c r="AW104" s="6">
        <v>4.9000000000000004</v>
      </c>
      <c r="AX104" s="6">
        <v>0</v>
      </c>
      <c r="AY104" s="6">
        <v>326.83999999999997</v>
      </c>
      <c r="AZ104" s="6">
        <v>3632.0599999999899</v>
      </c>
    </row>
    <row r="105" spans="2:52" ht="18.75">
      <c r="B105">
        <v>42</v>
      </c>
      <c r="C105" s="5">
        <v>45943</v>
      </c>
      <c r="D105" t="s">
        <v>132</v>
      </c>
      <c r="E105">
        <v>64</v>
      </c>
      <c r="F105" s="6">
        <v>216.95</v>
      </c>
      <c r="G105" s="6">
        <v>0</v>
      </c>
      <c r="H105" s="6">
        <v>10.5</v>
      </c>
      <c r="I105" s="6">
        <v>2.1</v>
      </c>
      <c r="J105" s="6">
        <v>219.05</v>
      </c>
      <c r="L105">
        <v>37</v>
      </c>
      <c r="M105" s="5">
        <v>45908</v>
      </c>
      <c r="N105" t="s">
        <v>169</v>
      </c>
      <c r="O105">
        <v>753</v>
      </c>
      <c r="P105" s="6">
        <v>1798.3199999999799</v>
      </c>
      <c r="Q105" s="6">
        <v>6.3</v>
      </c>
      <c r="R105" s="6">
        <v>20.63</v>
      </c>
      <c r="S105" s="6">
        <v>99.47</v>
      </c>
      <c r="T105" s="6">
        <v>1891.48999999999</v>
      </c>
      <c r="V105">
        <v>46</v>
      </c>
      <c r="W105" s="5">
        <v>45971</v>
      </c>
      <c r="X105" t="s">
        <v>185</v>
      </c>
      <c r="Y105">
        <v>135</v>
      </c>
      <c r="Z105" s="6">
        <v>636.05999999999995</v>
      </c>
      <c r="AA105" s="6">
        <v>0</v>
      </c>
      <c r="AB105" s="6">
        <v>0</v>
      </c>
      <c r="AC105" s="6">
        <v>50.35</v>
      </c>
      <c r="AD105" s="6">
        <v>686.41</v>
      </c>
      <c r="AH105" t="s">
        <v>211</v>
      </c>
      <c r="AI105" s="5">
        <v>45962</v>
      </c>
      <c r="AJ105" t="s">
        <v>143</v>
      </c>
      <c r="AK105">
        <v>2412</v>
      </c>
      <c r="AL105" s="6">
        <v>10466.530000000101</v>
      </c>
      <c r="AM105" s="6">
        <v>22.28</v>
      </c>
      <c r="AN105" s="6">
        <v>0</v>
      </c>
      <c r="AO105" s="6">
        <v>14.19</v>
      </c>
      <c r="AP105" s="6">
        <v>10458.440000000101</v>
      </c>
      <c r="AR105" t="s">
        <v>199</v>
      </c>
      <c r="AS105" s="5">
        <v>46082</v>
      </c>
      <c r="AT105" t="s">
        <v>204</v>
      </c>
      <c r="AU105">
        <v>20</v>
      </c>
      <c r="AV105" s="6">
        <v>19</v>
      </c>
      <c r="AW105" s="6">
        <v>0</v>
      </c>
      <c r="AX105" s="6">
        <v>0</v>
      </c>
      <c r="AY105" s="6">
        <v>0</v>
      </c>
      <c r="AZ105" s="6">
        <v>19</v>
      </c>
    </row>
    <row r="106" spans="2:52" ht="18.75">
      <c r="B106">
        <v>42</v>
      </c>
      <c r="C106" s="5">
        <v>45943</v>
      </c>
      <c r="D106" t="s">
        <v>137</v>
      </c>
      <c r="E106">
        <v>26</v>
      </c>
      <c r="F106" s="6">
        <v>70.760000000000005</v>
      </c>
      <c r="G106" s="6">
        <v>0</v>
      </c>
      <c r="H106" s="6">
        <v>9.15</v>
      </c>
      <c r="I106" s="6">
        <v>53.3</v>
      </c>
      <c r="J106" s="6">
        <v>124.06</v>
      </c>
      <c r="L106">
        <v>37</v>
      </c>
      <c r="M106" s="5">
        <v>45908</v>
      </c>
      <c r="N106" t="s">
        <v>160</v>
      </c>
      <c r="O106">
        <v>745</v>
      </c>
      <c r="P106" s="6">
        <v>4915.7999999999602</v>
      </c>
      <c r="Q106" s="6">
        <v>21.44</v>
      </c>
      <c r="R106" s="6">
        <v>150.62</v>
      </c>
      <c r="S106" s="6">
        <v>205.32</v>
      </c>
      <c r="T106" s="6">
        <v>5099.6799999999603</v>
      </c>
      <c r="V106">
        <v>46</v>
      </c>
      <c r="W106" s="5">
        <v>45971</v>
      </c>
      <c r="X106" t="s">
        <v>178</v>
      </c>
      <c r="Y106">
        <v>220</v>
      </c>
      <c r="Z106" s="6">
        <v>2042.64</v>
      </c>
      <c r="AA106" s="6">
        <v>0</v>
      </c>
      <c r="AB106" s="6">
        <v>57.06</v>
      </c>
      <c r="AC106" s="6">
        <v>30.62</v>
      </c>
      <c r="AD106" s="6">
        <v>2073.2600000000002</v>
      </c>
      <c r="AH106" t="s">
        <v>211</v>
      </c>
      <c r="AI106" s="5">
        <v>45962</v>
      </c>
      <c r="AJ106" t="s">
        <v>139</v>
      </c>
      <c r="AK106">
        <v>325</v>
      </c>
      <c r="AL106" s="6">
        <v>1440.04</v>
      </c>
      <c r="AM106" s="6">
        <v>0</v>
      </c>
      <c r="AN106" s="6">
        <v>0</v>
      </c>
      <c r="AO106" s="6">
        <v>36.14</v>
      </c>
      <c r="AP106" s="6">
        <v>1476.18</v>
      </c>
      <c r="AR106" t="s">
        <v>199</v>
      </c>
      <c r="AS106" s="5">
        <v>46082</v>
      </c>
      <c r="AT106" t="s">
        <v>171</v>
      </c>
      <c r="AU106">
        <v>570</v>
      </c>
      <c r="AV106" s="6">
        <v>3538.68999999998</v>
      </c>
      <c r="AW106" s="6">
        <v>5.99</v>
      </c>
      <c r="AX106" s="6">
        <v>0</v>
      </c>
      <c r="AY106" s="6">
        <v>688.11</v>
      </c>
      <c r="AZ106" s="6">
        <v>4220.8099999999804</v>
      </c>
    </row>
    <row r="107" spans="2:52" ht="18.75">
      <c r="B107">
        <v>42</v>
      </c>
      <c r="C107" s="5">
        <v>45943</v>
      </c>
      <c r="D107" t="s">
        <v>125</v>
      </c>
      <c r="E107">
        <v>10</v>
      </c>
      <c r="F107" s="6">
        <v>56.92</v>
      </c>
      <c r="G107" s="6">
        <v>0</v>
      </c>
      <c r="H107" s="6">
        <v>0.42</v>
      </c>
      <c r="I107" s="6">
        <v>0</v>
      </c>
      <c r="J107" s="6">
        <v>56.92</v>
      </c>
      <c r="L107">
        <v>37</v>
      </c>
      <c r="M107" s="5">
        <v>45908</v>
      </c>
      <c r="N107" t="s">
        <v>171</v>
      </c>
      <c r="O107">
        <v>161</v>
      </c>
      <c r="P107" s="6">
        <v>1004.67</v>
      </c>
      <c r="Q107" s="6">
        <v>6.95</v>
      </c>
      <c r="R107" s="6">
        <v>1.04</v>
      </c>
      <c r="S107" s="6">
        <v>177.7</v>
      </c>
      <c r="T107" s="6">
        <v>1175.42</v>
      </c>
      <c r="V107">
        <v>46</v>
      </c>
      <c r="W107" s="5">
        <v>45971</v>
      </c>
      <c r="X107" t="s">
        <v>186</v>
      </c>
      <c r="Y107">
        <v>58</v>
      </c>
      <c r="Z107" s="6">
        <v>190.43</v>
      </c>
      <c r="AA107" s="6">
        <v>3.65</v>
      </c>
      <c r="AB107" s="6">
        <v>0</v>
      </c>
      <c r="AC107" s="6">
        <v>29.97</v>
      </c>
      <c r="AD107" s="6">
        <v>216.75</v>
      </c>
      <c r="AH107" t="s">
        <v>211</v>
      </c>
      <c r="AI107" s="5">
        <v>45962</v>
      </c>
      <c r="AJ107" t="s">
        <v>124</v>
      </c>
      <c r="AK107">
        <v>701</v>
      </c>
      <c r="AL107" s="6">
        <v>2730.28999999999</v>
      </c>
      <c r="AM107" s="6">
        <v>24.05</v>
      </c>
      <c r="AN107" s="6">
        <v>0</v>
      </c>
      <c r="AO107" s="6">
        <v>51.44</v>
      </c>
      <c r="AP107" s="6">
        <v>2757.6799999999898</v>
      </c>
      <c r="AR107" t="s">
        <v>199</v>
      </c>
      <c r="AS107" s="5">
        <v>46082</v>
      </c>
      <c r="AT107" t="s">
        <v>158</v>
      </c>
      <c r="AU107">
        <v>696</v>
      </c>
      <c r="AV107" s="6">
        <v>4183.2000000000398</v>
      </c>
      <c r="AW107" s="6">
        <v>6.3</v>
      </c>
      <c r="AX107" s="6">
        <v>0</v>
      </c>
      <c r="AY107" s="6">
        <v>201.6</v>
      </c>
      <c r="AZ107" s="6">
        <v>4378.50000000004</v>
      </c>
    </row>
    <row r="108" spans="2:52" ht="18.75">
      <c r="B108">
        <v>42</v>
      </c>
      <c r="C108" s="5">
        <v>45943</v>
      </c>
      <c r="D108" t="s">
        <v>116</v>
      </c>
      <c r="E108">
        <v>33</v>
      </c>
      <c r="F108" s="6">
        <v>115.57</v>
      </c>
      <c r="G108" s="6">
        <v>0</v>
      </c>
      <c r="H108" s="6">
        <v>1.1499999999999999</v>
      </c>
      <c r="I108" s="6">
        <v>0</v>
      </c>
      <c r="J108" s="6">
        <v>115.57</v>
      </c>
      <c r="L108">
        <v>37</v>
      </c>
      <c r="M108" s="5">
        <v>45908</v>
      </c>
      <c r="N108" t="s">
        <v>170</v>
      </c>
      <c r="O108">
        <v>25</v>
      </c>
      <c r="P108" s="6">
        <v>86.76</v>
      </c>
      <c r="Q108" s="6">
        <v>0</v>
      </c>
      <c r="R108" s="6">
        <v>0</v>
      </c>
      <c r="S108" s="6">
        <v>5.04</v>
      </c>
      <c r="T108" s="6">
        <v>91.8</v>
      </c>
      <c r="V108">
        <v>46</v>
      </c>
      <c r="W108" s="5">
        <v>45971</v>
      </c>
      <c r="X108" t="s">
        <v>180</v>
      </c>
      <c r="Y108">
        <v>40</v>
      </c>
      <c r="Z108" s="6">
        <v>369.4</v>
      </c>
      <c r="AA108" s="6">
        <v>0</v>
      </c>
      <c r="AB108" s="6">
        <v>0</v>
      </c>
      <c r="AC108" s="6">
        <v>6.75</v>
      </c>
      <c r="AD108" s="6">
        <v>376.15</v>
      </c>
      <c r="AH108" t="s">
        <v>211</v>
      </c>
      <c r="AI108" s="5">
        <v>45962</v>
      </c>
      <c r="AJ108" t="s">
        <v>114</v>
      </c>
      <c r="AK108">
        <v>251</v>
      </c>
      <c r="AL108" s="6">
        <v>1057.93</v>
      </c>
      <c r="AM108" s="6">
        <v>0</v>
      </c>
      <c r="AN108" s="6">
        <v>0</v>
      </c>
      <c r="AO108" s="6">
        <v>391.57</v>
      </c>
      <c r="AP108" s="6">
        <v>1449.5</v>
      </c>
      <c r="AR108" t="s">
        <v>199</v>
      </c>
      <c r="AS108" s="5">
        <v>46082</v>
      </c>
      <c r="AT108" t="s">
        <v>163</v>
      </c>
      <c r="AU108">
        <v>1044</v>
      </c>
      <c r="AV108" s="6">
        <v>1987.7</v>
      </c>
      <c r="AW108" s="6">
        <v>0</v>
      </c>
      <c r="AX108" s="6">
        <v>0</v>
      </c>
      <c r="AY108" s="6">
        <v>112.3</v>
      </c>
      <c r="AZ108" s="6">
        <v>2100</v>
      </c>
    </row>
    <row r="109" spans="2:52" ht="18.75">
      <c r="B109">
        <v>41</v>
      </c>
      <c r="C109" s="5">
        <v>45936</v>
      </c>
      <c r="D109" t="s">
        <v>139</v>
      </c>
      <c r="E109">
        <v>82</v>
      </c>
      <c r="F109" s="6">
        <v>346.05</v>
      </c>
      <c r="G109" s="6">
        <v>0</v>
      </c>
      <c r="H109" s="6">
        <v>3.08</v>
      </c>
      <c r="I109" s="6">
        <v>0</v>
      </c>
      <c r="J109" s="6">
        <v>346.05</v>
      </c>
      <c r="L109">
        <v>37</v>
      </c>
      <c r="M109" s="5">
        <v>45908</v>
      </c>
      <c r="N109" t="s">
        <v>168</v>
      </c>
      <c r="O109">
        <v>269</v>
      </c>
      <c r="P109" s="6">
        <v>485.72</v>
      </c>
      <c r="Q109" s="6">
        <v>3</v>
      </c>
      <c r="R109" s="6">
        <v>0</v>
      </c>
      <c r="S109" s="6">
        <v>78.11</v>
      </c>
      <c r="T109" s="6">
        <v>560.83000000000004</v>
      </c>
      <c r="V109">
        <v>47</v>
      </c>
      <c r="W109" s="5">
        <v>45978</v>
      </c>
      <c r="X109" t="s">
        <v>184</v>
      </c>
      <c r="Y109">
        <v>348</v>
      </c>
      <c r="Z109" s="6">
        <v>718.13</v>
      </c>
      <c r="AA109" s="6">
        <v>0</v>
      </c>
      <c r="AB109" s="6">
        <v>0</v>
      </c>
      <c r="AC109" s="6">
        <v>71.989999999999995</v>
      </c>
      <c r="AD109" s="6">
        <v>790.12</v>
      </c>
      <c r="AH109" t="s">
        <v>211</v>
      </c>
      <c r="AI109" s="5">
        <v>45962</v>
      </c>
      <c r="AJ109" t="s">
        <v>123</v>
      </c>
      <c r="AK109">
        <v>686</v>
      </c>
      <c r="AL109" s="6">
        <v>2945.3799999999901</v>
      </c>
      <c r="AM109" s="6">
        <v>9.9</v>
      </c>
      <c r="AN109" s="6">
        <v>0</v>
      </c>
      <c r="AO109" s="6">
        <v>51.94</v>
      </c>
      <c r="AP109" s="6">
        <v>2987.4199999999901</v>
      </c>
      <c r="AR109" t="s">
        <v>199</v>
      </c>
      <c r="AS109" s="5">
        <v>46082</v>
      </c>
      <c r="AT109" t="s">
        <v>173</v>
      </c>
      <c r="AU109">
        <v>1150</v>
      </c>
      <c r="AV109" s="6">
        <v>5525.0999999998903</v>
      </c>
      <c r="AW109" s="6">
        <v>10.4</v>
      </c>
      <c r="AX109" s="6">
        <v>0</v>
      </c>
      <c r="AY109" s="6">
        <v>347.26</v>
      </c>
      <c r="AZ109" s="6">
        <v>5861.95999999989</v>
      </c>
    </row>
    <row r="110" spans="2:52" ht="18.75">
      <c r="B110">
        <v>41</v>
      </c>
      <c r="C110" s="5">
        <v>45936</v>
      </c>
      <c r="D110" t="s">
        <v>123</v>
      </c>
      <c r="E110">
        <v>151</v>
      </c>
      <c r="F110" s="6">
        <v>709.70000000000095</v>
      </c>
      <c r="G110" s="6">
        <v>0</v>
      </c>
      <c r="H110" s="6">
        <v>4.9000000000000004</v>
      </c>
      <c r="I110" s="6">
        <v>0</v>
      </c>
      <c r="J110" s="6">
        <v>709.70000000000095</v>
      </c>
      <c r="L110">
        <v>37</v>
      </c>
      <c r="M110" s="5">
        <v>45908</v>
      </c>
      <c r="N110" t="s">
        <v>173</v>
      </c>
      <c r="O110">
        <v>149</v>
      </c>
      <c r="P110" s="6">
        <v>669.26000000000101</v>
      </c>
      <c r="Q110" s="6">
        <v>0</v>
      </c>
      <c r="R110" s="6">
        <v>8.9</v>
      </c>
      <c r="S110" s="6">
        <v>66.83</v>
      </c>
      <c r="T110" s="6">
        <v>736.09000000000106</v>
      </c>
      <c r="V110">
        <v>47</v>
      </c>
      <c r="W110" s="5">
        <v>45978</v>
      </c>
      <c r="X110" t="s">
        <v>182</v>
      </c>
      <c r="Y110">
        <v>1210</v>
      </c>
      <c r="Z110" s="6">
        <v>3045.5299999999602</v>
      </c>
      <c r="AA110" s="6">
        <v>0</v>
      </c>
      <c r="AB110" s="6">
        <v>28.09</v>
      </c>
      <c r="AC110" s="6">
        <v>126.73</v>
      </c>
      <c r="AD110" s="6">
        <v>3172.2599999999602</v>
      </c>
      <c r="AH110" t="s">
        <v>211</v>
      </c>
      <c r="AI110" s="5">
        <v>45962</v>
      </c>
      <c r="AJ110" t="s">
        <v>119</v>
      </c>
      <c r="AK110">
        <v>560</v>
      </c>
      <c r="AL110" s="6">
        <v>2265.6599999999899</v>
      </c>
      <c r="AM110" s="6">
        <v>9.9499999999999993</v>
      </c>
      <c r="AN110" s="6">
        <v>0</v>
      </c>
      <c r="AO110" s="6">
        <v>39.01</v>
      </c>
      <c r="AP110" s="6">
        <v>2294.7199999999898</v>
      </c>
      <c r="AR110" t="s">
        <v>199</v>
      </c>
      <c r="AS110" s="5">
        <v>46082</v>
      </c>
      <c r="AT110" t="s">
        <v>176</v>
      </c>
      <c r="AU110">
        <v>418</v>
      </c>
      <c r="AV110" s="6">
        <v>890.97000000000105</v>
      </c>
      <c r="AW110" s="6">
        <v>2.2000000000000002</v>
      </c>
      <c r="AX110" s="6">
        <v>0</v>
      </c>
      <c r="AY110" s="6">
        <v>48.66</v>
      </c>
      <c r="AZ110" s="6">
        <v>937.43000000000097</v>
      </c>
    </row>
    <row r="111" spans="2:52" ht="18.75">
      <c r="B111">
        <v>41</v>
      </c>
      <c r="C111" s="5">
        <v>45936</v>
      </c>
      <c r="D111" t="s">
        <v>124</v>
      </c>
      <c r="E111">
        <v>160</v>
      </c>
      <c r="F111" s="6">
        <v>584.86000000000104</v>
      </c>
      <c r="G111" s="6">
        <v>0</v>
      </c>
      <c r="H111" s="6">
        <v>13.11</v>
      </c>
      <c r="I111" s="6">
        <v>0</v>
      </c>
      <c r="J111" s="6">
        <v>584.86000000000104</v>
      </c>
      <c r="L111">
        <v>37</v>
      </c>
      <c r="M111" s="5">
        <v>45908</v>
      </c>
      <c r="N111" t="s">
        <v>176</v>
      </c>
      <c r="O111">
        <v>123</v>
      </c>
      <c r="P111" s="6">
        <v>257.7</v>
      </c>
      <c r="Q111" s="6">
        <v>0</v>
      </c>
      <c r="R111" s="6">
        <v>0</v>
      </c>
      <c r="S111" s="6">
        <v>19.21</v>
      </c>
      <c r="T111" s="6">
        <v>276.91000000000003</v>
      </c>
      <c r="V111">
        <v>47</v>
      </c>
      <c r="W111" s="5">
        <v>45978</v>
      </c>
      <c r="X111" t="s">
        <v>179</v>
      </c>
      <c r="Y111">
        <v>711</v>
      </c>
      <c r="Z111" s="6">
        <v>4024.8999999999701</v>
      </c>
      <c r="AA111" s="6">
        <v>24.67</v>
      </c>
      <c r="AB111" s="6">
        <v>97.550000000000097</v>
      </c>
      <c r="AC111" s="6">
        <v>142.37</v>
      </c>
      <c r="AD111" s="6">
        <v>4142.5999999999704</v>
      </c>
      <c r="AH111" t="s">
        <v>211</v>
      </c>
      <c r="AI111" s="5">
        <v>45962</v>
      </c>
      <c r="AJ111" t="s">
        <v>121</v>
      </c>
      <c r="AK111">
        <v>219</v>
      </c>
      <c r="AL111" s="6">
        <v>731.35000000000105</v>
      </c>
      <c r="AM111" s="6">
        <v>0</v>
      </c>
      <c r="AN111" s="6">
        <v>0</v>
      </c>
      <c r="AO111" s="6">
        <v>15.94</v>
      </c>
      <c r="AP111" s="6">
        <v>747.29000000000099</v>
      </c>
      <c r="AR111" t="s">
        <v>199</v>
      </c>
      <c r="AS111" s="5">
        <v>46082</v>
      </c>
      <c r="AT111" t="s">
        <v>167</v>
      </c>
      <c r="AU111">
        <v>81</v>
      </c>
      <c r="AV111" s="6">
        <v>685.969999999999</v>
      </c>
      <c r="AW111" s="6">
        <v>0</v>
      </c>
      <c r="AX111" s="6">
        <v>0</v>
      </c>
      <c r="AY111" s="6">
        <v>115.93</v>
      </c>
      <c r="AZ111" s="6">
        <v>801.89999999999895</v>
      </c>
    </row>
    <row r="112" spans="2:52" ht="18.75">
      <c r="B112">
        <v>41</v>
      </c>
      <c r="C112" s="5">
        <v>45936</v>
      </c>
      <c r="D112" t="s">
        <v>129</v>
      </c>
      <c r="E112">
        <v>136</v>
      </c>
      <c r="F112" s="6">
        <v>12.89</v>
      </c>
      <c r="G112" s="6">
        <v>0</v>
      </c>
      <c r="H112" s="6">
        <v>0</v>
      </c>
      <c r="I112" s="6">
        <v>585.32000000000005</v>
      </c>
      <c r="J112" s="6">
        <v>598.21</v>
      </c>
      <c r="L112">
        <v>37</v>
      </c>
      <c r="M112" s="5">
        <v>45908</v>
      </c>
      <c r="N112" t="s">
        <v>174</v>
      </c>
      <c r="O112">
        <v>47</v>
      </c>
      <c r="P112" s="6">
        <v>337.87</v>
      </c>
      <c r="Q112" s="6">
        <v>0</v>
      </c>
      <c r="R112" s="6">
        <v>0</v>
      </c>
      <c r="S112" s="6">
        <v>61.63</v>
      </c>
      <c r="T112" s="6">
        <v>399.5</v>
      </c>
      <c r="V112">
        <v>47</v>
      </c>
      <c r="W112" s="5">
        <v>45978</v>
      </c>
      <c r="X112" t="s">
        <v>183</v>
      </c>
      <c r="Y112">
        <v>437</v>
      </c>
      <c r="Z112" s="6">
        <v>894.05</v>
      </c>
      <c r="AA112" s="6">
        <v>0</v>
      </c>
      <c r="AB112" s="6">
        <v>0</v>
      </c>
      <c r="AC112" s="6">
        <v>82.5</v>
      </c>
      <c r="AD112" s="6">
        <v>976.55</v>
      </c>
      <c r="AH112" t="s">
        <v>211</v>
      </c>
      <c r="AI112" s="5">
        <v>45962</v>
      </c>
      <c r="AJ112" t="s">
        <v>118</v>
      </c>
      <c r="AK112">
        <v>238</v>
      </c>
      <c r="AL112" s="6">
        <v>848.94</v>
      </c>
      <c r="AM112" s="6">
        <v>0</v>
      </c>
      <c r="AN112" s="6">
        <v>0</v>
      </c>
      <c r="AO112" s="6">
        <v>13.73</v>
      </c>
      <c r="AP112" s="6">
        <v>862.67</v>
      </c>
      <c r="AR112" t="s">
        <v>199</v>
      </c>
      <c r="AS112" s="5">
        <v>46082</v>
      </c>
      <c r="AT112" t="s">
        <v>170</v>
      </c>
      <c r="AU112">
        <v>191</v>
      </c>
      <c r="AV112" s="6">
        <v>617.15000000000202</v>
      </c>
      <c r="AW112" s="6">
        <v>0</v>
      </c>
      <c r="AX112" s="6">
        <v>0</v>
      </c>
      <c r="AY112" s="6">
        <v>71.349999999999994</v>
      </c>
      <c r="AZ112" s="6">
        <v>688.50000000000205</v>
      </c>
    </row>
    <row r="113" spans="2:52" ht="18.75">
      <c r="B113">
        <v>41</v>
      </c>
      <c r="C113" s="5">
        <v>45936</v>
      </c>
      <c r="D113" t="s">
        <v>219</v>
      </c>
      <c r="E113">
        <v>75</v>
      </c>
      <c r="F113" s="6">
        <v>371.37</v>
      </c>
      <c r="G113" s="6">
        <v>0</v>
      </c>
      <c r="H113" s="6">
        <v>5.09</v>
      </c>
      <c r="I113" s="6">
        <v>0</v>
      </c>
      <c r="J113" s="6">
        <v>371.37</v>
      </c>
      <c r="L113">
        <v>37</v>
      </c>
      <c r="M113" s="5">
        <v>45908</v>
      </c>
      <c r="N113" t="s">
        <v>165</v>
      </c>
      <c r="O113">
        <v>18</v>
      </c>
      <c r="P113" s="6">
        <v>155.57</v>
      </c>
      <c r="Q113" s="6">
        <v>8.99</v>
      </c>
      <c r="R113" s="6">
        <v>0</v>
      </c>
      <c r="S113" s="6">
        <v>7.16</v>
      </c>
      <c r="T113" s="6">
        <v>153.74</v>
      </c>
      <c r="V113">
        <v>47</v>
      </c>
      <c r="W113" s="5">
        <v>45978</v>
      </c>
      <c r="X113" t="s">
        <v>181</v>
      </c>
      <c r="Y113">
        <v>313</v>
      </c>
      <c r="Z113" s="6">
        <v>2042.67</v>
      </c>
      <c r="AA113" s="6">
        <v>9.5</v>
      </c>
      <c r="AB113" s="6">
        <v>0</v>
      </c>
      <c r="AC113" s="6">
        <v>297.44</v>
      </c>
      <c r="AD113" s="6">
        <v>2330.61</v>
      </c>
      <c r="AH113" t="s">
        <v>211</v>
      </c>
      <c r="AI113" s="5">
        <v>45962</v>
      </c>
      <c r="AJ113" t="s">
        <v>113</v>
      </c>
      <c r="AK113">
        <v>344</v>
      </c>
      <c r="AL113" s="6">
        <v>1167.83</v>
      </c>
      <c r="AM113" s="6">
        <v>0</v>
      </c>
      <c r="AN113" s="6">
        <v>0</v>
      </c>
      <c r="AO113" s="6">
        <v>12.64</v>
      </c>
      <c r="AP113" s="6">
        <v>1180.47</v>
      </c>
      <c r="AR113" t="s">
        <v>199</v>
      </c>
      <c r="AS113" s="5">
        <v>46082</v>
      </c>
      <c r="AT113" t="s">
        <v>198</v>
      </c>
      <c r="AU113">
        <v>219</v>
      </c>
      <c r="AV113" s="6">
        <v>1663.68</v>
      </c>
      <c r="AW113" s="6">
        <v>0</v>
      </c>
      <c r="AX113" s="6">
        <v>0</v>
      </c>
      <c r="AY113" s="6">
        <v>410.4</v>
      </c>
      <c r="AZ113" s="6">
        <v>2074.08</v>
      </c>
    </row>
    <row r="114" spans="2:52" ht="18.75">
      <c r="B114">
        <v>41</v>
      </c>
      <c r="C114" s="5">
        <v>45936</v>
      </c>
      <c r="D114" t="s">
        <v>117</v>
      </c>
      <c r="E114">
        <v>84</v>
      </c>
      <c r="F114" s="6">
        <v>394.66</v>
      </c>
      <c r="G114" s="6">
        <v>0</v>
      </c>
      <c r="H114" s="6">
        <v>17.55</v>
      </c>
      <c r="I114" s="6">
        <v>0</v>
      </c>
      <c r="J114" s="6">
        <v>394.66</v>
      </c>
      <c r="L114">
        <v>37</v>
      </c>
      <c r="M114" s="5">
        <v>45908</v>
      </c>
      <c r="N114" t="s">
        <v>164</v>
      </c>
      <c r="O114">
        <v>12</v>
      </c>
      <c r="P114" s="6">
        <v>45</v>
      </c>
      <c r="Q114" s="6">
        <v>0</v>
      </c>
      <c r="R114" s="6">
        <v>0</v>
      </c>
      <c r="S114" s="6">
        <v>0.94</v>
      </c>
      <c r="T114" s="6">
        <v>45.94</v>
      </c>
      <c r="V114">
        <v>47</v>
      </c>
      <c r="W114" s="5">
        <v>45978</v>
      </c>
      <c r="X114" t="s">
        <v>178</v>
      </c>
      <c r="Y114">
        <v>294</v>
      </c>
      <c r="Z114" s="6">
        <v>2715.26</v>
      </c>
      <c r="AA114" s="6">
        <v>9.9</v>
      </c>
      <c r="AB114" s="6">
        <v>53.39</v>
      </c>
      <c r="AC114" s="6">
        <v>61.5</v>
      </c>
      <c r="AD114" s="6">
        <v>2766.86</v>
      </c>
      <c r="AH114" t="s">
        <v>211</v>
      </c>
      <c r="AI114" s="5">
        <v>45962</v>
      </c>
      <c r="AJ114" t="s">
        <v>141</v>
      </c>
      <c r="AK114">
        <v>1137</v>
      </c>
      <c r="AL114" s="6">
        <v>3710.43999999996</v>
      </c>
      <c r="AM114" s="6">
        <v>4.3</v>
      </c>
      <c r="AN114" s="6">
        <v>0</v>
      </c>
      <c r="AO114" s="6">
        <v>71.849999999999994</v>
      </c>
      <c r="AP114" s="6">
        <v>3777.9899999999602</v>
      </c>
      <c r="AR114" t="s">
        <v>199</v>
      </c>
      <c r="AS114" s="5">
        <v>46082</v>
      </c>
      <c r="AT114" t="s">
        <v>165</v>
      </c>
      <c r="AU114">
        <v>146</v>
      </c>
      <c r="AV114" s="6">
        <v>1190.1199999999999</v>
      </c>
      <c r="AW114" s="6">
        <v>9.5</v>
      </c>
      <c r="AX114" s="6">
        <v>0</v>
      </c>
      <c r="AY114" s="6">
        <v>134.57</v>
      </c>
      <c r="AZ114" s="6">
        <v>1315.19</v>
      </c>
    </row>
    <row r="115" spans="2:52" ht="18.75">
      <c r="B115">
        <v>41</v>
      </c>
      <c r="C115" s="5">
        <v>45936</v>
      </c>
      <c r="D115" t="s">
        <v>150</v>
      </c>
      <c r="E115">
        <v>16</v>
      </c>
      <c r="F115" s="6">
        <v>88.88</v>
      </c>
      <c r="G115" s="6">
        <v>0</v>
      </c>
      <c r="H115" s="6">
        <v>10.62</v>
      </c>
      <c r="I115" s="6">
        <v>0</v>
      </c>
      <c r="J115" s="6">
        <v>88.88</v>
      </c>
      <c r="L115">
        <v>37</v>
      </c>
      <c r="M115" s="5">
        <v>45908</v>
      </c>
      <c r="N115" t="s">
        <v>172</v>
      </c>
      <c r="O115">
        <v>20</v>
      </c>
      <c r="P115" s="6">
        <v>64.8</v>
      </c>
      <c r="Q115" s="6">
        <v>0</v>
      </c>
      <c r="R115" s="6">
        <v>0</v>
      </c>
      <c r="S115" s="6">
        <v>0</v>
      </c>
      <c r="T115" s="6">
        <v>64.8</v>
      </c>
      <c r="V115">
        <v>47</v>
      </c>
      <c r="W115" s="5">
        <v>45978</v>
      </c>
      <c r="X115" t="s">
        <v>180</v>
      </c>
      <c r="Y115">
        <v>33</v>
      </c>
      <c r="Z115" s="6">
        <v>282.64999999999998</v>
      </c>
      <c r="AA115" s="6">
        <v>0</v>
      </c>
      <c r="AB115" s="6">
        <v>0</v>
      </c>
      <c r="AC115" s="6">
        <v>22.39</v>
      </c>
      <c r="AD115" s="6">
        <v>305.04000000000002</v>
      </c>
      <c r="AH115" t="s">
        <v>211</v>
      </c>
      <c r="AI115" s="5">
        <v>45962</v>
      </c>
      <c r="AJ115" t="s">
        <v>147</v>
      </c>
      <c r="AK115">
        <v>350</v>
      </c>
      <c r="AL115" s="6">
        <v>1804.32</v>
      </c>
      <c r="AM115" s="6">
        <v>15.8</v>
      </c>
      <c r="AN115" s="6">
        <v>0</v>
      </c>
      <c r="AO115" s="6">
        <v>23.97</v>
      </c>
      <c r="AP115" s="6">
        <v>1812.49</v>
      </c>
      <c r="AR115" t="s">
        <v>199</v>
      </c>
      <c r="AS115" s="5">
        <v>46082</v>
      </c>
      <c r="AT115" t="s">
        <v>172</v>
      </c>
      <c r="AU115">
        <v>94</v>
      </c>
      <c r="AV115" s="6">
        <v>292.79999999999899</v>
      </c>
      <c r="AW115" s="6">
        <v>0</v>
      </c>
      <c r="AX115" s="6">
        <v>0</v>
      </c>
      <c r="AY115" s="6">
        <v>9.6</v>
      </c>
      <c r="AZ115" s="6">
        <v>302.39999999999998</v>
      </c>
    </row>
    <row r="116" spans="2:52" ht="18.75">
      <c r="B116">
        <v>41</v>
      </c>
      <c r="C116" s="5">
        <v>45936</v>
      </c>
      <c r="D116" t="s">
        <v>146</v>
      </c>
      <c r="E116">
        <v>156</v>
      </c>
      <c r="F116" s="6">
        <v>881.58000000000197</v>
      </c>
      <c r="G116" s="6">
        <v>3.6</v>
      </c>
      <c r="H116" s="6">
        <v>10.62</v>
      </c>
      <c r="I116" s="6">
        <v>0</v>
      </c>
      <c r="J116" s="6">
        <v>877.98000000000104</v>
      </c>
      <c r="L116">
        <v>37</v>
      </c>
      <c r="M116" s="5">
        <v>45908</v>
      </c>
      <c r="N116" t="s">
        <v>166</v>
      </c>
      <c r="O116">
        <v>1</v>
      </c>
      <c r="P116" s="6">
        <v>0</v>
      </c>
      <c r="Q116" s="6">
        <v>0</v>
      </c>
      <c r="R116" s="6">
        <v>0</v>
      </c>
      <c r="S116" s="6">
        <v>5.99</v>
      </c>
      <c r="T116" s="6">
        <v>5.99</v>
      </c>
      <c r="V116">
        <v>47</v>
      </c>
      <c r="W116" s="5">
        <v>45978</v>
      </c>
      <c r="X116" t="s">
        <v>186</v>
      </c>
      <c r="Y116">
        <v>101</v>
      </c>
      <c r="Z116" s="6">
        <v>322.66000000000003</v>
      </c>
      <c r="AA116" s="6">
        <v>0</v>
      </c>
      <c r="AB116" s="6">
        <v>0</v>
      </c>
      <c r="AC116" s="6">
        <v>45.99</v>
      </c>
      <c r="AD116" s="6">
        <v>368.65</v>
      </c>
      <c r="AH116" t="s">
        <v>211</v>
      </c>
      <c r="AI116" s="5">
        <v>45962</v>
      </c>
      <c r="AJ116" t="s">
        <v>126</v>
      </c>
      <c r="AK116">
        <v>165</v>
      </c>
      <c r="AL116" s="6">
        <v>683.99</v>
      </c>
      <c r="AM116" s="6">
        <v>0</v>
      </c>
      <c r="AN116" s="6">
        <v>0</v>
      </c>
      <c r="AO116" s="6">
        <v>6.42</v>
      </c>
      <c r="AP116" s="6">
        <v>690.41</v>
      </c>
      <c r="AR116" t="s">
        <v>199</v>
      </c>
      <c r="AS116" s="5">
        <v>46082</v>
      </c>
      <c r="AT116" t="s">
        <v>201</v>
      </c>
      <c r="AU116">
        <v>124</v>
      </c>
      <c r="AV116" s="6">
        <v>369.57</v>
      </c>
      <c r="AW116" s="6">
        <v>0</v>
      </c>
      <c r="AX116" s="6">
        <v>0</v>
      </c>
      <c r="AY116" s="6">
        <v>219.43</v>
      </c>
      <c r="AZ116" s="6">
        <v>589</v>
      </c>
    </row>
    <row r="117" spans="2:52" ht="18.75">
      <c r="B117">
        <v>41</v>
      </c>
      <c r="C117" s="5">
        <v>45936</v>
      </c>
      <c r="D117" t="s">
        <v>126</v>
      </c>
      <c r="E117">
        <v>41</v>
      </c>
      <c r="F117" s="6">
        <v>171.63</v>
      </c>
      <c r="G117" s="6">
        <v>0</v>
      </c>
      <c r="H117" s="6">
        <v>0.8</v>
      </c>
      <c r="I117" s="6">
        <v>0</v>
      </c>
      <c r="J117" s="6">
        <v>171.63</v>
      </c>
      <c r="L117">
        <v>37</v>
      </c>
      <c r="M117" s="5">
        <v>45908</v>
      </c>
      <c r="N117" t="s">
        <v>179</v>
      </c>
      <c r="O117">
        <v>3</v>
      </c>
      <c r="P117" s="6">
        <v>0</v>
      </c>
      <c r="Q117" s="6">
        <v>0</v>
      </c>
      <c r="R117" s="6">
        <v>0</v>
      </c>
      <c r="S117" s="6">
        <v>17.97</v>
      </c>
      <c r="T117" s="6">
        <v>17.97</v>
      </c>
      <c r="V117">
        <v>47</v>
      </c>
      <c r="W117" s="5">
        <v>45978</v>
      </c>
      <c r="X117" t="s">
        <v>185</v>
      </c>
      <c r="Y117">
        <v>192</v>
      </c>
      <c r="Z117" s="6">
        <v>919.97000000000196</v>
      </c>
      <c r="AA117" s="6">
        <v>0</v>
      </c>
      <c r="AB117" s="6">
        <v>0</v>
      </c>
      <c r="AC117" s="6">
        <v>53.39</v>
      </c>
      <c r="AD117" s="6">
        <v>973.36000000000195</v>
      </c>
      <c r="AH117" t="s">
        <v>211</v>
      </c>
      <c r="AI117" s="5">
        <v>45962</v>
      </c>
      <c r="AJ117" t="s">
        <v>129</v>
      </c>
      <c r="AK117">
        <v>613</v>
      </c>
      <c r="AL117" s="6">
        <v>59.64</v>
      </c>
      <c r="AM117" s="6">
        <v>12.95</v>
      </c>
      <c r="AN117" s="6">
        <v>0</v>
      </c>
      <c r="AO117" s="6">
        <v>2473.21</v>
      </c>
      <c r="AP117" s="6">
        <v>2519.9</v>
      </c>
      <c r="AR117" t="s">
        <v>199</v>
      </c>
      <c r="AS117" s="5">
        <v>46082</v>
      </c>
      <c r="AT117" t="s">
        <v>207</v>
      </c>
      <c r="AU117">
        <v>21</v>
      </c>
      <c r="AV117" s="6">
        <v>208.83</v>
      </c>
      <c r="AW117" s="6">
        <v>0</v>
      </c>
      <c r="AX117" s="6">
        <v>0</v>
      </c>
      <c r="AY117" s="6">
        <v>41.07</v>
      </c>
      <c r="AZ117" s="6">
        <v>249.9</v>
      </c>
    </row>
    <row r="118" spans="2:52" ht="18.75">
      <c r="B118">
        <v>41</v>
      </c>
      <c r="C118" s="5">
        <v>45936</v>
      </c>
      <c r="D118" t="s">
        <v>118</v>
      </c>
      <c r="E118">
        <v>61</v>
      </c>
      <c r="F118" s="6">
        <v>216.97</v>
      </c>
      <c r="G118" s="6">
        <v>0</v>
      </c>
      <c r="H118" s="6">
        <v>3.24</v>
      </c>
      <c r="I118" s="6">
        <v>0</v>
      </c>
      <c r="J118" s="6">
        <v>216.97</v>
      </c>
      <c r="L118">
        <v>36</v>
      </c>
      <c r="M118" s="5">
        <v>45901</v>
      </c>
      <c r="N118" t="s">
        <v>163</v>
      </c>
      <c r="O118">
        <v>314</v>
      </c>
      <c r="P118" s="6">
        <v>587.1</v>
      </c>
      <c r="Q118" s="6">
        <v>0</v>
      </c>
      <c r="R118" s="6">
        <v>0</v>
      </c>
      <c r="S118" s="6">
        <v>49.9</v>
      </c>
      <c r="T118" s="6">
        <v>637</v>
      </c>
      <c r="V118">
        <v>48</v>
      </c>
      <c r="W118" s="5">
        <v>45985</v>
      </c>
      <c r="X118" t="s">
        <v>179</v>
      </c>
      <c r="Y118">
        <v>625</v>
      </c>
      <c r="Z118" s="6">
        <v>3503.9199999999801</v>
      </c>
      <c r="AA118" s="6">
        <v>6.3</v>
      </c>
      <c r="AB118" s="6">
        <v>112.46</v>
      </c>
      <c r="AC118" s="6">
        <v>124.17</v>
      </c>
      <c r="AD118" s="6">
        <v>3621.78999999998</v>
      </c>
      <c r="AH118" t="s">
        <v>211</v>
      </c>
      <c r="AI118" s="5">
        <v>45962</v>
      </c>
      <c r="AJ118" t="s">
        <v>120</v>
      </c>
      <c r="AK118">
        <v>144</v>
      </c>
      <c r="AL118" s="6">
        <v>660.13</v>
      </c>
      <c r="AM118" s="6">
        <v>2.2000000000000002</v>
      </c>
      <c r="AN118" s="6">
        <v>0</v>
      </c>
      <c r="AO118" s="6">
        <v>4.88</v>
      </c>
      <c r="AP118" s="6">
        <v>662.81</v>
      </c>
      <c r="AR118" t="s">
        <v>199</v>
      </c>
      <c r="AS118" s="5">
        <v>46082</v>
      </c>
      <c r="AT118" t="s">
        <v>164</v>
      </c>
      <c r="AU118">
        <v>6</v>
      </c>
      <c r="AV118" s="6">
        <v>19.5</v>
      </c>
      <c r="AW118" s="6">
        <v>0</v>
      </c>
      <c r="AX118" s="6">
        <v>0</v>
      </c>
      <c r="AY118" s="6">
        <v>3</v>
      </c>
      <c r="AZ118" s="6">
        <v>22.5</v>
      </c>
    </row>
    <row r="119" spans="2:52" ht="18.75">
      <c r="B119">
        <v>41</v>
      </c>
      <c r="C119" s="5">
        <v>45936</v>
      </c>
      <c r="D119" t="s">
        <v>119</v>
      </c>
      <c r="E119">
        <v>148</v>
      </c>
      <c r="F119" s="6">
        <v>568.54</v>
      </c>
      <c r="G119" s="6">
        <v>5.0999999999999996</v>
      </c>
      <c r="H119" s="6">
        <v>13.94</v>
      </c>
      <c r="I119" s="6">
        <v>0</v>
      </c>
      <c r="J119" s="6">
        <v>563.44000000000005</v>
      </c>
      <c r="L119">
        <v>36</v>
      </c>
      <c r="M119" s="5">
        <v>45901</v>
      </c>
      <c r="N119" t="s">
        <v>169</v>
      </c>
      <c r="O119">
        <v>751</v>
      </c>
      <c r="P119" s="6">
        <v>1843.6499999999901</v>
      </c>
      <c r="Q119" s="6">
        <v>0</v>
      </c>
      <c r="R119" s="6">
        <v>25.31</v>
      </c>
      <c r="S119" s="6">
        <v>84.82</v>
      </c>
      <c r="T119" s="6">
        <v>1928.46999999999</v>
      </c>
      <c r="V119">
        <v>48</v>
      </c>
      <c r="W119" s="5">
        <v>45985</v>
      </c>
      <c r="X119" t="s">
        <v>182</v>
      </c>
      <c r="Y119">
        <v>1081</v>
      </c>
      <c r="Z119" s="6">
        <v>2745.47999999999</v>
      </c>
      <c r="AA119" s="6">
        <v>0</v>
      </c>
      <c r="AB119" s="6">
        <v>31.67</v>
      </c>
      <c r="AC119" s="6">
        <v>109.97</v>
      </c>
      <c r="AD119" s="6">
        <v>2855.4499999999898</v>
      </c>
      <c r="AH119" t="s">
        <v>211</v>
      </c>
      <c r="AI119" s="5">
        <v>45962</v>
      </c>
      <c r="AJ119" t="s">
        <v>150</v>
      </c>
      <c r="AK119">
        <v>51</v>
      </c>
      <c r="AL119" s="6">
        <v>295.77</v>
      </c>
      <c r="AM119" s="6">
        <v>0</v>
      </c>
      <c r="AN119" s="6">
        <v>0</v>
      </c>
      <c r="AO119" s="6">
        <v>3.69</v>
      </c>
      <c r="AP119" s="6">
        <v>299.45999999999998</v>
      </c>
      <c r="AR119" t="s">
        <v>200</v>
      </c>
      <c r="AS119" s="5">
        <v>46113</v>
      </c>
      <c r="AT119" t="s">
        <v>160</v>
      </c>
      <c r="AU119">
        <v>3873</v>
      </c>
      <c r="AV119" s="6">
        <v>26318.240000001399</v>
      </c>
      <c r="AW119" s="6">
        <v>16.559999999999999</v>
      </c>
      <c r="AX119" s="6">
        <v>0</v>
      </c>
      <c r="AY119" s="6">
        <v>1525.58</v>
      </c>
      <c r="AZ119" s="6">
        <v>27827.260000001399</v>
      </c>
    </row>
    <row r="120" spans="2:52" ht="18.75">
      <c r="B120">
        <v>41</v>
      </c>
      <c r="C120" s="5">
        <v>45936</v>
      </c>
      <c r="D120" t="s">
        <v>122</v>
      </c>
      <c r="E120">
        <v>76</v>
      </c>
      <c r="F120" s="6">
        <v>395.39</v>
      </c>
      <c r="G120" s="6">
        <v>0</v>
      </c>
      <c r="H120" s="6">
        <v>1.92</v>
      </c>
      <c r="I120" s="6">
        <v>0</v>
      </c>
      <c r="J120" s="6">
        <v>395.39</v>
      </c>
      <c r="L120">
        <v>36</v>
      </c>
      <c r="M120" s="5">
        <v>45901</v>
      </c>
      <c r="N120" t="s">
        <v>158</v>
      </c>
      <c r="O120">
        <v>74</v>
      </c>
      <c r="P120" s="6">
        <v>525.75</v>
      </c>
      <c r="Q120" s="6">
        <v>0</v>
      </c>
      <c r="R120" s="6">
        <v>19.55</v>
      </c>
      <c r="S120" s="6">
        <v>21.7</v>
      </c>
      <c r="T120" s="6">
        <v>547.45000000000005</v>
      </c>
      <c r="V120">
        <v>48</v>
      </c>
      <c r="W120" s="5">
        <v>45985</v>
      </c>
      <c r="X120" t="s">
        <v>183</v>
      </c>
      <c r="Y120">
        <v>388</v>
      </c>
      <c r="Z120" s="6">
        <v>792.020000000001</v>
      </c>
      <c r="AA120" s="6">
        <v>2.2000000000000002</v>
      </c>
      <c r="AB120" s="6">
        <v>0</v>
      </c>
      <c r="AC120" s="6">
        <v>69.819999999999993</v>
      </c>
      <c r="AD120" s="6">
        <v>859.64000000000101</v>
      </c>
      <c r="AH120" t="s">
        <v>211</v>
      </c>
      <c r="AI120" s="5">
        <v>45962</v>
      </c>
      <c r="AJ120" t="s">
        <v>117</v>
      </c>
      <c r="AK120">
        <v>264</v>
      </c>
      <c r="AL120" s="6">
        <v>1199.6500000000001</v>
      </c>
      <c r="AM120" s="6">
        <v>2.5</v>
      </c>
      <c r="AN120" s="6">
        <v>0</v>
      </c>
      <c r="AO120" s="6">
        <v>49.31</v>
      </c>
      <c r="AP120" s="6">
        <v>1246.46</v>
      </c>
      <c r="AR120" t="s">
        <v>200</v>
      </c>
      <c r="AS120" s="5">
        <v>46113</v>
      </c>
      <c r="AT120" t="s">
        <v>171</v>
      </c>
      <c r="AU120">
        <v>414</v>
      </c>
      <c r="AV120" s="6">
        <v>2603.39</v>
      </c>
      <c r="AW120" s="6">
        <v>0</v>
      </c>
      <c r="AX120" s="6">
        <v>0</v>
      </c>
      <c r="AY120" s="6">
        <v>439.56</v>
      </c>
      <c r="AZ120" s="6">
        <v>3042.95</v>
      </c>
    </row>
    <row r="121" spans="2:52" ht="18.75">
      <c r="B121">
        <v>41</v>
      </c>
      <c r="C121" s="5">
        <v>45936</v>
      </c>
      <c r="D121" t="s">
        <v>121</v>
      </c>
      <c r="E121">
        <v>48</v>
      </c>
      <c r="F121" s="6">
        <v>159.13</v>
      </c>
      <c r="G121" s="6">
        <v>0</v>
      </c>
      <c r="H121" s="6">
        <v>6.18</v>
      </c>
      <c r="I121" s="6">
        <v>0</v>
      </c>
      <c r="J121" s="6">
        <v>159.13</v>
      </c>
      <c r="L121">
        <v>36</v>
      </c>
      <c r="M121" s="5">
        <v>45901</v>
      </c>
      <c r="N121" t="s">
        <v>160</v>
      </c>
      <c r="O121">
        <v>674</v>
      </c>
      <c r="P121" s="6">
        <v>4290.9799999999696</v>
      </c>
      <c r="Q121" s="6">
        <v>9.43</v>
      </c>
      <c r="R121" s="6">
        <v>111.92</v>
      </c>
      <c r="S121" s="6">
        <v>146.34</v>
      </c>
      <c r="T121" s="6">
        <v>4427.8899999999703</v>
      </c>
      <c r="V121">
        <v>48</v>
      </c>
      <c r="W121" s="5">
        <v>45985</v>
      </c>
      <c r="X121" t="s">
        <v>180</v>
      </c>
      <c r="Y121">
        <v>87</v>
      </c>
      <c r="Z121" s="6">
        <v>737.57000000000096</v>
      </c>
      <c r="AA121" s="6">
        <v>17.98</v>
      </c>
      <c r="AB121" s="6">
        <v>0</v>
      </c>
      <c r="AC121" s="6">
        <v>49.11</v>
      </c>
      <c r="AD121" s="6">
        <v>768.70000000000095</v>
      </c>
      <c r="AH121" t="s">
        <v>211</v>
      </c>
      <c r="AI121" s="5">
        <v>45962</v>
      </c>
      <c r="AJ121" t="s">
        <v>146</v>
      </c>
      <c r="AK121">
        <v>630</v>
      </c>
      <c r="AL121" s="6">
        <v>3501.1799999999798</v>
      </c>
      <c r="AM121" s="6">
        <v>30.27</v>
      </c>
      <c r="AN121" s="6">
        <v>0</v>
      </c>
      <c r="AO121" s="6">
        <v>55.31</v>
      </c>
      <c r="AP121" s="6">
        <v>3526.2199999999798</v>
      </c>
      <c r="AR121" t="s">
        <v>200</v>
      </c>
      <c r="AS121" s="5">
        <v>46113</v>
      </c>
      <c r="AT121" t="s">
        <v>198</v>
      </c>
      <c r="AU121">
        <v>219</v>
      </c>
      <c r="AV121" s="6">
        <v>1730.02</v>
      </c>
      <c r="AW121" s="6">
        <v>0</v>
      </c>
      <c r="AX121" s="6">
        <v>0</v>
      </c>
      <c r="AY121" s="6">
        <v>356.65</v>
      </c>
      <c r="AZ121" s="6">
        <v>2086.67</v>
      </c>
    </row>
    <row r="122" spans="2:52" ht="18.75">
      <c r="B122">
        <v>41</v>
      </c>
      <c r="C122" s="5">
        <v>45936</v>
      </c>
      <c r="D122" t="s">
        <v>138</v>
      </c>
      <c r="E122">
        <v>125</v>
      </c>
      <c r="F122" s="6">
        <v>607.39</v>
      </c>
      <c r="G122" s="6">
        <v>0</v>
      </c>
      <c r="H122" s="6">
        <v>13.7</v>
      </c>
      <c r="I122" s="6">
        <v>11.39</v>
      </c>
      <c r="J122" s="6">
        <v>618.78</v>
      </c>
      <c r="L122">
        <v>36</v>
      </c>
      <c r="M122" s="5">
        <v>45901</v>
      </c>
      <c r="N122" t="s">
        <v>173</v>
      </c>
      <c r="O122">
        <v>123</v>
      </c>
      <c r="P122" s="6">
        <v>548.96</v>
      </c>
      <c r="Q122" s="6">
        <v>4.95</v>
      </c>
      <c r="R122" s="6">
        <v>7.91</v>
      </c>
      <c r="S122" s="6">
        <v>56.94</v>
      </c>
      <c r="T122" s="6">
        <v>600.95000000000005</v>
      </c>
      <c r="V122">
        <v>48</v>
      </c>
      <c r="W122" s="5">
        <v>45985</v>
      </c>
      <c r="X122" t="s">
        <v>186</v>
      </c>
      <c r="Y122">
        <v>105</v>
      </c>
      <c r="Z122" s="6">
        <v>355.2</v>
      </c>
      <c r="AA122" s="6">
        <v>0</v>
      </c>
      <c r="AB122" s="6">
        <v>2.78</v>
      </c>
      <c r="AC122" s="6">
        <v>25.27</v>
      </c>
      <c r="AD122" s="6">
        <v>380.47</v>
      </c>
      <c r="AH122" t="s">
        <v>211</v>
      </c>
      <c r="AI122" s="5">
        <v>45962</v>
      </c>
      <c r="AJ122" t="s">
        <v>116</v>
      </c>
      <c r="AK122">
        <v>136</v>
      </c>
      <c r="AL122" s="6">
        <v>499.36</v>
      </c>
      <c r="AM122" s="6">
        <v>0</v>
      </c>
      <c r="AN122" s="6">
        <v>0</v>
      </c>
      <c r="AO122" s="6">
        <v>7.59</v>
      </c>
      <c r="AP122" s="6">
        <v>506.95</v>
      </c>
      <c r="AR122" t="s">
        <v>200</v>
      </c>
      <c r="AS122" s="5">
        <v>46113</v>
      </c>
      <c r="AT122" t="s">
        <v>169</v>
      </c>
      <c r="AU122">
        <v>4894</v>
      </c>
      <c r="AV122" s="6">
        <v>12180.7599999996</v>
      </c>
      <c r="AW122" s="6">
        <v>6.8</v>
      </c>
      <c r="AX122" s="6">
        <v>0</v>
      </c>
      <c r="AY122" s="6">
        <v>558.81000000000097</v>
      </c>
      <c r="AZ122" s="6">
        <v>12732.7699999996</v>
      </c>
    </row>
    <row r="123" spans="2:52" ht="18.75">
      <c r="B123">
        <v>41</v>
      </c>
      <c r="C123" s="5">
        <v>45936</v>
      </c>
      <c r="D123" t="s">
        <v>137</v>
      </c>
      <c r="E123">
        <v>21</v>
      </c>
      <c r="F123" s="6">
        <v>62.42</v>
      </c>
      <c r="G123" s="6">
        <v>0</v>
      </c>
      <c r="H123" s="6">
        <v>0.8</v>
      </c>
      <c r="I123" s="6">
        <v>37.4</v>
      </c>
      <c r="J123" s="6">
        <v>99.82</v>
      </c>
      <c r="L123">
        <v>36</v>
      </c>
      <c r="M123" s="5">
        <v>45901</v>
      </c>
      <c r="N123" t="s">
        <v>168</v>
      </c>
      <c r="O123">
        <v>275</v>
      </c>
      <c r="P123" s="6">
        <v>494.37</v>
      </c>
      <c r="Q123" s="6">
        <v>9.98</v>
      </c>
      <c r="R123" s="6">
        <v>0</v>
      </c>
      <c r="S123" s="6">
        <v>80.650000000000006</v>
      </c>
      <c r="T123" s="6">
        <v>565.04</v>
      </c>
      <c r="V123">
        <v>48</v>
      </c>
      <c r="W123" s="5">
        <v>45985</v>
      </c>
      <c r="X123" t="s">
        <v>181</v>
      </c>
      <c r="Y123">
        <v>264</v>
      </c>
      <c r="Z123" s="6">
        <v>1907.46</v>
      </c>
      <c r="AA123" s="6">
        <v>0</v>
      </c>
      <c r="AB123" s="6">
        <v>0</v>
      </c>
      <c r="AC123" s="6">
        <v>256.89999999999998</v>
      </c>
      <c r="AD123" s="6">
        <v>2164.36</v>
      </c>
      <c r="AH123" t="s">
        <v>211</v>
      </c>
      <c r="AI123" s="5">
        <v>45962</v>
      </c>
      <c r="AJ123" t="s">
        <v>112</v>
      </c>
      <c r="AK123">
        <v>56</v>
      </c>
      <c r="AL123" s="6">
        <v>246.51</v>
      </c>
      <c r="AM123" s="6">
        <v>0</v>
      </c>
      <c r="AN123" s="6">
        <v>0</v>
      </c>
      <c r="AO123" s="6">
        <v>1</v>
      </c>
      <c r="AP123" s="6">
        <v>247.51</v>
      </c>
      <c r="AR123" t="s">
        <v>200</v>
      </c>
      <c r="AS123" s="5">
        <v>46113</v>
      </c>
      <c r="AT123" t="s">
        <v>158</v>
      </c>
      <c r="AU123">
        <v>636</v>
      </c>
      <c r="AV123" s="6">
        <v>3786.3200000000302</v>
      </c>
      <c r="AW123" s="6">
        <v>12.6</v>
      </c>
      <c r="AX123" s="6">
        <v>0</v>
      </c>
      <c r="AY123" s="6">
        <v>220.48</v>
      </c>
      <c r="AZ123" s="6">
        <v>3994.2000000000298</v>
      </c>
    </row>
    <row r="124" spans="2:52" ht="18.75">
      <c r="B124">
        <v>41</v>
      </c>
      <c r="C124" s="5">
        <v>45936</v>
      </c>
      <c r="D124" t="s">
        <v>133</v>
      </c>
      <c r="E124">
        <v>91</v>
      </c>
      <c r="F124" s="6">
        <v>457.68</v>
      </c>
      <c r="G124" s="6">
        <v>0</v>
      </c>
      <c r="H124" s="6">
        <v>3.96</v>
      </c>
      <c r="I124" s="6">
        <v>0</v>
      </c>
      <c r="J124" s="6">
        <v>457.68</v>
      </c>
      <c r="L124">
        <v>36</v>
      </c>
      <c r="M124" s="5">
        <v>45901</v>
      </c>
      <c r="N124" t="s">
        <v>174</v>
      </c>
      <c r="O124">
        <v>148</v>
      </c>
      <c r="P124" s="6">
        <v>868.46000000000095</v>
      </c>
      <c r="Q124" s="6">
        <v>7.38</v>
      </c>
      <c r="R124" s="6">
        <v>0</v>
      </c>
      <c r="S124" s="6">
        <v>184.34</v>
      </c>
      <c r="T124" s="6">
        <v>1045.42</v>
      </c>
      <c r="V124">
        <v>48</v>
      </c>
      <c r="W124" s="5">
        <v>45985</v>
      </c>
      <c r="X124" t="s">
        <v>185</v>
      </c>
      <c r="Y124">
        <v>168</v>
      </c>
      <c r="Z124" s="6">
        <v>775.76000000000101</v>
      </c>
      <c r="AA124" s="6">
        <v>0</v>
      </c>
      <c r="AB124" s="6">
        <v>0</v>
      </c>
      <c r="AC124" s="6">
        <v>76.06</v>
      </c>
      <c r="AD124" s="6">
        <v>851.82000000000096</v>
      </c>
      <c r="AH124" t="s">
        <v>211</v>
      </c>
      <c r="AI124" s="5">
        <v>45962</v>
      </c>
      <c r="AJ124" t="s">
        <v>145</v>
      </c>
      <c r="AK124">
        <v>325</v>
      </c>
      <c r="AL124" s="6">
        <v>1881.83</v>
      </c>
      <c r="AM124" s="6">
        <v>0</v>
      </c>
      <c r="AN124" s="6">
        <v>0</v>
      </c>
      <c r="AO124" s="6">
        <v>41.89</v>
      </c>
      <c r="AP124" s="6">
        <v>1923.72</v>
      </c>
      <c r="AR124" t="s">
        <v>200</v>
      </c>
      <c r="AS124" s="5">
        <v>46113</v>
      </c>
      <c r="AT124" t="s">
        <v>163</v>
      </c>
      <c r="AU124">
        <v>1051</v>
      </c>
      <c r="AV124" s="6">
        <v>2111.1800000000198</v>
      </c>
      <c r="AW124" s="6">
        <v>2.2000000000000002</v>
      </c>
      <c r="AX124" s="6">
        <v>0</v>
      </c>
      <c r="AY124" s="6">
        <v>128.41999999999999</v>
      </c>
      <c r="AZ124" s="6">
        <v>2237.4000000000201</v>
      </c>
    </row>
    <row r="125" spans="2:52" ht="18.75">
      <c r="B125">
        <v>41</v>
      </c>
      <c r="C125" s="5">
        <v>45936</v>
      </c>
      <c r="D125" t="s">
        <v>149</v>
      </c>
      <c r="E125">
        <v>37</v>
      </c>
      <c r="F125" s="6">
        <v>136.53</v>
      </c>
      <c r="G125" s="6">
        <v>0</v>
      </c>
      <c r="H125" s="6">
        <v>0.72</v>
      </c>
      <c r="I125" s="6">
        <v>0</v>
      </c>
      <c r="J125" s="6">
        <v>136.53</v>
      </c>
      <c r="L125">
        <v>36</v>
      </c>
      <c r="M125" s="5">
        <v>45901</v>
      </c>
      <c r="N125" t="s">
        <v>176</v>
      </c>
      <c r="O125">
        <v>83</v>
      </c>
      <c r="P125" s="6">
        <v>170.17</v>
      </c>
      <c r="Q125" s="6">
        <v>0</v>
      </c>
      <c r="R125" s="6">
        <v>0</v>
      </c>
      <c r="S125" s="6">
        <v>16.78</v>
      </c>
      <c r="T125" s="6">
        <v>186.95</v>
      </c>
      <c r="V125">
        <v>48</v>
      </c>
      <c r="W125" s="5">
        <v>45985</v>
      </c>
      <c r="X125" t="s">
        <v>178</v>
      </c>
      <c r="Y125">
        <v>238</v>
      </c>
      <c r="Z125" s="6">
        <v>2176.38</v>
      </c>
      <c r="AA125" s="6">
        <v>9.9</v>
      </c>
      <c r="AB125" s="6">
        <v>60.67</v>
      </c>
      <c r="AC125" s="6">
        <v>91.48</v>
      </c>
      <c r="AD125" s="6">
        <v>2257.96</v>
      </c>
      <c r="AH125" t="s">
        <v>211</v>
      </c>
      <c r="AI125" s="5">
        <v>45962</v>
      </c>
      <c r="AJ125" t="s">
        <v>136</v>
      </c>
      <c r="AK125">
        <v>115</v>
      </c>
      <c r="AL125" s="6">
        <v>338.85</v>
      </c>
      <c r="AM125" s="6">
        <v>0</v>
      </c>
      <c r="AN125" s="6">
        <v>0</v>
      </c>
      <c r="AO125" s="6">
        <v>98.12</v>
      </c>
      <c r="AP125" s="6">
        <v>436.97</v>
      </c>
      <c r="AR125" t="s">
        <v>200</v>
      </c>
      <c r="AS125" s="5">
        <v>46113</v>
      </c>
      <c r="AT125" t="s">
        <v>173</v>
      </c>
      <c r="AU125">
        <v>1086</v>
      </c>
      <c r="AV125" s="6">
        <v>5156.5899999999001</v>
      </c>
      <c r="AW125" s="6">
        <v>0</v>
      </c>
      <c r="AX125" s="6">
        <v>0</v>
      </c>
      <c r="AY125" s="6">
        <v>349.99</v>
      </c>
      <c r="AZ125" s="6">
        <v>5506.5799999998999</v>
      </c>
    </row>
    <row r="126" spans="2:52" ht="18.75">
      <c r="B126">
        <v>41</v>
      </c>
      <c r="C126" s="5">
        <v>45936</v>
      </c>
      <c r="D126" t="s">
        <v>113</v>
      </c>
      <c r="E126">
        <v>90</v>
      </c>
      <c r="F126" s="6">
        <v>297.85000000000002</v>
      </c>
      <c r="G126" s="6">
        <v>0</v>
      </c>
      <c r="H126" s="6">
        <v>0</v>
      </c>
      <c r="I126" s="6">
        <v>1.26</v>
      </c>
      <c r="J126" s="6">
        <v>299.11</v>
      </c>
      <c r="L126">
        <v>36</v>
      </c>
      <c r="M126" s="5">
        <v>45901</v>
      </c>
      <c r="N126" t="s">
        <v>170</v>
      </c>
      <c r="O126">
        <v>21</v>
      </c>
      <c r="P126" s="6">
        <v>73.44</v>
      </c>
      <c r="Q126" s="6">
        <v>0</v>
      </c>
      <c r="R126" s="6">
        <v>0</v>
      </c>
      <c r="S126" s="6">
        <v>2.16</v>
      </c>
      <c r="T126" s="6">
        <v>75.599999999999994</v>
      </c>
      <c r="V126">
        <v>48</v>
      </c>
      <c r="W126" s="5">
        <v>45985</v>
      </c>
      <c r="X126" t="s">
        <v>184</v>
      </c>
      <c r="Y126">
        <v>345</v>
      </c>
      <c r="Z126" s="6">
        <v>718.73</v>
      </c>
      <c r="AA126" s="6">
        <v>1.5</v>
      </c>
      <c r="AB126" s="6">
        <v>0</v>
      </c>
      <c r="AC126" s="6">
        <v>56.76</v>
      </c>
      <c r="AD126" s="6">
        <v>773.99</v>
      </c>
      <c r="AH126" t="s">
        <v>211</v>
      </c>
      <c r="AI126" s="5">
        <v>45962</v>
      </c>
      <c r="AJ126" t="s">
        <v>134</v>
      </c>
      <c r="AK126">
        <v>310</v>
      </c>
      <c r="AL126" s="6">
        <v>1700.27</v>
      </c>
      <c r="AM126" s="6">
        <v>0</v>
      </c>
      <c r="AN126" s="6">
        <v>0</v>
      </c>
      <c r="AO126" s="6">
        <v>22.51</v>
      </c>
      <c r="AP126" s="6">
        <v>1722.78</v>
      </c>
      <c r="AR126" t="s">
        <v>200</v>
      </c>
      <c r="AS126" s="5">
        <v>46113</v>
      </c>
      <c r="AT126" t="s">
        <v>174</v>
      </c>
      <c r="AU126">
        <v>608</v>
      </c>
      <c r="AV126" s="6">
        <v>3832.5899999999901</v>
      </c>
      <c r="AW126" s="6">
        <v>0</v>
      </c>
      <c r="AX126" s="6">
        <v>0</v>
      </c>
      <c r="AY126" s="6">
        <v>849.83</v>
      </c>
      <c r="AZ126" s="6">
        <v>4682.4199999999901</v>
      </c>
    </row>
    <row r="127" spans="2:52" ht="18.75">
      <c r="B127">
        <v>41</v>
      </c>
      <c r="C127" s="5">
        <v>45936</v>
      </c>
      <c r="D127" t="s">
        <v>127</v>
      </c>
      <c r="E127">
        <v>56</v>
      </c>
      <c r="F127" s="6">
        <v>296.25</v>
      </c>
      <c r="G127" s="6">
        <v>0</v>
      </c>
      <c r="H127" s="6">
        <v>0</v>
      </c>
      <c r="I127" s="6">
        <v>0</v>
      </c>
      <c r="J127" s="6">
        <v>296.25</v>
      </c>
      <c r="L127">
        <v>36</v>
      </c>
      <c r="M127" s="5">
        <v>45901</v>
      </c>
      <c r="N127" t="s">
        <v>171</v>
      </c>
      <c r="O127">
        <v>55</v>
      </c>
      <c r="P127" s="6">
        <v>385.5</v>
      </c>
      <c r="Q127" s="6">
        <v>0</v>
      </c>
      <c r="R127" s="6">
        <v>0</v>
      </c>
      <c r="S127" s="6">
        <v>119.15</v>
      </c>
      <c r="T127" s="6">
        <v>504.65</v>
      </c>
      <c r="V127">
        <v>49</v>
      </c>
      <c r="W127" s="5">
        <v>45992</v>
      </c>
      <c r="X127" t="s">
        <v>182</v>
      </c>
      <c r="Y127">
        <v>1042</v>
      </c>
      <c r="Z127" s="6">
        <v>2693.37</v>
      </c>
      <c r="AA127" s="6">
        <v>0</v>
      </c>
      <c r="AB127" s="6">
        <v>33.6</v>
      </c>
      <c r="AC127" s="6">
        <v>117.46</v>
      </c>
      <c r="AD127" s="6">
        <v>2810.83</v>
      </c>
      <c r="AH127" t="s">
        <v>211</v>
      </c>
      <c r="AI127" s="5">
        <v>45962</v>
      </c>
      <c r="AJ127" t="s">
        <v>122</v>
      </c>
      <c r="AK127">
        <v>287</v>
      </c>
      <c r="AL127" s="6">
        <v>1483.74</v>
      </c>
      <c r="AM127" s="6">
        <v>0</v>
      </c>
      <c r="AN127" s="6">
        <v>0</v>
      </c>
      <c r="AO127" s="6">
        <v>17.39</v>
      </c>
      <c r="AP127" s="6">
        <v>1501.13</v>
      </c>
      <c r="AR127" t="s">
        <v>200</v>
      </c>
      <c r="AS127" s="5">
        <v>46113</v>
      </c>
      <c r="AT127" t="s">
        <v>206</v>
      </c>
      <c r="AU127">
        <v>272</v>
      </c>
      <c r="AV127" s="6">
        <v>987.76</v>
      </c>
      <c r="AW127" s="6">
        <v>0</v>
      </c>
      <c r="AX127" s="6">
        <v>0</v>
      </c>
      <c r="AY127" s="6">
        <v>104.74</v>
      </c>
      <c r="AZ127" s="6">
        <v>1092.5</v>
      </c>
    </row>
    <row r="128" spans="2:52" ht="18.75">
      <c r="B128">
        <v>41</v>
      </c>
      <c r="C128" s="5">
        <v>45936</v>
      </c>
      <c r="D128" t="s">
        <v>112</v>
      </c>
      <c r="E128">
        <v>20</v>
      </c>
      <c r="F128" s="6">
        <v>95.13</v>
      </c>
      <c r="G128" s="6">
        <v>0</v>
      </c>
      <c r="H128" s="6">
        <v>0</v>
      </c>
      <c r="I128" s="6">
        <v>0</v>
      </c>
      <c r="J128" s="6">
        <v>95.13</v>
      </c>
      <c r="L128">
        <v>36</v>
      </c>
      <c r="M128" s="5">
        <v>45901</v>
      </c>
      <c r="N128" t="s">
        <v>165</v>
      </c>
      <c r="O128">
        <v>42</v>
      </c>
      <c r="P128" s="6">
        <v>374.35</v>
      </c>
      <c r="Q128" s="6">
        <v>0</v>
      </c>
      <c r="R128" s="6">
        <v>0</v>
      </c>
      <c r="S128" s="6">
        <v>9.0500000000000007</v>
      </c>
      <c r="T128" s="6">
        <v>383.4</v>
      </c>
      <c r="V128">
        <v>49</v>
      </c>
      <c r="W128" s="5">
        <v>45992</v>
      </c>
      <c r="X128" t="s">
        <v>184</v>
      </c>
      <c r="Y128">
        <v>327</v>
      </c>
      <c r="Z128" s="6">
        <v>694.26000000000101</v>
      </c>
      <c r="AA128" s="6">
        <v>0</v>
      </c>
      <c r="AB128" s="6">
        <v>0</v>
      </c>
      <c r="AC128" s="6">
        <v>55.18</v>
      </c>
      <c r="AD128" s="6">
        <v>749.44000000000096</v>
      </c>
      <c r="AH128" t="s">
        <v>211</v>
      </c>
      <c r="AI128" s="5">
        <v>45962</v>
      </c>
      <c r="AJ128" t="s">
        <v>135</v>
      </c>
      <c r="AK128">
        <v>79</v>
      </c>
      <c r="AL128" s="6">
        <v>246</v>
      </c>
      <c r="AM128" s="6">
        <v>0</v>
      </c>
      <c r="AN128" s="6">
        <v>0</v>
      </c>
      <c r="AO128" s="6">
        <v>77.470000000000098</v>
      </c>
      <c r="AP128" s="6">
        <v>323.47000000000003</v>
      </c>
      <c r="AR128" t="s">
        <v>200</v>
      </c>
      <c r="AS128" s="5">
        <v>46113</v>
      </c>
      <c r="AT128" t="s">
        <v>170</v>
      </c>
      <c r="AU128">
        <v>140</v>
      </c>
      <c r="AV128" s="6">
        <v>458.82000000000102</v>
      </c>
      <c r="AW128" s="6">
        <v>0</v>
      </c>
      <c r="AX128" s="6">
        <v>0</v>
      </c>
      <c r="AY128" s="6">
        <v>46.08</v>
      </c>
      <c r="AZ128" s="6">
        <v>504.900000000001</v>
      </c>
    </row>
    <row r="129" spans="2:52" ht="18.75">
      <c r="B129">
        <v>41</v>
      </c>
      <c r="C129" s="5">
        <v>45936</v>
      </c>
      <c r="D129" t="s">
        <v>134</v>
      </c>
      <c r="E129">
        <v>72</v>
      </c>
      <c r="F129" s="6">
        <v>366.49</v>
      </c>
      <c r="G129" s="6">
        <v>0</v>
      </c>
      <c r="H129" s="6">
        <v>0</v>
      </c>
      <c r="I129" s="6">
        <v>6.99</v>
      </c>
      <c r="J129" s="6">
        <v>373.48</v>
      </c>
      <c r="L129">
        <v>36</v>
      </c>
      <c r="M129" s="5">
        <v>45901</v>
      </c>
      <c r="N129" t="s">
        <v>166</v>
      </c>
      <c r="O129">
        <v>5</v>
      </c>
      <c r="P129" s="6">
        <v>0</v>
      </c>
      <c r="Q129" s="6">
        <v>0</v>
      </c>
      <c r="R129" s="6">
        <v>0</v>
      </c>
      <c r="S129" s="6">
        <v>29.95</v>
      </c>
      <c r="T129" s="6">
        <v>29.95</v>
      </c>
      <c r="V129">
        <v>49</v>
      </c>
      <c r="W129" s="5">
        <v>45992</v>
      </c>
      <c r="X129" t="s">
        <v>183</v>
      </c>
      <c r="Y129">
        <v>296</v>
      </c>
      <c r="Z129" s="6">
        <v>615.82000000000005</v>
      </c>
      <c r="AA129" s="6">
        <v>0</v>
      </c>
      <c r="AB129" s="6">
        <v>0</v>
      </c>
      <c r="AC129" s="6">
        <v>32.93</v>
      </c>
      <c r="AD129" s="6">
        <v>648.75</v>
      </c>
      <c r="AH129" t="s">
        <v>211</v>
      </c>
      <c r="AI129" s="5">
        <v>45962</v>
      </c>
      <c r="AJ129" t="s">
        <v>149</v>
      </c>
      <c r="AK129">
        <v>242</v>
      </c>
      <c r="AL129" s="6">
        <v>843.35</v>
      </c>
      <c r="AM129" s="6">
        <v>0</v>
      </c>
      <c r="AN129" s="6">
        <v>0</v>
      </c>
      <c r="AO129" s="6">
        <v>12.36</v>
      </c>
      <c r="AP129" s="6">
        <v>855.71</v>
      </c>
      <c r="AR129" t="s">
        <v>200</v>
      </c>
      <c r="AS129" s="5">
        <v>46113</v>
      </c>
      <c r="AT129" t="s">
        <v>207</v>
      </c>
      <c r="AU129">
        <v>23</v>
      </c>
      <c r="AV129" s="6">
        <v>281.85000000000002</v>
      </c>
      <c r="AW129" s="6">
        <v>0</v>
      </c>
      <c r="AX129" s="6">
        <v>0</v>
      </c>
      <c r="AY129" s="6">
        <v>14.85</v>
      </c>
      <c r="AZ129" s="6">
        <v>296.7</v>
      </c>
    </row>
    <row r="130" spans="2:52" ht="18.75">
      <c r="B130">
        <v>41</v>
      </c>
      <c r="C130" s="5">
        <v>45936</v>
      </c>
      <c r="D130" t="s">
        <v>128</v>
      </c>
      <c r="E130">
        <v>66</v>
      </c>
      <c r="F130" s="6">
        <v>310.35000000000002</v>
      </c>
      <c r="G130" s="6">
        <v>6.3</v>
      </c>
      <c r="H130" s="6">
        <v>0</v>
      </c>
      <c r="I130" s="6">
        <v>0</v>
      </c>
      <c r="J130" s="6">
        <v>304.05</v>
      </c>
      <c r="L130">
        <v>36</v>
      </c>
      <c r="M130" s="5">
        <v>45901</v>
      </c>
      <c r="N130" t="s">
        <v>164</v>
      </c>
      <c r="O130">
        <v>5</v>
      </c>
      <c r="P130" s="6">
        <v>15.38</v>
      </c>
      <c r="Q130" s="6">
        <v>0</v>
      </c>
      <c r="R130" s="6">
        <v>0</v>
      </c>
      <c r="S130" s="6">
        <v>5.25</v>
      </c>
      <c r="T130" s="6">
        <v>20.63</v>
      </c>
      <c r="V130">
        <v>49</v>
      </c>
      <c r="W130" s="5">
        <v>45992</v>
      </c>
      <c r="X130" t="s">
        <v>178</v>
      </c>
      <c r="Y130">
        <v>306</v>
      </c>
      <c r="Z130" s="6">
        <v>2789.23</v>
      </c>
      <c r="AA130" s="6">
        <v>0</v>
      </c>
      <c r="AB130" s="6">
        <v>67.27</v>
      </c>
      <c r="AC130" s="6">
        <v>122.84</v>
      </c>
      <c r="AD130" s="6">
        <v>2912.07</v>
      </c>
      <c r="AH130" t="s">
        <v>211</v>
      </c>
      <c r="AI130" s="5">
        <v>45962</v>
      </c>
      <c r="AJ130" t="s">
        <v>133</v>
      </c>
      <c r="AK130">
        <v>285</v>
      </c>
      <c r="AL130" s="6">
        <v>1589.99</v>
      </c>
      <c r="AM130" s="6">
        <v>0</v>
      </c>
      <c r="AN130" s="6">
        <v>0</v>
      </c>
      <c r="AO130" s="6">
        <v>35.04</v>
      </c>
      <c r="AP130" s="6">
        <v>1625.03</v>
      </c>
      <c r="AR130" t="s">
        <v>200</v>
      </c>
      <c r="AS130" s="5">
        <v>46113</v>
      </c>
      <c r="AT130" t="s">
        <v>172</v>
      </c>
      <c r="AU130">
        <v>71</v>
      </c>
      <c r="AV130" s="6">
        <v>209.83</v>
      </c>
      <c r="AW130" s="6">
        <v>0</v>
      </c>
      <c r="AX130" s="6">
        <v>0</v>
      </c>
      <c r="AY130" s="6">
        <v>29.52</v>
      </c>
      <c r="AZ130" s="6">
        <v>239.35</v>
      </c>
    </row>
    <row r="131" spans="2:52" ht="18.75">
      <c r="B131">
        <v>41</v>
      </c>
      <c r="C131" s="5">
        <v>45936</v>
      </c>
      <c r="D131" t="s">
        <v>132</v>
      </c>
      <c r="E131">
        <v>71</v>
      </c>
      <c r="F131" s="6">
        <v>284.63</v>
      </c>
      <c r="G131" s="6">
        <v>0</v>
      </c>
      <c r="H131" s="6">
        <v>0</v>
      </c>
      <c r="I131" s="6">
        <v>0</v>
      </c>
      <c r="J131" s="6">
        <v>284.63</v>
      </c>
      <c r="L131">
        <v>36</v>
      </c>
      <c r="M131" s="5">
        <v>45901</v>
      </c>
      <c r="N131" t="s">
        <v>172</v>
      </c>
      <c r="O131">
        <v>29</v>
      </c>
      <c r="P131" s="6">
        <v>90.4</v>
      </c>
      <c r="Q131" s="6">
        <v>0</v>
      </c>
      <c r="R131" s="6">
        <v>0</v>
      </c>
      <c r="S131" s="6">
        <v>3.2</v>
      </c>
      <c r="T131" s="6">
        <v>93.600000000000094</v>
      </c>
      <c r="V131">
        <v>49</v>
      </c>
      <c r="W131" s="5">
        <v>45992</v>
      </c>
      <c r="X131" t="s">
        <v>179</v>
      </c>
      <c r="Y131">
        <v>701</v>
      </c>
      <c r="Z131" s="6">
        <v>3867.6399999999699</v>
      </c>
      <c r="AA131" s="6">
        <v>5.99</v>
      </c>
      <c r="AB131" s="6">
        <v>134.58000000000001</v>
      </c>
      <c r="AC131" s="6">
        <v>185.36</v>
      </c>
      <c r="AD131" s="6">
        <v>4047.0099999999702</v>
      </c>
      <c r="AH131" t="s">
        <v>211</v>
      </c>
      <c r="AI131" s="5">
        <v>45962</v>
      </c>
      <c r="AJ131" t="s">
        <v>140</v>
      </c>
      <c r="AK131">
        <v>124</v>
      </c>
      <c r="AL131" s="6">
        <v>413.42</v>
      </c>
      <c r="AM131" s="6">
        <v>6.3</v>
      </c>
      <c r="AN131" s="6">
        <v>0</v>
      </c>
      <c r="AO131" s="6">
        <v>3.11</v>
      </c>
      <c r="AP131" s="6">
        <v>410.23</v>
      </c>
      <c r="AR131" t="s">
        <v>200</v>
      </c>
      <c r="AS131" s="5">
        <v>46113</v>
      </c>
      <c r="AT131" t="s">
        <v>168</v>
      </c>
      <c r="AU131">
        <v>1575</v>
      </c>
      <c r="AV131" s="6">
        <v>3307.1099999999901</v>
      </c>
      <c r="AW131" s="6">
        <v>0</v>
      </c>
      <c r="AX131" s="6">
        <v>0</v>
      </c>
      <c r="AY131" s="6">
        <v>422.02</v>
      </c>
      <c r="AZ131" s="6">
        <v>3729.1299999999901</v>
      </c>
    </row>
    <row r="132" spans="2:52" ht="18.75">
      <c r="B132">
        <v>41</v>
      </c>
      <c r="C132" s="5">
        <v>45936</v>
      </c>
      <c r="D132" t="s">
        <v>141</v>
      </c>
      <c r="E132">
        <v>296</v>
      </c>
      <c r="F132" s="6">
        <v>946.10000000000196</v>
      </c>
      <c r="G132" s="6">
        <v>0</v>
      </c>
      <c r="H132" s="6">
        <v>13.23</v>
      </c>
      <c r="I132" s="6">
        <v>0</v>
      </c>
      <c r="J132" s="6">
        <v>946.10000000000196</v>
      </c>
      <c r="L132">
        <v>35</v>
      </c>
      <c r="M132" s="5">
        <v>45894</v>
      </c>
      <c r="N132" t="s">
        <v>160</v>
      </c>
      <c r="O132">
        <v>638</v>
      </c>
      <c r="P132" s="6">
        <v>4136.9399999999896</v>
      </c>
      <c r="Q132" s="6">
        <v>0</v>
      </c>
      <c r="R132" s="6">
        <v>116.13</v>
      </c>
      <c r="S132" s="6">
        <v>232.46</v>
      </c>
      <c r="T132" s="6">
        <v>4369.3999999999896</v>
      </c>
      <c r="V132">
        <v>49</v>
      </c>
      <c r="W132" s="5">
        <v>45992</v>
      </c>
      <c r="X132" t="s">
        <v>186</v>
      </c>
      <c r="Y132">
        <v>83</v>
      </c>
      <c r="Z132" s="6">
        <v>264.45</v>
      </c>
      <c r="AA132" s="6">
        <v>0</v>
      </c>
      <c r="AB132" s="6">
        <v>10.220000000000001</v>
      </c>
      <c r="AC132" s="6">
        <v>28.28</v>
      </c>
      <c r="AD132" s="6">
        <v>292.73</v>
      </c>
      <c r="AH132" t="s">
        <v>211</v>
      </c>
      <c r="AI132" s="5">
        <v>45962</v>
      </c>
      <c r="AJ132" t="s">
        <v>127</v>
      </c>
      <c r="AK132">
        <v>260</v>
      </c>
      <c r="AL132" s="6">
        <v>1373.65</v>
      </c>
      <c r="AM132" s="6">
        <v>0</v>
      </c>
      <c r="AN132" s="6">
        <v>0</v>
      </c>
      <c r="AO132" s="6">
        <v>18.350000000000001</v>
      </c>
      <c r="AP132" s="6">
        <v>1392</v>
      </c>
      <c r="AR132" t="s">
        <v>200</v>
      </c>
      <c r="AS132" s="5">
        <v>46113</v>
      </c>
      <c r="AT132" t="s">
        <v>176</v>
      </c>
      <c r="AU132">
        <v>480</v>
      </c>
      <c r="AV132" s="6">
        <v>1008.2</v>
      </c>
      <c r="AW132" s="6">
        <v>0</v>
      </c>
      <c r="AX132" s="6">
        <v>0</v>
      </c>
      <c r="AY132" s="6">
        <v>82.16</v>
      </c>
      <c r="AZ132" s="6">
        <v>1090.3599999999999</v>
      </c>
    </row>
    <row r="133" spans="2:52" ht="18.75">
      <c r="B133">
        <v>41</v>
      </c>
      <c r="C133" s="5">
        <v>45936</v>
      </c>
      <c r="D133" t="s">
        <v>125</v>
      </c>
      <c r="E133">
        <v>15</v>
      </c>
      <c r="F133" s="6">
        <v>69.459999999999994</v>
      </c>
      <c r="G133" s="6">
        <v>0</v>
      </c>
      <c r="H133" s="6">
        <v>2.4</v>
      </c>
      <c r="I133" s="6">
        <v>0</v>
      </c>
      <c r="J133" s="6">
        <v>69.459999999999994</v>
      </c>
      <c r="L133">
        <v>35</v>
      </c>
      <c r="M133" s="5">
        <v>45894</v>
      </c>
      <c r="N133" t="s">
        <v>168</v>
      </c>
      <c r="O133">
        <v>271</v>
      </c>
      <c r="P133" s="6">
        <v>494.57</v>
      </c>
      <c r="Q133" s="6">
        <v>2.2000000000000002</v>
      </c>
      <c r="R133" s="6">
        <v>0</v>
      </c>
      <c r="S133" s="6">
        <v>68.63</v>
      </c>
      <c r="T133" s="6">
        <v>561</v>
      </c>
      <c r="V133">
        <v>49</v>
      </c>
      <c r="W133" s="5">
        <v>45992</v>
      </c>
      <c r="X133" t="s">
        <v>185</v>
      </c>
      <c r="Y133">
        <v>201</v>
      </c>
      <c r="Z133" s="6">
        <v>921.12000000000296</v>
      </c>
      <c r="AA133" s="6">
        <v>0</v>
      </c>
      <c r="AB133" s="6">
        <v>0</v>
      </c>
      <c r="AC133" s="6">
        <v>102.25</v>
      </c>
      <c r="AD133" s="6">
        <v>1023.37</v>
      </c>
      <c r="AH133" t="s">
        <v>211</v>
      </c>
      <c r="AI133" s="5">
        <v>45962</v>
      </c>
      <c r="AJ133" t="s">
        <v>111</v>
      </c>
      <c r="AK133">
        <v>296</v>
      </c>
      <c r="AL133" s="6">
        <v>1181.5899999999999</v>
      </c>
      <c r="AM133" s="6">
        <v>0</v>
      </c>
      <c r="AN133" s="6">
        <v>0</v>
      </c>
      <c r="AO133" s="6">
        <v>17.46</v>
      </c>
      <c r="AP133" s="6">
        <v>1199.05</v>
      </c>
      <c r="AR133" t="s">
        <v>200</v>
      </c>
      <c r="AS133" s="5">
        <v>46113</v>
      </c>
      <c r="AT133" t="s">
        <v>165</v>
      </c>
      <c r="AU133">
        <v>139</v>
      </c>
      <c r="AV133" s="6">
        <v>1179.44</v>
      </c>
      <c r="AW133" s="6">
        <v>0</v>
      </c>
      <c r="AX133" s="6">
        <v>0</v>
      </c>
      <c r="AY133" s="6">
        <v>70.86</v>
      </c>
      <c r="AZ133" s="6">
        <v>1250.3</v>
      </c>
    </row>
    <row r="134" spans="2:52" ht="18.75">
      <c r="B134">
        <v>41</v>
      </c>
      <c r="C134" s="5">
        <v>45936</v>
      </c>
      <c r="D134" t="s">
        <v>142</v>
      </c>
      <c r="E134">
        <v>43</v>
      </c>
      <c r="F134" s="6">
        <v>177.62</v>
      </c>
      <c r="G134" s="6">
        <v>2</v>
      </c>
      <c r="H134" s="6">
        <v>2.54</v>
      </c>
      <c r="I134" s="6">
        <v>0</v>
      </c>
      <c r="J134" s="6">
        <v>175.62</v>
      </c>
      <c r="L134">
        <v>35</v>
      </c>
      <c r="M134" s="5">
        <v>45894</v>
      </c>
      <c r="N134" t="s">
        <v>163</v>
      </c>
      <c r="O134">
        <v>260</v>
      </c>
      <c r="P134" s="6">
        <v>494.3</v>
      </c>
      <c r="Q134" s="6">
        <v>0</v>
      </c>
      <c r="R134" s="6">
        <v>0</v>
      </c>
      <c r="S134" s="6">
        <v>27.2</v>
      </c>
      <c r="T134" s="6">
        <v>521.5</v>
      </c>
      <c r="V134">
        <v>49</v>
      </c>
      <c r="W134" s="5">
        <v>45992</v>
      </c>
      <c r="X134" t="s">
        <v>181</v>
      </c>
      <c r="Y134">
        <v>341</v>
      </c>
      <c r="Z134" s="6">
        <v>2470.7199999999998</v>
      </c>
      <c r="AA134" s="6">
        <v>9.25</v>
      </c>
      <c r="AB134" s="6">
        <v>16.89</v>
      </c>
      <c r="AC134" s="6">
        <v>299.52999999999997</v>
      </c>
      <c r="AD134" s="6">
        <v>2761</v>
      </c>
      <c r="AH134" t="s">
        <v>211</v>
      </c>
      <c r="AI134" s="5">
        <v>45962</v>
      </c>
      <c r="AJ134" t="s">
        <v>128</v>
      </c>
      <c r="AK134">
        <v>171</v>
      </c>
      <c r="AL134" s="6">
        <v>881.35</v>
      </c>
      <c r="AM134" s="6">
        <v>0</v>
      </c>
      <c r="AN134" s="6">
        <v>0</v>
      </c>
      <c r="AO134" s="6">
        <v>6.98</v>
      </c>
      <c r="AP134" s="6">
        <v>888.33</v>
      </c>
      <c r="AR134" t="s">
        <v>200</v>
      </c>
      <c r="AS134" s="5">
        <v>46113</v>
      </c>
      <c r="AT134" t="s">
        <v>209</v>
      </c>
      <c r="AU134">
        <v>71</v>
      </c>
      <c r="AV134" s="6">
        <v>136.84</v>
      </c>
      <c r="AW134" s="6">
        <v>0</v>
      </c>
      <c r="AX134" s="6">
        <v>0</v>
      </c>
      <c r="AY134" s="6">
        <v>19.36</v>
      </c>
      <c r="AZ134" s="6">
        <v>156.19999999999999</v>
      </c>
    </row>
    <row r="135" spans="2:52" ht="18.75">
      <c r="B135">
        <v>41</v>
      </c>
      <c r="C135" s="5">
        <v>45936</v>
      </c>
      <c r="D135" t="s">
        <v>111</v>
      </c>
      <c r="E135">
        <v>81</v>
      </c>
      <c r="F135" s="6">
        <v>322.88</v>
      </c>
      <c r="G135" s="6">
        <v>0</v>
      </c>
      <c r="H135" s="6">
        <v>3.65</v>
      </c>
      <c r="I135" s="6">
        <v>0</v>
      </c>
      <c r="J135" s="6">
        <v>322.88</v>
      </c>
      <c r="L135">
        <v>35</v>
      </c>
      <c r="M135" s="5">
        <v>45894</v>
      </c>
      <c r="N135" t="s">
        <v>169</v>
      </c>
      <c r="O135">
        <v>637</v>
      </c>
      <c r="P135" s="6">
        <v>1605.6399999999901</v>
      </c>
      <c r="Q135" s="6">
        <v>0</v>
      </c>
      <c r="R135" s="6">
        <v>10.41</v>
      </c>
      <c r="S135" s="6">
        <v>73.31</v>
      </c>
      <c r="T135" s="6">
        <v>1678.94999999999</v>
      </c>
      <c r="V135">
        <v>49</v>
      </c>
      <c r="W135" s="5">
        <v>45992</v>
      </c>
      <c r="X135" t="s">
        <v>180</v>
      </c>
      <c r="Y135">
        <v>62</v>
      </c>
      <c r="Z135" s="6">
        <v>487.38</v>
      </c>
      <c r="AA135" s="6">
        <v>8.99</v>
      </c>
      <c r="AB135" s="6">
        <v>0</v>
      </c>
      <c r="AC135" s="6">
        <v>74</v>
      </c>
      <c r="AD135" s="6">
        <v>552.39</v>
      </c>
      <c r="AH135" t="s">
        <v>211</v>
      </c>
      <c r="AI135" s="5">
        <v>45962</v>
      </c>
      <c r="AJ135" t="s">
        <v>137</v>
      </c>
      <c r="AK135">
        <v>95</v>
      </c>
      <c r="AL135" s="6">
        <v>279.45999999999998</v>
      </c>
      <c r="AM135" s="6">
        <v>0</v>
      </c>
      <c r="AN135" s="6">
        <v>0</v>
      </c>
      <c r="AO135" s="6">
        <v>190.28</v>
      </c>
      <c r="AP135" s="6">
        <v>469.74</v>
      </c>
      <c r="AR135" t="s">
        <v>200</v>
      </c>
      <c r="AS135" s="5">
        <v>46113</v>
      </c>
      <c r="AT135" t="s">
        <v>204</v>
      </c>
      <c r="AU135">
        <v>50</v>
      </c>
      <c r="AV135" s="6">
        <v>91.21</v>
      </c>
      <c r="AW135" s="6">
        <v>0</v>
      </c>
      <c r="AX135" s="6">
        <v>0</v>
      </c>
      <c r="AY135" s="6">
        <v>7.84</v>
      </c>
      <c r="AZ135" s="6">
        <v>99.05</v>
      </c>
    </row>
    <row r="136" spans="2:52" ht="18.75">
      <c r="B136">
        <v>41</v>
      </c>
      <c r="C136" s="5">
        <v>45936</v>
      </c>
      <c r="D136" t="s">
        <v>114</v>
      </c>
      <c r="E136">
        <v>62</v>
      </c>
      <c r="F136" s="6">
        <v>284.10000000000002</v>
      </c>
      <c r="G136" s="6">
        <v>1.1200000000000001</v>
      </c>
      <c r="H136" s="6">
        <v>11.32</v>
      </c>
      <c r="I136" s="6">
        <v>98.69</v>
      </c>
      <c r="J136" s="6">
        <v>381.67</v>
      </c>
      <c r="L136">
        <v>35</v>
      </c>
      <c r="M136" s="5">
        <v>45894</v>
      </c>
      <c r="N136" t="s">
        <v>171</v>
      </c>
      <c r="O136">
        <v>142</v>
      </c>
      <c r="P136" s="6">
        <v>827.71000000000197</v>
      </c>
      <c r="Q136" s="6">
        <v>0</v>
      </c>
      <c r="R136" s="6">
        <v>0</v>
      </c>
      <c r="S136" s="6">
        <v>159.19</v>
      </c>
      <c r="T136" s="6">
        <v>986.90000000000202</v>
      </c>
      <c r="V136">
        <v>50</v>
      </c>
      <c r="W136" s="5">
        <v>45999</v>
      </c>
      <c r="X136" t="s">
        <v>179</v>
      </c>
      <c r="Y136">
        <v>709</v>
      </c>
      <c r="Z136" s="6">
        <v>4049.6299999999701</v>
      </c>
      <c r="AA136" s="6">
        <v>6.3</v>
      </c>
      <c r="AB136" s="6">
        <v>87.94</v>
      </c>
      <c r="AC136" s="6">
        <v>142.79</v>
      </c>
      <c r="AD136" s="6">
        <v>4186.1199999999699</v>
      </c>
      <c r="AH136" t="s">
        <v>211</v>
      </c>
      <c r="AI136" s="5">
        <v>45962</v>
      </c>
      <c r="AJ136" t="s">
        <v>132</v>
      </c>
      <c r="AK136">
        <v>288</v>
      </c>
      <c r="AL136" s="6">
        <v>1084.1099999999999</v>
      </c>
      <c r="AM136" s="6">
        <v>4</v>
      </c>
      <c r="AN136" s="6">
        <v>0</v>
      </c>
      <c r="AO136" s="6">
        <v>26.1</v>
      </c>
      <c r="AP136" s="6">
        <v>1106.21</v>
      </c>
      <c r="AR136" t="s">
        <v>200</v>
      </c>
      <c r="AS136" s="5">
        <v>46113</v>
      </c>
      <c r="AT136" t="s">
        <v>184</v>
      </c>
      <c r="AU136">
        <v>9</v>
      </c>
      <c r="AV136" s="6">
        <v>24.45</v>
      </c>
      <c r="AW136" s="6">
        <v>0</v>
      </c>
      <c r="AX136" s="6">
        <v>0</v>
      </c>
      <c r="AY136" s="6">
        <v>0</v>
      </c>
      <c r="AZ136" s="6">
        <v>24.45</v>
      </c>
    </row>
    <row r="137" spans="2:52" ht="18.75">
      <c r="B137">
        <v>41</v>
      </c>
      <c r="C137" s="5">
        <v>45936</v>
      </c>
      <c r="D137" t="s">
        <v>145</v>
      </c>
      <c r="E137">
        <v>85</v>
      </c>
      <c r="F137" s="6">
        <v>506.89</v>
      </c>
      <c r="G137" s="6">
        <v>0</v>
      </c>
      <c r="H137" s="6">
        <v>0.56000000000000005</v>
      </c>
      <c r="I137" s="6">
        <v>0</v>
      </c>
      <c r="J137" s="6">
        <v>506.89</v>
      </c>
      <c r="L137">
        <v>35</v>
      </c>
      <c r="M137" s="5">
        <v>45894</v>
      </c>
      <c r="N137" t="s">
        <v>174</v>
      </c>
      <c r="O137">
        <v>55</v>
      </c>
      <c r="P137" s="6">
        <v>384.92</v>
      </c>
      <c r="Q137" s="6">
        <v>0</v>
      </c>
      <c r="R137" s="6">
        <v>0</v>
      </c>
      <c r="S137" s="6">
        <v>103.58</v>
      </c>
      <c r="T137" s="6">
        <v>488.5</v>
      </c>
      <c r="V137">
        <v>50</v>
      </c>
      <c r="W137" s="5">
        <v>45999</v>
      </c>
      <c r="X137" t="s">
        <v>183</v>
      </c>
      <c r="Y137">
        <v>331</v>
      </c>
      <c r="Z137" s="6">
        <v>678.95</v>
      </c>
      <c r="AA137" s="6">
        <v>0</v>
      </c>
      <c r="AB137" s="6">
        <v>0</v>
      </c>
      <c r="AC137" s="6">
        <v>33.96</v>
      </c>
      <c r="AD137" s="6">
        <v>712.91</v>
      </c>
      <c r="AH137" t="s">
        <v>211</v>
      </c>
      <c r="AI137" s="5">
        <v>45962</v>
      </c>
      <c r="AJ137" t="s">
        <v>142</v>
      </c>
      <c r="AK137">
        <v>212</v>
      </c>
      <c r="AL137" s="6">
        <v>1000.83</v>
      </c>
      <c r="AM137" s="6">
        <v>0</v>
      </c>
      <c r="AN137" s="6">
        <v>0</v>
      </c>
      <c r="AO137" s="6">
        <v>62.93</v>
      </c>
      <c r="AP137" s="6">
        <v>1063.76</v>
      </c>
      <c r="AR137" t="s">
        <v>200</v>
      </c>
      <c r="AS137" s="5">
        <v>46113</v>
      </c>
      <c r="AT137" t="s">
        <v>164</v>
      </c>
      <c r="AU137">
        <v>2</v>
      </c>
      <c r="AV137" s="6">
        <v>7.5</v>
      </c>
      <c r="AW137" s="6">
        <v>0</v>
      </c>
      <c r="AX137" s="6">
        <v>0</v>
      </c>
      <c r="AY137" s="6">
        <v>0</v>
      </c>
      <c r="AZ137" s="6">
        <v>7.5</v>
      </c>
    </row>
    <row r="138" spans="2:52" ht="18.75">
      <c r="B138">
        <v>41</v>
      </c>
      <c r="C138" s="5">
        <v>45936</v>
      </c>
      <c r="D138" t="s">
        <v>136</v>
      </c>
      <c r="E138">
        <v>22</v>
      </c>
      <c r="F138" s="6">
        <v>57.56</v>
      </c>
      <c r="G138" s="6">
        <v>0</v>
      </c>
      <c r="H138" s="6">
        <v>0.56000000000000005</v>
      </c>
      <c r="I138" s="6">
        <v>23.48</v>
      </c>
      <c r="J138" s="6">
        <v>81.040000000000006</v>
      </c>
      <c r="L138">
        <v>35</v>
      </c>
      <c r="M138" s="5">
        <v>45894</v>
      </c>
      <c r="N138" t="s">
        <v>176</v>
      </c>
      <c r="O138">
        <v>53</v>
      </c>
      <c r="P138" s="6">
        <v>111.07</v>
      </c>
      <c r="Q138" s="6">
        <v>0</v>
      </c>
      <c r="R138" s="6">
        <v>0</v>
      </c>
      <c r="S138" s="6">
        <v>8.7799999999999994</v>
      </c>
      <c r="T138" s="6">
        <v>119.85</v>
      </c>
      <c r="V138">
        <v>50</v>
      </c>
      <c r="W138" s="5">
        <v>45999</v>
      </c>
      <c r="X138" t="s">
        <v>178</v>
      </c>
      <c r="Y138">
        <v>258</v>
      </c>
      <c r="Z138" s="6">
        <v>2382.65</v>
      </c>
      <c r="AA138" s="6">
        <v>16.829999999999998</v>
      </c>
      <c r="AB138" s="6">
        <v>61.11</v>
      </c>
      <c r="AC138" s="6">
        <v>65.62</v>
      </c>
      <c r="AD138" s="6">
        <v>2431.44</v>
      </c>
      <c r="AH138" t="s">
        <v>211</v>
      </c>
      <c r="AI138" s="5">
        <v>45962</v>
      </c>
      <c r="AJ138" t="s">
        <v>125</v>
      </c>
      <c r="AK138">
        <v>56</v>
      </c>
      <c r="AL138" s="6">
        <v>232.89</v>
      </c>
      <c r="AM138" s="6">
        <v>0</v>
      </c>
      <c r="AN138" s="6">
        <v>0</v>
      </c>
      <c r="AO138" s="6">
        <v>8.65</v>
      </c>
      <c r="AP138" s="6">
        <v>241.54</v>
      </c>
      <c r="AR138" t="s">
        <v>203</v>
      </c>
      <c r="AS138" s="5">
        <v>46143</v>
      </c>
      <c r="AT138" t="s">
        <v>206</v>
      </c>
      <c r="AU138">
        <v>305</v>
      </c>
      <c r="AV138" s="6">
        <v>915</v>
      </c>
      <c r="AW138" s="6">
        <v>0</v>
      </c>
      <c r="AX138" s="6">
        <v>0</v>
      </c>
      <c r="AY138" s="6">
        <v>0</v>
      </c>
      <c r="AZ138" s="6">
        <v>915</v>
      </c>
    </row>
    <row r="139" spans="2:52" ht="18.75">
      <c r="B139">
        <v>41</v>
      </c>
      <c r="C139" s="5">
        <v>45936</v>
      </c>
      <c r="D139" t="s">
        <v>116</v>
      </c>
      <c r="E139">
        <v>43</v>
      </c>
      <c r="F139" s="6">
        <v>157.61000000000001</v>
      </c>
      <c r="G139" s="6">
        <v>0</v>
      </c>
      <c r="H139" s="6">
        <v>5.24</v>
      </c>
      <c r="I139" s="6">
        <v>0</v>
      </c>
      <c r="J139" s="6">
        <v>157.61000000000001</v>
      </c>
      <c r="L139">
        <v>35</v>
      </c>
      <c r="M139" s="5">
        <v>45894</v>
      </c>
      <c r="N139" t="s">
        <v>170</v>
      </c>
      <c r="O139">
        <v>16</v>
      </c>
      <c r="P139" s="6">
        <v>56.7</v>
      </c>
      <c r="Q139" s="6">
        <v>0</v>
      </c>
      <c r="R139" s="6">
        <v>0</v>
      </c>
      <c r="S139" s="6">
        <v>0.9</v>
      </c>
      <c r="T139" s="6">
        <v>57.6</v>
      </c>
      <c r="V139">
        <v>50</v>
      </c>
      <c r="W139" s="5">
        <v>45999</v>
      </c>
      <c r="X139" t="s">
        <v>182</v>
      </c>
      <c r="Y139">
        <v>1008</v>
      </c>
      <c r="Z139" s="6">
        <v>2649.28999999999</v>
      </c>
      <c r="AA139" s="6">
        <v>11.64</v>
      </c>
      <c r="AB139" s="6">
        <v>26.18</v>
      </c>
      <c r="AC139" s="6">
        <v>109.16</v>
      </c>
      <c r="AD139" s="6">
        <v>2746.8099999999899</v>
      </c>
      <c r="AH139" t="s">
        <v>211</v>
      </c>
      <c r="AI139" s="5">
        <v>45962</v>
      </c>
      <c r="AJ139" t="s">
        <v>148</v>
      </c>
      <c r="AK139">
        <v>5</v>
      </c>
      <c r="AL139" s="6">
        <v>11</v>
      </c>
      <c r="AM139" s="6">
        <v>0</v>
      </c>
      <c r="AN139" s="6">
        <v>0</v>
      </c>
      <c r="AO139" s="6">
        <v>0</v>
      </c>
      <c r="AP139" s="6">
        <v>11</v>
      </c>
      <c r="AR139" t="s">
        <v>203</v>
      </c>
      <c r="AS139" s="5">
        <v>46143</v>
      </c>
      <c r="AT139" t="s">
        <v>160</v>
      </c>
      <c r="AU139">
        <v>3841</v>
      </c>
      <c r="AV139" s="6">
        <v>26095.930000000601</v>
      </c>
      <c r="AW139" s="6">
        <v>74.52</v>
      </c>
      <c r="AX139" s="6">
        <v>0</v>
      </c>
      <c r="AY139" s="6">
        <v>1674.6500000000101</v>
      </c>
      <c r="AZ139" s="6">
        <v>27696.060000000602</v>
      </c>
    </row>
    <row r="140" spans="2:52" ht="18.75">
      <c r="B140">
        <v>41</v>
      </c>
      <c r="C140" s="5">
        <v>45936</v>
      </c>
      <c r="D140" t="s">
        <v>135</v>
      </c>
      <c r="E140">
        <v>14</v>
      </c>
      <c r="F140" s="6">
        <v>41.74</v>
      </c>
      <c r="G140" s="6">
        <v>0</v>
      </c>
      <c r="H140" s="6">
        <v>2.82</v>
      </c>
      <c r="I140" s="6">
        <v>12.12</v>
      </c>
      <c r="J140" s="6">
        <v>53.86</v>
      </c>
      <c r="L140">
        <v>35</v>
      </c>
      <c r="M140" s="5">
        <v>45894</v>
      </c>
      <c r="N140" t="s">
        <v>158</v>
      </c>
      <c r="O140">
        <v>43</v>
      </c>
      <c r="P140" s="6">
        <v>244.1</v>
      </c>
      <c r="Q140" s="6">
        <v>0</v>
      </c>
      <c r="R140" s="6">
        <v>4.74</v>
      </c>
      <c r="S140" s="6">
        <v>22.06</v>
      </c>
      <c r="T140" s="6">
        <v>266.16000000000003</v>
      </c>
      <c r="V140">
        <v>50</v>
      </c>
      <c r="W140" s="5">
        <v>45999</v>
      </c>
      <c r="X140" t="s">
        <v>185</v>
      </c>
      <c r="Y140">
        <v>189</v>
      </c>
      <c r="Z140" s="6">
        <v>926.50000000000296</v>
      </c>
      <c r="AA140" s="6">
        <v>4.95</v>
      </c>
      <c r="AB140" s="6">
        <v>0</v>
      </c>
      <c r="AC140" s="6">
        <v>38.770000000000003</v>
      </c>
      <c r="AD140" s="6">
        <v>960.32000000000301</v>
      </c>
      <c r="AH140" t="s">
        <v>211</v>
      </c>
      <c r="AI140" s="5">
        <v>45962</v>
      </c>
      <c r="AJ140" t="s">
        <v>151</v>
      </c>
      <c r="AK140">
        <v>4</v>
      </c>
      <c r="AL140" s="6">
        <v>8.89</v>
      </c>
      <c r="AM140" s="6">
        <v>0</v>
      </c>
      <c r="AN140" s="6">
        <v>0</v>
      </c>
      <c r="AO140" s="6">
        <v>0</v>
      </c>
      <c r="AP140" s="6">
        <v>8.89</v>
      </c>
      <c r="AR140" t="s">
        <v>203</v>
      </c>
      <c r="AS140" s="5">
        <v>46143</v>
      </c>
      <c r="AT140" t="s">
        <v>204</v>
      </c>
      <c r="AU140">
        <v>1499</v>
      </c>
      <c r="AV140" s="6">
        <v>2982.66</v>
      </c>
      <c r="AW140" s="6">
        <v>8</v>
      </c>
      <c r="AX140" s="6">
        <v>0</v>
      </c>
      <c r="AY140" s="6">
        <v>413.41</v>
      </c>
      <c r="AZ140" s="6">
        <v>3388.07</v>
      </c>
    </row>
    <row r="141" spans="2:52" ht="18.75">
      <c r="B141">
        <v>41</v>
      </c>
      <c r="C141" s="5">
        <v>45936</v>
      </c>
      <c r="D141" t="s">
        <v>140</v>
      </c>
      <c r="E141">
        <v>27</v>
      </c>
      <c r="F141" s="6">
        <v>100.05</v>
      </c>
      <c r="G141" s="6">
        <v>0</v>
      </c>
      <c r="H141" s="6">
        <v>0</v>
      </c>
      <c r="I141" s="6">
        <v>0</v>
      </c>
      <c r="J141" s="6">
        <v>100.05</v>
      </c>
      <c r="L141">
        <v>35</v>
      </c>
      <c r="M141" s="5">
        <v>45894</v>
      </c>
      <c r="N141" t="s">
        <v>165</v>
      </c>
      <c r="O141">
        <v>53</v>
      </c>
      <c r="P141" s="6">
        <v>442.23</v>
      </c>
      <c r="Q141" s="6">
        <v>0</v>
      </c>
      <c r="R141" s="6">
        <v>0</v>
      </c>
      <c r="S141" s="6">
        <v>33.700000000000003</v>
      </c>
      <c r="T141" s="6">
        <v>475.93</v>
      </c>
      <c r="V141">
        <v>50</v>
      </c>
      <c r="W141" s="5">
        <v>45999</v>
      </c>
      <c r="X141" t="s">
        <v>184</v>
      </c>
      <c r="Y141">
        <v>324</v>
      </c>
      <c r="Z141" s="6">
        <v>639.6</v>
      </c>
      <c r="AA141" s="6">
        <v>0</v>
      </c>
      <c r="AB141" s="6">
        <v>0</v>
      </c>
      <c r="AC141" s="6">
        <v>91.24</v>
      </c>
      <c r="AD141" s="6">
        <v>730.84</v>
      </c>
      <c r="AH141" t="s">
        <v>213</v>
      </c>
      <c r="AI141" s="5">
        <v>45992</v>
      </c>
      <c r="AJ141" t="s">
        <v>118</v>
      </c>
      <c r="AK141">
        <v>157</v>
      </c>
      <c r="AL141" s="6">
        <v>557.47</v>
      </c>
      <c r="AM141" s="6">
        <v>0</v>
      </c>
      <c r="AN141" s="6">
        <v>0</v>
      </c>
      <c r="AO141" s="6">
        <v>7.1</v>
      </c>
      <c r="AP141" s="6">
        <v>564.57000000000005</v>
      </c>
      <c r="AR141" t="s">
        <v>203</v>
      </c>
      <c r="AS141" s="5">
        <v>46143</v>
      </c>
      <c r="AT141" t="s">
        <v>169</v>
      </c>
      <c r="AU141">
        <v>4222</v>
      </c>
      <c r="AV141" s="6">
        <v>10378.859999999901</v>
      </c>
      <c r="AW141" s="6">
        <v>9.4499999999999993</v>
      </c>
      <c r="AX141" s="6">
        <v>0</v>
      </c>
      <c r="AY141" s="6">
        <v>521.46000000000095</v>
      </c>
      <c r="AZ141" s="6">
        <v>10890.869999999901</v>
      </c>
    </row>
    <row r="142" spans="2:52" ht="18.75">
      <c r="B142">
        <v>41</v>
      </c>
      <c r="C142" s="5">
        <v>45936</v>
      </c>
      <c r="D142" t="s">
        <v>143</v>
      </c>
      <c r="E142">
        <v>1</v>
      </c>
      <c r="F142" s="6">
        <v>2.2999999999999998</v>
      </c>
      <c r="G142" s="6">
        <v>0</v>
      </c>
      <c r="H142" s="6">
        <v>0</v>
      </c>
      <c r="I142" s="6">
        <v>0</v>
      </c>
      <c r="J142" s="6">
        <v>2.2999999999999998</v>
      </c>
      <c r="L142">
        <v>35</v>
      </c>
      <c r="M142" s="5">
        <v>45894</v>
      </c>
      <c r="N142" t="s">
        <v>173</v>
      </c>
      <c r="O142">
        <v>116</v>
      </c>
      <c r="P142" s="6">
        <v>506.37999999999897</v>
      </c>
      <c r="Q142" s="6">
        <v>0</v>
      </c>
      <c r="R142" s="6">
        <v>3.96</v>
      </c>
      <c r="S142" s="6">
        <v>65.099999999999994</v>
      </c>
      <c r="T142" s="6">
        <v>571.479999999999</v>
      </c>
      <c r="V142">
        <v>50</v>
      </c>
      <c r="W142" s="5">
        <v>45999</v>
      </c>
      <c r="X142" t="s">
        <v>180</v>
      </c>
      <c r="Y142">
        <v>63</v>
      </c>
      <c r="Z142" s="6">
        <v>532.65</v>
      </c>
      <c r="AA142" s="6">
        <v>17.98</v>
      </c>
      <c r="AB142" s="6">
        <v>0</v>
      </c>
      <c r="AC142" s="6">
        <v>33.72</v>
      </c>
      <c r="AD142" s="6">
        <v>548.39</v>
      </c>
      <c r="AH142" t="s">
        <v>213</v>
      </c>
      <c r="AI142" s="5">
        <v>45992</v>
      </c>
      <c r="AJ142" t="s">
        <v>139</v>
      </c>
      <c r="AK142">
        <v>305</v>
      </c>
      <c r="AL142" s="6">
        <v>1386.17</v>
      </c>
      <c r="AM142" s="6">
        <v>0</v>
      </c>
      <c r="AN142" s="6">
        <v>0</v>
      </c>
      <c r="AO142" s="6">
        <v>40.799999999999997</v>
      </c>
      <c r="AP142" s="6">
        <v>1426.97</v>
      </c>
      <c r="AR142" t="s">
        <v>203</v>
      </c>
      <c r="AS142" s="5">
        <v>46143</v>
      </c>
      <c r="AT142" t="s">
        <v>158</v>
      </c>
      <c r="AU142">
        <v>293</v>
      </c>
      <c r="AV142" s="6">
        <v>1726.3999999999901</v>
      </c>
      <c r="AW142" s="6">
        <v>6.3</v>
      </c>
      <c r="AX142" s="6">
        <v>0</v>
      </c>
      <c r="AY142" s="6">
        <v>119.5</v>
      </c>
      <c r="AZ142" s="6">
        <v>1839.5999999999899</v>
      </c>
    </row>
    <row r="143" spans="2:52" ht="18.75">
      <c r="B143">
        <v>40</v>
      </c>
      <c r="C143" s="5">
        <v>45929</v>
      </c>
      <c r="D143" t="s">
        <v>119</v>
      </c>
      <c r="E143">
        <v>167</v>
      </c>
      <c r="F143" s="6">
        <v>671.76000000000101</v>
      </c>
      <c r="G143" s="6">
        <v>0</v>
      </c>
      <c r="H143" s="6">
        <v>11.12</v>
      </c>
      <c r="I143" s="6">
        <v>0</v>
      </c>
      <c r="J143" s="6">
        <v>671.76000000000101</v>
      </c>
      <c r="L143">
        <v>35</v>
      </c>
      <c r="M143" s="5">
        <v>45894</v>
      </c>
      <c r="N143" t="s">
        <v>164</v>
      </c>
      <c r="O143">
        <v>11</v>
      </c>
      <c r="P143" s="6">
        <v>41.25</v>
      </c>
      <c r="Q143" s="6">
        <v>0</v>
      </c>
      <c r="R143" s="6">
        <v>0</v>
      </c>
      <c r="S143" s="6">
        <v>0</v>
      </c>
      <c r="T143" s="6">
        <v>41.25</v>
      </c>
      <c r="V143">
        <v>50</v>
      </c>
      <c r="W143" s="5">
        <v>45999</v>
      </c>
      <c r="X143" t="s">
        <v>181</v>
      </c>
      <c r="Y143">
        <v>299</v>
      </c>
      <c r="Z143" s="6">
        <v>2121.7200000000098</v>
      </c>
      <c r="AA143" s="6">
        <v>0</v>
      </c>
      <c r="AB143" s="6">
        <v>105.8</v>
      </c>
      <c r="AC143" s="6">
        <v>314.19</v>
      </c>
      <c r="AD143" s="6">
        <v>2435.9100000000099</v>
      </c>
      <c r="AH143" t="s">
        <v>213</v>
      </c>
      <c r="AI143" s="5">
        <v>45992</v>
      </c>
      <c r="AJ143" t="s">
        <v>123</v>
      </c>
      <c r="AK143">
        <v>634</v>
      </c>
      <c r="AL143" s="6">
        <v>2634.1399999999899</v>
      </c>
      <c r="AM143" s="6">
        <v>3.65</v>
      </c>
      <c r="AN143" s="6">
        <v>0</v>
      </c>
      <c r="AO143" s="6">
        <v>64.47</v>
      </c>
      <c r="AP143" s="6">
        <v>2694.95999999999</v>
      </c>
      <c r="AR143" t="s">
        <v>203</v>
      </c>
      <c r="AS143" s="5">
        <v>46143</v>
      </c>
      <c r="AT143" t="s">
        <v>209</v>
      </c>
      <c r="AU143">
        <v>251</v>
      </c>
      <c r="AV143" s="6">
        <v>469</v>
      </c>
      <c r="AW143" s="6">
        <v>0</v>
      </c>
      <c r="AX143" s="6">
        <v>0</v>
      </c>
      <c r="AY143" s="6">
        <v>83.489999999999895</v>
      </c>
      <c r="AZ143" s="6">
        <v>552.48999999999899</v>
      </c>
    </row>
    <row r="144" spans="2:52" ht="18.75">
      <c r="B144">
        <v>40</v>
      </c>
      <c r="C144" s="5">
        <v>45929</v>
      </c>
      <c r="D144" t="s">
        <v>118</v>
      </c>
      <c r="E144">
        <v>90</v>
      </c>
      <c r="F144" s="6">
        <v>281.25</v>
      </c>
      <c r="G144" s="6">
        <v>0</v>
      </c>
      <c r="H144" s="6">
        <v>0</v>
      </c>
      <c r="I144" s="6">
        <v>0</v>
      </c>
      <c r="J144" s="6">
        <v>281.25</v>
      </c>
      <c r="L144">
        <v>35</v>
      </c>
      <c r="M144" s="5">
        <v>45894</v>
      </c>
      <c r="N144" t="s">
        <v>172</v>
      </c>
      <c r="O144">
        <v>17</v>
      </c>
      <c r="P144" s="6">
        <v>50.4</v>
      </c>
      <c r="Q144" s="6">
        <v>0</v>
      </c>
      <c r="R144" s="6">
        <v>0</v>
      </c>
      <c r="S144" s="6">
        <v>4</v>
      </c>
      <c r="T144" s="6">
        <v>54.4</v>
      </c>
      <c r="V144">
        <v>50</v>
      </c>
      <c r="W144" s="5">
        <v>45999</v>
      </c>
      <c r="X144" t="s">
        <v>186</v>
      </c>
      <c r="Y144">
        <v>71</v>
      </c>
      <c r="Z144" s="6">
        <v>208.51</v>
      </c>
      <c r="AA144" s="6">
        <v>6.75</v>
      </c>
      <c r="AB144" s="6">
        <v>21.07</v>
      </c>
      <c r="AC144" s="6">
        <v>29.57</v>
      </c>
      <c r="AD144" s="6">
        <v>231.33</v>
      </c>
      <c r="AH144" t="s">
        <v>213</v>
      </c>
      <c r="AI144" s="5">
        <v>45992</v>
      </c>
      <c r="AJ144" t="s">
        <v>143</v>
      </c>
      <c r="AK144">
        <v>1971</v>
      </c>
      <c r="AL144" s="6">
        <v>9056.2799999999297</v>
      </c>
      <c r="AM144" s="6">
        <v>0</v>
      </c>
      <c r="AN144" s="6">
        <v>0</v>
      </c>
      <c r="AO144" s="6">
        <v>90.19</v>
      </c>
      <c r="AP144" s="6">
        <v>9146.4699999999302</v>
      </c>
      <c r="AR144" t="s">
        <v>203</v>
      </c>
      <c r="AS144" s="5">
        <v>46143</v>
      </c>
      <c r="AT144" t="s">
        <v>176</v>
      </c>
      <c r="AU144">
        <v>349</v>
      </c>
      <c r="AV144" s="6">
        <v>747.48000000000104</v>
      </c>
      <c r="AW144" s="6">
        <v>0</v>
      </c>
      <c r="AX144" s="6">
        <v>0</v>
      </c>
      <c r="AY144" s="6">
        <v>38.159999999999997</v>
      </c>
      <c r="AZ144" s="6">
        <v>785.64000000000101</v>
      </c>
    </row>
    <row r="145" spans="2:52" ht="18.75">
      <c r="B145">
        <v>40</v>
      </c>
      <c r="C145" s="5">
        <v>45929</v>
      </c>
      <c r="D145" t="s">
        <v>124</v>
      </c>
      <c r="E145">
        <v>168</v>
      </c>
      <c r="F145" s="6">
        <v>657.71000000000095</v>
      </c>
      <c r="G145" s="6">
        <v>0</v>
      </c>
      <c r="H145" s="6">
        <v>5.05</v>
      </c>
      <c r="I145" s="6">
        <v>0</v>
      </c>
      <c r="J145" s="6">
        <v>657.71000000000095</v>
      </c>
      <c r="L145">
        <v>35</v>
      </c>
      <c r="M145" s="5">
        <v>45894</v>
      </c>
      <c r="N145" t="s">
        <v>166</v>
      </c>
      <c r="O145">
        <v>3</v>
      </c>
      <c r="P145" s="6">
        <v>5.21</v>
      </c>
      <c r="Q145" s="6">
        <v>5.21</v>
      </c>
      <c r="R145" s="6">
        <v>0</v>
      </c>
      <c r="S145" s="6">
        <v>12.76</v>
      </c>
      <c r="T145" s="6">
        <v>12.76</v>
      </c>
      <c r="V145">
        <v>51</v>
      </c>
      <c r="W145" s="5">
        <v>46006</v>
      </c>
      <c r="X145" t="s">
        <v>181</v>
      </c>
      <c r="Y145">
        <v>285</v>
      </c>
      <c r="Z145" s="6">
        <v>1924.54</v>
      </c>
      <c r="AA145" s="6">
        <v>0</v>
      </c>
      <c r="AB145" s="6">
        <v>50.1</v>
      </c>
      <c r="AC145" s="6">
        <v>224.53</v>
      </c>
      <c r="AD145" s="6">
        <v>2149.0700000000002</v>
      </c>
      <c r="AH145" t="s">
        <v>213</v>
      </c>
      <c r="AI145" s="5">
        <v>45992</v>
      </c>
      <c r="AJ145" t="s">
        <v>117</v>
      </c>
      <c r="AK145">
        <v>222</v>
      </c>
      <c r="AL145" s="6">
        <v>1114.1600000000001</v>
      </c>
      <c r="AM145" s="6">
        <v>0</v>
      </c>
      <c r="AN145" s="6">
        <v>0</v>
      </c>
      <c r="AO145" s="6">
        <v>64.39</v>
      </c>
      <c r="AP145" s="6">
        <v>1178.55</v>
      </c>
      <c r="AR145" t="s">
        <v>203</v>
      </c>
      <c r="AS145" s="5">
        <v>46143</v>
      </c>
      <c r="AT145" t="s">
        <v>173</v>
      </c>
      <c r="AU145">
        <v>812</v>
      </c>
      <c r="AV145" s="6">
        <v>3826.6699999999501</v>
      </c>
      <c r="AW145" s="6">
        <v>9.9</v>
      </c>
      <c r="AX145" s="6">
        <v>0</v>
      </c>
      <c r="AY145" s="6">
        <v>286.13</v>
      </c>
      <c r="AZ145" s="6">
        <v>4102.8999999999496</v>
      </c>
    </row>
    <row r="146" spans="2:52" ht="18.75">
      <c r="B146">
        <v>40</v>
      </c>
      <c r="C146" s="5">
        <v>45929</v>
      </c>
      <c r="D146" t="s">
        <v>117</v>
      </c>
      <c r="E146">
        <v>62</v>
      </c>
      <c r="F146" s="6">
        <v>268.27</v>
      </c>
      <c r="G146" s="6">
        <v>0</v>
      </c>
      <c r="H146" s="6">
        <v>12.45</v>
      </c>
      <c r="I146" s="6">
        <v>0</v>
      </c>
      <c r="J146" s="6">
        <v>268.27</v>
      </c>
      <c r="L146">
        <v>45</v>
      </c>
      <c r="M146" s="5">
        <v>45964</v>
      </c>
      <c r="N146" t="s">
        <v>160</v>
      </c>
      <c r="O146">
        <v>733</v>
      </c>
      <c r="P146" s="6">
        <v>4688.1299999999701</v>
      </c>
      <c r="Q146" s="6">
        <v>10.99</v>
      </c>
      <c r="R146" s="6">
        <v>142.85</v>
      </c>
      <c r="S146" s="6">
        <v>164.78</v>
      </c>
      <c r="T146" s="6">
        <v>4841.9199999999701</v>
      </c>
      <c r="V146">
        <v>51</v>
      </c>
      <c r="W146" s="5">
        <v>46006</v>
      </c>
      <c r="X146" t="s">
        <v>179</v>
      </c>
      <c r="Y146">
        <v>685</v>
      </c>
      <c r="Z146" s="6">
        <v>3884.7599999999702</v>
      </c>
      <c r="AA146" s="6">
        <v>0</v>
      </c>
      <c r="AB146" s="6">
        <v>101.92</v>
      </c>
      <c r="AC146" s="6">
        <v>146.32</v>
      </c>
      <c r="AD146" s="6">
        <v>4031.0799999999699</v>
      </c>
      <c r="AH146" t="s">
        <v>213</v>
      </c>
      <c r="AI146" s="5">
        <v>45992</v>
      </c>
      <c r="AJ146" t="s">
        <v>129</v>
      </c>
      <c r="AK146">
        <v>524</v>
      </c>
      <c r="AL146" s="6">
        <v>83.74</v>
      </c>
      <c r="AM146" s="6">
        <v>0</v>
      </c>
      <c r="AN146" s="6">
        <v>0</v>
      </c>
      <c r="AO146" s="6">
        <v>2326.79</v>
      </c>
      <c r="AP146" s="6">
        <v>2410.5300000000002</v>
      </c>
      <c r="AR146" t="s">
        <v>203</v>
      </c>
      <c r="AS146" s="5">
        <v>46143</v>
      </c>
      <c r="AT146" t="s">
        <v>163</v>
      </c>
      <c r="AU146">
        <v>845</v>
      </c>
      <c r="AV146" s="6">
        <v>1654.47000000001</v>
      </c>
      <c r="AW146" s="6">
        <v>0</v>
      </c>
      <c r="AX146" s="6">
        <v>0</v>
      </c>
      <c r="AY146" s="6">
        <v>150.63</v>
      </c>
      <c r="AZ146" s="6">
        <v>1805.1000000000099</v>
      </c>
    </row>
    <row r="147" spans="2:52" ht="18.75">
      <c r="B147">
        <v>40</v>
      </c>
      <c r="C147" s="5">
        <v>45929</v>
      </c>
      <c r="D147" t="s">
        <v>123</v>
      </c>
      <c r="E147">
        <v>184</v>
      </c>
      <c r="F147" s="6">
        <v>713.35000000000105</v>
      </c>
      <c r="G147" s="6">
        <v>0</v>
      </c>
      <c r="H147" s="6">
        <v>10.199999999999999</v>
      </c>
      <c r="I147" s="6">
        <v>0</v>
      </c>
      <c r="J147" s="6">
        <v>713.35000000000105</v>
      </c>
      <c r="L147">
        <v>45</v>
      </c>
      <c r="M147" s="5">
        <v>45964</v>
      </c>
      <c r="N147" t="s">
        <v>168</v>
      </c>
      <c r="O147">
        <v>283</v>
      </c>
      <c r="P147" s="6">
        <v>560.03</v>
      </c>
      <c r="Q147" s="6">
        <v>1.5</v>
      </c>
      <c r="R147" s="6">
        <v>0</v>
      </c>
      <c r="S147" s="6">
        <v>67.2</v>
      </c>
      <c r="T147" s="6">
        <v>625.73</v>
      </c>
      <c r="V147">
        <v>51</v>
      </c>
      <c r="W147" s="5">
        <v>46006</v>
      </c>
      <c r="X147" t="s">
        <v>182</v>
      </c>
      <c r="Y147">
        <v>982</v>
      </c>
      <c r="Z147" s="6">
        <v>2611.0599999999899</v>
      </c>
      <c r="AA147" s="6">
        <v>0</v>
      </c>
      <c r="AB147" s="6">
        <v>23.85</v>
      </c>
      <c r="AC147" s="6">
        <v>92.6</v>
      </c>
      <c r="AD147" s="6">
        <v>2703.6599999999899</v>
      </c>
      <c r="AH147" t="s">
        <v>213</v>
      </c>
      <c r="AI147" s="5">
        <v>45992</v>
      </c>
      <c r="AJ147" t="s">
        <v>141</v>
      </c>
      <c r="AK147">
        <v>947</v>
      </c>
      <c r="AL147" s="6">
        <v>3250.28999999999</v>
      </c>
      <c r="AM147" s="6">
        <v>11.7</v>
      </c>
      <c r="AN147" s="6">
        <v>0</v>
      </c>
      <c r="AO147" s="6">
        <v>70.5</v>
      </c>
      <c r="AP147" s="6">
        <v>3309.0899999999901</v>
      </c>
      <c r="AR147" t="s">
        <v>203</v>
      </c>
      <c r="AS147" s="5">
        <v>46143</v>
      </c>
      <c r="AT147" t="s">
        <v>165</v>
      </c>
      <c r="AU147">
        <v>128</v>
      </c>
      <c r="AV147" s="6">
        <v>1096.97</v>
      </c>
      <c r="AW147" s="6">
        <v>8.99</v>
      </c>
      <c r="AX147" s="6">
        <v>0</v>
      </c>
      <c r="AY147" s="6">
        <v>60.28</v>
      </c>
      <c r="AZ147" s="6">
        <v>1148.26</v>
      </c>
    </row>
    <row r="148" spans="2:52" ht="18.75">
      <c r="B148">
        <v>40</v>
      </c>
      <c r="C148" s="5">
        <v>45929</v>
      </c>
      <c r="D148" t="s">
        <v>129</v>
      </c>
      <c r="E148">
        <v>164</v>
      </c>
      <c r="F148" s="6">
        <v>11.61</v>
      </c>
      <c r="G148" s="6">
        <v>0</v>
      </c>
      <c r="H148" s="6">
        <v>0</v>
      </c>
      <c r="I148" s="6">
        <v>687.30000000000098</v>
      </c>
      <c r="J148" s="6">
        <v>698.91000000000099</v>
      </c>
      <c r="L148">
        <v>45</v>
      </c>
      <c r="M148" s="5">
        <v>45964</v>
      </c>
      <c r="N148" t="s">
        <v>171</v>
      </c>
      <c r="O148">
        <v>163</v>
      </c>
      <c r="P148" s="6">
        <v>1015.28</v>
      </c>
      <c r="Q148" s="6">
        <v>6.95</v>
      </c>
      <c r="R148" s="6">
        <v>0</v>
      </c>
      <c r="S148" s="6">
        <v>119.91</v>
      </c>
      <c r="T148" s="6">
        <v>1128.24</v>
      </c>
      <c r="V148">
        <v>51</v>
      </c>
      <c r="W148" s="5">
        <v>46006</v>
      </c>
      <c r="X148" t="s">
        <v>184</v>
      </c>
      <c r="Y148">
        <v>371</v>
      </c>
      <c r="Z148" s="6">
        <v>739.59</v>
      </c>
      <c r="AA148" s="6">
        <v>1.5</v>
      </c>
      <c r="AB148" s="6">
        <v>0</v>
      </c>
      <c r="AC148" s="6">
        <v>107.91</v>
      </c>
      <c r="AD148" s="6">
        <v>846</v>
      </c>
      <c r="AH148" t="s">
        <v>213</v>
      </c>
      <c r="AI148" s="5">
        <v>45992</v>
      </c>
      <c r="AJ148" t="s">
        <v>124</v>
      </c>
      <c r="AK148">
        <v>487</v>
      </c>
      <c r="AL148" s="6">
        <v>1949.98</v>
      </c>
      <c r="AM148" s="6">
        <v>4.95</v>
      </c>
      <c r="AN148" s="6">
        <v>0</v>
      </c>
      <c r="AO148" s="6">
        <v>45.02</v>
      </c>
      <c r="AP148" s="6">
        <v>1990.05</v>
      </c>
      <c r="AR148" t="s">
        <v>203</v>
      </c>
      <c r="AS148" s="5">
        <v>46143</v>
      </c>
      <c r="AT148" t="s">
        <v>184</v>
      </c>
      <c r="AU148">
        <v>39</v>
      </c>
      <c r="AV148" s="6">
        <v>110.5</v>
      </c>
      <c r="AW148" s="6">
        <v>0</v>
      </c>
      <c r="AX148" s="6">
        <v>0</v>
      </c>
      <c r="AY148" s="6">
        <v>5.6</v>
      </c>
      <c r="AZ148" s="6">
        <v>116.1</v>
      </c>
    </row>
    <row r="149" spans="2:52" ht="18.75">
      <c r="B149">
        <v>40</v>
      </c>
      <c r="C149" s="5">
        <v>45929</v>
      </c>
      <c r="D149" t="s">
        <v>139</v>
      </c>
      <c r="E149">
        <v>75</v>
      </c>
      <c r="F149" s="6">
        <v>311.39999999999998</v>
      </c>
      <c r="G149" s="6">
        <v>0</v>
      </c>
      <c r="H149" s="6">
        <v>3.4</v>
      </c>
      <c r="I149" s="6">
        <v>0</v>
      </c>
      <c r="J149" s="6">
        <v>311.39999999999998</v>
      </c>
      <c r="L149">
        <v>45</v>
      </c>
      <c r="M149" s="5">
        <v>45964</v>
      </c>
      <c r="N149" t="s">
        <v>163</v>
      </c>
      <c r="O149">
        <v>298</v>
      </c>
      <c r="P149" s="6">
        <v>557</v>
      </c>
      <c r="Q149" s="6">
        <v>0</v>
      </c>
      <c r="R149" s="6">
        <v>0</v>
      </c>
      <c r="S149" s="6">
        <v>42</v>
      </c>
      <c r="T149" s="6">
        <v>599</v>
      </c>
      <c r="V149">
        <v>51</v>
      </c>
      <c r="W149" s="5">
        <v>46006</v>
      </c>
      <c r="X149" t="s">
        <v>185</v>
      </c>
      <c r="Y149">
        <v>213</v>
      </c>
      <c r="Z149" s="6">
        <v>1044.4100000000001</v>
      </c>
      <c r="AA149" s="6">
        <v>4.95</v>
      </c>
      <c r="AB149" s="6">
        <v>0</v>
      </c>
      <c r="AC149" s="6">
        <v>49.92</v>
      </c>
      <c r="AD149" s="6">
        <v>1089.3800000000001</v>
      </c>
      <c r="AH149" t="s">
        <v>213</v>
      </c>
      <c r="AI149" s="5">
        <v>45992</v>
      </c>
      <c r="AJ149" t="s">
        <v>133</v>
      </c>
      <c r="AK149">
        <v>256</v>
      </c>
      <c r="AL149" s="6">
        <v>1538.16</v>
      </c>
      <c r="AM149" s="6">
        <v>0</v>
      </c>
      <c r="AN149" s="6">
        <v>0</v>
      </c>
      <c r="AO149" s="6">
        <v>48.16</v>
      </c>
      <c r="AP149" s="6">
        <v>1586.32</v>
      </c>
      <c r="AR149" t="s">
        <v>203</v>
      </c>
      <c r="AS149" s="5">
        <v>46143</v>
      </c>
      <c r="AT149" t="s">
        <v>168</v>
      </c>
      <c r="AU149">
        <v>52</v>
      </c>
      <c r="AV149" s="6">
        <v>101.4</v>
      </c>
      <c r="AW149" s="6">
        <v>4</v>
      </c>
      <c r="AX149" s="6">
        <v>0</v>
      </c>
      <c r="AY149" s="6">
        <v>11.88</v>
      </c>
      <c r="AZ149" s="6">
        <v>109.28</v>
      </c>
    </row>
    <row r="150" spans="2:52" ht="18.75">
      <c r="B150">
        <v>40</v>
      </c>
      <c r="C150" s="5">
        <v>45929</v>
      </c>
      <c r="D150" t="s">
        <v>111</v>
      </c>
      <c r="E150">
        <v>102</v>
      </c>
      <c r="F150" s="6">
        <v>429.35</v>
      </c>
      <c r="G150" s="6">
        <v>0</v>
      </c>
      <c r="H150" s="6">
        <v>10.58</v>
      </c>
      <c r="I150" s="6">
        <v>0</v>
      </c>
      <c r="J150" s="6">
        <v>429.35</v>
      </c>
      <c r="L150">
        <v>45</v>
      </c>
      <c r="M150" s="5">
        <v>45964</v>
      </c>
      <c r="N150" t="s">
        <v>169</v>
      </c>
      <c r="O150">
        <v>987</v>
      </c>
      <c r="P150" s="6">
        <v>2518.70999999997</v>
      </c>
      <c r="Q150" s="6">
        <v>0</v>
      </c>
      <c r="R150" s="6">
        <v>19.48</v>
      </c>
      <c r="S150" s="6">
        <v>104.55</v>
      </c>
      <c r="T150" s="6">
        <v>2623.2599999999702</v>
      </c>
      <c r="V150">
        <v>51</v>
      </c>
      <c r="W150" s="5">
        <v>46006</v>
      </c>
      <c r="X150" t="s">
        <v>180</v>
      </c>
      <c r="Y150">
        <v>69</v>
      </c>
      <c r="Z150" s="6">
        <v>551.32000000000005</v>
      </c>
      <c r="AA150" s="6">
        <v>0</v>
      </c>
      <c r="AB150" s="6">
        <v>0</v>
      </c>
      <c r="AC150" s="6">
        <v>70.81</v>
      </c>
      <c r="AD150" s="6">
        <v>622.13</v>
      </c>
      <c r="AH150" t="s">
        <v>213</v>
      </c>
      <c r="AI150" s="5">
        <v>45992</v>
      </c>
      <c r="AJ150" t="s">
        <v>138</v>
      </c>
      <c r="AK150">
        <v>491</v>
      </c>
      <c r="AL150" s="6">
        <v>2624.35</v>
      </c>
      <c r="AM150" s="6">
        <v>9.6</v>
      </c>
      <c r="AN150" s="6">
        <v>0</v>
      </c>
      <c r="AO150" s="6">
        <v>84.15</v>
      </c>
      <c r="AP150" s="6">
        <v>2698.9</v>
      </c>
      <c r="AR150" t="s">
        <v>203</v>
      </c>
      <c r="AS150" s="5">
        <v>46143</v>
      </c>
      <c r="AT150" t="s">
        <v>171</v>
      </c>
      <c r="AU150">
        <v>372</v>
      </c>
      <c r="AV150" s="6">
        <v>2484.9</v>
      </c>
      <c r="AW150" s="6">
        <v>0</v>
      </c>
      <c r="AX150" s="6">
        <v>0</v>
      </c>
      <c r="AY150" s="6">
        <v>351.06</v>
      </c>
      <c r="AZ150" s="6">
        <v>2835.96</v>
      </c>
    </row>
    <row r="151" spans="2:52" ht="18.75">
      <c r="B151">
        <v>40</v>
      </c>
      <c r="C151" s="5">
        <v>45929</v>
      </c>
      <c r="D151" t="s">
        <v>138</v>
      </c>
      <c r="E151">
        <v>89</v>
      </c>
      <c r="F151" s="6">
        <v>458.94</v>
      </c>
      <c r="G151" s="6">
        <v>5.99</v>
      </c>
      <c r="H151" s="6">
        <v>10.17</v>
      </c>
      <c r="I151" s="6">
        <v>0</v>
      </c>
      <c r="J151" s="6">
        <v>452.95</v>
      </c>
      <c r="L151">
        <v>45</v>
      </c>
      <c r="M151" s="5">
        <v>45964</v>
      </c>
      <c r="N151" t="s">
        <v>204</v>
      </c>
      <c r="O151">
        <v>11</v>
      </c>
      <c r="P151" s="6">
        <v>25.7</v>
      </c>
      <c r="Q151" s="6">
        <v>0</v>
      </c>
      <c r="R151" s="6">
        <v>0</v>
      </c>
      <c r="S151" s="6">
        <v>0</v>
      </c>
      <c r="T151" s="6">
        <v>25.7</v>
      </c>
      <c r="V151">
        <v>51</v>
      </c>
      <c r="W151" s="5">
        <v>46006</v>
      </c>
      <c r="X151" t="s">
        <v>186</v>
      </c>
      <c r="Y151">
        <v>56</v>
      </c>
      <c r="Z151" s="6">
        <v>157.99</v>
      </c>
      <c r="AA151" s="6">
        <v>0</v>
      </c>
      <c r="AB151" s="6">
        <v>28.36</v>
      </c>
      <c r="AC151" s="6">
        <v>18.05</v>
      </c>
      <c r="AD151" s="6">
        <v>176.04</v>
      </c>
      <c r="AH151" t="s">
        <v>213</v>
      </c>
      <c r="AI151" s="5">
        <v>45992</v>
      </c>
      <c r="AJ151" t="s">
        <v>147</v>
      </c>
      <c r="AK151">
        <v>307</v>
      </c>
      <c r="AL151" s="6">
        <v>1510.82</v>
      </c>
      <c r="AM151" s="6">
        <v>0</v>
      </c>
      <c r="AN151" s="6">
        <v>0</v>
      </c>
      <c r="AO151" s="6">
        <v>45.79</v>
      </c>
      <c r="AP151" s="6">
        <v>1556.61</v>
      </c>
      <c r="AR151" t="s">
        <v>203</v>
      </c>
      <c r="AS151" s="5">
        <v>46143</v>
      </c>
      <c r="AT151" t="s">
        <v>170</v>
      </c>
      <c r="AU151">
        <v>29</v>
      </c>
      <c r="AV151" s="6">
        <v>92.16</v>
      </c>
      <c r="AW151" s="6">
        <v>0</v>
      </c>
      <c r="AX151" s="6">
        <v>0</v>
      </c>
      <c r="AY151" s="6">
        <v>12.24</v>
      </c>
      <c r="AZ151" s="6">
        <v>104.4</v>
      </c>
    </row>
    <row r="152" spans="2:52" ht="18.75">
      <c r="B152">
        <v>40</v>
      </c>
      <c r="C152" s="5">
        <v>45929</v>
      </c>
      <c r="D152" t="s">
        <v>141</v>
      </c>
      <c r="E152">
        <v>299</v>
      </c>
      <c r="F152" s="6">
        <v>967.60000000000196</v>
      </c>
      <c r="G152" s="6">
        <v>1.5</v>
      </c>
      <c r="H152" s="6">
        <v>5.33</v>
      </c>
      <c r="I152" s="6">
        <v>0</v>
      </c>
      <c r="J152" s="6">
        <v>966.10000000000196</v>
      </c>
      <c r="L152">
        <v>45</v>
      </c>
      <c r="M152" s="5">
        <v>45964</v>
      </c>
      <c r="N152" t="s">
        <v>158</v>
      </c>
      <c r="O152">
        <v>81</v>
      </c>
      <c r="P152" s="6">
        <v>484.43000000000097</v>
      </c>
      <c r="Q152" s="6">
        <v>25.2</v>
      </c>
      <c r="R152" s="6">
        <v>6.33</v>
      </c>
      <c r="S152" s="6">
        <v>19.54</v>
      </c>
      <c r="T152" s="6">
        <v>478.770000000001</v>
      </c>
      <c r="V152">
        <v>51</v>
      </c>
      <c r="W152" s="5">
        <v>46006</v>
      </c>
      <c r="X152" t="s">
        <v>178</v>
      </c>
      <c r="Y152">
        <v>266</v>
      </c>
      <c r="Z152" s="6">
        <v>2459.86</v>
      </c>
      <c r="AA152" s="6">
        <v>9.9</v>
      </c>
      <c r="AB152" s="6">
        <v>58.3</v>
      </c>
      <c r="AC152" s="6">
        <v>46.84</v>
      </c>
      <c r="AD152" s="6">
        <v>2496.8000000000002</v>
      </c>
      <c r="AH152" t="s">
        <v>213</v>
      </c>
      <c r="AI152" s="5">
        <v>45992</v>
      </c>
      <c r="AJ152" t="s">
        <v>121</v>
      </c>
      <c r="AK152">
        <v>149</v>
      </c>
      <c r="AL152" s="6">
        <v>454.14</v>
      </c>
      <c r="AM152" s="6">
        <v>0</v>
      </c>
      <c r="AN152" s="6">
        <v>0</v>
      </c>
      <c r="AO152" s="6">
        <v>10.119999999999999</v>
      </c>
      <c r="AP152" s="6">
        <v>464.26</v>
      </c>
      <c r="AR152" t="s">
        <v>203</v>
      </c>
      <c r="AS152" s="5">
        <v>46143</v>
      </c>
      <c r="AT152" t="s">
        <v>198</v>
      </c>
      <c r="AU152">
        <v>370</v>
      </c>
      <c r="AV152" s="6">
        <v>2884.58</v>
      </c>
      <c r="AW152" s="6">
        <v>0</v>
      </c>
      <c r="AX152" s="6">
        <v>0</v>
      </c>
      <c r="AY152" s="6">
        <v>628.16999999999996</v>
      </c>
      <c r="AZ152" s="6">
        <v>3512.75</v>
      </c>
    </row>
    <row r="153" spans="2:52" ht="18.75">
      <c r="B153">
        <v>40</v>
      </c>
      <c r="C153" s="5">
        <v>45929</v>
      </c>
      <c r="D153" t="s">
        <v>219</v>
      </c>
      <c r="E153">
        <v>102</v>
      </c>
      <c r="F153" s="6">
        <v>545.53</v>
      </c>
      <c r="G153" s="6">
        <v>0</v>
      </c>
      <c r="H153" s="6">
        <v>11.18</v>
      </c>
      <c r="I153" s="6">
        <v>0</v>
      </c>
      <c r="J153" s="6">
        <v>545.53</v>
      </c>
      <c r="L153">
        <v>45</v>
      </c>
      <c r="M153" s="5">
        <v>45964</v>
      </c>
      <c r="N153" t="s">
        <v>164</v>
      </c>
      <c r="O153">
        <v>17</v>
      </c>
      <c r="P153" s="6">
        <v>64.13</v>
      </c>
      <c r="Q153" s="6">
        <v>0</v>
      </c>
      <c r="R153" s="6">
        <v>0</v>
      </c>
      <c r="S153" s="6">
        <v>1.5</v>
      </c>
      <c r="T153" s="6">
        <v>65.63</v>
      </c>
      <c r="V153">
        <v>51</v>
      </c>
      <c r="W153" s="5">
        <v>46006</v>
      </c>
      <c r="X153" t="s">
        <v>183</v>
      </c>
      <c r="Y153">
        <v>342</v>
      </c>
      <c r="Z153" s="6">
        <v>699.18</v>
      </c>
      <c r="AA153" s="6">
        <v>0</v>
      </c>
      <c r="AB153" s="6">
        <v>0</v>
      </c>
      <c r="AC153" s="6">
        <v>55</v>
      </c>
      <c r="AD153" s="6">
        <v>754.18</v>
      </c>
      <c r="AH153" t="s">
        <v>213</v>
      </c>
      <c r="AI153" s="5">
        <v>45992</v>
      </c>
      <c r="AJ153" t="s">
        <v>146</v>
      </c>
      <c r="AK153">
        <v>526</v>
      </c>
      <c r="AL153" s="6">
        <v>3143.5899999999901</v>
      </c>
      <c r="AM153" s="6">
        <v>46.11</v>
      </c>
      <c r="AN153" s="6">
        <v>0</v>
      </c>
      <c r="AO153" s="6">
        <v>74.989999999999995</v>
      </c>
      <c r="AP153" s="6">
        <v>3172.4699999999898</v>
      </c>
      <c r="AR153" t="s">
        <v>203</v>
      </c>
      <c r="AS153" s="5">
        <v>46143</v>
      </c>
      <c r="AT153" t="s">
        <v>174</v>
      </c>
      <c r="AU153">
        <v>165</v>
      </c>
      <c r="AV153" s="6">
        <v>1163.73</v>
      </c>
      <c r="AW153" s="6">
        <v>0</v>
      </c>
      <c r="AX153" s="6">
        <v>0</v>
      </c>
      <c r="AY153" s="6">
        <v>164.56</v>
      </c>
      <c r="AZ153" s="6">
        <v>1328.29</v>
      </c>
    </row>
    <row r="154" spans="2:52" ht="18.75">
      <c r="B154">
        <v>40</v>
      </c>
      <c r="C154" s="5">
        <v>45929</v>
      </c>
      <c r="D154" t="s">
        <v>149</v>
      </c>
      <c r="E154">
        <v>42</v>
      </c>
      <c r="F154" s="6">
        <v>133.47999999999999</v>
      </c>
      <c r="G154" s="6">
        <v>0</v>
      </c>
      <c r="H154" s="6">
        <v>1.6</v>
      </c>
      <c r="I154" s="6">
        <v>0</v>
      </c>
      <c r="J154" s="6">
        <v>133.47999999999999</v>
      </c>
      <c r="L154">
        <v>45</v>
      </c>
      <c r="M154" s="5">
        <v>45964</v>
      </c>
      <c r="N154" t="s">
        <v>174</v>
      </c>
      <c r="O154">
        <v>66</v>
      </c>
      <c r="P154" s="6">
        <v>479.75</v>
      </c>
      <c r="Q154" s="6">
        <v>0</v>
      </c>
      <c r="R154" s="6">
        <v>0</v>
      </c>
      <c r="S154" s="6">
        <v>82.05</v>
      </c>
      <c r="T154" s="6">
        <v>561.79999999999995</v>
      </c>
      <c r="V154">
        <v>52</v>
      </c>
      <c r="W154" s="5">
        <v>46013</v>
      </c>
      <c r="X154" t="s">
        <v>179</v>
      </c>
      <c r="Y154">
        <v>258</v>
      </c>
      <c r="Z154" s="6">
        <v>1512.29999999999</v>
      </c>
      <c r="AA154" s="6">
        <v>0</v>
      </c>
      <c r="AB154" s="6">
        <v>56.04</v>
      </c>
      <c r="AC154" s="6">
        <v>55.14</v>
      </c>
      <c r="AD154" s="6">
        <v>1567.44</v>
      </c>
      <c r="AH154" t="s">
        <v>213</v>
      </c>
      <c r="AI154" s="5">
        <v>45992</v>
      </c>
      <c r="AJ154" t="s">
        <v>149</v>
      </c>
      <c r="AK154">
        <v>189</v>
      </c>
      <c r="AL154" s="6">
        <v>675.27</v>
      </c>
      <c r="AM154" s="6">
        <v>0</v>
      </c>
      <c r="AN154" s="6">
        <v>0</v>
      </c>
      <c r="AO154" s="6">
        <v>23.02</v>
      </c>
      <c r="AP154" s="6">
        <v>698.29</v>
      </c>
      <c r="AR154" t="s">
        <v>203</v>
      </c>
      <c r="AS154" s="5">
        <v>46143</v>
      </c>
      <c r="AT154" t="s">
        <v>167</v>
      </c>
      <c r="AU154">
        <v>83</v>
      </c>
      <c r="AV154" s="6">
        <v>748.09</v>
      </c>
      <c r="AW154" s="6">
        <v>9.9</v>
      </c>
      <c r="AX154" s="6">
        <v>0</v>
      </c>
      <c r="AY154" s="6">
        <v>70.81</v>
      </c>
      <c r="AZ154" s="6">
        <v>809</v>
      </c>
    </row>
    <row r="155" spans="2:52" ht="18.75">
      <c r="B155">
        <v>40</v>
      </c>
      <c r="C155" s="5">
        <v>45929</v>
      </c>
      <c r="D155" t="s">
        <v>133</v>
      </c>
      <c r="E155">
        <v>88</v>
      </c>
      <c r="F155" s="6">
        <v>445.69</v>
      </c>
      <c r="G155" s="6">
        <v>2.2999999999999998</v>
      </c>
      <c r="H155" s="6">
        <v>7.66</v>
      </c>
      <c r="I155" s="6">
        <v>0</v>
      </c>
      <c r="J155" s="6">
        <v>443.39</v>
      </c>
      <c r="L155">
        <v>45</v>
      </c>
      <c r="M155" s="5">
        <v>45964</v>
      </c>
      <c r="N155" t="s">
        <v>173</v>
      </c>
      <c r="O155">
        <v>162</v>
      </c>
      <c r="P155" s="6">
        <v>764.25000000000102</v>
      </c>
      <c r="Q155" s="6">
        <v>0</v>
      </c>
      <c r="R155" s="6">
        <v>0</v>
      </c>
      <c r="S155" s="6">
        <v>59.67</v>
      </c>
      <c r="T155" s="6">
        <v>823.92000000000098</v>
      </c>
      <c r="V155">
        <v>52</v>
      </c>
      <c r="W155" s="5">
        <v>46013</v>
      </c>
      <c r="X155" t="s">
        <v>182</v>
      </c>
      <c r="Y155">
        <v>334</v>
      </c>
      <c r="Z155" s="6">
        <v>804.1</v>
      </c>
      <c r="AA155" s="6">
        <v>0</v>
      </c>
      <c r="AB155" s="6">
        <v>4.2</v>
      </c>
      <c r="AC155" s="6">
        <v>34.36</v>
      </c>
      <c r="AD155" s="6">
        <v>838.46</v>
      </c>
      <c r="AH155" t="s">
        <v>213</v>
      </c>
      <c r="AI155" s="5">
        <v>45992</v>
      </c>
      <c r="AJ155" t="s">
        <v>113</v>
      </c>
      <c r="AK155">
        <v>295</v>
      </c>
      <c r="AL155" s="6">
        <v>985.91000000000201</v>
      </c>
      <c r="AM155" s="6">
        <v>0</v>
      </c>
      <c r="AN155" s="6">
        <v>0</v>
      </c>
      <c r="AO155" s="6">
        <v>6.91</v>
      </c>
      <c r="AP155" s="6">
        <v>992.82000000000198</v>
      </c>
      <c r="AR155" t="s">
        <v>203</v>
      </c>
      <c r="AS155" s="5">
        <v>46143</v>
      </c>
      <c r="AT155" t="s">
        <v>181</v>
      </c>
      <c r="AU155">
        <v>25</v>
      </c>
      <c r="AV155" s="6">
        <v>154.9</v>
      </c>
      <c r="AW155" s="6">
        <v>0</v>
      </c>
      <c r="AX155" s="6">
        <v>0</v>
      </c>
      <c r="AY155" s="6">
        <v>20.85</v>
      </c>
      <c r="AZ155" s="6">
        <v>175.75</v>
      </c>
    </row>
    <row r="156" spans="2:52" ht="18.75">
      <c r="B156">
        <v>40</v>
      </c>
      <c r="C156" s="5">
        <v>45929</v>
      </c>
      <c r="D156" t="s">
        <v>134</v>
      </c>
      <c r="E156">
        <v>81</v>
      </c>
      <c r="F156" s="6">
        <v>414.06</v>
      </c>
      <c r="G156" s="6">
        <v>0</v>
      </c>
      <c r="H156" s="6">
        <v>0</v>
      </c>
      <c r="I156" s="6">
        <v>0</v>
      </c>
      <c r="J156" s="6">
        <v>414.06</v>
      </c>
      <c r="L156">
        <v>45</v>
      </c>
      <c r="M156" s="5">
        <v>45964</v>
      </c>
      <c r="N156" t="s">
        <v>176</v>
      </c>
      <c r="O156">
        <v>129</v>
      </c>
      <c r="P156" s="6">
        <v>246.48</v>
      </c>
      <c r="Q156" s="6">
        <v>0</v>
      </c>
      <c r="R156" s="6">
        <v>0</v>
      </c>
      <c r="S156" s="6">
        <v>46.31</v>
      </c>
      <c r="T156" s="6">
        <v>292.79000000000002</v>
      </c>
      <c r="V156">
        <v>52</v>
      </c>
      <c r="W156" s="5">
        <v>46013</v>
      </c>
      <c r="X156" t="s">
        <v>183</v>
      </c>
      <c r="Y156">
        <v>184</v>
      </c>
      <c r="Z156" s="6">
        <v>398.13</v>
      </c>
      <c r="AA156" s="6">
        <v>0</v>
      </c>
      <c r="AB156" s="6">
        <v>0</v>
      </c>
      <c r="AC156" s="6">
        <v>9.7200000000000006</v>
      </c>
      <c r="AD156" s="6">
        <v>407.85</v>
      </c>
      <c r="AH156" t="s">
        <v>213</v>
      </c>
      <c r="AI156" s="5">
        <v>45992</v>
      </c>
      <c r="AJ156" t="s">
        <v>120</v>
      </c>
      <c r="AK156">
        <v>118</v>
      </c>
      <c r="AL156" s="6">
        <v>579.51</v>
      </c>
      <c r="AM156" s="6">
        <v>0</v>
      </c>
      <c r="AN156" s="6">
        <v>0</v>
      </c>
      <c r="AO156" s="6">
        <v>17.12</v>
      </c>
      <c r="AP156" s="6">
        <v>596.63</v>
      </c>
      <c r="AR156" t="s">
        <v>203</v>
      </c>
      <c r="AS156" s="5">
        <v>46143</v>
      </c>
      <c r="AT156" t="s">
        <v>164</v>
      </c>
      <c r="AU156">
        <v>4</v>
      </c>
      <c r="AV156" s="6">
        <v>15</v>
      </c>
      <c r="AW156" s="6">
        <v>0</v>
      </c>
      <c r="AX156" s="6">
        <v>0</v>
      </c>
      <c r="AY156" s="6">
        <v>0</v>
      </c>
      <c r="AZ156" s="6">
        <v>15</v>
      </c>
    </row>
    <row r="157" spans="2:52" ht="18.75">
      <c r="B157">
        <v>40</v>
      </c>
      <c r="C157" s="5">
        <v>45929</v>
      </c>
      <c r="D157" t="s">
        <v>114</v>
      </c>
      <c r="E157">
        <v>66</v>
      </c>
      <c r="F157" s="6">
        <v>262.94</v>
      </c>
      <c r="G157" s="6">
        <v>0</v>
      </c>
      <c r="H157" s="6">
        <v>6.37</v>
      </c>
      <c r="I157" s="6">
        <v>90</v>
      </c>
      <c r="J157" s="6">
        <v>352.94</v>
      </c>
      <c r="L157">
        <v>45</v>
      </c>
      <c r="M157" s="5">
        <v>45964</v>
      </c>
      <c r="N157" t="s">
        <v>170</v>
      </c>
      <c r="O157">
        <v>19</v>
      </c>
      <c r="P157" s="6">
        <v>63.9</v>
      </c>
      <c r="Q157" s="6">
        <v>0</v>
      </c>
      <c r="R157" s="6">
        <v>0</v>
      </c>
      <c r="S157" s="6">
        <v>4.5</v>
      </c>
      <c r="T157" s="6">
        <v>68.400000000000006</v>
      </c>
      <c r="V157">
        <v>52</v>
      </c>
      <c r="W157" s="5">
        <v>46013</v>
      </c>
      <c r="X157" t="s">
        <v>181</v>
      </c>
      <c r="Y157">
        <v>106</v>
      </c>
      <c r="Z157" s="6">
        <v>741.92000000000098</v>
      </c>
      <c r="AA157" s="6">
        <v>0</v>
      </c>
      <c r="AB157" s="6">
        <v>9.15</v>
      </c>
      <c r="AC157" s="6">
        <v>136.80000000000001</v>
      </c>
      <c r="AD157" s="6">
        <v>878.72</v>
      </c>
      <c r="AH157" t="s">
        <v>213</v>
      </c>
      <c r="AI157" s="5">
        <v>45992</v>
      </c>
      <c r="AJ157" t="s">
        <v>134</v>
      </c>
      <c r="AK157">
        <v>293</v>
      </c>
      <c r="AL157" s="6">
        <v>1603.21</v>
      </c>
      <c r="AM157" s="6">
        <v>1.5</v>
      </c>
      <c r="AN157" s="6">
        <v>0</v>
      </c>
      <c r="AO157" s="6">
        <v>22.71</v>
      </c>
      <c r="AP157" s="6">
        <v>1624.42</v>
      </c>
      <c r="AR157" t="s">
        <v>203</v>
      </c>
      <c r="AS157" s="5">
        <v>46143</v>
      </c>
      <c r="AT157" t="s">
        <v>172</v>
      </c>
      <c r="AU157">
        <v>10</v>
      </c>
      <c r="AV157" s="6">
        <v>33.5</v>
      </c>
      <c r="AW157" s="6">
        <v>0</v>
      </c>
      <c r="AX157" s="6">
        <v>0</v>
      </c>
      <c r="AY157" s="6">
        <v>0</v>
      </c>
      <c r="AZ157" s="6">
        <v>33.5</v>
      </c>
    </row>
    <row r="158" spans="2:52" ht="18.75">
      <c r="B158">
        <v>40</v>
      </c>
      <c r="C158" s="5">
        <v>45929</v>
      </c>
      <c r="D158" t="s">
        <v>112</v>
      </c>
      <c r="E158">
        <v>27</v>
      </c>
      <c r="F158" s="6">
        <v>137.97999999999999</v>
      </c>
      <c r="G158" s="6">
        <v>0</v>
      </c>
      <c r="H158" s="6">
        <v>0</v>
      </c>
      <c r="I158" s="6">
        <v>2</v>
      </c>
      <c r="J158" s="6">
        <v>139.97999999999999</v>
      </c>
      <c r="L158">
        <v>45</v>
      </c>
      <c r="M158" s="5">
        <v>45964</v>
      </c>
      <c r="N158" t="s">
        <v>165</v>
      </c>
      <c r="O158">
        <v>35</v>
      </c>
      <c r="P158" s="6">
        <v>299.68</v>
      </c>
      <c r="Q158" s="6">
        <v>0</v>
      </c>
      <c r="R158" s="6">
        <v>0</v>
      </c>
      <c r="S158" s="6">
        <v>27.97</v>
      </c>
      <c r="T158" s="6">
        <v>327.64999999999998</v>
      </c>
      <c r="V158">
        <v>52</v>
      </c>
      <c r="W158" s="5">
        <v>46013</v>
      </c>
      <c r="X158" t="s">
        <v>178</v>
      </c>
      <c r="Y158">
        <v>95</v>
      </c>
      <c r="Z158" s="6">
        <v>873.94</v>
      </c>
      <c r="AA158" s="6">
        <v>0</v>
      </c>
      <c r="AB158" s="6">
        <v>28.31</v>
      </c>
      <c r="AC158" s="6">
        <v>31.14</v>
      </c>
      <c r="AD158" s="6">
        <v>905.08</v>
      </c>
      <c r="AH158" t="s">
        <v>213</v>
      </c>
      <c r="AI158" s="5">
        <v>45992</v>
      </c>
      <c r="AJ158" t="s">
        <v>125</v>
      </c>
      <c r="AK158">
        <v>44</v>
      </c>
      <c r="AL158" s="6">
        <v>195.77</v>
      </c>
      <c r="AM158" s="6">
        <v>0</v>
      </c>
      <c r="AN158" s="6">
        <v>0</v>
      </c>
      <c r="AO158" s="6">
        <v>4.08</v>
      </c>
      <c r="AP158" s="6">
        <v>199.85</v>
      </c>
      <c r="AR158" s="242" t="s">
        <v>205</v>
      </c>
      <c r="AS158" s="243">
        <v>46174</v>
      </c>
      <c r="AT158" s="242" t="s">
        <v>173</v>
      </c>
      <c r="AU158" s="242">
        <v>1070</v>
      </c>
      <c r="AV158" s="244">
        <v>5085.9399999999105</v>
      </c>
      <c r="AW158" s="244">
        <v>4.95</v>
      </c>
      <c r="AX158" s="244">
        <v>0</v>
      </c>
      <c r="AY158" s="244">
        <v>339.18000000000035</v>
      </c>
      <c r="AZ158" s="244">
        <v>5420.1699999999109</v>
      </c>
    </row>
    <row r="159" spans="2:52" ht="18.75">
      <c r="B159">
        <v>40</v>
      </c>
      <c r="C159" s="5">
        <v>45929</v>
      </c>
      <c r="D159" t="s">
        <v>142</v>
      </c>
      <c r="E159">
        <v>47</v>
      </c>
      <c r="F159" s="6">
        <v>203.47</v>
      </c>
      <c r="G159" s="6">
        <v>0</v>
      </c>
      <c r="H159" s="6">
        <v>1.98</v>
      </c>
      <c r="I159" s="6">
        <v>0</v>
      </c>
      <c r="J159" s="6">
        <v>203.47</v>
      </c>
      <c r="L159">
        <v>45</v>
      </c>
      <c r="M159" s="5">
        <v>45964</v>
      </c>
      <c r="N159" t="s">
        <v>198</v>
      </c>
      <c r="O159">
        <v>144</v>
      </c>
      <c r="P159" s="6">
        <v>1260.5999999999999</v>
      </c>
      <c r="Q159" s="6">
        <v>0</v>
      </c>
      <c r="R159" s="6">
        <v>38.5</v>
      </c>
      <c r="S159" s="6">
        <v>68.900000000000006</v>
      </c>
      <c r="T159" s="6">
        <v>1329.5</v>
      </c>
      <c r="V159">
        <v>52</v>
      </c>
      <c r="W159" s="5">
        <v>46013</v>
      </c>
      <c r="X159" t="s">
        <v>186</v>
      </c>
      <c r="Y159">
        <v>26</v>
      </c>
      <c r="Z159" s="6">
        <v>60.13</v>
      </c>
      <c r="AA159" s="6">
        <v>0</v>
      </c>
      <c r="AB159" s="6">
        <v>34.770000000000003</v>
      </c>
      <c r="AC159" s="6">
        <v>0</v>
      </c>
      <c r="AD159" s="6">
        <v>60.13</v>
      </c>
      <c r="AH159" t="s">
        <v>213</v>
      </c>
      <c r="AI159" s="5">
        <v>45992</v>
      </c>
      <c r="AJ159" t="s">
        <v>128</v>
      </c>
      <c r="AK159">
        <v>50</v>
      </c>
      <c r="AL159" s="6">
        <v>254.9</v>
      </c>
      <c r="AM159" s="6">
        <v>18.239999999999998</v>
      </c>
      <c r="AN159" s="6">
        <v>0</v>
      </c>
      <c r="AO159" s="6">
        <v>6.69</v>
      </c>
      <c r="AP159" s="6">
        <v>243.35</v>
      </c>
      <c r="AR159" s="242" t="s">
        <v>205</v>
      </c>
      <c r="AS159" s="243">
        <v>46174</v>
      </c>
      <c r="AT159" s="242" t="s">
        <v>163</v>
      </c>
      <c r="AU159" s="242">
        <v>880</v>
      </c>
      <c r="AV159" s="244">
        <v>1778.3200000000163</v>
      </c>
      <c r="AW159" s="244">
        <v>2.2000000000000002</v>
      </c>
      <c r="AX159" s="244">
        <v>0</v>
      </c>
      <c r="AY159" s="244">
        <v>98.279999999999944</v>
      </c>
      <c r="AZ159" s="244">
        <v>1874.4000000000162</v>
      </c>
    </row>
    <row r="160" spans="2:52" ht="18.75">
      <c r="B160">
        <v>40</v>
      </c>
      <c r="C160" s="5">
        <v>45929</v>
      </c>
      <c r="D160" t="s">
        <v>127</v>
      </c>
      <c r="E160">
        <v>65</v>
      </c>
      <c r="F160" s="6">
        <v>336.43</v>
      </c>
      <c r="G160" s="6">
        <v>0</v>
      </c>
      <c r="H160" s="6">
        <v>6.8</v>
      </c>
      <c r="I160" s="6">
        <v>0</v>
      </c>
      <c r="J160" s="6">
        <v>336.43</v>
      </c>
      <c r="L160">
        <v>45</v>
      </c>
      <c r="M160" s="5">
        <v>45964</v>
      </c>
      <c r="N160" t="s">
        <v>172</v>
      </c>
      <c r="O160">
        <v>40</v>
      </c>
      <c r="P160" s="6">
        <v>124.8</v>
      </c>
      <c r="Q160" s="6">
        <v>0</v>
      </c>
      <c r="R160" s="6">
        <v>0</v>
      </c>
      <c r="S160" s="6">
        <v>3.2</v>
      </c>
      <c r="T160" s="6">
        <v>128</v>
      </c>
      <c r="V160">
        <v>52</v>
      </c>
      <c r="W160" s="5">
        <v>46013</v>
      </c>
      <c r="X160" t="s">
        <v>184</v>
      </c>
      <c r="Y160">
        <v>141</v>
      </c>
      <c r="Z160" s="6">
        <v>267.87</v>
      </c>
      <c r="AA160" s="6">
        <v>0</v>
      </c>
      <c r="AB160" s="6">
        <v>0</v>
      </c>
      <c r="AC160" s="6">
        <v>48.17</v>
      </c>
      <c r="AD160" s="6">
        <v>316.04000000000002</v>
      </c>
      <c r="AH160" t="s">
        <v>213</v>
      </c>
      <c r="AI160" s="5">
        <v>45992</v>
      </c>
      <c r="AJ160" t="s">
        <v>127</v>
      </c>
      <c r="AK160">
        <v>276</v>
      </c>
      <c r="AL160" s="6">
        <v>1206.3900000000001</v>
      </c>
      <c r="AM160" s="6">
        <v>0</v>
      </c>
      <c r="AN160" s="6">
        <v>0</v>
      </c>
      <c r="AO160" s="6">
        <v>45.73</v>
      </c>
      <c r="AP160" s="6">
        <v>1252.1199999999999</v>
      </c>
      <c r="AR160" s="242" t="s">
        <v>205</v>
      </c>
      <c r="AS160" s="243">
        <v>46174</v>
      </c>
      <c r="AT160" s="242" t="s">
        <v>204</v>
      </c>
      <c r="AU160" s="242">
        <v>1779</v>
      </c>
      <c r="AV160" s="244">
        <v>3699.8299999999927</v>
      </c>
      <c r="AW160" s="244">
        <v>20.8</v>
      </c>
      <c r="AX160" s="244">
        <v>0</v>
      </c>
      <c r="AY160" s="244">
        <v>430.88999999999976</v>
      </c>
      <c r="AZ160" s="244">
        <v>4109.9199999999919</v>
      </c>
    </row>
    <row r="161" spans="2:52" ht="18.75">
      <c r="B161">
        <v>40</v>
      </c>
      <c r="C161" s="5">
        <v>45929</v>
      </c>
      <c r="D161" t="s">
        <v>126</v>
      </c>
      <c r="E161">
        <v>57</v>
      </c>
      <c r="F161" s="6">
        <v>209.01</v>
      </c>
      <c r="G161" s="6">
        <v>0</v>
      </c>
      <c r="H161" s="6">
        <v>0</v>
      </c>
      <c r="I161" s="6">
        <v>0</v>
      </c>
      <c r="J161" s="6">
        <v>209.01</v>
      </c>
      <c r="L161">
        <v>34</v>
      </c>
      <c r="M161" s="5">
        <v>45887</v>
      </c>
      <c r="N161" t="s">
        <v>173</v>
      </c>
      <c r="O161">
        <v>123</v>
      </c>
      <c r="P161" s="6">
        <v>566.53</v>
      </c>
      <c r="Q161" s="6">
        <v>0</v>
      </c>
      <c r="R161" s="6">
        <v>4.2</v>
      </c>
      <c r="S161" s="6">
        <v>39.36</v>
      </c>
      <c r="T161" s="6">
        <v>605.89</v>
      </c>
      <c r="V161">
        <v>52</v>
      </c>
      <c r="W161" s="5">
        <v>46013</v>
      </c>
      <c r="X161" t="s">
        <v>185</v>
      </c>
      <c r="Y161">
        <v>87</v>
      </c>
      <c r="Z161" s="6">
        <v>419.719999999999</v>
      </c>
      <c r="AA161" s="6">
        <v>0</v>
      </c>
      <c r="AB161" s="6">
        <v>0</v>
      </c>
      <c r="AC161" s="6">
        <v>29.91</v>
      </c>
      <c r="AD161" s="6">
        <v>449.62999999999897</v>
      </c>
      <c r="AH161" t="s">
        <v>213</v>
      </c>
      <c r="AI161" s="5">
        <v>45992</v>
      </c>
      <c r="AJ161" t="s">
        <v>145</v>
      </c>
      <c r="AK161">
        <v>235</v>
      </c>
      <c r="AL161" s="6">
        <v>1428.04</v>
      </c>
      <c r="AM161" s="6">
        <v>0</v>
      </c>
      <c r="AN161" s="6">
        <v>0</v>
      </c>
      <c r="AO161" s="6">
        <v>18.38</v>
      </c>
      <c r="AP161" s="6">
        <v>1446.42</v>
      </c>
      <c r="AR161" s="242" t="s">
        <v>205</v>
      </c>
      <c r="AS161" s="243">
        <v>46174</v>
      </c>
      <c r="AT161" s="242" t="s">
        <v>169</v>
      </c>
      <c r="AU161" s="242">
        <v>4264</v>
      </c>
      <c r="AV161" s="244">
        <v>10954.470000000143</v>
      </c>
      <c r="AW161" s="244">
        <v>11.2</v>
      </c>
      <c r="AX161" s="244">
        <v>0</v>
      </c>
      <c r="AY161" s="244">
        <v>435.24000000000132</v>
      </c>
      <c r="AZ161" s="244">
        <v>11378.510000000144</v>
      </c>
    </row>
    <row r="162" spans="2:52" ht="18.75">
      <c r="B162">
        <v>40</v>
      </c>
      <c r="C162" s="5">
        <v>45929</v>
      </c>
      <c r="D162" t="s">
        <v>135</v>
      </c>
      <c r="E162">
        <v>13</v>
      </c>
      <c r="F162" s="6">
        <v>43.36</v>
      </c>
      <c r="G162" s="6">
        <v>0</v>
      </c>
      <c r="H162" s="6">
        <v>2.4</v>
      </c>
      <c r="I162" s="6">
        <v>7.8</v>
      </c>
      <c r="J162" s="6">
        <v>51.16</v>
      </c>
      <c r="L162">
        <v>34</v>
      </c>
      <c r="M162" s="5">
        <v>45887</v>
      </c>
      <c r="N162" t="s">
        <v>160</v>
      </c>
      <c r="O162">
        <v>581</v>
      </c>
      <c r="P162" s="6">
        <v>3724.0299999999702</v>
      </c>
      <c r="Q162" s="6">
        <v>5.99</v>
      </c>
      <c r="R162" s="6">
        <v>115.74</v>
      </c>
      <c r="S162" s="6">
        <v>171.63</v>
      </c>
      <c r="T162" s="6">
        <v>3889.6699999999701</v>
      </c>
      <c r="V162">
        <v>52</v>
      </c>
      <c r="W162" s="5">
        <v>46013</v>
      </c>
      <c r="X162" t="s">
        <v>180</v>
      </c>
      <c r="Y162">
        <v>49</v>
      </c>
      <c r="Z162" s="6">
        <v>401.41</v>
      </c>
      <c r="AA162" s="6">
        <v>0</v>
      </c>
      <c r="AB162" s="6">
        <v>0</v>
      </c>
      <c r="AC162" s="6">
        <v>39.47</v>
      </c>
      <c r="AD162" s="6">
        <v>440.88</v>
      </c>
      <c r="AH162" t="s">
        <v>213</v>
      </c>
      <c r="AI162" s="5">
        <v>45992</v>
      </c>
      <c r="AJ162" t="s">
        <v>142</v>
      </c>
      <c r="AK162">
        <v>147</v>
      </c>
      <c r="AL162" s="6">
        <v>716.05</v>
      </c>
      <c r="AM162" s="6">
        <v>4.95</v>
      </c>
      <c r="AN162" s="6">
        <v>0</v>
      </c>
      <c r="AO162" s="6">
        <v>35.44</v>
      </c>
      <c r="AP162" s="6">
        <v>746.54</v>
      </c>
      <c r="AR162" s="242" t="s">
        <v>205</v>
      </c>
      <c r="AS162" s="243">
        <v>46174</v>
      </c>
      <c r="AT162" s="242" t="s">
        <v>160</v>
      </c>
      <c r="AU162" s="242">
        <v>4704</v>
      </c>
      <c r="AV162" s="244">
        <v>31551.090000001219</v>
      </c>
      <c r="AW162" s="244">
        <v>83.199999999999989</v>
      </c>
      <c r="AX162" s="244">
        <v>0</v>
      </c>
      <c r="AY162" s="244">
        <v>1751.3500000000079</v>
      </c>
      <c r="AZ162" s="244">
        <v>33219.240000001228</v>
      </c>
    </row>
    <row r="163" spans="2:52" ht="18.75">
      <c r="B163">
        <v>40</v>
      </c>
      <c r="C163" s="5">
        <v>45929</v>
      </c>
      <c r="D163" t="s">
        <v>146</v>
      </c>
      <c r="E163">
        <v>155</v>
      </c>
      <c r="F163" s="6">
        <v>831.13000000000102</v>
      </c>
      <c r="G163" s="6">
        <v>18.28</v>
      </c>
      <c r="H163" s="6">
        <v>14.22</v>
      </c>
      <c r="I163" s="6">
        <v>0</v>
      </c>
      <c r="J163" s="6">
        <v>812.85000000000105</v>
      </c>
      <c r="L163">
        <v>34</v>
      </c>
      <c r="M163" s="5">
        <v>45887</v>
      </c>
      <c r="N163" t="s">
        <v>169</v>
      </c>
      <c r="O163">
        <v>644</v>
      </c>
      <c r="P163" s="6">
        <v>1534.07</v>
      </c>
      <c r="Q163" s="6">
        <v>0</v>
      </c>
      <c r="R163" s="6">
        <v>18.760000000000002</v>
      </c>
      <c r="S163" s="6">
        <v>88.64</v>
      </c>
      <c r="T163" s="6">
        <v>1622.71</v>
      </c>
      <c r="V163">
        <v>7</v>
      </c>
      <c r="W163" s="5">
        <v>46062</v>
      </c>
      <c r="X163" t="s">
        <v>182</v>
      </c>
      <c r="Y163">
        <v>1289</v>
      </c>
      <c r="Z163" s="6">
        <v>3464.1700000000401</v>
      </c>
      <c r="AA163" s="6">
        <v>0</v>
      </c>
      <c r="AB163" s="6">
        <v>36.409999999999997</v>
      </c>
      <c r="AC163" s="6">
        <v>98.09</v>
      </c>
      <c r="AD163" s="6">
        <v>3562.2600000000398</v>
      </c>
      <c r="AH163" t="s">
        <v>213</v>
      </c>
      <c r="AI163" s="5">
        <v>45992</v>
      </c>
      <c r="AJ163" t="s">
        <v>114</v>
      </c>
      <c r="AK163">
        <v>241</v>
      </c>
      <c r="AL163" s="6">
        <v>1073.26</v>
      </c>
      <c r="AM163" s="6">
        <v>0</v>
      </c>
      <c r="AN163" s="6">
        <v>0</v>
      </c>
      <c r="AO163" s="6">
        <v>392.3</v>
      </c>
      <c r="AP163" s="6">
        <v>1465.56</v>
      </c>
      <c r="AR163" s="242" t="s">
        <v>205</v>
      </c>
      <c r="AS163" s="243">
        <v>46174</v>
      </c>
      <c r="AT163" s="242" t="s">
        <v>176</v>
      </c>
      <c r="AU163" s="242">
        <v>479</v>
      </c>
      <c r="AV163" s="244">
        <v>1030.9399999999991</v>
      </c>
      <c r="AW163" s="244">
        <v>0</v>
      </c>
      <c r="AX163" s="244">
        <v>0</v>
      </c>
      <c r="AY163" s="244">
        <v>50.52</v>
      </c>
      <c r="AZ163" s="244">
        <v>1081.4599999999991</v>
      </c>
    </row>
    <row r="164" spans="2:52" ht="18.75">
      <c r="B164">
        <v>40</v>
      </c>
      <c r="C164" s="5">
        <v>45929</v>
      </c>
      <c r="D164" t="s">
        <v>137</v>
      </c>
      <c r="E164">
        <v>16</v>
      </c>
      <c r="F164" s="6">
        <v>53.67</v>
      </c>
      <c r="G164" s="6">
        <v>0</v>
      </c>
      <c r="H164" s="6">
        <v>2.88</v>
      </c>
      <c r="I164" s="6">
        <v>26.5</v>
      </c>
      <c r="J164" s="6">
        <v>80.17</v>
      </c>
      <c r="L164">
        <v>34</v>
      </c>
      <c r="M164" s="5">
        <v>45887</v>
      </c>
      <c r="N164" t="s">
        <v>158</v>
      </c>
      <c r="O164">
        <v>58</v>
      </c>
      <c r="P164" s="6">
        <v>403.96</v>
      </c>
      <c r="Q164" s="6">
        <v>0</v>
      </c>
      <c r="R164" s="6">
        <v>5.52</v>
      </c>
      <c r="S164" s="6">
        <v>13.52</v>
      </c>
      <c r="T164" s="6">
        <v>417.48</v>
      </c>
      <c r="V164">
        <v>7</v>
      </c>
      <c r="W164" s="5">
        <v>46062</v>
      </c>
      <c r="X164" t="s">
        <v>178</v>
      </c>
      <c r="Y164">
        <v>338</v>
      </c>
      <c r="Z164" s="6">
        <v>3159.21</v>
      </c>
      <c r="AA164" s="6">
        <v>0</v>
      </c>
      <c r="AB164" s="6">
        <v>74.09</v>
      </c>
      <c r="AC164" s="6">
        <v>65.319999999999993</v>
      </c>
      <c r="AD164" s="6">
        <v>3224.53</v>
      </c>
      <c r="AH164" t="s">
        <v>213</v>
      </c>
      <c r="AI164" s="5">
        <v>45992</v>
      </c>
      <c r="AJ164" t="s">
        <v>151</v>
      </c>
      <c r="AK164">
        <v>521</v>
      </c>
      <c r="AL164" s="6">
        <v>2832.22999999999</v>
      </c>
      <c r="AM164" s="6">
        <v>0</v>
      </c>
      <c r="AN164" s="6">
        <v>0</v>
      </c>
      <c r="AO164" s="6">
        <v>118.68</v>
      </c>
      <c r="AP164" s="6">
        <v>2950.9099999999899</v>
      </c>
      <c r="AR164" s="242" t="s">
        <v>205</v>
      </c>
      <c r="AS164" s="243">
        <v>46174</v>
      </c>
      <c r="AT164" s="242" t="s">
        <v>209</v>
      </c>
      <c r="AU164" s="242">
        <v>320</v>
      </c>
      <c r="AV164" s="244">
        <v>557.95000000000107</v>
      </c>
      <c r="AW164" s="244">
        <v>1.87</v>
      </c>
      <c r="AX164" s="244">
        <v>0</v>
      </c>
      <c r="AY164" s="244">
        <v>149.5300000000002</v>
      </c>
      <c r="AZ164" s="244">
        <v>705.61000000000126</v>
      </c>
    </row>
    <row r="165" spans="2:52" ht="18.75">
      <c r="B165">
        <v>40</v>
      </c>
      <c r="C165" s="5">
        <v>45929</v>
      </c>
      <c r="D165" t="s">
        <v>145</v>
      </c>
      <c r="E165">
        <v>68</v>
      </c>
      <c r="F165" s="6">
        <v>352.86</v>
      </c>
      <c r="G165" s="6">
        <v>0</v>
      </c>
      <c r="H165" s="6">
        <v>9.5399999999999991</v>
      </c>
      <c r="I165" s="6">
        <v>1.39</v>
      </c>
      <c r="J165" s="6">
        <v>354.25</v>
      </c>
      <c r="L165">
        <v>34</v>
      </c>
      <c r="M165" s="5">
        <v>45887</v>
      </c>
      <c r="N165" t="s">
        <v>174</v>
      </c>
      <c r="O165">
        <v>177</v>
      </c>
      <c r="P165" s="6">
        <v>1198.4100000000001</v>
      </c>
      <c r="Q165" s="6">
        <v>0</v>
      </c>
      <c r="R165" s="6">
        <v>0</v>
      </c>
      <c r="S165" s="6">
        <v>199.58</v>
      </c>
      <c r="T165" s="6">
        <v>1397.99</v>
      </c>
      <c r="V165">
        <v>7</v>
      </c>
      <c r="W165" s="5">
        <v>46062</v>
      </c>
      <c r="X165" t="s">
        <v>186</v>
      </c>
      <c r="Y165">
        <v>48</v>
      </c>
      <c r="Z165" s="6">
        <v>131.83000000000001</v>
      </c>
      <c r="AA165" s="6">
        <v>0</v>
      </c>
      <c r="AB165" s="6">
        <v>35.159999999999997</v>
      </c>
      <c r="AC165" s="6">
        <v>8.2100000000000009</v>
      </c>
      <c r="AD165" s="6">
        <v>140.04</v>
      </c>
      <c r="AH165" t="s">
        <v>213</v>
      </c>
      <c r="AI165" s="5">
        <v>45992</v>
      </c>
      <c r="AJ165" t="s">
        <v>132</v>
      </c>
      <c r="AK165">
        <v>285</v>
      </c>
      <c r="AL165" s="6">
        <v>1177.5899999999999</v>
      </c>
      <c r="AM165" s="6">
        <v>10.49</v>
      </c>
      <c r="AN165" s="6">
        <v>0</v>
      </c>
      <c r="AO165" s="6">
        <v>33.159999999999997</v>
      </c>
      <c r="AP165" s="6">
        <v>1200.26</v>
      </c>
      <c r="AR165" s="242" t="s">
        <v>205</v>
      </c>
      <c r="AS165" s="243">
        <v>46174</v>
      </c>
      <c r="AT165" s="242" t="s">
        <v>174</v>
      </c>
      <c r="AU165" s="242">
        <v>300</v>
      </c>
      <c r="AV165" s="244">
        <v>1896.4500000000021</v>
      </c>
      <c r="AW165" s="244">
        <v>0</v>
      </c>
      <c r="AX165" s="244">
        <v>0</v>
      </c>
      <c r="AY165" s="244">
        <v>325.59000000000015</v>
      </c>
      <c r="AZ165" s="244">
        <v>2222.0400000000022</v>
      </c>
    </row>
    <row r="166" spans="2:52" ht="18.75">
      <c r="B166">
        <v>40</v>
      </c>
      <c r="C166" s="5">
        <v>45929</v>
      </c>
      <c r="D166" t="s">
        <v>113</v>
      </c>
      <c r="E166">
        <v>105</v>
      </c>
      <c r="F166" s="6">
        <v>392.37</v>
      </c>
      <c r="G166" s="6">
        <v>0</v>
      </c>
      <c r="H166" s="6">
        <v>0</v>
      </c>
      <c r="I166" s="6">
        <v>0</v>
      </c>
      <c r="J166" s="6">
        <v>392.37</v>
      </c>
      <c r="L166">
        <v>34</v>
      </c>
      <c r="M166" s="5">
        <v>45887</v>
      </c>
      <c r="N166" t="s">
        <v>168</v>
      </c>
      <c r="O166">
        <v>258</v>
      </c>
      <c r="P166" s="6">
        <v>461.94</v>
      </c>
      <c r="Q166" s="6">
        <v>0</v>
      </c>
      <c r="R166" s="6">
        <v>0</v>
      </c>
      <c r="S166" s="6">
        <v>58.72</v>
      </c>
      <c r="T166" s="6">
        <v>520.66</v>
      </c>
      <c r="V166">
        <v>7</v>
      </c>
      <c r="W166" s="5">
        <v>46062</v>
      </c>
      <c r="X166" t="s">
        <v>183</v>
      </c>
      <c r="Y166">
        <v>318</v>
      </c>
      <c r="Z166" s="6">
        <v>670.95</v>
      </c>
      <c r="AA166" s="6">
        <v>3.6</v>
      </c>
      <c r="AB166" s="6">
        <v>0</v>
      </c>
      <c r="AC166" s="6">
        <v>32.01</v>
      </c>
      <c r="AD166" s="6">
        <v>699.36</v>
      </c>
      <c r="AH166" t="s">
        <v>213</v>
      </c>
      <c r="AI166" s="5">
        <v>45992</v>
      </c>
      <c r="AJ166" t="s">
        <v>116</v>
      </c>
      <c r="AK166">
        <v>103</v>
      </c>
      <c r="AL166" s="6">
        <v>379.9</v>
      </c>
      <c r="AM166" s="6">
        <v>0</v>
      </c>
      <c r="AN166" s="6">
        <v>0</v>
      </c>
      <c r="AO166" s="6">
        <v>15.35</v>
      </c>
      <c r="AP166" s="6">
        <v>395.25</v>
      </c>
      <c r="AR166" s="242" t="s">
        <v>205</v>
      </c>
      <c r="AS166" s="243">
        <v>46174</v>
      </c>
      <c r="AT166" s="242" t="s">
        <v>167</v>
      </c>
      <c r="AU166" s="242">
        <v>190</v>
      </c>
      <c r="AV166" s="244">
        <v>1464.9899999999998</v>
      </c>
      <c r="AW166" s="244">
        <v>0</v>
      </c>
      <c r="AX166" s="244">
        <v>0</v>
      </c>
      <c r="AY166" s="244">
        <v>414.81000000000029</v>
      </c>
      <c r="AZ166" s="244">
        <v>1879.8000000000002</v>
      </c>
    </row>
    <row r="167" spans="2:52" ht="18.75">
      <c r="B167">
        <v>40</v>
      </c>
      <c r="C167" s="5">
        <v>45929</v>
      </c>
      <c r="D167" t="s">
        <v>132</v>
      </c>
      <c r="E167">
        <v>73</v>
      </c>
      <c r="F167" s="6">
        <v>269.2</v>
      </c>
      <c r="G167" s="6">
        <v>0</v>
      </c>
      <c r="H167" s="6">
        <v>1.22</v>
      </c>
      <c r="I167" s="6">
        <v>0</v>
      </c>
      <c r="J167" s="6">
        <v>269.2</v>
      </c>
      <c r="L167">
        <v>34</v>
      </c>
      <c r="M167" s="5">
        <v>45887</v>
      </c>
      <c r="N167" t="s">
        <v>165</v>
      </c>
      <c r="O167">
        <v>69</v>
      </c>
      <c r="P167" s="6">
        <v>560.53</v>
      </c>
      <c r="Q167" s="6">
        <v>0</v>
      </c>
      <c r="R167" s="6">
        <v>0</v>
      </c>
      <c r="S167" s="6">
        <v>59.33</v>
      </c>
      <c r="T167" s="6">
        <v>619.86</v>
      </c>
      <c r="V167">
        <v>7</v>
      </c>
      <c r="W167" s="5">
        <v>46062</v>
      </c>
      <c r="X167" t="s">
        <v>185</v>
      </c>
      <c r="Y167">
        <v>250</v>
      </c>
      <c r="Z167" s="6">
        <v>1174.1400000000001</v>
      </c>
      <c r="AA167" s="6">
        <v>0</v>
      </c>
      <c r="AB167" s="6">
        <v>0</v>
      </c>
      <c r="AC167" s="6">
        <v>107.32</v>
      </c>
      <c r="AD167" s="6">
        <v>1281.46000000001</v>
      </c>
      <c r="AH167" t="s">
        <v>213</v>
      </c>
      <c r="AI167" s="5">
        <v>45992</v>
      </c>
      <c r="AJ167" t="s">
        <v>111</v>
      </c>
      <c r="AK167">
        <v>180</v>
      </c>
      <c r="AL167" s="6">
        <v>767.75000000000102</v>
      </c>
      <c r="AM167" s="6">
        <v>0</v>
      </c>
      <c r="AN167" s="6">
        <v>0</v>
      </c>
      <c r="AO167" s="6">
        <v>12.45</v>
      </c>
      <c r="AP167" s="6">
        <v>780.20000000000095</v>
      </c>
      <c r="AR167" s="242" t="s">
        <v>205</v>
      </c>
      <c r="AS167" s="243">
        <v>46174</v>
      </c>
      <c r="AT167" s="242" t="s">
        <v>171</v>
      </c>
      <c r="AU167" s="242">
        <v>403</v>
      </c>
      <c r="AV167" s="244">
        <v>2547.309999999994</v>
      </c>
      <c r="AW167" s="244">
        <v>14.940000000000001</v>
      </c>
      <c r="AX167" s="244">
        <v>0</v>
      </c>
      <c r="AY167" s="244">
        <v>391.81999999999977</v>
      </c>
      <c r="AZ167" s="244">
        <v>2924.1899999999937</v>
      </c>
    </row>
    <row r="168" spans="2:52" ht="18.75">
      <c r="B168">
        <v>40</v>
      </c>
      <c r="C168" s="5">
        <v>45929</v>
      </c>
      <c r="D168" t="s">
        <v>121</v>
      </c>
      <c r="E168">
        <v>41</v>
      </c>
      <c r="F168" s="6">
        <v>102.74</v>
      </c>
      <c r="G168" s="6">
        <v>0</v>
      </c>
      <c r="H168" s="6">
        <v>1.89</v>
      </c>
      <c r="I168" s="6">
        <v>0</v>
      </c>
      <c r="J168" s="6">
        <v>102.74</v>
      </c>
      <c r="L168">
        <v>34</v>
      </c>
      <c r="M168" s="5">
        <v>45887</v>
      </c>
      <c r="N168" t="s">
        <v>163</v>
      </c>
      <c r="O168">
        <v>225</v>
      </c>
      <c r="P168" s="6">
        <v>415.7</v>
      </c>
      <c r="Q168" s="6">
        <v>0</v>
      </c>
      <c r="R168" s="6">
        <v>0</v>
      </c>
      <c r="S168" s="6">
        <v>36.799999999999997</v>
      </c>
      <c r="T168" s="6">
        <v>452.5</v>
      </c>
      <c r="V168">
        <v>7</v>
      </c>
      <c r="W168" s="5">
        <v>46062</v>
      </c>
      <c r="X168" t="s">
        <v>179</v>
      </c>
      <c r="Y168">
        <v>796</v>
      </c>
      <c r="Z168" s="6">
        <v>4430.1799999999503</v>
      </c>
      <c r="AA168" s="6">
        <v>0</v>
      </c>
      <c r="AB168" s="6">
        <v>127.42</v>
      </c>
      <c r="AC168" s="6">
        <v>171.16</v>
      </c>
      <c r="AD168" s="6">
        <v>4601.3399999999501</v>
      </c>
      <c r="AH168" t="s">
        <v>213</v>
      </c>
      <c r="AI168" s="5">
        <v>45992</v>
      </c>
      <c r="AJ168" t="s">
        <v>148</v>
      </c>
      <c r="AK168">
        <v>62</v>
      </c>
      <c r="AL168" s="6">
        <v>349.17</v>
      </c>
      <c r="AM168" s="6">
        <v>0</v>
      </c>
      <c r="AN168" s="6">
        <v>0</v>
      </c>
      <c r="AO168" s="6">
        <v>10.1</v>
      </c>
      <c r="AP168" s="6">
        <v>359.27</v>
      </c>
      <c r="AR168" s="242" t="s">
        <v>205</v>
      </c>
      <c r="AS168" s="243">
        <v>46174</v>
      </c>
      <c r="AT168" s="242" t="s">
        <v>198</v>
      </c>
      <c r="AU168" s="242">
        <v>246</v>
      </c>
      <c r="AV168" s="244">
        <v>1872.8300000000054</v>
      </c>
      <c r="AW168" s="244">
        <v>0</v>
      </c>
      <c r="AX168" s="244">
        <v>0</v>
      </c>
      <c r="AY168" s="244">
        <v>502.63000000000113</v>
      </c>
      <c r="AZ168" s="244">
        <v>2375.4600000000064</v>
      </c>
    </row>
    <row r="169" spans="2:52" ht="18.75">
      <c r="B169">
        <v>40</v>
      </c>
      <c r="C169" s="5">
        <v>45929</v>
      </c>
      <c r="D169" t="s">
        <v>128</v>
      </c>
      <c r="E169">
        <v>52</v>
      </c>
      <c r="F169" s="6">
        <v>250.76</v>
      </c>
      <c r="G169" s="6">
        <v>0</v>
      </c>
      <c r="H169" s="6">
        <v>7.41</v>
      </c>
      <c r="I169" s="6">
        <v>0</v>
      </c>
      <c r="J169" s="6">
        <v>250.76</v>
      </c>
      <c r="L169">
        <v>34</v>
      </c>
      <c r="M169" s="5">
        <v>45887</v>
      </c>
      <c r="N169" t="s">
        <v>176</v>
      </c>
      <c r="O169">
        <v>70</v>
      </c>
      <c r="P169" s="6">
        <v>142.97999999999999</v>
      </c>
      <c r="Q169" s="6">
        <v>0</v>
      </c>
      <c r="R169" s="6">
        <v>0</v>
      </c>
      <c r="S169" s="6">
        <v>14.12</v>
      </c>
      <c r="T169" s="6">
        <v>157.1</v>
      </c>
      <c r="V169">
        <v>7</v>
      </c>
      <c r="W169" s="5">
        <v>46062</v>
      </c>
      <c r="X169" t="s">
        <v>181</v>
      </c>
      <c r="Y169">
        <v>369</v>
      </c>
      <c r="Z169" s="6">
        <v>2135.11</v>
      </c>
      <c r="AA169" s="6">
        <v>0</v>
      </c>
      <c r="AB169" s="6">
        <v>311.31999999999903</v>
      </c>
      <c r="AC169" s="6">
        <v>238.9</v>
      </c>
      <c r="AD169" s="6">
        <v>2374.0100000000002</v>
      </c>
      <c r="AH169" t="s">
        <v>213</v>
      </c>
      <c r="AI169" s="5">
        <v>45992</v>
      </c>
      <c r="AJ169" t="s">
        <v>119</v>
      </c>
      <c r="AK169">
        <v>452</v>
      </c>
      <c r="AL169" s="6">
        <v>1905.77</v>
      </c>
      <c r="AM169" s="6">
        <v>0</v>
      </c>
      <c r="AN169" s="6">
        <v>0</v>
      </c>
      <c r="AO169" s="6">
        <v>39.549999999999997</v>
      </c>
      <c r="AP169" s="6">
        <v>1945.32</v>
      </c>
      <c r="AR169" s="242" t="s">
        <v>205</v>
      </c>
      <c r="AS169" s="243">
        <v>46174</v>
      </c>
      <c r="AT169" s="242" t="s">
        <v>158</v>
      </c>
      <c r="AU169" s="242">
        <v>139</v>
      </c>
      <c r="AV169" s="244">
        <v>1033.4199999999996</v>
      </c>
      <c r="AW169" s="244">
        <v>0</v>
      </c>
      <c r="AX169" s="244">
        <v>0</v>
      </c>
      <c r="AY169" s="244">
        <v>93.53000000000003</v>
      </c>
      <c r="AZ169" s="244">
        <v>1126.9499999999996</v>
      </c>
    </row>
    <row r="170" spans="2:52" ht="18.75">
      <c r="B170">
        <v>40</v>
      </c>
      <c r="C170" s="5">
        <v>45929</v>
      </c>
      <c r="D170" t="s">
        <v>122</v>
      </c>
      <c r="E170">
        <v>69</v>
      </c>
      <c r="F170" s="6">
        <v>349.75</v>
      </c>
      <c r="G170" s="6">
        <v>1.5</v>
      </c>
      <c r="H170" s="6">
        <v>3.78</v>
      </c>
      <c r="I170" s="6">
        <v>0</v>
      </c>
      <c r="J170" s="6">
        <v>348.25</v>
      </c>
      <c r="L170">
        <v>34</v>
      </c>
      <c r="M170" s="5">
        <v>45887</v>
      </c>
      <c r="N170" t="s">
        <v>170</v>
      </c>
      <c r="O170">
        <v>21</v>
      </c>
      <c r="P170" s="6">
        <v>61.2</v>
      </c>
      <c r="Q170" s="6">
        <v>0</v>
      </c>
      <c r="R170" s="6">
        <v>0</v>
      </c>
      <c r="S170" s="6">
        <v>14.4</v>
      </c>
      <c r="T170" s="6">
        <v>75.599999999999994</v>
      </c>
      <c r="V170">
        <v>7</v>
      </c>
      <c r="W170" s="5">
        <v>46062</v>
      </c>
      <c r="X170" t="s">
        <v>184</v>
      </c>
      <c r="Y170">
        <v>394</v>
      </c>
      <c r="Z170" s="6">
        <v>872.81</v>
      </c>
      <c r="AA170" s="6">
        <v>0</v>
      </c>
      <c r="AB170" s="6">
        <v>5.95</v>
      </c>
      <c r="AC170" s="6">
        <v>68.819999999999993</v>
      </c>
      <c r="AD170" s="6">
        <v>941.63</v>
      </c>
      <c r="AH170" t="s">
        <v>213</v>
      </c>
      <c r="AI170" s="5">
        <v>45992</v>
      </c>
      <c r="AJ170" t="s">
        <v>112</v>
      </c>
      <c r="AK170">
        <v>69</v>
      </c>
      <c r="AL170" s="6">
        <v>295.95</v>
      </c>
      <c r="AM170" s="6">
        <v>0</v>
      </c>
      <c r="AN170" s="6">
        <v>0</v>
      </c>
      <c r="AO170" s="6">
        <v>7.25</v>
      </c>
      <c r="AP170" s="6">
        <v>303.2</v>
      </c>
      <c r="AR170" s="242" t="s">
        <v>205</v>
      </c>
      <c r="AS170" s="243">
        <v>46174</v>
      </c>
      <c r="AT170" s="242" t="s">
        <v>170</v>
      </c>
      <c r="AU170" s="242">
        <v>17</v>
      </c>
      <c r="AV170" s="244">
        <v>42.120000000000005</v>
      </c>
      <c r="AW170" s="244">
        <v>2.7</v>
      </c>
      <c r="AX170" s="244">
        <v>0</v>
      </c>
      <c r="AY170" s="244">
        <v>19.080000000000002</v>
      </c>
      <c r="AZ170" s="244">
        <v>58.5</v>
      </c>
    </row>
    <row r="171" spans="2:52" ht="18.75">
      <c r="B171">
        <v>40</v>
      </c>
      <c r="C171" s="5">
        <v>45929</v>
      </c>
      <c r="D171" t="s">
        <v>125</v>
      </c>
      <c r="E171">
        <v>12</v>
      </c>
      <c r="F171" s="6">
        <v>61.71</v>
      </c>
      <c r="G171" s="6">
        <v>0</v>
      </c>
      <c r="H171" s="6">
        <v>2.97</v>
      </c>
      <c r="I171" s="6">
        <v>0</v>
      </c>
      <c r="J171" s="6">
        <v>61.71</v>
      </c>
      <c r="L171">
        <v>34</v>
      </c>
      <c r="M171" s="5">
        <v>45887</v>
      </c>
      <c r="N171" t="s">
        <v>171</v>
      </c>
      <c r="O171">
        <v>3</v>
      </c>
      <c r="P171" s="6">
        <v>20.85</v>
      </c>
      <c r="Q171" s="6">
        <v>0</v>
      </c>
      <c r="R171" s="6">
        <v>0</v>
      </c>
      <c r="S171" s="6">
        <v>0</v>
      </c>
      <c r="T171" s="6">
        <v>20.85</v>
      </c>
      <c r="V171">
        <v>7</v>
      </c>
      <c r="W171" s="5">
        <v>46062</v>
      </c>
      <c r="X171" t="s">
        <v>180</v>
      </c>
      <c r="Y171">
        <v>41</v>
      </c>
      <c r="Z171" s="6">
        <v>331.85</v>
      </c>
      <c r="AA171" s="6">
        <v>8.99</v>
      </c>
      <c r="AB171" s="6">
        <v>0</v>
      </c>
      <c r="AC171" s="6">
        <v>46.76</v>
      </c>
      <c r="AD171" s="6">
        <v>369.62</v>
      </c>
      <c r="AH171" t="s">
        <v>213</v>
      </c>
      <c r="AI171" s="5">
        <v>45992</v>
      </c>
      <c r="AJ171" t="s">
        <v>122</v>
      </c>
      <c r="AK171">
        <v>241</v>
      </c>
      <c r="AL171" s="6">
        <v>1284.29</v>
      </c>
      <c r="AM171" s="6">
        <v>8.99</v>
      </c>
      <c r="AN171" s="6">
        <v>0</v>
      </c>
      <c r="AO171" s="6">
        <v>30.59</v>
      </c>
      <c r="AP171" s="6">
        <v>1305.8900000000001</v>
      </c>
      <c r="AR171" s="242" t="s">
        <v>205</v>
      </c>
      <c r="AS171" s="243">
        <v>46174</v>
      </c>
      <c r="AT171" s="242" t="s">
        <v>165</v>
      </c>
      <c r="AU171" s="242">
        <v>146</v>
      </c>
      <c r="AV171" s="244">
        <v>1208.5800000000006</v>
      </c>
      <c r="AW171" s="244">
        <v>42.43</v>
      </c>
      <c r="AX171" s="244">
        <v>0</v>
      </c>
      <c r="AY171" s="244">
        <v>121.80999999999999</v>
      </c>
      <c r="AZ171" s="244">
        <v>1287.9600000000005</v>
      </c>
    </row>
    <row r="172" spans="2:52" ht="18.75">
      <c r="B172">
        <v>40</v>
      </c>
      <c r="C172" s="5">
        <v>45929</v>
      </c>
      <c r="D172" t="s">
        <v>136</v>
      </c>
      <c r="E172">
        <v>21</v>
      </c>
      <c r="F172" s="6">
        <v>43.89</v>
      </c>
      <c r="G172" s="6">
        <v>0</v>
      </c>
      <c r="H172" s="6">
        <v>0.84</v>
      </c>
      <c r="I172" s="6">
        <v>25.84</v>
      </c>
      <c r="J172" s="6">
        <v>69.73</v>
      </c>
      <c r="L172">
        <v>34</v>
      </c>
      <c r="M172" s="5">
        <v>45887</v>
      </c>
      <c r="N172" t="s">
        <v>164</v>
      </c>
      <c r="O172">
        <v>10</v>
      </c>
      <c r="P172" s="6">
        <v>37.5</v>
      </c>
      <c r="Q172" s="6">
        <v>0</v>
      </c>
      <c r="R172" s="6">
        <v>0</v>
      </c>
      <c r="S172" s="6">
        <v>0</v>
      </c>
      <c r="T172" s="6">
        <v>37.5</v>
      </c>
      <c r="V172">
        <v>8</v>
      </c>
      <c r="W172" s="5">
        <v>46069</v>
      </c>
      <c r="X172" t="s">
        <v>184</v>
      </c>
      <c r="Y172">
        <v>309</v>
      </c>
      <c r="Z172" s="6">
        <v>638.42999999999904</v>
      </c>
      <c r="AA172" s="6">
        <v>0</v>
      </c>
      <c r="AB172" s="6">
        <v>59.63</v>
      </c>
      <c r="AC172" s="6">
        <v>84.25</v>
      </c>
      <c r="AD172" s="6">
        <v>722.67999999999904</v>
      </c>
      <c r="AH172" t="s">
        <v>213</v>
      </c>
      <c r="AI172" s="5">
        <v>45992</v>
      </c>
      <c r="AJ172" t="s">
        <v>137</v>
      </c>
      <c r="AK172">
        <v>35</v>
      </c>
      <c r="AL172" s="6">
        <v>114.69</v>
      </c>
      <c r="AM172" s="6">
        <v>0</v>
      </c>
      <c r="AN172" s="6">
        <v>0</v>
      </c>
      <c r="AO172" s="6">
        <v>51.05</v>
      </c>
      <c r="AP172" s="6">
        <v>165.74</v>
      </c>
      <c r="AR172" s="242" t="s">
        <v>205</v>
      </c>
      <c r="AS172" s="243">
        <v>46174</v>
      </c>
      <c r="AT172" s="242" t="s">
        <v>168</v>
      </c>
      <c r="AU172" s="242">
        <v>8</v>
      </c>
      <c r="AV172" s="244">
        <v>14.5</v>
      </c>
      <c r="AW172" s="244">
        <v>0</v>
      </c>
      <c r="AX172" s="244">
        <v>0</v>
      </c>
      <c r="AY172" s="244">
        <v>0</v>
      </c>
      <c r="AZ172" s="244">
        <v>14.5</v>
      </c>
    </row>
    <row r="173" spans="2:52" ht="18.75">
      <c r="B173">
        <v>40</v>
      </c>
      <c r="C173" s="5">
        <v>45929</v>
      </c>
      <c r="D173" t="s">
        <v>116</v>
      </c>
      <c r="E173">
        <v>38</v>
      </c>
      <c r="F173" s="6">
        <v>122.3</v>
      </c>
      <c r="G173" s="6">
        <v>0</v>
      </c>
      <c r="H173" s="6">
        <v>1.24</v>
      </c>
      <c r="I173" s="6">
        <v>0</v>
      </c>
      <c r="J173" s="6">
        <v>122.3</v>
      </c>
      <c r="L173">
        <v>34</v>
      </c>
      <c r="M173" s="5">
        <v>45887</v>
      </c>
      <c r="N173" t="s">
        <v>166</v>
      </c>
      <c r="O173">
        <v>4</v>
      </c>
      <c r="P173" s="6">
        <v>2.5099999999999998</v>
      </c>
      <c r="Q173" s="6">
        <v>2.5099999999999998</v>
      </c>
      <c r="R173" s="6">
        <v>0</v>
      </c>
      <c r="S173" s="6">
        <v>21.45</v>
      </c>
      <c r="T173" s="6">
        <v>21.45</v>
      </c>
      <c r="V173">
        <v>8</v>
      </c>
      <c r="W173" s="5">
        <v>46069</v>
      </c>
      <c r="X173" t="s">
        <v>182</v>
      </c>
      <c r="Y173">
        <v>1130</v>
      </c>
      <c r="Z173" s="6">
        <v>3045.2400000000198</v>
      </c>
      <c r="AA173" s="6">
        <v>0</v>
      </c>
      <c r="AB173" s="6">
        <v>24.26</v>
      </c>
      <c r="AC173" s="6">
        <v>83.4</v>
      </c>
      <c r="AD173" s="6">
        <v>3128.6400000000199</v>
      </c>
      <c r="AH173" t="s">
        <v>213</v>
      </c>
      <c r="AI173" s="5">
        <v>45992</v>
      </c>
      <c r="AJ173" t="s">
        <v>136</v>
      </c>
      <c r="AK173">
        <v>104</v>
      </c>
      <c r="AL173" s="6">
        <v>337.48</v>
      </c>
      <c r="AM173" s="6">
        <v>0</v>
      </c>
      <c r="AN173" s="6">
        <v>0</v>
      </c>
      <c r="AO173" s="6">
        <v>88.35</v>
      </c>
      <c r="AP173" s="6">
        <v>425.83</v>
      </c>
      <c r="AR173" s="242" t="s">
        <v>205</v>
      </c>
      <c r="AS173" s="243">
        <v>46174</v>
      </c>
      <c r="AT173" s="242" t="s">
        <v>206</v>
      </c>
      <c r="AU173" s="242">
        <v>318</v>
      </c>
      <c r="AV173" s="244">
        <v>1004.5700000000002</v>
      </c>
      <c r="AW173" s="244">
        <v>0</v>
      </c>
      <c r="AX173" s="244">
        <v>0</v>
      </c>
      <c r="AY173" s="244">
        <v>0</v>
      </c>
      <c r="AZ173" s="244">
        <v>1004.5700000000002</v>
      </c>
    </row>
    <row r="174" spans="2:52" ht="18.75">
      <c r="B174">
        <v>40</v>
      </c>
      <c r="C174" s="5">
        <v>45929</v>
      </c>
      <c r="D174" t="s">
        <v>140</v>
      </c>
      <c r="E174">
        <v>15</v>
      </c>
      <c r="F174" s="6">
        <v>56.03</v>
      </c>
      <c r="G174" s="6">
        <v>0</v>
      </c>
      <c r="H174" s="6">
        <v>0</v>
      </c>
      <c r="I174" s="6">
        <v>0</v>
      </c>
      <c r="J174" s="6">
        <v>56.03</v>
      </c>
      <c r="L174">
        <v>34</v>
      </c>
      <c r="M174" s="5">
        <v>45887</v>
      </c>
      <c r="N174" t="s">
        <v>172</v>
      </c>
      <c r="O174">
        <v>14</v>
      </c>
      <c r="P174" s="6">
        <v>41.6</v>
      </c>
      <c r="Q174" s="6">
        <v>0</v>
      </c>
      <c r="R174" s="6">
        <v>0</v>
      </c>
      <c r="S174" s="6">
        <v>3.2</v>
      </c>
      <c r="T174" s="6">
        <v>44.8</v>
      </c>
      <c r="V174">
        <v>8</v>
      </c>
      <c r="W174" s="5">
        <v>46069</v>
      </c>
      <c r="X174" t="s">
        <v>179</v>
      </c>
      <c r="Y174">
        <v>654</v>
      </c>
      <c r="Z174" s="6">
        <v>3641.22999999997</v>
      </c>
      <c r="AA174" s="6">
        <v>0</v>
      </c>
      <c r="AB174" s="6">
        <v>97.65</v>
      </c>
      <c r="AC174" s="6">
        <v>137.5</v>
      </c>
      <c r="AD174" s="6">
        <v>3778.72999999997</v>
      </c>
      <c r="AH174" t="s">
        <v>213</v>
      </c>
      <c r="AI174" s="5">
        <v>45992</v>
      </c>
      <c r="AJ174" t="s">
        <v>135</v>
      </c>
      <c r="AK174">
        <v>57</v>
      </c>
      <c r="AL174" s="6">
        <v>201.24</v>
      </c>
      <c r="AM174" s="6">
        <v>0</v>
      </c>
      <c r="AN174" s="6">
        <v>0</v>
      </c>
      <c r="AO174" s="6">
        <v>60.91</v>
      </c>
      <c r="AP174" s="6">
        <v>262.14999999999998</v>
      </c>
      <c r="AR174" s="242" t="s">
        <v>205</v>
      </c>
      <c r="AS174" s="243">
        <v>46174</v>
      </c>
      <c r="AT174" s="242" t="s">
        <v>184</v>
      </c>
      <c r="AU174" s="242">
        <v>4</v>
      </c>
      <c r="AV174" s="244">
        <v>11.2</v>
      </c>
      <c r="AW174" s="244">
        <v>0</v>
      </c>
      <c r="AX174" s="244">
        <v>0</v>
      </c>
      <c r="AY174" s="244">
        <v>1.6</v>
      </c>
      <c r="AZ174" s="244">
        <v>12.799999999999999</v>
      </c>
    </row>
    <row r="175" spans="2:52" ht="18.75">
      <c r="B175">
        <v>40</v>
      </c>
      <c r="C175" s="5">
        <v>45929</v>
      </c>
      <c r="D175" t="s">
        <v>150</v>
      </c>
      <c r="E175">
        <v>13</v>
      </c>
      <c r="F175" s="6">
        <v>69.11</v>
      </c>
      <c r="G175" s="6">
        <v>0</v>
      </c>
      <c r="H175" s="6">
        <v>6.66</v>
      </c>
      <c r="I175" s="6">
        <v>0</v>
      </c>
      <c r="J175" s="6">
        <v>69.11</v>
      </c>
      <c r="L175">
        <v>46</v>
      </c>
      <c r="M175" s="5">
        <v>45971</v>
      </c>
      <c r="N175" t="s">
        <v>168</v>
      </c>
      <c r="O175">
        <v>256</v>
      </c>
      <c r="P175" s="6">
        <v>476.73</v>
      </c>
      <c r="Q175" s="6">
        <v>2.5</v>
      </c>
      <c r="R175" s="6">
        <v>0</v>
      </c>
      <c r="S175" s="6">
        <v>84.14</v>
      </c>
      <c r="T175" s="6">
        <v>558.37</v>
      </c>
      <c r="V175">
        <v>8</v>
      </c>
      <c r="W175" s="5">
        <v>46069</v>
      </c>
      <c r="X175" t="s">
        <v>185</v>
      </c>
      <c r="Y175">
        <v>194</v>
      </c>
      <c r="Z175" s="6">
        <v>932.05000000000302</v>
      </c>
      <c r="AA175" s="6">
        <v>0</v>
      </c>
      <c r="AB175" s="6">
        <v>0</v>
      </c>
      <c r="AC175" s="6">
        <v>59.25</v>
      </c>
      <c r="AD175" s="6">
        <v>991.30000000000302</v>
      </c>
      <c r="AH175" t="s">
        <v>213</v>
      </c>
      <c r="AI175" s="5">
        <v>45992</v>
      </c>
      <c r="AJ175" t="s">
        <v>140</v>
      </c>
      <c r="AK175">
        <v>80</v>
      </c>
      <c r="AL175" s="6">
        <v>292.99</v>
      </c>
      <c r="AM175" s="6">
        <v>0</v>
      </c>
      <c r="AN175" s="6">
        <v>0</v>
      </c>
      <c r="AO175" s="6">
        <v>7.02</v>
      </c>
      <c r="AP175" s="6">
        <v>300.01</v>
      </c>
      <c r="AR175" s="242" t="s">
        <v>205</v>
      </c>
      <c r="AS175" s="243">
        <v>46174</v>
      </c>
      <c r="AT175" s="242" t="s">
        <v>164</v>
      </c>
      <c r="AU175" s="242">
        <v>2</v>
      </c>
      <c r="AV175" s="244">
        <v>7.5</v>
      </c>
      <c r="AW175" s="244">
        <v>0</v>
      </c>
      <c r="AX175" s="244">
        <v>0</v>
      </c>
      <c r="AY175" s="244">
        <v>0</v>
      </c>
      <c r="AZ175" s="244">
        <v>7.5</v>
      </c>
    </row>
    <row r="176" spans="2:52" ht="18.75">
      <c r="B176">
        <v>39</v>
      </c>
      <c r="C176" s="5">
        <v>45922</v>
      </c>
      <c r="D176" t="s">
        <v>118</v>
      </c>
      <c r="E176">
        <v>57</v>
      </c>
      <c r="F176" s="6">
        <v>231.68</v>
      </c>
      <c r="G176" s="6">
        <v>0</v>
      </c>
      <c r="H176" s="6">
        <v>5.78</v>
      </c>
      <c r="I176" s="6">
        <v>0</v>
      </c>
      <c r="J176" s="6">
        <v>231.68</v>
      </c>
      <c r="L176">
        <v>46</v>
      </c>
      <c r="M176" s="5">
        <v>45971</v>
      </c>
      <c r="N176" t="s">
        <v>163</v>
      </c>
      <c r="O176">
        <v>212</v>
      </c>
      <c r="P176" s="6">
        <v>404.8</v>
      </c>
      <c r="Q176" s="6">
        <v>0</v>
      </c>
      <c r="R176" s="6">
        <v>0</v>
      </c>
      <c r="S176" s="6">
        <v>21.2</v>
      </c>
      <c r="T176" s="6">
        <v>426</v>
      </c>
      <c r="V176">
        <v>8</v>
      </c>
      <c r="W176" s="5">
        <v>46069</v>
      </c>
      <c r="X176" t="s">
        <v>183</v>
      </c>
      <c r="Y176">
        <v>348</v>
      </c>
      <c r="Z176" s="6">
        <v>711.17000000000098</v>
      </c>
      <c r="AA176" s="6">
        <v>0</v>
      </c>
      <c r="AB176" s="6">
        <v>0</v>
      </c>
      <c r="AC176" s="6">
        <v>37.729999999999997</v>
      </c>
      <c r="AD176" s="6">
        <v>748.900000000001</v>
      </c>
      <c r="AH176" t="s">
        <v>213</v>
      </c>
      <c r="AI176" s="5">
        <v>45992</v>
      </c>
      <c r="AJ176" t="s">
        <v>126</v>
      </c>
      <c r="AK176">
        <v>62</v>
      </c>
      <c r="AL176" s="6">
        <v>315.75</v>
      </c>
      <c r="AM176" s="6">
        <v>0</v>
      </c>
      <c r="AN176" s="6">
        <v>0</v>
      </c>
      <c r="AO176" s="6">
        <v>9.92</v>
      </c>
      <c r="AP176" s="6">
        <v>325.67</v>
      </c>
      <c r="AS176" s="5"/>
      <c r="AV176" s="6"/>
      <c r="AW176" s="6"/>
      <c r="AX176" s="6"/>
      <c r="AY176" s="6"/>
      <c r="AZ176" s="6"/>
    </row>
    <row r="177" spans="2:42" ht="18.75">
      <c r="B177">
        <v>39</v>
      </c>
      <c r="C177" s="5">
        <v>45922</v>
      </c>
      <c r="D177" t="s">
        <v>123</v>
      </c>
      <c r="E177">
        <v>148</v>
      </c>
      <c r="F177" s="6">
        <v>638.79000000000099</v>
      </c>
      <c r="G177" s="6">
        <v>0</v>
      </c>
      <c r="H177" s="6">
        <v>14.83</v>
      </c>
      <c r="I177" s="6">
        <v>0</v>
      </c>
      <c r="J177" s="6">
        <v>638.79000000000099</v>
      </c>
      <c r="L177">
        <v>46</v>
      </c>
      <c r="M177" s="5">
        <v>45971</v>
      </c>
      <c r="N177" t="s">
        <v>160</v>
      </c>
      <c r="O177">
        <v>642</v>
      </c>
      <c r="P177" s="6">
        <v>4375.53999999997</v>
      </c>
      <c r="Q177" s="6">
        <v>0</v>
      </c>
      <c r="R177" s="6">
        <v>145.66999999999999</v>
      </c>
      <c r="S177" s="6">
        <v>108.56</v>
      </c>
      <c r="T177" s="6">
        <v>4484.0999999999704</v>
      </c>
      <c r="V177">
        <v>8</v>
      </c>
      <c r="W177" s="5">
        <v>46069</v>
      </c>
      <c r="X177" t="s">
        <v>178</v>
      </c>
      <c r="Y177">
        <v>268</v>
      </c>
      <c r="Z177" s="6">
        <v>2420.9000000000101</v>
      </c>
      <c r="AA177" s="6">
        <v>0</v>
      </c>
      <c r="AB177" s="6">
        <v>84.06</v>
      </c>
      <c r="AC177" s="6">
        <v>67.58</v>
      </c>
      <c r="AD177" s="6">
        <v>2488.48000000001</v>
      </c>
      <c r="AH177" t="s">
        <v>213</v>
      </c>
      <c r="AI177" s="5">
        <v>45992</v>
      </c>
      <c r="AJ177" t="s">
        <v>150</v>
      </c>
      <c r="AK177">
        <v>45</v>
      </c>
      <c r="AL177" s="6">
        <v>269.32</v>
      </c>
      <c r="AM177" s="6">
        <v>0</v>
      </c>
      <c r="AN177" s="6">
        <v>0</v>
      </c>
      <c r="AO177" s="6">
        <v>3.97</v>
      </c>
      <c r="AP177" s="6">
        <v>273.29000000000002</v>
      </c>
    </row>
    <row r="178" spans="2:42" ht="18.75">
      <c r="B178">
        <v>39</v>
      </c>
      <c r="C178" s="5">
        <v>45922</v>
      </c>
      <c r="D178" t="s">
        <v>117</v>
      </c>
      <c r="E178">
        <v>79</v>
      </c>
      <c r="F178" s="6">
        <v>414.68</v>
      </c>
      <c r="G178" s="6">
        <v>0</v>
      </c>
      <c r="H178" s="6">
        <v>16.71</v>
      </c>
      <c r="I178" s="6">
        <v>0</v>
      </c>
      <c r="J178" s="6">
        <v>414.68</v>
      </c>
      <c r="L178">
        <v>46</v>
      </c>
      <c r="M178" s="5">
        <v>45971</v>
      </c>
      <c r="N178" t="s">
        <v>198</v>
      </c>
      <c r="O178">
        <v>37</v>
      </c>
      <c r="P178" s="6">
        <v>306.36</v>
      </c>
      <c r="Q178" s="6">
        <v>0</v>
      </c>
      <c r="R178" s="6">
        <v>0</v>
      </c>
      <c r="S178" s="6">
        <v>45.14</v>
      </c>
      <c r="T178" s="6">
        <v>351.5</v>
      </c>
      <c r="V178">
        <v>8</v>
      </c>
      <c r="W178" s="5">
        <v>46069</v>
      </c>
      <c r="X178" t="s">
        <v>181</v>
      </c>
      <c r="Y178">
        <v>272</v>
      </c>
      <c r="Z178" s="6">
        <v>1654.25</v>
      </c>
      <c r="AA178" s="6">
        <v>0</v>
      </c>
      <c r="AB178" s="6">
        <v>218.84</v>
      </c>
      <c r="AC178" s="6">
        <v>224.51</v>
      </c>
      <c r="AD178" s="6">
        <v>1878.76</v>
      </c>
      <c r="AH178" t="s">
        <v>215</v>
      </c>
      <c r="AI178" s="5">
        <v>46054</v>
      </c>
      <c r="AJ178" t="s">
        <v>139</v>
      </c>
      <c r="AK178">
        <v>304</v>
      </c>
      <c r="AL178" s="6">
        <v>1342.09</v>
      </c>
      <c r="AM178" s="6">
        <v>0</v>
      </c>
      <c r="AN178" s="6">
        <v>0</v>
      </c>
      <c r="AO178" s="6">
        <v>70.62</v>
      </c>
      <c r="AP178" s="6">
        <v>1412.71</v>
      </c>
    </row>
    <row r="179" spans="2:42" ht="18.75">
      <c r="B179">
        <v>39</v>
      </c>
      <c r="C179" s="5">
        <v>45922</v>
      </c>
      <c r="D179" t="s">
        <v>111</v>
      </c>
      <c r="E179">
        <v>93</v>
      </c>
      <c r="F179" s="6">
        <v>376.73</v>
      </c>
      <c r="G179" s="6">
        <v>0</v>
      </c>
      <c r="H179" s="6">
        <v>7.08</v>
      </c>
      <c r="I179" s="6">
        <v>0</v>
      </c>
      <c r="J179" s="6">
        <v>376.73</v>
      </c>
      <c r="L179">
        <v>46</v>
      </c>
      <c r="M179" s="5">
        <v>45971</v>
      </c>
      <c r="N179" t="s">
        <v>169</v>
      </c>
      <c r="O179">
        <v>912</v>
      </c>
      <c r="P179" s="6">
        <v>2313.5099999999802</v>
      </c>
      <c r="Q179" s="6">
        <v>0</v>
      </c>
      <c r="R179" s="6">
        <v>22.95</v>
      </c>
      <c r="S179" s="6">
        <v>85.48</v>
      </c>
      <c r="T179" s="6">
        <v>2398.9899999999798</v>
      </c>
      <c r="V179">
        <v>8</v>
      </c>
      <c r="W179" s="5">
        <v>46069</v>
      </c>
      <c r="X179" t="s">
        <v>180</v>
      </c>
      <c r="Y179">
        <v>40</v>
      </c>
      <c r="Z179" s="6">
        <v>317.7</v>
      </c>
      <c r="AA179" s="6">
        <v>6.74</v>
      </c>
      <c r="AB179" s="6">
        <v>12.43</v>
      </c>
      <c r="AC179" s="6">
        <v>37.96</v>
      </c>
      <c r="AD179" s="6">
        <v>348.92</v>
      </c>
      <c r="AH179" t="s">
        <v>215</v>
      </c>
      <c r="AI179" s="5">
        <v>46054</v>
      </c>
      <c r="AJ179" t="s">
        <v>121</v>
      </c>
      <c r="AK179">
        <v>324</v>
      </c>
      <c r="AL179" s="6">
        <v>1111.6500000000001</v>
      </c>
      <c r="AM179" s="6">
        <v>0</v>
      </c>
      <c r="AN179" s="6">
        <v>0</v>
      </c>
      <c r="AO179" s="6">
        <v>35.83</v>
      </c>
      <c r="AP179" s="6">
        <v>1147.48</v>
      </c>
    </row>
    <row r="180" spans="2:42" ht="18.75">
      <c r="B180">
        <v>39</v>
      </c>
      <c r="C180" s="5">
        <v>45922</v>
      </c>
      <c r="D180" t="s">
        <v>149</v>
      </c>
      <c r="E180">
        <v>33</v>
      </c>
      <c r="F180" s="6">
        <v>123.96</v>
      </c>
      <c r="G180" s="6">
        <v>0</v>
      </c>
      <c r="H180" s="6">
        <v>1.76</v>
      </c>
      <c r="I180" s="6">
        <v>0</v>
      </c>
      <c r="J180" s="6">
        <v>123.96</v>
      </c>
      <c r="L180">
        <v>46</v>
      </c>
      <c r="M180" s="5">
        <v>45971</v>
      </c>
      <c r="N180" t="s">
        <v>173</v>
      </c>
      <c r="O180">
        <v>135</v>
      </c>
      <c r="P180" s="6">
        <v>636.05999999999995</v>
      </c>
      <c r="Q180" s="6">
        <v>0</v>
      </c>
      <c r="R180" s="6">
        <v>0</v>
      </c>
      <c r="S180" s="6">
        <v>50.35</v>
      </c>
      <c r="T180" s="6">
        <v>686.41</v>
      </c>
      <c r="V180">
        <v>6</v>
      </c>
      <c r="W180" s="5">
        <v>46055</v>
      </c>
      <c r="X180" t="s">
        <v>182</v>
      </c>
      <c r="Y180">
        <v>1281</v>
      </c>
      <c r="Z180" s="6">
        <v>3476.8200000000402</v>
      </c>
      <c r="AA180" s="6">
        <v>0</v>
      </c>
      <c r="AB180" s="6">
        <v>38.31</v>
      </c>
      <c r="AC180" s="6">
        <v>106.56</v>
      </c>
      <c r="AD180" s="6">
        <v>3583.3800000000401</v>
      </c>
      <c r="AH180" t="s">
        <v>215</v>
      </c>
      <c r="AI180" s="5">
        <v>46054</v>
      </c>
      <c r="AJ180" t="s">
        <v>143</v>
      </c>
      <c r="AK180">
        <v>2648</v>
      </c>
      <c r="AL180" s="6">
        <v>11756.22</v>
      </c>
      <c r="AM180" s="6">
        <v>20.9</v>
      </c>
      <c r="AN180" s="6">
        <v>0</v>
      </c>
      <c r="AO180" s="6">
        <v>123.53</v>
      </c>
      <c r="AP180" s="6">
        <v>11858.85</v>
      </c>
    </row>
    <row r="181" spans="2:42" ht="18.75">
      <c r="B181">
        <v>39</v>
      </c>
      <c r="C181" s="5">
        <v>45922</v>
      </c>
      <c r="D181" t="s">
        <v>129</v>
      </c>
      <c r="E181">
        <v>120</v>
      </c>
      <c r="F181" s="6">
        <v>26.03</v>
      </c>
      <c r="G181" s="6">
        <v>0</v>
      </c>
      <c r="H181" s="6">
        <v>0</v>
      </c>
      <c r="I181" s="6">
        <v>523.17999999999995</v>
      </c>
      <c r="J181" s="6">
        <v>549.21</v>
      </c>
      <c r="L181">
        <v>46</v>
      </c>
      <c r="M181" s="5">
        <v>45971</v>
      </c>
      <c r="N181" t="s">
        <v>171</v>
      </c>
      <c r="O181">
        <v>42</v>
      </c>
      <c r="P181" s="6">
        <v>342.94</v>
      </c>
      <c r="Q181" s="6">
        <v>0</v>
      </c>
      <c r="R181" s="6">
        <v>0</v>
      </c>
      <c r="S181" s="6">
        <v>56.06</v>
      </c>
      <c r="T181" s="6">
        <v>399</v>
      </c>
      <c r="V181">
        <v>6</v>
      </c>
      <c r="W181" s="5">
        <v>46055</v>
      </c>
      <c r="X181" t="s">
        <v>181</v>
      </c>
      <c r="Y181">
        <v>322</v>
      </c>
      <c r="Z181" s="6">
        <v>2313.62</v>
      </c>
      <c r="AA181" s="6">
        <v>0</v>
      </c>
      <c r="AB181" s="6">
        <v>36.76</v>
      </c>
      <c r="AC181" s="6">
        <v>289.82</v>
      </c>
      <c r="AD181" s="6">
        <v>2603.44</v>
      </c>
      <c r="AH181" t="s">
        <v>215</v>
      </c>
      <c r="AI181" s="5">
        <v>46054</v>
      </c>
      <c r="AJ181" t="s">
        <v>124</v>
      </c>
      <c r="AK181">
        <v>633</v>
      </c>
      <c r="AL181" s="6">
        <v>2424.7199999999998</v>
      </c>
      <c r="AM181" s="6">
        <v>0</v>
      </c>
      <c r="AN181" s="6">
        <v>0</v>
      </c>
      <c r="AO181" s="6">
        <v>71.73</v>
      </c>
      <c r="AP181" s="6">
        <v>2496.4499999999998</v>
      </c>
    </row>
    <row r="182" spans="2:42" ht="18.75">
      <c r="B182">
        <v>39</v>
      </c>
      <c r="C182" s="5">
        <v>45922</v>
      </c>
      <c r="D182" t="s">
        <v>116</v>
      </c>
      <c r="E182">
        <v>44</v>
      </c>
      <c r="F182" s="6">
        <v>183.67</v>
      </c>
      <c r="G182" s="6">
        <v>0</v>
      </c>
      <c r="H182" s="6">
        <v>5.09</v>
      </c>
      <c r="I182" s="6">
        <v>0</v>
      </c>
      <c r="J182" s="6">
        <v>183.67</v>
      </c>
      <c r="L182">
        <v>46</v>
      </c>
      <c r="M182" s="5">
        <v>45971</v>
      </c>
      <c r="N182" t="s">
        <v>175</v>
      </c>
      <c r="O182">
        <v>58</v>
      </c>
      <c r="P182" s="6">
        <v>190.43</v>
      </c>
      <c r="Q182" s="6">
        <v>3.65</v>
      </c>
      <c r="R182" s="6">
        <v>0</v>
      </c>
      <c r="S182" s="6">
        <v>29.97</v>
      </c>
      <c r="T182" s="6">
        <v>216.75</v>
      </c>
      <c r="V182">
        <v>6</v>
      </c>
      <c r="W182" s="5">
        <v>46055</v>
      </c>
      <c r="X182" t="s">
        <v>179</v>
      </c>
      <c r="Y182">
        <v>874</v>
      </c>
      <c r="Z182" s="6">
        <v>4876.0999999999704</v>
      </c>
      <c r="AA182" s="6">
        <v>5.9</v>
      </c>
      <c r="AB182" s="6">
        <v>147.75</v>
      </c>
      <c r="AC182" s="6">
        <v>171.09</v>
      </c>
      <c r="AD182" s="6">
        <v>5041.28999999997</v>
      </c>
      <c r="AH182" t="s">
        <v>215</v>
      </c>
      <c r="AI182" s="5">
        <v>46054</v>
      </c>
      <c r="AJ182" t="s">
        <v>123</v>
      </c>
      <c r="AK182">
        <v>486</v>
      </c>
      <c r="AL182" s="6">
        <v>1935.1099999999899</v>
      </c>
      <c r="AM182" s="6">
        <v>0</v>
      </c>
      <c r="AN182" s="6">
        <v>0</v>
      </c>
      <c r="AO182" s="6">
        <v>79.03</v>
      </c>
      <c r="AP182" s="6">
        <v>2014.1399999999901</v>
      </c>
    </row>
    <row r="183" spans="2:42" ht="18.75">
      <c r="B183">
        <v>39</v>
      </c>
      <c r="C183" s="5">
        <v>45922</v>
      </c>
      <c r="D183" t="s">
        <v>119</v>
      </c>
      <c r="E183">
        <v>122</v>
      </c>
      <c r="F183" s="6">
        <v>517.87</v>
      </c>
      <c r="G183" s="6">
        <v>0</v>
      </c>
      <c r="H183" s="6">
        <v>6.73</v>
      </c>
      <c r="I183" s="6">
        <v>0</v>
      </c>
      <c r="J183" s="6">
        <v>517.87</v>
      </c>
      <c r="L183">
        <v>46</v>
      </c>
      <c r="M183" s="5">
        <v>45971</v>
      </c>
      <c r="N183" t="s">
        <v>158</v>
      </c>
      <c r="O183">
        <v>65</v>
      </c>
      <c r="P183" s="6">
        <v>365.36</v>
      </c>
      <c r="Q183" s="6">
        <v>0</v>
      </c>
      <c r="R183" s="6">
        <v>18.93</v>
      </c>
      <c r="S183" s="6">
        <v>25.21</v>
      </c>
      <c r="T183" s="6">
        <v>390.57</v>
      </c>
      <c r="V183">
        <v>6</v>
      </c>
      <c r="W183" s="5">
        <v>46055</v>
      </c>
      <c r="X183" t="s">
        <v>184</v>
      </c>
      <c r="Y183">
        <v>393</v>
      </c>
      <c r="Z183" s="6">
        <v>873.770000000001</v>
      </c>
      <c r="AA183" s="6">
        <v>0</v>
      </c>
      <c r="AB183" s="6">
        <v>2.99</v>
      </c>
      <c r="AC183" s="6">
        <v>62.35</v>
      </c>
      <c r="AD183" s="6">
        <v>936.12000000000103</v>
      </c>
      <c r="AH183" t="s">
        <v>215</v>
      </c>
      <c r="AI183" s="5">
        <v>46054</v>
      </c>
      <c r="AJ183" t="s">
        <v>118</v>
      </c>
      <c r="AK183">
        <v>248</v>
      </c>
      <c r="AL183" s="6">
        <v>843.77</v>
      </c>
      <c r="AM183" s="6">
        <v>0</v>
      </c>
      <c r="AN183" s="6">
        <v>0</v>
      </c>
      <c r="AO183" s="6">
        <v>10.57</v>
      </c>
      <c r="AP183" s="6">
        <v>854.34</v>
      </c>
    </row>
    <row r="184" spans="2:42" ht="18.75">
      <c r="B184">
        <v>39</v>
      </c>
      <c r="C184" s="5">
        <v>45922</v>
      </c>
      <c r="D184" t="s">
        <v>141</v>
      </c>
      <c r="E184">
        <v>273</v>
      </c>
      <c r="F184" s="6">
        <v>876.450000000003</v>
      </c>
      <c r="G184" s="6">
        <v>0</v>
      </c>
      <c r="H184" s="6">
        <v>1.92</v>
      </c>
      <c r="I184" s="6">
        <v>0</v>
      </c>
      <c r="J184" s="6">
        <v>876.450000000003</v>
      </c>
      <c r="L184">
        <v>46</v>
      </c>
      <c r="M184" s="5">
        <v>45971</v>
      </c>
      <c r="N184" t="s">
        <v>165</v>
      </c>
      <c r="O184">
        <v>40</v>
      </c>
      <c r="P184" s="6">
        <v>369.4</v>
      </c>
      <c r="Q184" s="6">
        <v>0</v>
      </c>
      <c r="R184" s="6">
        <v>0</v>
      </c>
      <c r="S184" s="6">
        <v>6.75</v>
      </c>
      <c r="T184" s="6">
        <v>376.15</v>
      </c>
      <c r="V184">
        <v>6</v>
      </c>
      <c r="W184" s="5">
        <v>46055</v>
      </c>
      <c r="X184" t="s">
        <v>183</v>
      </c>
      <c r="Y184">
        <v>277</v>
      </c>
      <c r="Z184" s="6">
        <v>586.73</v>
      </c>
      <c r="AA184" s="6">
        <v>3.6</v>
      </c>
      <c r="AB184" s="6">
        <v>0</v>
      </c>
      <c r="AC184" s="6">
        <v>37.67</v>
      </c>
      <c r="AD184" s="6">
        <v>620.79999999999995</v>
      </c>
      <c r="AH184" t="s">
        <v>215</v>
      </c>
      <c r="AI184" s="5">
        <v>46054</v>
      </c>
      <c r="AJ184" t="s">
        <v>151</v>
      </c>
      <c r="AK184">
        <v>864</v>
      </c>
      <c r="AL184" s="6">
        <v>4417.49999999999</v>
      </c>
      <c r="AM184" s="6">
        <v>0</v>
      </c>
      <c r="AN184" s="6">
        <v>0</v>
      </c>
      <c r="AO184" s="6">
        <v>97.45</v>
      </c>
      <c r="AP184" s="6">
        <v>4514.9499999999898</v>
      </c>
    </row>
    <row r="185" spans="2:42" ht="18.75">
      <c r="B185">
        <v>39</v>
      </c>
      <c r="C185" s="5">
        <v>45922</v>
      </c>
      <c r="D185" t="s">
        <v>133</v>
      </c>
      <c r="E185">
        <v>106</v>
      </c>
      <c r="F185" s="6">
        <v>497.8</v>
      </c>
      <c r="G185" s="6">
        <v>0</v>
      </c>
      <c r="H185" s="6">
        <v>3.88</v>
      </c>
      <c r="I185" s="6">
        <v>0</v>
      </c>
      <c r="J185" s="6">
        <v>497.8</v>
      </c>
      <c r="L185">
        <v>46</v>
      </c>
      <c r="M185" s="5">
        <v>45971</v>
      </c>
      <c r="N185" t="s">
        <v>174</v>
      </c>
      <c r="O185">
        <v>134</v>
      </c>
      <c r="P185" s="6">
        <v>871.29</v>
      </c>
      <c r="Q185" s="6">
        <v>0</v>
      </c>
      <c r="R185" s="6">
        <v>0</v>
      </c>
      <c r="S185" s="6">
        <v>114.38</v>
      </c>
      <c r="T185" s="6">
        <v>985.67</v>
      </c>
      <c r="V185">
        <v>6</v>
      </c>
      <c r="W185" s="5">
        <v>46055</v>
      </c>
      <c r="X185" t="s">
        <v>185</v>
      </c>
      <c r="Y185">
        <v>207</v>
      </c>
      <c r="Z185" s="6">
        <v>979.06000000000301</v>
      </c>
      <c r="AA185" s="6">
        <v>10.199999999999999</v>
      </c>
      <c r="AB185" s="6">
        <v>0</v>
      </c>
      <c r="AC185" s="6">
        <v>76.569999999999993</v>
      </c>
      <c r="AD185" s="6">
        <v>1045.43</v>
      </c>
      <c r="AH185" t="s">
        <v>215</v>
      </c>
      <c r="AI185" s="5">
        <v>46054</v>
      </c>
      <c r="AJ185" t="s">
        <v>117</v>
      </c>
      <c r="AK185">
        <v>254</v>
      </c>
      <c r="AL185" s="6">
        <v>1332.74</v>
      </c>
      <c r="AM185" s="6">
        <v>0</v>
      </c>
      <c r="AN185" s="6">
        <v>0</v>
      </c>
      <c r="AO185" s="6">
        <v>69.199999999999903</v>
      </c>
      <c r="AP185" s="6">
        <v>1401.94</v>
      </c>
    </row>
    <row r="186" spans="2:42" ht="18.75">
      <c r="B186">
        <v>39</v>
      </c>
      <c r="C186" s="5">
        <v>45922</v>
      </c>
      <c r="D186" t="s">
        <v>128</v>
      </c>
      <c r="E186">
        <v>55</v>
      </c>
      <c r="F186" s="6">
        <v>270.18</v>
      </c>
      <c r="G186" s="6">
        <v>0</v>
      </c>
      <c r="H186" s="6">
        <v>5</v>
      </c>
      <c r="I186" s="6">
        <v>0</v>
      </c>
      <c r="J186" s="6">
        <v>270.18</v>
      </c>
      <c r="L186">
        <v>46</v>
      </c>
      <c r="M186" s="5">
        <v>45971</v>
      </c>
      <c r="N186" t="s">
        <v>204</v>
      </c>
      <c r="O186">
        <v>2</v>
      </c>
      <c r="P186" s="6">
        <v>4.8</v>
      </c>
      <c r="Q186" s="6">
        <v>0</v>
      </c>
      <c r="R186" s="6">
        <v>0</v>
      </c>
      <c r="S186" s="6">
        <v>0</v>
      </c>
      <c r="T186" s="6">
        <v>4.8</v>
      </c>
      <c r="V186">
        <v>6</v>
      </c>
      <c r="W186" s="5">
        <v>46055</v>
      </c>
      <c r="X186" t="s">
        <v>178</v>
      </c>
      <c r="Y186">
        <v>360</v>
      </c>
      <c r="Z186" s="6">
        <v>3263.61</v>
      </c>
      <c r="AA186" s="6">
        <v>19.5</v>
      </c>
      <c r="AB186" s="6">
        <v>116.71</v>
      </c>
      <c r="AC186" s="6">
        <v>72.14</v>
      </c>
      <c r="AD186" s="6">
        <v>3316.25</v>
      </c>
      <c r="AH186" t="s">
        <v>215</v>
      </c>
      <c r="AI186" s="5">
        <v>46054</v>
      </c>
      <c r="AJ186" t="s">
        <v>113</v>
      </c>
      <c r="AK186">
        <v>317</v>
      </c>
      <c r="AL186" s="6">
        <v>1120.96</v>
      </c>
      <c r="AM186" s="6">
        <v>3</v>
      </c>
      <c r="AN186" s="6">
        <v>0</v>
      </c>
      <c r="AO186" s="6">
        <v>30.34</v>
      </c>
      <c r="AP186" s="6">
        <v>1148.3</v>
      </c>
    </row>
    <row r="187" spans="2:42" ht="18.75">
      <c r="B187">
        <v>39</v>
      </c>
      <c r="C187" s="5">
        <v>45922</v>
      </c>
      <c r="D187" t="s">
        <v>114</v>
      </c>
      <c r="E187">
        <v>67</v>
      </c>
      <c r="F187" s="6">
        <v>279.7</v>
      </c>
      <c r="G187" s="6">
        <v>0</v>
      </c>
      <c r="H187" s="6">
        <v>0</v>
      </c>
      <c r="I187" s="6">
        <v>93.47</v>
      </c>
      <c r="J187" s="6">
        <v>373.17</v>
      </c>
      <c r="L187">
        <v>46</v>
      </c>
      <c r="M187" s="5">
        <v>45971</v>
      </c>
      <c r="N187" t="s">
        <v>170</v>
      </c>
      <c r="O187">
        <v>22</v>
      </c>
      <c r="P187" s="6">
        <v>71.099999999999994</v>
      </c>
      <c r="Q187" s="6">
        <v>0</v>
      </c>
      <c r="R187" s="6">
        <v>0</v>
      </c>
      <c r="S187" s="6">
        <v>8.1</v>
      </c>
      <c r="T187" s="6">
        <v>79.2</v>
      </c>
      <c r="V187">
        <v>6</v>
      </c>
      <c r="W187" s="5">
        <v>46055</v>
      </c>
      <c r="X187" t="s">
        <v>180</v>
      </c>
      <c r="Y187">
        <v>32</v>
      </c>
      <c r="Z187" s="6">
        <v>287.98</v>
      </c>
      <c r="AA187" s="6">
        <v>9.5</v>
      </c>
      <c r="AB187" s="6">
        <v>0</v>
      </c>
      <c r="AC187" s="6">
        <v>2.25</v>
      </c>
      <c r="AD187" s="6">
        <v>280.73</v>
      </c>
      <c r="AH187" t="s">
        <v>215</v>
      </c>
      <c r="AI187" s="5">
        <v>46054</v>
      </c>
      <c r="AJ187" t="s">
        <v>147</v>
      </c>
      <c r="AK187">
        <v>358</v>
      </c>
      <c r="AL187" s="6">
        <v>1669.75</v>
      </c>
      <c r="AM187" s="6">
        <v>12.59</v>
      </c>
      <c r="AN187" s="6">
        <v>0</v>
      </c>
      <c r="AO187" s="6">
        <v>76.739999999999995</v>
      </c>
      <c r="AP187" s="6">
        <v>1733.9</v>
      </c>
    </row>
    <row r="188" spans="2:42" ht="18.75">
      <c r="B188">
        <v>39</v>
      </c>
      <c r="C188" s="5">
        <v>45922</v>
      </c>
      <c r="D188" t="s">
        <v>219</v>
      </c>
      <c r="E188">
        <v>89</v>
      </c>
      <c r="F188" s="6">
        <v>426.66</v>
      </c>
      <c r="G188" s="6">
        <v>0</v>
      </c>
      <c r="H188" s="6">
        <v>9.9499999999999993</v>
      </c>
      <c r="I188" s="6">
        <v>0</v>
      </c>
      <c r="J188" s="6">
        <v>426.66</v>
      </c>
      <c r="L188">
        <v>46</v>
      </c>
      <c r="M188" s="5">
        <v>45971</v>
      </c>
      <c r="N188" t="s">
        <v>176</v>
      </c>
      <c r="O188">
        <v>84</v>
      </c>
      <c r="P188" s="6">
        <v>173.13</v>
      </c>
      <c r="Q188" s="6">
        <v>0</v>
      </c>
      <c r="R188" s="6">
        <v>0</v>
      </c>
      <c r="S188" s="6">
        <v>16.62</v>
      </c>
      <c r="T188" s="6">
        <v>189.75</v>
      </c>
      <c r="V188">
        <v>6</v>
      </c>
      <c r="W188" s="5">
        <v>46055</v>
      </c>
      <c r="X188" t="s">
        <v>186</v>
      </c>
      <c r="Y188">
        <v>68</v>
      </c>
      <c r="Z188" s="6">
        <v>235.43</v>
      </c>
      <c r="AA188" s="6">
        <v>10.95</v>
      </c>
      <c r="AB188" s="6">
        <v>0</v>
      </c>
      <c r="AC188" s="6">
        <v>12.77</v>
      </c>
      <c r="AD188" s="6">
        <v>237.25</v>
      </c>
      <c r="AH188" t="s">
        <v>215</v>
      </c>
      <c r="AI188" s="5">
        <v>46054</v>
      </c>
      <c r="AJ188" t="s">
        <v>146</v>
      </c>
      <c r="AK188">
        <v>635</v>
      </c>
      <c r="AL188" s="6">
        <v>3502.95</v>
      </c>
      <c r="AM188" s="6">
        <v>24.15</v>
      </c>
      <c r="AN188" s="6">
        <v>0</v>
      </c>
      <c r="AO188" s="6">
        <v>81.61</v>
      </c>
      <c r="AP188" s="6">
        <v>3560.41</v>
      </c>
    </row>
    <row r="189" spans="2:42" ht="18.75">
      <c r="B189">
        <v>39</v>
      </c>
      <c r="C189" s="5">
        <v>45922</v>
      </c>
      <c r="D189" t="s">
        <v>122</v>
      </c>
      <c r="E189">
        <v>79</v>
      </c>
      <c r="F189" s="6">
        <v>388.04</v>
      </c>
      <c r="G189" s="6">
        <v>12.44</v>
      </c>
      <c r="H189" s="6">
        <v>3.6</v>
      </c>
      <c r="I189" s="6">
        <v>0</v>
      </c>
      <c r="J189" s="6">
        <v>375.6</v>
      </c>
      <c r="L189">
        <v>46</v>
      </c>
      <c r="M189" s="5">
        <v>45971</v>
      </c>
      <c r="N189" t="s">
        <v>164</v>
      </c>
      <c r="O189">
        <v>14</v>
      </c>
      <c r="P189" s="6">
        <v>53.82</v>
      </c>
      <c r="Q189" s="6">
        <v>0</v>
      </c>
      <c r="R189" s="6">
        <v>0</v>
      </c>
      <c r="S189" s="6">
        <v>1.5</v>
      </c>
      <c r="T189" s="6">
        <v>55.32</v>
      </c>
      <c r="V189">
        <v>9</v>
      </c>
      <c r="W189" s="5">
        <v>46076</v>
      </c>
      <c r="X189" t="s">
        <v>179</v>
      </c>
      <c r="Y189">
        <v>704</v>
      </c>
      <c r="Z189" s="6">
        <v>3954.6699999999701</v>
      </c>
      <c r="AA189" s="6">
        <v>9.7799999999999994</v>
      </c>
      <c r="AB189" s="6">
        <v>118.57</v>
      </c>
      <c r="AC189" s="6">
        <v>189.41</v>
      </c>
      <c r="AD189" s="6">
        <v>4134.2999999999702</v>
      </c>
      <c r="AH189" t="s">
        <v>215</v>
      </c>
      <c r="AI189" s="5">
        <v>46054</v>
      </c>
      <c r="AJ189" t="s">
        <v>111</v>
      </c>
      <c r="AK189">
        <v>285</v>
      </c>
      <c r="AL189" s="6">
        <v>1190.54</v>
      </c>
      <c r="AM189" s="6">
        <v>0</v>
      </c>
      <c r="AN189" s="6">
        <v>0</v>
      </c>
      <c r="AO189" s="6">
        <v>34.549999999999997</v>
      </c>
      <c r="AP189" s="6">
        <v>1225.0899999999999</v>
      </c>
    </row>
    <row r="190" spans="2:42" ht="18.75">
      <c r="B190">
        <v>39</v>
      </c>
      <c r="C190" s="5">
        <v>45922</v>
      </c>
      <c r="D190" t="s">
        <v>121</v>
      </c>
      <c r="E190">
        <v>52</v>
      </c>
      <c r="F190" s="6">
        <v>150.94999999999999</v>
      </c>
      <c r="G190" s="6">
        <v>0</v>
      </c>
      <c r="H190" s="6">
        <v>0.72</v>
      </c>
      <c r="I190" s="6">
        <v>0</v>
      </c>
      <c r="J190" s="6">
        <v>150.94999999999999</v>
      </c>
      <c r="L190">
        <v>46</v>
      </c>
      <c r="M190" s="5">
        <v>45971</v>
      </c>
      <c r="N190" t="s">
        <v>172</v>
      </c>
      <c r="O190">
        <v>27</v>
      </c>
      <c r="P190" s="6">
        <v>83.2</v>
      </c>
      <c r="Q190" s="6">
        <v>0</v>
      </c>
      <c r="R190" s="6">
        <v>0</v>
      </c>
      <c r="S190" s="6">
        <v>3.2</v>
      </c>
      <c r="T190" s="6">
        <v>86.4</v>
      </c>
      <c r="V190">
        <v>9</v>
      </c>
      <c r="W190" s="5">
        <v>46076</v>
      </c>
      <c r="X190" t="s">
        <v>178</v>
      </c>
      <c r="Y190">
        <v>290</v>
      </c>
      <c r="Z190" s="6">
        <v>2695.5700000000102</v>
      </c>
      <c r="AA190" s="6">
        <v>0</v>
      </c>
      <c r="AB190" s="6">
        <v>82.9</v>
      </c>
      <c r="AC190" s="6">
        <v>67.02</v>
      </c>
      <c r="AD190" s="6">
        <v>2762.5900000000101</v>
      </c>
      <c r="AH190" t="s">
        <v>215</v>
      </c>
      <c r="AI190" s="5">
        <v>46054</v>
      </c>
      <c r="AJ190" t="s">
        <v>149</v>
      </c>
      <c r="AK190">
        <v>241</v>
      </c>
      <c r="AL190" s="6">
        <v>834.28</v>
      </c>
      <c r="AM190" s="6">
        <v>0</v>
      </c>
      <c r="AN190" s="6">
        <v>0</v>
      </c>
      <c r="AO190" s="6">
        <v>26.19</v>
      </c>
      <c r="AP190" s="6">
        <v>860.47</v>
      </c>
    </row>
    <row r="191" spans="2:42" ht="18.75">
      <c r="B191">
        <v>39</v>
      </c>
      <c r="C191" s="5">
        <v>45922</v>
      </c>
      <c r="D191" t="s">
        <v>138</v>
      </c>
      <c r="E191">
        <v>88</v>
      </c>
      <c r="F191" s="6">
        <v>469.43</v>
      </c>
      <c r="G191" s="6">
        <v>0</v>
      </c>
      <c r="H191" s="6">
        <v>4.6500000000000004</v>
      </c>
      <c r="I191" s="6">
        <v>0</v>
      </c>
      <c r="J191" s="6">
        <v>469.43</v>
      </c>
      <c r="L191">
        <v>47</v>
      </c>
      <c r="M191" s="5">
        <v>45978</v>
      </c>
      <c r="N191" t="s">
        <v>168</v>
      </c>
      <c r="O191">
        <v>302</v>
      </c>
      <c r="P191" s="6">
        <v>585.53</v>
      </c>
      <c r="Q191" s="6">
        <v>0</v>
      </c>
      <c r="R191" s="6">
        <v>0</v>
      </c>
      <c r="S191" s="6">
        <v>62.39</v>
      </c>
      <c r="T191" s="6">
        <v>647.91999999999996</v>
      </c>
      <c r="V191">
        <v>9</v>
      </c>
      <c r="W191" s="5">
        <v>46076</v>
      </c>
      <c r="X191" t="s">
        <v>182</v>
      </c>
      <c r="Y191">
        <v>1174</v>
      </c>
      <c r="Z191" s="6">
        <v>3234.9500000000298</v>
      </c>
      <c r="AA191" s="6">
        <v>0</v>
      </c>
      <c r="AB191" s="6">
        <v>33.76</v>
      </c>
      <c r="AC191" s="6">
        <v>83.64</v>
      </c>
      <c r="AD191" s="6">
        <v>3318.5900000000302</v>
      </c>
      <c r="AH191" t="s">
        <v>215</v>
      </c>
      <c r="AI191" s="5">
        <v>46054</v>
      </c>
      <c r="AJ191" t="s">
        <v>138</v>
      </c>
      <c r="AK191">
        <v>501</v>
      </c>
      <c r="AL191" s="6">
        <v>2632.14</v>
      </c>
      <c r="AM191" s="6">
        <v>4.99</v>
      </c>
      <c r="AN191" s="6">
        <v>0</v>
      </c>
      <c r="AO191" s="6">
        <v>137.53</v>
      </c>
      <c r="AP191" s="6">
        <v>2764.68</v>
      </c>
    </row>
    <row r="192" spans="2:42" ht="18.75">
      <c r="B192">
        <v>39</v>
      </c>
      <c r="C192" s="5">
        <v>45922</v>
      </c>
      <c r="D192" t="s">
        <v>134</v>
      </c>
      <c r="E192">
        <v>93</v>
      </c>
      <c r="F192" s="6">
        <v>465.82</v>
      </c>
      <c r="G192" s="6">
        <v>0</v>
      </c>
      <c r="H192" s="6">
        <v>5.8</v>
      </c>
      <c r="I192" s="6">
        <v>0</v>
      </c>
      <c r="J192" s="6">
        <v>465.82</v>
      </c>
      <c r="L192">
        <v>47</v>
      </c>
      <c r="M192" s="5">
        <v>45978</v>
      </c>
      <c r="N192" t="s">
        <v>169</v>
      </c>
      <c r="O192">
        <v>1210</v>
      </c>
      <c r="P192" s="6">
        <v>3045.5299999999602</v>
      </c>
      <c r="Q192" s="6">
        <v>0</v>
      </c>
      <c r="R192" s="6">
        <v>28.09</v>
      </c>
      <c r="S192" s="6">
        <v>126.73</v>
      </c>
      <c r="T192" s="6">
        <v>3172.2599999999602</v>
      </c>
      <c r="V192">
        <v>9</v>
      </c>
      <c r="W192" s="5">
        <v>46076</v>
      </c>
      <c r="X192" t="s">
        <v>180</v>
      </c>
      <c r="Y192">
        <v>46</v>
      </c>
      <c r="Z192" s="6">
        <v>368.27</v>
      </c>
      <c r="AA192" s="6">
        <v>0</v>
      </c>
      <c r="AB192" s="6">
        <v>0</v>
      </c>
      <c r="AC192" s="6">
        <v>55.47</v>
      </c>
      <c r="AD192" s="6">
        <v>423.74</v>
      </c>
      <c r="AH192" t="s">
        <v>215</v>
      </c>
      <c r="AI192" s="5">
        <v>46054</v>
      </c>
      <c r="AJ192" t="s">
        <v>129</v>
      </c>
      <c r="AK192">
        <v>529</v>
      </c>
      <c r="AL192" s="6">
        <v>68.34</v>
      </c>
      <c r="AM192" s="6">
        <v>0</v>
      </c>
      <c r="AN192" s="6">
        <v>0</v>
      </c>
      <c r="AO192" s="6">
        <v>2393.13</v>
      </c>
      <c r="AP192" s="6">
        <v>2461.4699999999998</v>
      </c>
    </row>
    <row r="193" spans="2:42" ht="18.75">
      <c r="B193">
        <v>39</v>
      </c>
      <c r="C193" s="5">
        <v>45922</v>
      </c>
      <c r="D193" t="s">
        <v>146</v>
      </c>
      <c r="E193">
        <v>163</v>
      </c>
      <c r="F193" s="6">
        <v>972.280000000001</v>
      </c>
      <c r="G193" s="6">
        <v>6.95</v>
      </c>
      <c r="H193" s="6">
        <v>8.56</v>
      </c>
      <c r="I193" s="6">
        <v>0</v>
      </c>
      <c r="J193" s="6">
        <v>965.33000000000095</v>
      </c>
      <c r="L193">
        <v>47</v>
      </c>
      <c r="M193" s="5">
        <v>45978</v>
      </c>
      <c r="N193" t="s">
        <v>160</v>
      </c>
      <c r="O193">
        <v>804</v>
      </c>
      <c r="P193" s="6">
        <v>5249.70999999995</v>
      </c>
      <c r="Q193" s="6">
        <v>18.37</v>
      </c>
      <c r="R193" s="6">
        <v>122.86</v>
      </c>
      <c r="S193" s="6">
        <v>158.94999999999999</v>
      </c>
      <c r="T193" s="6">
        <v>5390.2899999999499</v>
      </c>
      <c r="V193">
        <v>9</v>
      </c>
      <c r="W193" s="5">
        <v>46076</v>
      </c>
      <c r="X193" t="s">
        <v>181</v>
      </c>
      <c r="Y193">
        <v>284</v>
      </c>
      <c r="Z193" s="6">
        <v>1813.72</v>
      </c>
      <c r="AA193" s="6">
        <v>0</v>
      </c>
      <c r="AB193" s="6">
        <v>221.88</v>
      </c>
      <c r="AC193" s="6">
        <v>233.94</v>
      </c>
      <c r="AD193" s="6">
        <v>2047.66</v>
      </c>
      <c r="AH193" t="s">
        <v>215</v>
      </c>
      <c r="AI193" s="5">
        <v>46054</v>
      </c>
      <c r="AJ193" t="s">
        <v>128</v>
      </c>
      <c r="AK193">
        <v>164</v>
      </c>
      <c r="AL193" s="6">
        <v>774.79</v>
      </c>
      <c r="AM193" s="6">
        <v>0</v>
      </c>
      <c r="AN193" s="6">
        <v>0</v>
      </c>
      <c r="AO193" s="6">
        <v>5.91</v>
      </c>
      <c r="AP193" s="6">
        <v>780.7</v>
      </c>
    </row>
    <row r="194" spans="2:42" ht="18.75">
      <c r="B194">
        <v>39</v>
      </c>
      <c r="C194" s="5">
        <v>45922</v>
      </c>
      <c r="D194" t="s">
        <v>113</v>
      </c>
      <c r="E194">
        <v>102</v>
      </c>
      <c r="F194" s="6">
        <v>387.92</v>
      </c>
      <c r="G194" s="6">
        <v>0</v>
      </c>
      <c r="H194" s="6">
        <v>0</v>
      </c>
      <c r="I194" s="6">
        <v>0</v>
      </c>
      <c r="J194" s="6">
        <v>387.92</v>
      </c>
      <c r="L194">
        <v>47</v>
      </c>
      <c r="M194" s="5">
        <v>45978</v>
      </c>
      <c r="N194" t="s">
        <v>170</v>
      </c>
      <c r="O194">
        <v>26</v>
      </c>
      <c r="P194" s="6">
        <v>86.4</v>
      </c>
      <c r="Q194" s="6">
        <v>0</v>
      </c>
      <c r="R194" s="6">
        <v>0</v>
      </c>
      <c r="S194" s="6">
        <v>7.2</v>
      </c>
      <c r="T194" s="6">
        <v>93.6</v>
      </c>
      <c r="V194">
        <v>9</v>
      </c>
      <c r="W194" s="5">
        <v>46076</v>
      </c>
      <c r="X194" t="s">
        <v>184</v>
      </c>
      <c r="Y194">
        <v>353</v>
      </c>
      <c r="Z194" s="6">
        <v>745.83</v>
      </c>
      <c r="AA194" s="6">
        <v>1.8</v>
      </c>
      <c r="AB194" s="6">
        <v>46.41</v>
      </c>
      <c r="AC194" s="6">
        <v>99.440000000000097</v>
      </c>
      <c r="AD194" s="6">
        <v>843.47</v>
      </c>
      <c r="AH194" t="s">
        <v>215</v>
      </c>
      <c r="AI194" s="5">
        <v>46054</v>
      </c>
      <c r="AJ194" t="s">
        <v>112</v>
      </c>
      <c r="AK194">
        <v>74</v>
      </c>
      <c r="AL194" s="6">
        <v>277.95999999999998</v>
      </c>
      <c r="AM194" s="6">
        <v>0</v>
      </c>
      <c r="AN194" s="6">
        <v>0</v>
      </c>
      <c r="AO194" s="6">
        <v>22.27</v>
      </c>
      <c r="AP194" s="6">
        <v>300.23</v>
      </c>
    </row>
    <row r="195" spans="2:42" ht="18.75">
      <c r="B195">
        <v>39</v>
      </c>
      <c r="C195" s="5">
        <v>45922</v>
      </c>
      <c r="D195" t="s">
        <v>142</v>
      </c>
      <c r="E195">
        <v>39</v>
      </c>
      <c r="F195" s="6">
        <v>171.27</v>
      </c>
      <c r="G195" s="6">
        <v>0</v>
      </c>
      <c r="H195" s="6">
        <v>0.42</v>
      </c>
      <c r="I195" s="6">
        <v>0</v>
      </c>
      <c r="J195" s="6">
        <v>171.27</v>
      </c>
      <c r="L195">
        <v>47</v>
      </c>
      <c r="M195" s="5">
        <v>45978</v>
      </c>
      <c r="N195" t="s">
        <v>171</v>
      </c>
      <c r="O195">
        <v>95</v>
      </c>
      <c r="P195" s="6">
        <v>591.21</v>
      </c>
      <c r="Q195" s="6">
        <v>0</v>
      </c>
      <c r="R195" s="6">
        <v>0</v>
      </c>
      <c r="S195" s="6">
        <v>71.25</v>
      </c>
      <c r="T195" s="6">
        <v>662.46</v>
      </c>
      <c r="V195">
        <v>9</v>
      </c>
      <c r="W195" s="5">
        <v>46076</v>
      </c>
      <c r="X195" t="s">
        <v>183</v>
      </c>
      <c r="Y195">
        <v>321</v>
      </c>
      <c r="Z195" s="6">
        <v>662.22</v>
      </c>
      <c r="AA195" s="6">
        <v>0</v>
      </c>
      <c r="AB195" s="6">
        <v>0</v>
      </c>
      <c r="AC195" s="6">
        <v>30.04</v>
      </c>
      <c r="AD195" s="6">
        <v>692.26</v>
      </c>
      <c r="AH195" t="s">
        <v>215</v>
      </c>
      <c r="AI195" s="5">
        <v>46054</v>
      </c>
      <c r="AK195">
        <v>7</v>
      </c>
      <c r="AL195" s="6">
        <v>0</v>
      </c>
      <c r="AM195" s="6">
        <v>0</v>
      </c>
      <c r="AN195" s="6">
        <v>0</v>
      </c>
      <c r="AO195" s="6">
        <v>31.88</v>
      </c>
      <c r="AP195" s="6">
        <v>31.88</v>
      </c>
    </row>
    <row r="196" spans="2:42" ht="18.75">
      <c r="B196">
        <v>39</v>
      </c>
      <c r="C196" s="5">
        <v>45922</v>
      </c>
      <c r="D196" t="s">
        <v>125</v>
      </c>
      <c r="E196">
        <v>15</v>
      </c>
      <c r="F196" s="6">
        <v>72.42</v>
      </c>
      <c r="G196" s="6">
        <v>0</v>
      </c>
      <c r="H196" s="6">
        <v>0</v>
      </c>
      <c r="I196" s="6">
        <v>0</v>
      </c>
      <c r="J196" s="6">
        <v>72.42</v>
      </c>
      <c r="L196">
        <v>47</v>
      </c>
      <c r="M196" s="5">
        <v>45978</v>
      </c>
      <c r="N196" t="s">
        <v>163</v>
      </c>
      <c r="O196">
        <v>282</v>
      </c>
      <c r="P196" s="6">
        <v>525.1</v>
      </c>
      <c r="Q196" s="6">
        <v>0</v>
      </c>
      <c r="R196" s="6">
        <v>0</v>
      </c>
      <c r="S196" s="6">
        <v>43.4</v>
      </c>
      <c r="T196" s="6">
        <v>568.5</v>
      </c>
      <c r="V196">
        <v>9</v>
      </c>
      <c r="W196" s="5">
        <v>46076</v>
      </c>
      <c r="X196" t="s">
        <v>185</v>
      </c>
      <c r="Y196">
        <v>192</v>
      </c>
      <c r="Z196" s="6">
        <v>894.300000000002</v>
      </c>
      <c r="AA196" s="6">
        <v>0</v>
      </c>
      <c r="AB196" s="6">
        <v>4.95</v>
      </c>
      <c r="AC196" s="6">
        <v>80.849999999999994</v>
      </c>
      <c r="AD196" s="6">
        <v>975.15000000000202</v>
      </c>
      <c r="AH196" t="s">
        <v>215</v>
      </c>
      <c r="AI196" s="5">
        <v>46054</v>
      </c>
      <c r="AJ196" t="s">
        <v>130</v>
      </c>
      <c r="AK196">
        <v>517</v>
      </c>
      <c r="AL196" s="6">
        <v>2586.5700000000002</v>
      </c>
      <c r="AM196" s="6">
        <v>0</v>
      </c>
      <c r="AN196" s="6">
        <v>0</v>
      </c>
      <c r="AO196" s="6">
        <v>91.14</v>
      </c>
      <c r="AP196" s="6">
        <v>2677.71</v>
      </c>
    </row>
    <row r="197" spans="2:42" ht="18.75">
      <c r="B197">
        <v>39</v>
      </c>
      <c r="C197" s="5">
        <v>45922</v>
      </c>
      <c r="D197" t="s">
        <v>139</v>
      </c>
      <c r="E197">
        <v>81</v>
      </c>
      <c r="F197" s="6">
        <v>325.51</v>
      </c>
      <c r="G197" s="6">
        <v>0</v>
      </c>
      <c r="H197" s="6">
        <v>13.82</v>
      </c>
      <c r="I197" s="6">
        <v>0</v>
      </c>
      <c r="J197" s="6">
        <v>325.51</v>
      </c>
      <c r="L197">
        <v>47</v>
      </c>
      <c r="M197" s="5">
        <v>45978</v>
      </c>
      <c r="N197" t="s">
        <v>176</v>
      </c>
      <c r="O197">
        <v>116</v>
      </c>
      <c r="P197" s="6">
        <v>233.98</v>
      </c>
      <c r="Q197" s="6">
        <v>0</v>
      </c>
      <c r="R197" s="6">
        <v>0</v>
      </c>
      <c r="S197" s="6">
        <v>28.9</v>
      </c>
      <c r="T197" s="6">
        <v>262.88</v>
      </c>
      <c r="V197">
        <v>10</v>
      </c>
      <c r="W197" s="5">
        <v>46083</v>
      </c>
      <c r="X197" t="s">
        <v>182</v>
      </c>
      <c r="Y197">
        <v>1206</v>
      </c>
      <c r="Z197" s="6">
        <v>3196.5100000000298</v>
      </c>
      <c r="AA197" s="6">
        <v>2.2999999999999998</v>
      </c>
      <c r="AB197" s="6">
        <v>36.07</v>
      </c>
      <c r="AC197" s="6">
        <v>78.66</v>
      </c>
      <c r="AD197" s="6">
        <v>3272.8700000000299</v>
      </c>
      <c r="AH197" t="s">
        <v>215</v>
      </c>
      <c r="AI197" s="5">
        <v>46054</v>
      </c>
      <c r="AJ197" t="s">
        <v>133</v>
      </c>
      <c r="AK197">
        <v>271</v>
      </c>
      <c r="AL197" s="6">
        <v>1568.91</v>
      </c>
      <c r="AM197" s="6">
        <v>0</v>
      </c>
      <c r="AN197" s="6">
        <v>0</v>
      </c>
      <c r="AO197" s="6">
        <v>25.53</v>
      </c>
      <c r="AP197" s="6">
        <v>1594.44</v>
      </c>
    </row>
    <row r="198" spans="2:42" ht="18.75">
      <c r="B198">
        <v>39</v>
      </c>
      <c r="C198" s="5">
        <v>45922</v>
      </c>
      <c r="D198" t="s">
        <v>124</v>
      </c>
      <c r="E198">
        <v>134</v>
      </c>
      <c r="F198" s="6">
        <v>534.01</v>
      </c>
      <c r="G198" s="6">
        <v>0</v>
      </c>
      <c r="H198" s="6">
        <v>4.43</v>
      </c>
      <c r="I198" s="6">
        <v>0</v>
      </c>
      <c r="J198" s="6">
        <v>534.01</v>
      </c>
      <c r="L198">
        <v>47</v>
      </c>
      <c r="M198" s="5">
        <v>45978</v>
      </c>
      <c r="N198" t="s">
        <v>174</v>
      </c>
      <c r="O198">
        <v>150</v>
      </c>
      <c r="P198" s="6">
        <v>897.74000000000103</v>
      </c>
      <c r="Q198" s="6">
        <v>0</v>
      </c>
      <c r="R198" s="6">
        <v>0</v>
      </c>
      <c r="S198" s="6">
        <v>133.91</v>
      </c>
      <c r="T198" s="6">
        <v>1031.6500000000001</v>
      </c>
      <c r="V198">
        <v>10</v>
      </c>
      <c r="W198" s="5">
        <v>46083</v>
      </c>
      <c r="X198" t="s">
        <v>181</v>
      </c>
      <c r="Y198">
        <v>316</v>
      </c>
      <c r="Z198" s="6">
        <v>2004.35</v>
      </c>
      <c r="AA198" s="6">
        <v>0</v>
      </c>
      <c r="AB198" s="6">
        <v>230.26</v>
      </c>
      <c r="AC198" s="6">
        <v>239.8</v>
      </c>
      <c r="AD198" s="6">
        <v>2244.15</v>
      </c>
      <c r="AH198" t="s">
        <v>215</v>
      </c>
      <c r="AI198" s="5">
        <v>46054</v>
      </c>
      <c r="AJ198" t="s">
        <v>134</v>
      </c>
      <c r="AK198">
        <v>332</v>
      </c>
      <c r="AL198" s="6">
        <v>1826.47</v>
      </c>
      <c r="AM198" s="6">
        <v>0</v>
      </c>
      <c r="AN198" s="6">
        <v>0</v>
      </c>
      <c r="AO198" s="6">
        <v>48.8</v>
      </c>
      <c r="AP198" s="6">
        <v>1875.27</v>
      </c>
    </row>
    <row r="199" spans="2:42" ht="18.75">
      <c r="B199">
        <v>39</v>
      </c>
      <c r="C199" s="5">
        <v>45922</v>
      </c>
      <c r="D199" t="s">
        <v>112</v>
      </c>
      <c r="E199">
        <v>20</v>
      </c>
      <c r="F199" s="6">
        <v>98.26</v>
      </c>
      <c r="G199" s="6">
        <v>0</v>
      </c>
      <c r="H199" s="6">
        <v>0</v>
      </c>
      <c r="I199" s="6">
        <v>0</v>
      </c>
      <c r="J199" s="6">
        <v>98.26</v>
      </c>
      <c r="L199">
        <v>47</v>
      </c>
      <c r="M199" s="5">
        <v>45978</v>
      </c>
      <c r="N199" t="s">
        <v>198</v>
      </c>
      <c r="O199">
        <v>151</v>
      </c>
      <c r="P199" s="6">
        <v>1338.64</v>
      </c>
      <c r="Q199" s="6">
        <v>19.399999999999999</v>
      </c>
      <c r="R199" s="6">
        <v>10.39</v>
      </c>
      <c r="S199" s="6">
        <v>117.02</v>
      </c>
      <c r="T199" s="6">
        <v>1436.26</v>
      </c>
      <c r="V199">
        <v>10</v>
      </c>
      <c r="W199" s="5">
        <v>46083</v>
      </c>
      <c r="X199" t="s">
        <v>179</v>
      </c>
      <c r="Y199">
        <v>782</v>
      </c>
      <c r="Z199" s="6">
        <v>4404.4199999999701</v>
      </c>
      <c r="AA199" s="6">
        <v>0</v>
      </c>
      <c r="AB199" s="6">
        <v>124.78</v>
      </c>
      <c r="AC199" s="6">
        <v>191.38</v>
      </c>
      <c r="AD199" s="6">
        <v>4595.7999999999702</v>
      </c>
      <c r="AH199" t="s">
        <v>215</v>
      </c>
      <c r="AI199" s="5">
        <v>46054</v>
      </c>
      <c r="AJ199" t="s">
        <v>141</v>
      </c>
      <c r="AK199">
        <v>968</v>
      </c>
      <c r="AL199" s="6">
        <v>3468.1</v>
      </c>
      <c r="AM199" s="6">
        <v>0</v>
      </c>
      <c r="AN199" s="6">
        <v>0</v>
      </c>
      <c r="AO199" s="6">
        <v>92.06</v>
      </c>
      <c r="AP199" s="6">
        <v>3560.16</v>
      </c>
    </row>
    <row r="200" spans="2:42" ht="18.75">
      <c r="B200">
        <v>39</v>
      </c>
      <c r="C200" s="5">
        <v>45922</v>
      </c>
      <c r="D200" t="s">
        <v>145</v>
      </c>
      <c r="E200">
        <v>84</v>
      </c>
      <c r="F200" s="6">
        <v>475.42</v>
      </c>
      <c r="G200" s="6">
        <v>0</v>
      </c>
      <c r="H200" s="6">
        <v>10.73</v>
      </c>
      <c r="I200" s="6">
        <v>0</v>
      </c>
      <c r="J200" s="6">
        <v>475.42</v>
      </c>
      <c r="L200">
        <v>47</v>
      </c>
      <c r="M200" s="5">
        <v>45978</v>
      </c>
      <c r="N200" t="s">
        <v>165</v>
      </c>
      <c r="O200">
        <v>33</v>
      </c>
      <c r="P200" s="6">
        <v>282.64999999999998</v>
      </c>
      <c r="Q200" s="6">
        <v>0</v>
      </c>
      <c r="R200" s="6">
        <v>0</v>
      </c>
      <c r="S200" s="6">
        <v>22.39</v>
      </c>
      <c r="T200" s="6">
        <v>305.04000000000002</v>
      </c>
      <c r="V200">
        <v>10</v>
      </c>
      <c r="W200" s="5">
        <v>46083</v>
      </c>
      <c r="X200" t="s">
        <v>184</v>
      </c>
      <c r="Y200">
        <v>437</v>
      </c>
      <c r="Z200" s="6">
        <v>929.78999999999905</v>
      </c>
      <c r="AA200" s="6">
        <v>0</v>
      </c>
      <c r="AB200" s="6">
        <v>62.35</v>
      </c>
      <c r="AC200" s="6">
        <v>82.67</v>
      </c>
      <c r="AD200" s="6">
        <v>1012.46</v>
      </c>
      <c r="AH200" t="s">
        <v>215</v>
      </c>
      <c r="AI200" s="5">
        <v>46054</v>
      </c>
      <c r="AJ200" t="s">
        <v>119</v>
      </c>
      <c r="AK200">
        <v>569</v>
      </c>
      <c r="AL200" s="6">
        <v>2238.48</v>
      </c>
      <c r="AM200" s="6">
        <v>21.85</v>
      </c>
      <c r="AN200" s="6">
        <v>0</v>
      </c>
      <c r="AO200" s="6">
        <v>61.59</v>
      </c>
      <c r="AP200" s="6">
        <v>2278.2199999999998</v>
      </c>
    </row>
    <row r="201" spans="2:42" ht="18.75">
      <c r="B201">
        <v>39</v>
      </c>
      <c r="C201" s="5">
        <v>45922</v>
      </c>
      <c r="D201" t="s">
        <v>137</v>
      </c>
      <c r="E201">
        <v>19</v>
      </c>
      <c r="F201" s="6">
        <v>53.98</v>
      </c>
      <c r="G201" s="6">
        <v>0</v>
      </c>
      <c r="H201" s="6">
        <v>1.76</v>
      </c>
      <c r="I201" s="6">
        <v>28.68</v>
      </c>
      <c r="J201" s="6">
        <v>82.66</v>
      </c>
      <c r="L201">
        <v>47</v>
      </c>
      <c r="M201" s="5">
        <v>45978</v>
      </c>
      <c r="N201" t="s">
        <v>158</v>
      </c>
      <c r="O201">
        <v>118</v>
      </c>
      <c r="P201" s="6">
        <v>705.52999999999895</v>
      </c>
      <c r="Q201" s="6">
        <v>6.3</v>
      </c>
      <c r="R201" s="6">
        <v>17.690000000000001</v>
      </c>
      <c r="S201" s="6">
        <v>20.18</v>
      </c>
      <c r="T201" s="6">
        <v>719.40999999999894</v>
      </c>
      <c r="V201">
        <v>10</v>
      </c>
      <c r="W201" s="5">
        <v>46083</v>
      </c>
      <c r="X201" t="s">
        <v>178</v>
      </c>
      <c r="Y201">
        <v>328</v>
      </c>
      <c r="Z201" s="6">
        <v>3005.6</v>
      </c>
      <c r="AA201" s="6">
        <v>9.6</v>
      </c>
      <c r="AB201" s="6">
        <v>68.92</v>
      </c>
      <c r="AC201" s="6">
        <v>60.49</v>
      </c>
      <c r="AD201" s="6">
        <v>3056.49</v>
      </c>
      <c r="AH201" t="s">
        <v>215</v>
      </c>
      <c r="AI201" s="5">
        <v>46054</v>
      </c>
      <c r="AJ201" t="s">
        <v>127</v>
      </c>
      <c r="AK201">
        <v>331</v>
      </c>
      <c r="AL201" s="6">
        <v>1755.41</v>
      </c>
      <c r="AM201" s="6">
        <v>4.79</v>
      </c>
      <c r="AN201" s="6">
        <v>0</v>
      </c>
      <c r="AO201" s="6">
        <v>32.54</v>
      </c>
      <c r="AP201" s="6">
        <v>1783.16</v>
      </c>
    </row>
    <row r="202" spans="2:42" ht="18.75">
      <c r="B202">
        <v>39</v>
      </c>
      <c r="C202" s="5">
        <v>45922</v>
      </c>
      <c r="D202" t="s">
        <v>127</v>
      </c>
      <c r="E202">
        <v>62</v>
      </c>
      <c r="F202" s="6">
        <v>317.54000000000002</v>
      </c>
      <c r="G202" s="6">
        <v>0</v>
      </c>
      <c r="H202" s="6">
        <v>2.2000000000000002</v>
      </c>
      <c r="I202" s="6">
        <v>0</v>
      </c>
      <c r="J202" s="6">
        <v>317.54000000000002</v>
      </c>
      <c r="L202">
        <v>47</v>
      </c>
      <c r="M202" s="5">
        <v>45978</v>
      </c>
      <c r="N202" t="s">
        <v>175</v>
      </c>
      <c r="O202">
        <v>101</v>
      </c>
      <c r="P202" s="6">
        <v>322.66000000000003</v>
      </c>
      <c r="Q202" s="6">
        <v>0</v>
      </c>
      <c r="R202" s="6">
        <v>0</v>
      </c>
      <c r="S202" s="6">
        <v>45.99</v>
      </c>
      <c r="T202" s="6">
        <v>368.65</v>
      </c>
      <c r="V202">
        <v>10</v>
      </c>
      <c r="W202" s="5">
        <v>46083</v>
      </c>
      <c r="X202" t="s">
        <v>183</v>
      </c>
      <c r="Y202">
        <v>393</v>
      </c>
      <c r="Z202" s="6">
        <v>815.06000000000199</v>
      </c>
      <c r="AA202" s="6">
        <v>2.2000000000000002</v>
      </c>
      <c r="AB202" s="6">
        <v>0</v>
      </c>
      <c r="AC202" s="6">
        <v>82.39</v>
      </c>
      <c r="AD202" s="6">
        <v>895.25000000000102</v>
      </c>
      <c r="AH202" t="s">
        <v>215</v>
      </c>
      <c r="AI202" s="5">
        <v>46054</v>
      </c>
      <c r="AJ202" t="s">
        <v>136</v>
      </c>
      <c r="AK202">
        <v>156</v>
      </c>
      <c r="AL202" s="6">
        <v>459.44</v>
      </c>
      <c r="AM202" s="6">
        <v>0</v>
      </c>
      <c r="AN202" s="6">
        <v>0</v>
      </c>
      <c r="AO202" s="6">
        <v>292.54000000000002</v>
      </c>
      <c r="AP202" s="6">
        <v>751.98</v>
      </c>
    </row>
    <row r="203" spans="2:42" ht="18.75">
      <c r="B203">
        <v>39</v>
      </c>
      <c r="C203" s="5">
        <v>45922</v>
      </c>
      <c r="D203" t="s">
        <v>126</v>
      </c>
      <c r="E203">
        <v>35</v>
      </c>
      <c r="F203" s="6">
        <v>133.94999999999999</v>
      </c>
      <c r="G203" s="6">
        <v>0</v>
      </c>
      <c r="H203" s="6">
        <v>3.35</v>
      </c>
      <c r="I203" s="6">
        <v>0</v>
      </c>
      <c r="J203" s="6">
        <v>133.94999999999999</v>
      </c>
      <c r="L203">
        <v>47</v>
      </c>
      <c r="M203" s="5">
        <v>45978</v>
      </c>
      <c r="N203" t="s">
        <v>173</v>
      </c>
      <c r="O203">
        <v>192</v>
      </c>
      <c r="P203" s="6">
        <v>919.97000000000196</v>
      </c>
      <c r="Q203" s="6">
        <v>0</v>
      </c>
      <c r="R203" s="6">
        <v>0</v>
      </c>
      <c r="S203" s="6">
        <v>53.39</v>
      </c>
      <c r="T203" s="6">
        <v>973.36000000000195</v>
      </c>
      <c r="V203">
        <v>10</v>
      </c>
      <c r="W203" s="5">
        <v>46083</v>
      </c>
      <c r="X203" t="s">
        <v>185</v>
      </c>
      <c r="Y203">
        <v>248</v>
      </c>
      <c r="Z203" s="6">
        <v>1171.29</v>
      </c>
      <c r="AA203" s="6">
        <v>4.95</v>
      </c>
      <c r="AB203" s="6">
        <v>0</v>
      </c>
      <c r="AC203" s="6">
        <v>91.79</v>
      </c>
      <c r="AD203" s="6">
        <v>1258.1300000000001</v>
      </c>
      <c r="AH203" t="s">
        <v>215</v>
      </c>
      <c r="AI203" s="5">
        <v>46054</v>
      </c>
      <c r="AJ203" t="s">
        <v>145</v>
      </c>
      <c r="AK203">
        <v>271</v>
      </c>
      <c r="AL203" s="6">
        <v>1500.36</v>
      </c>
      <c r="AM203" s="6">
        <v>0</v>
      </c>
      <c r="AN203" s="6">
        <v>0</v>
      </c>
      <c r="AO203" s="6">
        <v>47.71</v>
      </c>
      <c r="AP203" s="6">
        <v>1548.07</v>
      </c>
    </row>
    <row r="204" spans="2:42" ht="18.75">
      <c r="B204">
        <v>39</v>
      </c>
      <c r="C204" s="5">
        <v>45922</v>
      </c>
      <c r="D204" t="s">
        <v>140</v>
      </c>
      <c r="E204">
        <v>34</v>
      </c>
      <c r="F204" s="6">
        <v>112.51</v>
      </c>
      <c r="G204" s="6">
        <v>0</v>
      </c>
      <c r="H204" s="6">
        <v>0.8</v>
      </c>
      <c r="I204" s="6">
        <v>0</v>
      </c>
      <c r="J204" s="6">
        <v>112.51</v>
      </c>
      <c r="L204">
        <v>47</v>
      </c>
      <c r="M204" s="5">
        <v>45978</v>
      </c>
      <c r="N204" t="s">
        <v>164</v>
      </c>
      <c r="O204">
        <v>13</v>
      </c>
      <c r="P204" s="6">
        <v>48.57</v>
      </c>
      <c r="Q204" s="6">
        <v>0</v>
      </c>
      <c r="R204" s="6">
        <v>0</v>
      </c>
      <c r="S204" s="6">
        <v>3</v>
      </c>
      <c r="T204" s="6">
        <v>51.57</v>
      </c>
      <c r="V204">
        <v>10</v>
      </c>
      <c r="W204" s="5">
        <v>46083</v>
      </c>
      <c r="X204" t="s">
        <v>180</v>
      </c>
      <c r="Y204">
        <v>29</v>
      </c>
      <c r="Z204" s="6">
        <v>247.65</v>
      </c>
      <c r="AA204" s="6">
        <v>0</v>
      </c>
      <c r="AB204" s="6">
        <v>0</v>
      </c>
      <c r="AC204" s="6">
        <v>18.399999999999999</v>
      </c>
      <c r="AD204" s="6">
        <v>266.05</v>
      </c>
      <c r="AH204" t="s">
        <v>215</v>
      </c>
      <c r="AI204" s="5">
        <v>46054</v>
      </c>
      <c r="AJ204" t="s">
        <v>114</v>
      </c>
      <c r="AK204">
        <v>286</v>
      </c>
      <c r="AL204" s="6">
        <v>1227.3800000000001</v>
      </c>
      <c r="AM204" s="6">
        <v>6.74</v>
      </c>
      <c r="AN204" s="6">
        <v>0</v>
      </c>
      <c r="AO204" s="6">
        <v>505.26999999999902</v>
      </c>
      <c r="AP204" s="6">
        <v>1725.91</v>
      </c>
    </row>
    <row r="205" spans="2:42" ht="18.75">
      <c r="B205">
        <v>39</v>
      </c>
      <c r="C205" s="5">
        <v>45922</v>
      </c>
      <c r="D205" t="s">
        <v>150</v>
      </c>
      <c r="E205">
        <v>14</v>
      </c>
      <c r="F205" s="6">
        <v>82.63</v>
      </c>
      <c r="G205" s="6">
        <v>0</v>
      </c>
      <c r="H205" s="6">
        <v>1.8</v>
      </c>
      <c r="I205" s="6">
        <v>0</v>
      </c>
      <c r="J205" s="6">
        <v>82.63</v>
      </c>
      <c r="L205">
        <v>47</v>
      </c>
      <c r="M205" s="5">
        <v>45978</v>
      </c>
      <c r="N205" t="s">
        <v>172</v>
      </c>
      <c r="O205">
        <v>38</v>
      </c>
      <c r="P205" s="6">
        <v>112.8</v>
      </c>
      <c r="Q205" s="6">
        <v>0</v>
      </c>
      <c r="R205" s="6">
        <v>0</v>
      </c>
      <c r="S205" s="6">
        <v>9.6</v>
      </c>
      <c r="T205" s="6">
        <v>122.4</v>
      </c>
      <c r="V205">
        <v>11</v>
      </c>
      <c r="W205" s="5">
        <v>46090</v>
      </c>
      <c r="X205" t="s">
        <v>182</v>
      </c>
      <c r="Y205">
        <v>1287</v>
      </c>
      <c r="Z205" s="6">
        <v>3268.8700000000099</v>
      </c>
      <c r="AA205" s="6">
        <v>0</v>
      </c>
      <c r="AB205" s="6">
        <v>34.74</v>
      </c>
      <c r="AC205" s="6">
        <v>70.67</v>
      </c>
      <c r="AD205" s="6">
        <v>3339.54000000001</v>
      </c>
      <c r="AH205" t="s">
        <v>215</v>
      </c>
      <c r="AI205" s="5">
        <v>46054</v>
      </c>
      <c r="AJ205" t="s">
        <v>142</v>
      </c>
      <c r="AK205">
        <v>221</v>
      </c>
      <c r="AL205" s="6">
        <v>1032.01</v>
      </c>
      <c r="AM205" s="6">
        <v>0</v>
      </c>
      <c r="AN205" s="6">
        <v>0</v>
      </c>
      <c r="AO205" s="6">
        <v>73.05</v>
      </c>
      <c r="AP205" s="6">
        <v>1105.06</v>
      </c>
    </row>
    <row r="206" spans="2:42" ht="18.75">
      <c r="B206">
        <v>39</v>
      </c>
      <c r="C206" s="5">
        <v>45922</v>
      </c>
      <c r="D206" t="s">
        <v>135</v>
      </c>
      <c r="E206">
        <v>15</v>
      </c>
      <c r="F206" s="6">
        <v>36.51</v>
      </c>
      <c r="G206" s="6">
        <v>0</v>
      </c>
      <c r="H206" s="6">
        <v>3.09</v>
      </c>
      <c r="I206" s="6">
        <v>18.059999999999999</v>
      </c>
      <c r="J206" s="6">
        <v>54.57</v>
      </c>
      <c r="L206">
        <v>47</v>
      </c>
      <c r="M206" s="5">
        <v>45978</v>
      </c>
      <c r="N206" t="s">
        <v>204</v>
      </c>
      <c r="O206">
        <v>8</v>
      </c>
      <c r="P206" s="6">
        <v>19.8</v>
      </c>
      <c r="Q206" s="6">
        <v>0</v>
      </c>
      <c r="R206" s="6">
        <v>0</v>
      </c>
      <c r="S206" s="6">
        <v>0</v>
      </c>
      <c r="T206" s="6">
        <v>19.8</v>
      </c>
      <c r="V206">
        <v>11</v>
      </c>
      <c r="W206" s="5">
        <v>46090</v>
      </c>
      <c r="X206" t="s">
        <v>181</v>
      </c>
      <c r="Y206">
        <v>323</v>
      </c>
      <c r="Z206" s="6">
        <v>2071.84</v>
      </c>
      <c r="AA206" s="6">
        <v>0</v>
      </c>
      <c r="AB206" s="6">
        <v>276.88</v>
      </c>
      <c r="AC206" s="6">
        <v>221.09</v>
      </c>
      <c r="AD206" s="6">
        <v>2292.9299999999998</v>
      </c>
      <c r="AH206" t="s">
        <v>215</v>
      </c>
      <c r="AI206" s="5">
        <v>46054</v>
      </c>
      <c r="AJ206" t="s">
        <v>132</v>
      </c>
      <c r="AK206">
        <v>255</v>
      </c>
      <c r="AL206" s="6">
        <v>980.75</v>
      </c>
      <c r="AM206" s="6">
        <v>0</v>
      </c>
      <c r="AN206" s="6">
        <v>0</v>
      </c>
      <c r="AO206" s="6">
        <v>40.74</v>
      </c>
      <c r="AP206" s="6">
        <v>1021.49</v>
      </c>
    </row>
    <row r="207" spans="2:42" ht="18.75">
      <c r="B207">
        <v>39</v>
      </c>
      <c r="C207" s="5">
        <v>45922</v>
      </c>
      <c r="D207" t="s">
        <v>132</v>
      </c>
      <c r="E207">
        <v>86</v>
      </c>
      <c r="F207" s="6">
        <v>292.87</v>
      </c>
      <c r="G207" s="6">
        <v>0</v>
      </c>
      <c r="H207" s="6">
        <v>9.4499999999999993</v>
      </c>
      <c r="I207" s="6">
        <v>0</v>
      </c>
      <c r="J207" s="6">
        <v>292.87</v>
      </c>
      <c r="L207">
        <v>48</v>
      </c>
      <c r="M207" s="5">
        <v>45985</v>
      </c>
      <c r="N207" t="s">
        <v>160</v>
      </c>
      <c r="O207">
        <v>781</v>
      </c>
      <c r="P207" s="6">
        <v>5186.7199999999502</v>
      </c>
      <c r="Q207" s="6">
        <v>9.9</v>
      </c>
      <c r="R207" s="6">
        <v>169.33</v>
      </c>
      <c r="S207" s="6">
        <v>196.43</v>
      </c>
      <c r="T207" s="6">
        <v>5373.24999999995</v>
      </c>
      <c r="V207">
        <v>11</v>
      </c>
      <c r="W207" s="5">
        <v>46090</v>
      </c>
      <c r="X207" t="s">
        <v>185</v>
      </c>
      <c r="Y207">
        <v>254</v>
      </c>
      <c r="Z207" s="6">
        <v>1242.71000000001</v>
      </c>
      <c r="AA207" s="6">
        <v>0</v>
      </c>
      <c r="AB207" s="6">
        <v>0</v>
      </c>
      <c r="AC207" s="6">
        <v>56.57</v>
      </c>
      <c r="AD207" s="6">
        <v>1299.28000000001</v>
      </c>
      <c r="AH207" t="s">
        <v>215</v>
      </c>
      <c r="AI207" s="5">
        <v>46054</v>
      </c>
      <c r="AJ207" t="s">
        <v>126</v>
      </c>
      <c r="AK207">
        <v>216</v>
      </c>
      <c r="AL207" s="6">
        <v>840.76</v>
      </c>
      <c r="AM207" s="6">
        <v>0</v>
      </c>
      <c r="AN207" s="6">
        <v>0</v>
      </c>
      <c r="AO207" s="6">
        <v>33.549999999999997</v>
      </c>
      <c r="AP207" s="6">
        <v>874.30999999999904</v>
      </c>
    </row>
    <row r="208" spans="2:42" ht="18.75">
      <c r="B208">
        <v>39</v>
      </c>
      <c r="C208" s="5">
        <v>45922</v>
      </c>
      <c r="D208" t="s">
        <v>136</v>
      </c>
      <c r="E208">
        <v>24</v>
      </c>
      <c r="F208" s="6">
        <v>64.209999999999994</v>
      </c>
      <c r="G208" s="6">
        <v>0</v>
      </c>
      <c r="H208" s="6">
        <v>2.97</v>
      </c>
      <c r="I208" s="6">
        <v>34.74</v>
      </c>
      <c r="J208" s="6">
        <v>98.95</v>
      </c>
      <c r="L208">
        <v>48</v>
      </c>
      <c r="M208" s="5">
        <v>45985</v>
      </c>
      <c r="N208" t="s">
        <v>169</v>
      </c>
      <c r="O208">
        <v>1081</v>
      </c>
      <c r="P208" s="6">
        <v>2745.47999999999</v>
      </c>
      <c r="Q208" s="6">
        <v>0</v>
      </c>
      <c r="R208" s="6">
        <v>31.67</v>
      </c>
      <c r="S208" s="6">
        <v>109.97</v>
      </c>
      <c r="T208" s="6">
        <v>2855.4499999999898</v>
      </c>
      <c r="V208">
        <v>11</v>
      </c>
      <c r="W208" s="5">
        <v>46090</v>
      </c>
      <c r="X208" t="s">
        <v>184</v>
      </c>
      <c r="Y208">
        <v>399</v>
      </c>
      <c r="Z208" s="6">
        <v>861.31000000000097</v>
      </c>
      <c r="AA208" s="6">
        <v>1.5</v>
      </c>
      <c r="AB208" s="6">
        <v>56.28</v>
      </c>
      <c r="AC208" s="6">
        <v>82.49</v>
      </c>
      <c r="AD208" s="6">
        <v>942.30000000000098</v>
      </c>
      <c r="AH208" t="s">
        <v>215</v>
      </c>
      <c r="AI208" s="5">
        <v>46054</v>
      </c>
      <c r="AJ208" t="s">
        <v>148</v>
      </c>
      <c r="AK208">
        <v>102</v>
      </c>
      <c r="AL208" s="6">
        <v>472.47</v>
      </c>
      <c r="AM208" s="6">
        <v>0</v>
      </c>
      <c r="AN208" s="6">
        <v>0</v>
      </c>
      <c r="AO208" s="6">
        <v>46.29</v>
      </c>
      <c r="AP208" s="6">
        <v>518.76</v>
      </c>
    </row>
    <row r="209" spans="2:42" ht="18.75">
      <c r="B209">
        <v>38</v>
      </c>
      <c r="C209" s="5">
        <v>45915</v>
      </c>
      <c r="D209" t="s">
        <v>124</v>
      </c>
      <c r="E209">
        <v>163</v>
      </c>
      <c r="F209" s="6">
        <v>663.08000000000095</v>
      </c>
      <c r="G209" s="6">
        <v>0</v>
      </c>
      <c r="H209" s="6">
        <v>3.81</v>
      </c>
      <c r="I209" s="6">
        <v>0</v>
      </c>
      <c r="J209" s="6">
        <v>663.08000000000095</v>
      </c>
      <c r="L209">
        <v>48</v>
      </c>
      <c r="M209" s="5">
        <v>45985</v>
      </c>
      <c r="N209" t="s">
        <v>163</v>
      </c>
      <c r="O209">
        <v>264</v>
      </c>
      <c r="P209" s="6">
        <v>490.3</v>
      </c>
      <c r="Q209" s="6">
        <v>0</v>
      </c>
      <c r="R209" s="6">
        <v>0</v>
      </c>
      <c r="S209" s="6">
        <v>42.7</v>
      </c>
      <c r="T209" s="6">
        <v>533</v>
      </c>
      <c r="V209">
        <v>11</v>
      </c>
      <c r="W209" s="5">
        <v>46090</v>
      </c>
      <c r="X209" t="s">
        <v>179</v>
      </c>
      <c r="Y209">
        <v>753</v>
      </c>
      <c r="Z209" s="6">
        <v>4170.99999999996</v>
      </c>
      <c r="AA209" s="6">
        <v>0</v>
      </c>
      <c r="AB209" s="6">
        <v>142.05000000000001</v>
      </c>
      <c r="AC209" s="6">
        <v>174.05</v>
      </c>
      <c r="AD209" s="6">
        <v>4345.0499999999602</v>
      </c>
      <c r="AH209" t="s">
        <v>215</v>
      </c>
      <c r="AI209" s="5">
        <v>46054</v>
      </c>
      <c r="AJ209" t="s">
        <v>150</v>
      </c>
      <c r="AK209">
        <v>61</v>
      </c>
      <c r="AL209" s="6">
        <v>326.8</v>
      </c>
      <c r="AM209" s="6">
        <v>0</v>
      </c>
      <c r="AN209" s="6">
        <v>0</v>
      </c>
      <c r="AO209" s="6">
        <v>16.54</v>
      </c>
      <c r="AP209" s="6">
        <v>343.34</v>
      </c>
    </row>
    <row r="210" spans="2:42" ht="18.75">
      <c r="B210">
        <v>38</v>
      </c>
      <c r="C210" s="5">
        <v>45915</v>
      </c>
      <c r="D210" t="s">
        <v>139</v>
      </c>
      <c r="E210">
        <v>77</v>
      </c>
      <c r="F210" s="6">
        <v>320.08999999999997</v>
      </c>
      <c r="G210" s="6">
        <v>8.99</v>
      </c>
      <c r="H210" s="6">
        <v>6.28</v>
      </c>
      <c r="I210" s="6">
        <v>0</v>
      </c>
      <c r="J210" s="6">
        <v>311.10000000000002</v>
      </c>
      <c r="L210">
        <v>48</v>
      </c>
      <c r="M210" s="5">
        <v>45985</v>
      </c>
      <c r="N210" t="s">
        <v>165</v>
      </c>
      <c r="O210">
        <v>87</v>
      </c>
      <c r="P210" s="6">
        <v>737.57000000000096</v>
      </c>
      <c r="Q210" s="6">
        <v>17.98</v>
      </c>
      <c r="R210" s="6">
        <v>0</v>
      </c>
      <c r="S210" s="6">
        <v>49.11</v>
      </c>
      <c r="T210" s="6">
        <v>768.70000000000095</v>
      </c>
      <c r="V210">
        <v>11</v>
      </c>
      <c r="W210" s="5">
        <v>46090</v>
      </c>
      <c r="X210" t="s">
        <v>183</v>
      </c>
      <c r="Y210">
        <v>350</v>
      </c>
      <c r="Z210" s="6">
        <v>759.87</v>
      </c>
      <c r="AA210" s="6">
        <v>0</v>
      </c>
      <c r="AB210" s="6">
        <v>2.2000000000000002</v>
      </c>
      <c r="AC210" s="6">
        <v>39.68</v>
      </c>
      <c r="AD210" s="6">
        <v>799.55</v>
      </c>
      <c r="AH210" t="s">
        <v>215</v>
      </c>
      <c r="AI210" s="5">
        <v>46054</v>
      </c>
      <c r="AJ210" t="s">
        <v>122</v>
      </c>
      <c r="AK210">
        <v>307</v>
      </c>
      <c r="AL210" s="6">
        <v>1490.93</v>
      </c>
      <c r="AM210" s="6">
        <v>0</v>
      </c>
      <c r="AN210" s="6">
        <v>0</v>
      </c>
      <c r="AO210" s="6">
        <v>103.94</v>
      </c>
      <c r="AP210" s="6">
        <v>1594.87</v>
      </c>
    </row>
    <row r="211" spans="2:42" ht="18.75">
      <c r="B211">
        <v>38</v>
      </c>
      <c r="C211" s="5">
        <v>45915</v>
      </c>
      <c r="D211" t="s">
        <v>123</v>
      </c>
      <c r="E211">
        <v>146</v>
      </c>
      <c r="F211" s="6">
        <v>621.1</v>
      </c>
      <c r="G211" s="6">
        <v>0</v>
      </c>
      <c r="H211" s="6">
        <v>13.77</v>
      </c>
      <c r="I211" s="6">
        <v>0</v>
      </c>
      <c r="J211" s="6">
        <v>621.1</v>
      </c>
      <c r="L211">
        <v>48</v>
      </c>
      <c r="M211" s="5">
        <v>45985</v>
      </c>
      <c r="N211" t="s">
        <v>175</v>
      </c>
      <c r="O211">
        <v>105</v>
      </c>
      <c r="P211" s="6">
        <v>355.2</v>
      </c>
      <c r="Q211" s="6">
        <v>0</v>
      </c>
      <c r="R211" s="6">
        <v>2.78</v>
      </c>
      <c r="S211" s="6">
        <v>25.27</v>
      </c>
      <c r="T211" s="6">
        <v>380.47</v>
      </c>
      <c r="V211">
        <v>11</v>
      </c>
      <c r="W211" s="5">
        <v>46090</v>
      </c>
      <c r="X211" t="s">
        <v>178</v>
      </c>
      <c r="Y211">
        <v>303</v>
      </c>
      <c r="Z211" s="6">
        <v>2796.91</v>
      </c>
      <c r="AA211" s="6">
        <v>0</v>
      </c>
      <c r="AB211" s="6">
        <v>89.63</v>
      </c>
      <c r="AC211" s="6">
        <v>63.86</v>
      </c>
      <c r="AD211" s="6">
        <v>2860.77</v>
      </c>
      <c r="AH211" t="s">
        <v>215</v>
      </c>
      <c r="AI211" s="5">
        <v>46054</v>
      </c>
      <c r="AJ211" t="s">
        <v>120</v>
      </c>
      <c r="AK211">
        <v>119</v>
      </c>
      <c r="AL211" s="6">
        <v>566.22</v>
      </c>
      <c r="AM211" s="6">
        <v>0</v>
      </c>
      <c r="AN211" s="6">
        <v>0</v>
      </c>
      <c r="AO211" s="6">
        <v>16.66</v>
      </c>
      <c r="AP211" s="6">
        <v>582.88</v>
      </c>
    </row>
    <row r="212" spans="2:42" ht="18.75">
      <c r="B212">
        <v>38</v>
      </c>
      <c r="C212" s="5">
        <v>45915</v>
      </c>
      <c r="D212" t="s">
        <v>219</v>
      </c>
      <c r="E212">
        <v>120</v>
      </c>
      <c r="F212" s="6">
        <v>559.6</v>
      </c>
      <c r="G212" s="6">
        <v>26.96</v>
      </c>
      <c r="H212" s="6">
        <v>10.34</v>
      </c>
      <c r="I212" s="6">
        <v>0</v>
      </c>
      <c r="J212" s="6">
        <v>532.64</v>
      </c>
      <c r="L212">
        <v>48</v>
      </c>
      <c r="M212" s="5">
        <v>45985</v>
      </c>
      <c r="N212" t="s">
        <v>174</v>
      </c>
      <c r="O212">
        <v>69</v>
      </c>
      <c r="P212" s="6">
        <v>467.35</v>
      </c>
      <c r="Q212" s="6">
        <v>0</v>
      </c>
      <c r="R212" s="6">
        <v>0</v>
      </c>
      <c r="S212" s="6">
        <v>47.3</v>
      </c>
      <c r="T212" s="6">
        <v>514.65</v>
      </c>
      <c r="V212">
        <v>11</v>
      </c>
      <c r="W212" s="5">
        <v>46090</v>
      </c>
      <c r="X212" t="s">
        <v>180</v>
      </c>
      <c r="Y212">
        <v>26</v>
      </c>
      <c r="Z212" s="6">
        <v>206.49</v>
      </c>
      <c r="AA212" s="6">
        <v>0</v>
      </c>
      <c r="AB212" s="6">
        <v>0</v>
      </c>
      <c r="AC212" s="6">
        <v>32.26</v>
      </c>
      <c r="AD212" s="6">
        <v>238.75</v>
      </c>
      <c r="AH212" t="s">
        <v>215</v>
      </c>
      <c r="AI212" s="5">
        <v>46054</v>
      </c>
      <c r="AJ212" t="s">
        <v>135</v>
      </c>
      <c r="AK212">
        <v>72</v>
      </c>
      <c r="AL212" s="6">
        <v>204.64</v>
      </c>
      <c r="AM212" s="6">
        <v>0</v>
      </c>
      <c r="AN212" s="6">
        <v>0</v>
      </c>
      <c r="AO212" s="6">
        <v>98.260000000000105</v>
      </c>
      <c r="AP212" s="6">
        <v>302.89999999999998</v>
      </c>
    </row>
    <row r="213" spans="2:42" ht="18.75">
      <c r="B213">
        <v>38</v>
      </c>
      <c r="C213" s="5">
        <v>45915</v>
      </c>
      <c r="D213" t="s">
        <v>129</v>
      </c>
      <c r="E213">
        <v>164</v>
      </c>
      <c r="F213" s="6">
        <v>13.45</v>
      </c>
      <c r="G213" s="6">
        <v>1.44</v>
      </c>
      <c r="H213" s="6">
        <v>0</v>
      </c>
      <c r="I213" s="6">
        <v>696.72</v>
      </c>
      <c r="J213" s="6">
        <v>708.73</v>
      </c>
      <c r="L213">
        <v>48</v>
      </c>
      <c r="M213" s="5">
        <v>45985</v>
      </c>
      <c r="N213" t="s">
        <v>173</v>
      </c>
      <c r="O213">
        <v>168</v>
      </c>
      <c r="P213" s="6">
        <v>775.76000000000101</v>
      </c>
      <c r="Q213" s="6">
        <v>0</v>
      </c>
      <c r="R213" s="6">
        <v>0</v>
      </c>
      <c r="S213" s="6">
        <v>76.06</v>
      </c>
      <c r="T213" s="6">
        <v>851.82000000000096</v>
      </c>
      <c r="V213">
        <v>12</v>
      </c>
      <c r="W213" s="5">
        <v>46097</v>
      </c>
      <c r="X213" t="s">
        <v>179</v>
      </c>
      <c r="Y213">
        <v>805</v>
      </c>
      <c r="Z213" s="6">
        <v>4546.6199999999599</v>
      </c>
      <c r="AA213" s="6">
        <v>4.99</v>
      </c>
      <c r="AB213" s="6">
        <v>96.65</v>
      </c>
      <c r="AC213" s="6">
        <v>177.21</v>
      </c>
      <c r="AD213" s="6">
        <v>4718.8399999999601</v>
      </c>
      <c r="AH213" t="s">
        <v>215</v>
      </c>
      <c r="AI213" s="5">
        <v>46054</v>
      </c>
      <c r="AJ213" t="s">
        <v>116</v>
      </c>
      <c r="AK213">
        <v>138</v>
      </c>
      <c r="AL213" s="6">
        <v>542.92999999999995</v>
      </c>
      <c r="AM213" s="6">
        <v>0</v>
      </c>
      <c r="AN213" s="6">
        <v>0</v>
      </c>
      <c r="AO213" s="6">
        <v>17.04</v>
      </c>
      <c r="AP213" s="6">
        <v>559.97</v>
      </c>
    </row>
    <row r="214" spans="2:42" ht="18.75">
      <c r="B214">
        <v>38</v>
      </c>
      <c r="C214" s="5">
        <v>45915</v>
      </c>
      <c r="D214" t="s">
        <v>117</v>
      </c>
      <c r="E214">
        <v>71</v>
      </c>
      <c r="F214" s="6">
        <v>345.78</v>
      </c>
      <c r="G214" s="6">
        <v>0</v>
      </c>
      <c r="H214" s="6">
        <v>13.51</v>
      </c>
      <c r="I214" s="6">
        <v>0</v>
      </c>
      <c r="J214" s="6">
        <v>345.78</v>
      </c>
      <c r="L214">
        <v>48</v>
      </c>
      <c r="M214" s="5">
        <v>45985</v>
      </c>
      <c r="N214" t="s">
        <v>171</v>
      </c>
      <c r="O214">
        <v>130</v>
      </c>
      <c r="P214" s="6">
        <v>904.73000000000195</v>
      </c>
      <c r="Q214" s="6">
        <v>0</v>
      </c>
      <c r="R214" s="6">
        <v>0</v>
      </c>
      <c r="S214" s="6">
        <v>117.68</v>
      </c>
      <c r="T214" s="6">
        <v>1022.41</v>
      </c>
      <c r="V214">
        <v>12</v>
      </c>
      <c r="W214" s="5">
        <v>46097</v>
      </c>
      <c r="X214" t="s">
        <v>182</v>
      </c>
      <c r="Y214">
        <v>1318</v>
      </c>
      <c r="Z214" s="6">
        <v>3353.8000000000402</v>
      </c>
      <c r="AA214" s="6">
        <v>0</v>
      </c>
      <c r="AB214" s="6">
        <v>28.58</v>
      </c>
      <c r="AC214" s="6">
        <v>90.45</v>
      </c>
      <c r="AD214" s="6">
        <v>3444.25000000004</v>
      </c>
      <c r="AH214" t="s">
        <v>215</v>
      </c>
      <c r="AI214" s="5">
        <v>46054</v>
      </c>
      <c r="AJ214" t="s">
        <v>125</v>
      </c>
      <c r="AK214">
        <v>65</v>
      </c>
      <c r="AL214" s="6">
        <v>298.16000000000003</v>
      </c>
      <c r="AM214" s="6">
        <v>0</v>
      </c>
      <c r="AN214" s="6">
        <v>0</v>
      </c>
      <c r="AO214" s="6">
        <v>14.23</v>
      </c>
      <c r="AP214" s="6">
        <v>312.39</v>
      </c>
    </row>
    <row r="215" spans="2:42" ht="18.75">
      <c r="B215">
        <v>38</v>
      </c>
      <c r="C215" s="5">
        <v>45915</v>
      </c>
      <c r="D215" t="s">
        <v>136</v>
      </c>
      <c r="E215">
        <v>24</v>
      </c>
      <c r="F215" s="6">
        <v>61.02</v>
      </c>
      <c r="G215" s="6">
        <v>0</v>
      </c>
      <c r="H215" s="6">
        <v>8.07</v>
      </c>
      <c r="I215" s="6">
        <v>36.08</v>
      </c>
      <c r="J215" s="6">
        <v>97.1</v>
      </c>
      <c r="L215">
        <v>48</v>
      </c>
      <c r="M215" s="5">
        <v>45985</v>
      </c>
      <c r="N215" t="s">
        <v>198</v>
      </c>
      <c r="O215">
        <v>65</v>
      </c>
      <c r="P215" s="6">
        <v>535.38</v>
      </c>
      <c r="Q215" s="6">
        <v>0</v>
      </c>
      <c r="R215" s="6">
        <v>0</v>
      </c>
      <c r="S215" s="6">
        <v>91.92</v>
      </c>
      <c r="T215" s="6">
        <v>627.29999999999995</v>
      </c>
      <c r="V215">
        <v>12</v>
      </c>
      <c r="W215" s="5">
        <v>46097</v>
      </c>
      <c r="X215" t="s">
        <v>181</v>
      </c>
      <c r="Y215">
        <v>303</v>
      </c>
      <c r="Z215" s="6">
        <v>2022.51</v>
      </c>
      <c r="AA215" s="6">
        <v>0</v>
      </c>
      <c r="AB215" s="6">
        <v>174.53</v>
      </c>
      <c r="AC215" s="6">
        <v>254.5</v>
      </c>
      <c r="AD215" s="6">
        <v>2277.0100000000002</v>
      </c>
      <c r="AH215" t="s">
        <v>215</v>
      </c>
      <c r="AI215" s="5">
        <v>46054</v>
      </c>
      <c r="AJ215" t="s">
        <v>137</v>
      </c>
      <c r="AK215">
        <v>45</v>
      </c>
      <c r="AL215" s="6">
        <v>151.1</v>
      </c>
      <c r="AM215" s="6">
        <v>0</v>
      </c>
      <c r="AN215" s="6">
        <v>0</v>
      </c>
      <c r="AO215" s="6">
        <v>105.36</v>
      </c>
      <c r="AP215" s="6">
        <v>256.45999999999998</v>
      </c>
    </row>
    <row r="216" spans="2:42" ht="18.75">
      <c r="B216">
        <v>38</v>
      </c>
      <c r="C216" s="5">
        <v>45915</v>
      </c>
      <c r="D216" t="s">
        <v>114</v>
      </c>
      <c r="E216">
        <v>62</v>
      </c>
      <c r="F216" s="6">
        <v>255.04</v>
      </c>
      <c r="G216" s="6">
        <v>0</v>
      </c>
      <c r="H216" s="6">
        <v>7.93</v>
      </c>
      <c r="I216" s="6">
        <v>87.87</v>
      </c>
      <c r="J216" s="6">
        <v>342.91</v>
      </c>
      <c r="L216">
        <v>48</v>
      </c>
      <c r="M216" s="5">
        <v>45985</v>
      </c>
      <c r="N216" t="s">
        <v>168</v>
      </c>
      <c r="O216">
        <v>306</v>
      </c>
      <c r="P216" s="6">
        <v>595.33000000000004</v>
      </c>
      <c r="Q216" s="6">
        <v>1.5</v>
      </c>
      <c r="R216" s="6">
        <v>0</v>
      </c>
      <c r="S216" s="6">
        <v>56.76</v>
      </c>
      <c r="T216" s="6">
        <v>650.59</v>
      </c>
      <c r="V216">
        <v>12</v>
      </c>
      <c r="W216" s="5">
        <v>46097</v>
      </c>
      <c r="X216" t="s">
        <v>184</v>
      </c>
      <c r="Y216">
        <v>437</v>
      </c>
      <c r="Z216" s="6">
        <v>967.95000000000198</v>
      </c>
      <c r="AA216" s="6">
        <v>1.5</v>
      </c>
      <c r="AB216" s="6">
        <v>21.42</v>
      </c>
      <c r="AC216" s="6">
        <v>87.54</v>
      </c>
      <c r="AD216" s="6">
        <v>1053.99</v>
      </c>
      <c r="AH216" t="s">
        <v>215</v>
      </c>
      <c r="AI216" s="5">
        <v>46054</v>
      </c>
      <c r="AJ216" t="s">
        <v>140</v>
      </c>
      <c r="AK216">
        <v>91</v>
      </c>
      <c r="AL216" s="6">
        <v>366.73</v>
      </c>
      <c r="AM216" s="6">
        <v>0</v>
      </c>
      <c r="AN216" s="6">
        <v>0</v>
      </c>
      <c r="AO216" s="6">
        <v>16.91</v>
      </c>
      <c r="AP216" s="6">
        <v>383.64</v>
      </c>
    </row>
    <row r="217" spans="2:42" ht="18.75">
      <c r="B217">
        <v>38</v>
      </c>
      <c r="C217" s="5">
        <v>45915</v>
      </c>
      <c r="D217" t="s">
        <v>118</v>
      </c>
      <c r="E217">
        <v>67</v>
      </c>
      <c r="F217" s="6">
        <v>236.22</v>
      </c>
      <c r="G217" s="6">
        <v>0</v>
      </c>
      <c r="H217" s="6">
        <v>1.87</v>
      </c>
      <c r="I217" s="6">
        <v>0</v>
      </c>
      <c r="J217" s="6">
        <v>236.22</v>
      </c>
      <c r="L217">
        <v>48</v>
      </c>
      <c r="M217" s="5">
        <v>45985</v>
      </c>
      <c r="N217" t="s">
        <v>176</v>
      </c>
      <c r="O217">
        <v>91</v>
      </c>
      <c r="P217" s="6">
        <v>184.13</v>
      </c>
      <c r="Q217" s="6">
        <v>2.2000000000000002</v>
      </c>
      <c r="R217" s="6">
        <v>0</v>
      </c>
      <c r="S217" s="6">
        <v>22.08</v>
      </c>
      <c r="T217" s="6">
        <v>204.01</v>
      </c>
      <c r="V217">
        <v>12</v>
      </c>
      <c r="W217" s="5">
        <v>46097</v>
      </c>
      <c r="X217" t="s">
        <v>183</v>
      </c>
      <c r="Y217">
        <v>370</v>
      </c>
      <c r="Z217" s="6">
        <v>799.86000000000104</v>
      </c>
      <c r="AA217" s="6">
        <v>0</v>
      </c>
      <c r="AB217" s="6">
        <v>0</v>
      </c>
      <c r="AC217" s="6">
        <v>39.99</v>
      </c>
      <c r="AD217" s="6">
        <v>839.85000000000105</v>
      </c>
      <c r="AH217" t="s">
        <v>199</v>
      </c>
      <c r="AI217" s="5">
        <v>46082</v>
      </c>
      <c r="AJ217" t="s">
        <v>139</v>
      </c>
      <c r="AK217">
        <v>362</v>
      </c>
      <c r="AL217" s="6">
        <v>1661.05</v>
      </c>
      <c r="AM217" s="6">
        <v>0</v>
      </c>
      <c r="AN217" s="6">
        <v>0</v>
      </c>
      <c r="AO217" s="6">
        <v>76.19</v>
      </c>
      <c r="AP217" s="6">
        <v>1737.24</v>
      </c>
    </row>
    <row r="218" spans="2:42" ht="18.75">
      <c r="B218">
        <v>38</v>
      </c>
      <c r="C218" s="5">
        <v>45915</v>
      </c>
      <c r="D218" t="s">
        <v>119</v>
      </c>
      <c r="E218">
        <v>152</v>
      </c>
      <c r="F218" s="6">
        <v>574.99000000000103</v>
      </c>
      <c r="G218" s="6">
        <v>3.6</v>
      </c>
      <c r="H218" s="6">
        <v>15.77</v>
      </c>
      <c r="I218" s="6">
        <v>0</v>
      </c>
      <c r="J218" s="6">
        <v>571.39000000000101</v>
      </c>
      <c r="L218">
        <v>48</v>
      </c>
      <c r="M218" s="5">
        <v>45985</v>
      </c>
      <c r="N218" t="s">
        <v>158</v>
      </c>
      <c r="O218">
        <v>82</v>
      </c>
      <c r="P218" s="6">
        <v>493.58000000000101</v>
      </c>
      <c r="Q218" s="6">
        <v>6.3</v>
      </c>
      <c r="R218" s="6">
        <v>3.8</v>
      </c>
      <c r="S218" s="6">
        <v>19.22</v>
      </c>
      <c r="T218" s="6">
        <v>506.50000000000102</v>
      </c>
      <c r="V218">
        <v>12</v>
      </c>
      <c r="W218" s="5">
        <v>46097</v>
      </c>
      <c r="X218" t="s">
        <v>185</v>
      </c>
      <c r="Y218">
        <v>247</v>
      </c>
      <c r="Z218" s="6">
        <v>1190.98000000001</v>
      </c>
      <c r="AA218" s="6">
        <v>0</v>
      </c>
      <c r="AB218" s="6">
        <v>0</v>
      </c>
      <c r="AC218" s="6">
        <v>73.63</v>
      </c>
      <c r="AD218" s="6">
        <v>1264.6100000000099</v>
      </c>
      <c r="AH218" t="s">
        <v>199</v>
      </c>
      <c r="AI218" s="5">
        <v>46082</v>
      </c>
      <c r="AJ218" t="s">
        <v>143</v>
      </c>
      <c r="AK218">
        <v>3666</v>
      </c>
      <c r="AL218" s="6">
        <v>15949.0700000002</v>
      </c>
      <c r="AM218" s="6">
        <v>16.149999999999999</v>
      </c>
      <c r="AN218" s="6">
        <v>0</v>
      </c>
      <c r="AO218" s="6">
        <v>234.26</v>
      </c>
      <c r="AP218" s="6">
        <v>16167.1800000002</v>
      </c>
    </row>
    <row r="219" spans="2:42" ht="18.75">
      <c r="B219">
        <v>38</v>
      </c>
      <c r="C219" s="5">
        <v>45915</v>
      </c>
      <c r="D219" t="s">
        <v>112</v>
      </c>
      <c r="E219">
        <v>32</v>
      </c>
      <c r="F219" s="6">
        <v>109.96</v>
      </c>
      <c r="G219" s="6">
        <v>29.49</v>
      </c>
      <c r="H219" s="6">
        <v>0</v>
      </c>
      <c r="I219" s="6">
        <v>16.36</v>
      </c>
      <c r="J219" s="6">
        <v>96.83</v>
      </c>
      <c r="L219">
        <v>48</v>
      </c>
      <c r="M219" s="5">
        <v>45985</v>
      </c>
      <c r="N219" t="s">
        <v>164</v>
      </c>
      <c r="O219">
        <v>13</v>
      </c>
      <c r="P219" s="6">
        <v>48.19</v>
      </c>
      <c r="Q219" s="6">
        <v>0</v>
      </c>
      <c r="R219" s="6">
        <v>0</v>
      </c>
      <c r="S219" s="6">
        <v>2.44</v>
      </c>
      <c r="T219" s="6">
        <v>50.63</v>
      </c>
      <c r="V219">
        <v>12</v>
      </c>
      <c r="W219" s="5">
        <v>46097</v>
      </c>
      <c r="X219" t="s">
        <v>178</v>
      </c>
      <c r="Y219">
        <v>344</v>
      </c>
      <c r="Z219" s="6">
        <v>3206.6</v>
      </c>
      <c r="AA219" s="6">
        <v>0</v>
      </c>
      <c r="AB219" s="6">
        <v>84.56</v>
      </c>
      <c r="AC219" s="6">
        <v>68.52</v>
      </c>
      <c r="AD219" s="6">
        <v>3275.12</v>
      </c>
      <c r="AH219" t="s">
        <v>199</v>
      </c>
      <c r="AI219" s="5">
        <v>46082</v>
      </c>
      <c r="AJ219" t="s">
        <v>121</v>
      </c>
      <c r="AK219">
        <v>322</v>
      </c>
      <c r="AL219" s="6">
        <v>1024.1500000000001</v>
      </c>
      <c r="AM219" s="6">
        <v>0</v>
      </c>
      <c r="AN219" s="6">
        <v>0</v>
      </c>
      <c r="AO219" s="6">
        <v>21.42</v>
      </c>
      <c r="AP219" s="6">
        <v>1045.57</v>
      </c>
    </row>
    <row r="220" spans="2:42" ht="18.75">
      <c r="B220">
        <v>38</v>
      </c>
      <c r="C220" s="5">
        <v>45915</v>
      </c>
      <c r="D220" t="s">
        <v>125</v>
      </c>
      <c r="E220">
        <v>14</v>
      </c>
      <c r="F220" s="6">
        <v>77.150000000000006</v>
      </c>
      <c r="G220" s="6">
        <v>0</v>
      </c>
      <c r="H220" s="6">
        <v>0</v>
      </c>
      <c r="I220" s="6">
        <v>0</v>
      </c>
      <c r="J220" s="6">
        <v>77.150000000000006</v>
      </c>
      <c r="L220">
        <v>48</v>
      </c>
      <c r="M220" s="5">
        <v>45985</v>
      </c>
      <c r="N220" t="s">
        <v>172</v>
      </c>
      <c r="O220">
        <v>37</v>
      </c>
      <c r="P220" s="6">
        <v>118.4</v>
      </c>
      <c r="Q220" s="6">
        <v>0</v>
      </c>
      <c r="R220" s="6">
        <v>0</v>
      </c>
      <c r="S220" s="6">
        <v>0</v>
      </c>
      <c r="T220" s="6">
        <v>118.4</v>
      </c>
      <c r="V220">
        <v>12</v>
      </c>
      <c r="W220" s="5">
        <v>46097</v>
      </c>
      <c r="X220" t="s">
        <v>180</v>
      </c>
      <c r="Y220">
        <v>35</v>
      </c>
      <c r="Z220" s="6">
        <v>285.88</v>
      </c>
      <c r="AA220" s="6">
        <v>0</v>
      </c>
      <c r="AB220" s="6">
        <v>0</v>
      </c>
      <c r="AC220" s="6">
        <v>30.48</v>
      </c>
      <c r="AD220" s="6">
        <v>316.36</v>
      </c>
      <c r="AH220" t="s">
        <v>199</v>
      </c>
      <c r="AI220" s="5">
        <v>46082</v>
      </c>
      <c r="AJ220" t="s">
        <v>118</v>
      </c>
      <c r="AK220">
        <v>242</v>
      </c>
      <c r="AL220" s="6">
        <v>860.02999999999895</v>
      </c>
      <c r="AM220" s="6">
        <v>0</v>
      </c>
      <c r="AN220" s="6">
        <v>0</v>
      </c>
      <c r="AO220" s="6">
        <v>21.1</v>
      </c>
      <c r="AP220" s="6">
        <v>881.12999999999897</v>
      </c>
    </row>
    <row r="221" spans="2:42" ht="18.75">
      <c r="B221">
        <v>38</v>
      </c>
      <c r="C221" s="5">
        <v>45915</v>
      </c>
      <c r="D221" t="s">
        <v>149</v>
      </c>
      <c r="E221">
        <v>43</v>
      </c>
      <c r="F221" s="6">
        <v>160.51</v>
      </c>
      <c r="G221" s="6">
        <v>0</v>
      </c>
      <c r="H221" s="6">
        <v>4.01</v>
      </c>
      <c r="I221" s="6">
        <v>0</v>
      </c>
      <c r="J221" s="6">
        <v>160.51</v>
      </c>
      <c r="L221">
        <v>48</v>
      </c>
      <c r="M221" s="5">
        <v>45985</v>
      </c>
      <c r="N221" t="s">
        <v>170</v>
      </c>
      <c r="O221">
        <v>20</v>
      </c>
      <c r="P221" s="6">
        <v>69.400000000000006</v>
      </c>
      <c r="Q221" s="6">
        <v>0</v>
      </c>
      <c r="R221" s="6">
        <v>0</v>
      </c>
      <c r="S221" s="6">
        <v>2.6</v>
      </c>
      <c r="T221" s="6">
        <v>72</v>
      </c>
      <c r="V221">
        <v>14</v>
      </c>
      <c r="W221" s="5">
        <v>46111</v>
      </c>
      <c r="X221" t="s">
        <v>179</v>
      </c>
      <c r="Y221">
        <v>870</v>
      </c>
      <c r="Z221" s="6">
        <v>4920.4199999999501</v>
      </c>
      <c r="AA221" s="6">
        <v>0</v>
      </c>
      <c r="AB221" s="6">
        <v>98.76</v>
      </c>
      <c r="AC221" s="6">
        <v>191.67</v>
      </c>
      <c r="AD221" s="6">
        <v>5112.0899999999501</v>
      </c>
      <c r="AH221" t="s">
        <v>199</v>
      </c>
      <c r="AI221" s="5">
        <v>46082</v>
      </c>
      <c r="AJ221" t="s">
        <v>124</v>
      </c>
      <c r="AK221">
        <v>737</v>
      </c>
      <c r="AL221" s="6">
        <v>2702.7399999999898</v>
      </c>
      <c r="AM221" s="6">
        <v>9.6</v>
      </c>
      <c r="AN221" s="6">
        <v>0</v>
      </c>
      <c r="AO221" s="6">
        <v>48.81</v>
      </c>
      <c r="AP221" s="6">
        <v>2741.9499999999898</v>
      </c>
    </row>
    <row r="222" spans="2:42" ht="18.75">
      <c r="B222">
        <v>38</v>
      </c>
      <c r="C222" s="5">
        <v>45915</v>
      </c>
      <c r="D222" t="s">
        <v>116</v>
      </c>
      <c r="E222">
        <v>51</v>
      </c>
      <c r="F222" s="6">
        <v>181.02</v>
      </c>
      <c r="G222" s="6">
        <v>0</v>
      </c>
      <c r="H222" s="6">
        <v>6.4</v>
      </c>
      <c r="I222" s="6">
        <v>0</v>
      </c>
      <c r="J222" s="6">
        <v>181.02</v>
      </c>
      <c r="L222">
        <v>48</v>
      </c>
      <c r="M222" s="5">
        <v>45985</v>
      </c>
      <c r="N222" t="s">
        <v>204</v>
      </c>
      <c r="O222">
        <v>2</v>
      </c>
      <c r="P222" s="6">
        <v>5</v>
      </c>
      <c r="Q222" s="6">
        <v>0</v>
      </c>
      <c r="R222" s="6">
        <v>0</v>
      </c>
      <c r="S222" s="6">
        <v>0</v>
      </c>
      <c r="T222" s="6">
        <v>5</v>
      </c>
      <c r="V222">
        <v>14</v>
      </c>
      <c r="W222" s="5">
        <v>46111</v>
      </c>
      <c r="X222" t="s">
        <v>184</v>
      </c>
      <c r="Y222">
        <v>418</v>
      </c>
      <c r="Z222" s="6">
        <v>906.60000000000105</v>
      </c>
      <c r="AA222" s="6">
        <v>1.9</v>
      </c>
      <c r="AB222" s="6">
        <v>0</v>
      </c>
      <c r="AC222" s="6">
        <v>97.5</v>
      </c>
      <c r="AD222" s="6">
        <v>1002.2</v>
      </c>
      <c r="AH222" t="s">
        <v>199</v>
      </c>
      <c r="AI222" s="5">
        <v>46082</v>
      </c>
      <c r="AJ222" t="s">
        <v>132</v>
      </c>
      <c r="AK222">
        <v>323</v>
      </c>
      <c r="AL222" s="6">
        <v>1245.54</v>
      </c>
      <c r="AM222" s="6">
        <v>0</v>
      </c>
      <c r="AN222" s="6">
        <v>0</v>
      </c>
      <c r="AO222" s="6">
        <v>24.36</v>
      </c>
      <c r="AP222" s="6">
        <v>1269.9000000000001</v>
      </c>
    </row>
    <row r="223" spans="2:42" ht="18.75">
      <c r="B223">
        <v>38</v>
      </c>
      <c r="C223" s="5">
        <v>45915</v>
      </c>
      <c r="D223" t="s">
        <v>138</v>
      </c>
      <c r="E223">
        <v>113</v>
      </c>
      <c r="F223" s="6">
        <v>568.29</v>
      </c>
      <c r="G223" s="6">
        <v>21.68</v>
      </c>
      <c r="H223" s="6">
        <v>16.059999999999999</v>
      </c>
      <c r="I223" s="6">
        <v>0</v>
      </c>
      <c r="J223" s="6">
        <v>546.61</v>
      </c>
      <c r="L223">
        <v>49</v>
      </c>
      <c r="M223" s="5">
        <v>45992</v>
      </c>
      <c r="N223" t="s">
        <v>169</v>
      </c>
      <c r="O223">
        <v>1042</v>
      </c>
      <c r="P223" s="6">
        <v>2693.37</v>
      </c>
      <c r="Q223" s="6">
        <v>0</v>
      </c>
      <c r="R223" s="6">
        <v>33.6</v>
      </c>
      <c r="S223" s="6">
        <v>117.46</v>
      </c>
      <c r="T223" s="6">
        <v>2810.83</v>
      </c>
      <c r="V223">
        <v>14</v>
      </c>
      <c r="W223" s="5">
        <v>46111</v>
      </c>
      <c r="X223" t="s">
        <v>182</v>
      </c>
      <c r="Y223">
        <v>1288</v>
      </c>
      <c r="Z223" s="6">
        <v>3250.6000000000299</v>
      </c>
      <c r="AA223" s="6">
        <v>0</v>
      </c>
      <c r="AB223" s="6">
        <v>33.39</v>
      </c>
      <c r="AC223" s="6">
        <v>123.01</v>
      </c>
      <c r="AD223" s="6">
        <v>3373.6100000000301</v>
      </c>
      <c r="AH223" t="s">
        <v>199</v>
      </c>
      <c r="AI223" s="5">
        <v>46082</v>
      </c>
      <c r="AJ223" t="s">
        <v>151</v>
      </c>
      <c r="AK223">
        <v>886</v>
      </c>
      <c r="AL223" s="6">
        <v>4676.7299999999996</v>
      </c>
      <c r="AM223" s="6">
        <v>0</v>
      </c>
      <c r="AN223" s="6">
        <v>0</v>
      </c>
      <c r="AO223" s="6">
        <v>91.08</v>
      </c>
      <c r="AP223" s="6">
        <v>4767.8100000000004</v>
      </c>
    </row>
    <row r="224" spans="2:42" ht="18.75">
      <c r="B224">
        <v>38</v>
      </c>
      <c r="C224" s="5">
        <v>45915</v>
      </c>
      <c r="D224" t="s">
        <v>111</v>
      </c>
      <c r="E224">
        <v>95</v>
      </c>
      <c r="F224" s="6">
        <v>405.17</v>
      </c>
      <c r="G224" s="6">
        <v>9.9</v>
      </c>
      <c r="H224" s="6">
        <v>0.8</v>
      </c>
      <c r="I224" s="6">
        <v>0</v>
      </c>
      <c r="J224" s="6">
        <v>395.27</v>
      </c>
      <c r="L224">
        <v>49</v>
      </c>
      <c r="M224" s="5">
        <v>45992</v>
      </c>
      <c r="N224" t="s">
        <v>168</v>
      </c>
      <c r="O224">
        <v>291</v>
      </c>
      <c r="P224" s="6">
        <v>581.46</v>
      </c>
      <c r="Q224" s="6">
        <v>0</v>
      </c>
      <c r="R224" s="6">
        <v>0</v>
      </c>
      <c r="S224" s="6">
        <v>51.98</v>
      </c>
      <c r="T224" s="6">
        <v>633.44000000000005</v>
      </c>
      <c r="V224">
        <v>14</v>
      </c>
      <c r="W224" s="5">
        <v>46111</v>
      </c>
      <c r="X224" t="s">
        <v>183</v>
      </c>
      <c r="Y224">
        <v>339</v>
      </c>
      <c r="Z224" s="6">
        <v>712.67</v>
      </c>
      <c r="AA224" s="6">
        <v>0</v>
      </c>
      <c r="AB224" s="6">
        <v>2</v>
      </c>
      <c r="AC224" s="6">
        <v>50.08</v>
      </c>
      <c r="AD224" s="6">
        <v>762.75</v>
      </c>
      <c r="AH224" t="s">
        <v>199</v>
      </c>
      <c r="AI224" s="5">
        <v>46082</v>
      </c>
      <c r="AJ224" t="s">
        <v>117</v>
      </c>
      <c r="AK224">
        <v>306</v>
      </c>
      <c r="AL224" s="6">
        <v>1546.18</v>
      </c>
      <c r="AM224" s="6">
        <v>0</v>
      </c>
      <c r="AN224" s="6">
        <v>0</v>
      </c>
      <c r="AO224" s="6">
        <v>69.13</v>
      </c>
      <c r="AP224" s="6">
        <v>1615.31</v>
      </c>
    </row>
    <row r="225" spans="2:42" ht="18.75">
      <c r="B225">
        <v>38</v>
      </c>
      <c r="C225" s="5">
        <v>45915</v>
      </c>
      <c r="D225" t="s">
        <v>134</v>
      </c>
      <c r="E225">
        <v>78</v>
      </c>
      <c r="F225" s="6">
        <v>427.86</v>
      </c>
      <c r="G225" s="6">
        <v>17.98</v>
      </c>
      <c r="H225" s="6">
        <v>5.39</v>
      </c>
      <c r="I225" s="6">
        <v>0</v>
      </c>
      <c r="J225" s="6">
        <v>409.88</v>
      </c>
      <c r="L225">
        <v>49</v>
      </c>
      <c r="M225" s="5">
        <v>45992</v>
      </c>
      <c r="N225" t="s">
        <v>163</v>
      </c>
      <c r="O225">
        <v>216</v>
      </c>
      <c r="P225" s="6">
        <v>418.6</v>
      </c>
      <c r="Q225" s="6">
        <v>0</v>
      </c>
      <c r="R225" s="6">
        <v>0</v>
      </c>
      <c r="S225" s="6">
        <v>16.399999999999999</v>
      </c>
      <c r="T225" s="6">
        <v>435</v>
      </c>
      <c r="V225">
        <v>14</v>
      </c>
      <c r="W225" s="5">
        <v>46111</v>
      </c>
      <c r="X225" t="s">
        <v>181</v>
      </c>
      <c r="Y225">
        <v>321</v>
      </c>
      <c r="Z225" s="6">
        <v>2323.31</v>
      </c>
      <c r="AA225" s="6">
        <v>5.99</v>
      </c>
      <c r="AB225" s="6">
        <v>69.75</v>
      </c>
      <c r="AC225" s="6">
        <v>267.77999999999997</v>
      </c>
      <c r="AD225" s="6">
        <v>2585.1</v>
      </c>
      <c r="AH225" t="s">
        <v>199</v>
      </c>
      <c r="AI225" s="5">
        <v>46082</v>
      </c>
      <c r="AJ225" t="s">
        <v>149</v>
      </c>
      <c r="AK225">
        <v>308</v>
      </c>
      <c r="AL225" s="6">
        <v>1053.82</v>
      </c>
      <c r="AM225" s="6">
        <v>1.9</v>
      </c>
      <c r="AN225" s="6">
        <v>0</v>
      </c>
      <c r="AO225" s="6">
        <v>44.31</v>
      </c>
      <c r="AP225" s="6">
        <v>1096.23</v>
      </c>
    </row>
    <row r="226" spans="2:42" ht="18.75">
      <c r="B226">
        <v>38</v>
      </c>
      <c r="C226" s="5">
        <v>45915</v>
      </c>
      <c r="D226" t="s">
        <v>142</v>
      </c>
      <c r="E226">
        <v>30</v>
      </c>
      <c r="F226" s="6">
        <v>134.55000000000001</v>
      </c>
      <c r="G226" s="6">
        <v>0</v>
      </c>
      <c r="H226" s="6">
        <v>3.05</v>
      </c>
      <c r="I226" s="6">
        <v>0</v>
      </c>
      <c r="J226" s="6">
        <v>134.55000000000001</v>
      </c>
      <c r="L226">
        <v>49</v>
      </c>
      <c r="M226" s="5">
        <v>45992</v>
      </c>
      <c r="N226" t="s">
        <v>170</v>
      </c>
      <c r="O226">
        <v>10</v>
      </c>
      <c r="P226" s="6">
        <v>31.5</v>
      </c>
      <c r="Q226" s="6">
        <v>0</v>
      </c>
      <c r="R226" s="6">
        <v>0</v>
      </c>
      <c r="S226" s="6">
        <v>4.5</v>
      </c>
      <c r="T226" s="6">
        <v>36</v>
      </c>
      <c r="V226">
        <v>14</v>
      </c>
      <c r="W226" s="5">
        <v>46111</v>
      </c>
      <c r="X226" t="s">
        <v>185</v>
      </c>
      <c r="Y226">
        <v>251</v>
      </c>
      <c r="Z226" s="6">
        <v>1190.6200000000099</v>
      </c>
      <c r="AA226" s="6">
        <v>0</v>
      </c>
      <c r="AB226" s="6">
        <v>5</v>
      </c>
      <c r="AC226" s="6">
        <v>86.31</v>
      </c>
      <c r="AD226" s="6">
        <v>1276.9300000000101</v>
      </c>
      <c r="AH226" t="s">
        <v>199</v>
      </c>
      <c r="AI226" s="5">
        <v>46082</v>
      </c>
      <c r="AJ226" t="s">
        <v>123</v>
      </c>
      <c r="AK226">
        <v>701</v>
      </c>
      <c r="AL226" s="6">
        <v>2810.5999999999899</v>
      </c>
      <c r="AM226" s="6">
        <v>0</v>
      </c>
      <c r="AN226" s="6">
        <v>0</v>
      </c>
      <c r="AO226" s="6">
        <v>59.8</v>
      </c>
      <c r="AP226" s="6">
        <v>2870.3999999999901</v>
      </c>
    </row>
    <row r="227" spans="2:42" ht="18.75">
      <c r="B227">
        <v>38</v>
      </c>
      <c r="C227" s="5">
        <v>45915</v>
      </c>
      <c r="D227" t="s">
        <v>133</v>
      </c>
      <c r="E227">
        <v>82</v>
      </c>
      <c r="F227" s="6">
        <v>420.26</v>
      </c>
      <c r="G227" s="6">
        <v>8.99</v>
      </c>
      <c r="H227" s="6">
        <v>7.52</v>
      </c>
      <c r="I227" s="6">
        <v>0</v>
      </c>
      <c r="J227" s="6">
        <v>411.27</v>
      </c>
      <c r="L227">
        <v>49</v>
      </c>
      <c r="M227" s="5">
        <v>45992</v>
      </c>
      <c r="N227" t="s">
        <v>160</v>
      </c>
      <c r="O227">
        <v>861</v>
      </c>
      <c r="P227" s="6">
        <v>5606.2799999999397</v>
      </c>
      <c r="Q227" s="6">
        <v>5.99</v>
      </c>
      <c r="R227" s="6">
        <v>184.28</v>
      </c>
      <c r="S227" s="6">
        <v>226.16</v>
      </c>
      <c r="T227" s="6">
        <v>5826.4499999999398</v>
      </c>
      <c r="V227">
        <v>14</v>
      </c>
      <c r="W227" s="5">
        <v>46111</v>
      </c>
      <c r="X227" t="s">
        <v>178</v>
      </c>
      <c r="Y227">
        <v>353</v>
      </c>
      <c r="Z227" s="6">
        <v>3606.01</v>
      </c>
      <c r="AA227" s="6">
        <v>0</v>
      </c>
      <c r="AB227" s="6">
        <v>67.39</v>
      </c>
      <c r="AC227" s="6">
        <v>82.44</v>
      </c>
      <c r="AD227" s="6">
        <v>3688.45</v>
      </c>
      <c r="AH227" t="s">
        <v>199</v>
      </c>
      <c r="AI227" s="5">
        <v>46082</v>
      </c>
      <c r="AJ227" t="s">
        <v>129</v>
      </c>
      <c r="AK227">
        <v>618</v>
      </c>
      <c r="AL227" s="6">
        <v>69.8</v>
      </c>
      <c r="AM227" s="6">
        <v>0</v>
      </c>
      <c r="AN227" s="6">
        <v>0</v>
      </c>
      <c r="AO227" s="6">
        <v>2713.99999999999</v>
      </c>
      <c r="AP227" s="6">
        <v>2783.7999999999902</v>
      </c>
    </row>
    <row r="228" spans="2:42" ht="18.75">
      <c r="B228">
        <v>38</v>
      </c>
      <c r="C228" s="5">
        <v>45915</v>
      </c>
      <c r="D228" t="s">
        <v>132</v>
      </c>
      <c r="E228">
        <v>72</v>
      </c>
      <c r="F228" s="6">
        <v>234.29</v>
      </c>
      <c r="G228" s="6">
        <v>0</v>
      </c>
      <c r="H228" s="6">
        <v>4.71</v>
      </c>
      <c r="I228" s="6">
        <v>0</v>
      </c>
      <c r="J228" s="6">
        <v>234.29</v>
      </c>
      <c r="L228">
        <v>49</v>
      </c>
      <c r="M228" s="5">
        <v>45992</v>
      </c>
      <c r="N228" t="s">
        <v>158</v>
      </c>
      <c r="O228">
        <v>82</v>
      </c>
      <c r="P228" s="6">
        <v>480.93000000000097</v>
      </c>
      <c r="Q228" s="6">
        <v>0</v>
      </c>
      <c r="R228" s="6">
        <v>10.130000000000001</v>
      </c>
      <c r="S228" s="6">
        <v>25.54</v>
      </c>
      <c r="T228" s="6">
        <v>506.47000000000099</v>
      </c>
      <c r="V228">
        <v>14</v>
      </c>
      <c r="W228" s="5">
        <v>46111</v>
      </c>
      <c r="X228" t="s">
        <v>180</v>
      </c>
      <c r="Y228">
        <v>41</v>
      </c>
      <c r="Z228" s="6">
        <v>343.32</v>
      </c>
      <c r="AA228" s="6">
        <v>0</v>
      </c>
      <c r="AB228" s="6">
        <v>0</v>
      </c>
      <c r="AC228" s="6">
        <v>26.08</v>
      </c>
      <c r="AD228" s="6">
        <v>369.4</v>
      </c>
      <c r="AH228" t="s">
        <v>199</v>
      </c>
      <c r="AI228" s="5">
        <v>46082</v>
      </c>
      <c r="AJ228" t="s">
        <v>141</v>
      </c>
      <c r="AK228">
        <v>1065</v>
      </c>
      <c r="AL228" s="6">
        <v>3800.32</v>
      </c>
      <c r="AM228" s="6">
        <v>5.45</v>
      </c>
      <c r="AN228" s="6">
        <v>0</v>
      </c>
      <c r="AO228" s="6">
        <v>52.32</v>
      </c>
      <c r="AP228" s="6">
        <v>3847.19</v>
      </c>
    </row>
    <row r="229" spans="2:42" ht="18.75">
      <c r="B229">
        <v>38</v>
      </c>
      <c r="C229" s="5">
        <v>45915</v>
      </c>
      <c r="D229" t="s">
        <v>137</v>
      </c>
      <c r="E229">
        <v>15</v>
      </c>
      <c r="F229" s="6">
        <v>39</v>
      </c>
      <c r="G229" s="6">
        <v>0</v>
      </c>
      <c r="H229" s="6">
        <v>9</v>
      </c>
      <c r="I229" s="6">
        <v>32.020000000000003</v>
      </c>
      <c r="J229" s="6">
        <v>71.02</v>
      </c>
      <c r="L229">
        <v>49</v>
      </c>
      <c r="M229" s="5">
        <v>45992</v>
      </c>
      <c r="N229" t="s">
        <v>175</v>
      </c>
      <c r="O229">
        <v>83</v>
      </c>
      <c r="P229" s="6">
        <v>264.45</v>
      </c>
      <c r="Q229" s="6">
        <v>0</v>
      </c>
      <c r="R229" s="6">
        <v>10.220000000000001</v>
      </c>
      <c r="S229" s="6">
        <v>28.28</v>
      </c>
      <c r="T229" s="6">
        <v>292.73</v>
      </c>
      <c r="V229">
        <v>14</v>
      </c>
      <c r="W229" s="5">
        <v>46111</v>
      </c>
      <c r="X229" t="s">
        <v>233</v>
      </c>
      <c r="Y229">
        <v>2</v>
      </c>
      <c r="Z229" s="6">
        <v>6</v>
      </c>
      <c r="AA229" s="6">
        <v>0</v>
      </c>
      <c r="AB229" s="6">
        <v>0</v>
      </c>
      <c r="AC229" s="6">
        <v>0</v>
      </c>
      <c r="AD229" s="6">
        <v>6</v>
      </c>
      <c r="AH229" t="s">
        <v>199</v>
      </c>
      <c r="AI229" s="5">
        <v>46082</v>
      </c>
      <c r="AJ229" t="s">
        <v>147</v>
      </c>
      <c r="AK229">
        <v>419</v>
      </c>
      <c r="AL229" s="6">
        <v>2002.46</v>
      </c>
      <c r="AM229" s="6">
        <v>6.3</v>
      </c>
      <c r="AN229" s="6">
        <v>0</v>
      </c>
      <c r="AO229" s="6">
        <v>62.06</v>
      </c>
      <c r="AP229" s="6">
        <v>2058.2199999999998</v>
      </c>
    </row>
    <row r="230" spans="2:42" ht="18.75">
      <c r="B230">
        <v>38</v>
      </c>
      <c r="C230" s="5">
        <v>45915</v>
      </c>
      <c r="D230" t="s">
        <v>141</v>
      </c>
      <c r="E230">
        <v>197</v>
      </c>
      <c r="F230" s="6">
        <v>665.11000000000104</v>
      </c>
      <c r="G230" s="6">
        <v>0</v>
      </c>
      <c r="H230" s="6">
        <v>4.3</v>
      </c>
      <c r="I230" s="6">
        <v>0</v>
      </c>
      <c r="J230" s="6">
        <v>665.11000000000104</v>
      </c>
      <c r="L230">
        <v>49</v>
      </c>
      <c r="M230" s="5">
        <v>45992</v>
      </c>
      <c r="N230" t="s">
        <v>173</v>
      </c>
      <c r="O230">
        <v>201</v>
      </c>
      <c r="P230" s="6">
        <v>921.12000000000296</v>
      </c>
      <c r="Q230" s="6">
        <v>0</v>
      </c>
      <c r="R230" s="6">
        <v>0</v>
      </c>
      <c r="S230" s="6">
        <v>102.25</v>
      </c>
      <c r="T230" s="6">
        <v>1023.37</v>
      </c>
      <c r="V230">
        <v>13</v>
      </c>
      <c r="W230" s="5">
        <v>46104</v>
      </c>
      <c r="X230" t="s">
        <v>182</v>
      </c>
      <c r="Y230">
        <v>1360</v>
      </c>
      <c r="Z230" s="6">
        <v>3525.1800000000298</v>
      </c>
      <c r="AA230" s="6">
        <v>0</v>
      </c>
      <c r="AB230" s="6">
        <v>33.06</v>
      </c>
      <c r="AC230" s="6">
        <v>95.38</v>
      </c>
      <c r="AD230" s="6">
        <v>3620.56000000003</v>
      </c>
      <c r="AH230" t="s">
        <v>199</v>
      </c>
      <c r="AI230" s="5">
        <v>46082</v>
      </c>
      <c r="AJ230" t="s">
        <v>146</v>
      </c>
      <c r="AK230">
        <v>777</v>
      </c>
      <c r="AL230" s="6">
        <v>4240.5999999999904</v>
      </c>
      <c r="AM230" s="6">
        <v>29.7</v>
      </c>
      <c r="AN230" s="6">
        <v>0</v>
      </c>
      <c r="AO230" s="6">
        <v>144.31</v>
      </c>
      <c r="AP230" s="6">
        <v>4355.20999999999</v>
      </c>
    </row>
    <row r="231" spans="2:42" ht="18.75">
      <c r="B231">
        <v>38</v>
      </c>
      <c r="C231" s="5">
        <v>45915</v>
      </c>
      <c r="D231" t="s">
        <v>145</v>
      </c>
      <c r="E231">
        <v>95</v>
      </c>
      <c r="F231" s="6">
        <v>554.5</v>
      </c>
      <c r="G231" s="6">
        <v>0</v>
      </c>
      <c r="H231" s="6">
        <v>10.67</v>
      </c>
      <c r="I231" s="6">
        <v>0</v>
      </c>
      <c r="J231" s="6">
        <v>554.5</v>
      </c>
      <c r="L231">
        <v>49</v>
      </c>
      <c r="M231" s="5">
        <v>45992</v>
      </c>
      <c r="N231" t="s">
        <v>198</v>
      </c>
      <c r="O231">
        <v>161</v>
      </c>
      <c r="P231" s="6">
        <v>1392.18</v>
      </c>
      <c r="Q231" s="6">
        <v>9.25</v>
      </c>
      <c r="R231" s="6">
        <v>18.989999999999998</v>
      </c>
      <c r="S231" s="6">
        <v>121.73</v>
      </c>
      <c r="T231" s="6">
        <v>1504.66</v>
      </c>
      <c r="V231">
        <v>13</v>
      </c>
      <c r="W231" s="5">
        <v>46104</v>
      </c>
      <c r="X231" t="s">
        <v>184</v>
      </c>
      <c r="Y231">
        <v>400</v>
      </c>
      <c r="Z231" s="6">
        <v>865.64000000000203</v>
      </c>
      <c r="AA231" s="6">
        <v>0</v>
      </c>
      <c r="AB231" s="6">
        <v>20.190000000000001</v>
      </c>
      <c r="AC231" s="6">
        <v>99.93</v>
      </c>
      <c r="AD231" s="6">
        <v>965.57000000000198</v>
      </c>
      <c r="AH231" t="s">
        <v>199</v>
      </c>
      <c r="AI231" s="5">
        <v>46082</v>
      </c>
      <c r="AJ231" t="s">
        <v>112</v>
      </c>
      <c r="AK231">
        <v>68</v>
      </c>
      <c r="AL231" s="6">
        <v>268.73</v>
      </c>
      <c r="AM231" s="6">
        <v>0</v>
      </c>
      <c r="AN231" s="6">
        <v>0</v>
      </c>
      <c r="AO231" s="6">
        <v>21.68</v>
      </c>
      <c r="AP231" s="6">
        <v>290.41000000000003</v>
      </c>
    </row>
    <row r="232" spans="2:42" ht="18.75">
      <c r="B232">
        <v>38</v>
      </c>
      <c r="C232" s="5">
        <v>45915</v>
      </c>
      <c r="D232" t="s">
        <v>128</v>
      </c>
      <c r="E232">
        <v>59</v>
      </c>
      <c r="F232" s="6">
        <v>294.64</v>
      </c>
      <c r="G232" s="6">
        <v>0</v>
      </c>
      <c r="H232" s="6">
        <v>0.99</v>
      </c>
      <c r="I232" s="6">
        <v>0</v>
      </c>
      <c r="J232" s="6">
        <v>294.64</v>
      </c>
      <c r="L232">
        <v>49</v>
      </c>
      <c r="M232" s="5">
        <v>45992</v>
      </c>
      <c r="N232" t="s">
        <v>176</v>
      </c>
      <c r="O232">
        <v>59</v>
      </c>
      <c r="P232" s="6">
        <v>121.65</v>
      </c>
      <c r="Q232" s="6">
        <v>0</v>
      </c>
      <c r="R232" s="6">
        <v>0</v>
      </c>
      <c r="S232" s="6">
        <v>12.03</v>
      </c>
      <c r="T232" s="6">
        <v>133.68</v>
      </c>
      <c r="V232">
        <v>13</v>
      </c>
      <c r="W232" s="5">
        <v>46104</v>
      </c>
      <c r="X232" t="s">
        <v>179</v>
      </c>
      <c r="Y232">
        <v>846</v>
      </c>
      <c r="Z232" s="6">
        <v>4788.4399999999496</v>
      </c>
      <c r="AA232" s="6">
        <v>6.3</v>
      </c>
      <c r="AB232" s="6">
        <v>73.05</v>
      </c>
      <c r="AC232" s="6">
        <v>185.93</v>
      </c>
      <c r="AD232" s="6">
        <v>4968.0699999999497</v>
      </c>
      <c r="AH232" t="s">
        <v>199</v>
      </c>
      <c r="AI232" s="5">
        <v>46082</v>
      </c>
      <c r="AJ232" t="s">
        <v>133</v>
      </c>
      <c r="AK232">
        <v>370</v>
      </c>
      <c r="AL232" s="6">
        <v>1996.4</v>
      </c>
      <c r="AM232" s="6">
        <v>0</v>
      </c>
      <c r="AN232" s="6">
        <v>0</v>
      </c>
      <c r="AO232" s="6">
        <v>61.97</v>
      </c>
      <c r="AP232" s="6">
        <v>2058.37</v>
      </c>
    </row>
    <row r="233" spans="2:42" ht="18.75">
      <c r="B233">
        <v>38</v>
      </c>
      <c r="C233" s="5">
        <v>45915</v>
      </c>
      <c r="D233" t="s">
        <v>146</v>
      </c>
      <c r="E233">
        <v>141</v>
      </c>
      <c r="F233" s="6">
        <v>743.26000000000101</v>
      </c>
      <c r="G233" s="6">
        <v>6.45</v>
      </c>
      <c r="H233" s="6">
        <v>3.45</v>
      </c>
      <c r="I233" s="6">
        <v>0</v>
      </c>
      <c r="J233" s="6">
        <v>736.81000000000097</v>
      </c>
      <c r="L233">
        <v>49</v>
      </c>
      <c r="M233" s="5">
        <v>45992</v>
      </c>
      <c r="N233" t="s">
        <v>171</v>
      </c>
      <c r="O233">
        <v>164</v>
      </c>
      <c r="P233" s="6">
        <v>1060.47</v>
      </c>
      <c r="Q233" s="6">
        <v>0</v>
      </c>
      <c r="R233" s="6">
        <v>5.34</v>
      </c>
      <c r="S233" s="6">
        <v>142.03</v>
      </c>
      <c r="T233" s="6">
        <v>1202.5</v>
      </c>
      <c r="V233">
        <v>13</v>
      </c>
      <c r="W233" s="5">
        <v>46104</v>
      </c>
      <c r="X233" t="s">
        <v>181</v>
      </c>
      <c r="Y233">
        <v>353</v>
      </c>
      <c r="Z233" s="6">
        <v>2176.35</v>
      </c>
      <c r="AA233" s="6">
        <v>0</v>
      </c>
      <c r="AB233" s="6">
        <v>230.72</v>
      </c>
      <c r="AC233" s="6">
        <v>251.39</v>
      </c>
      <c r="AD233" s="6">
        <v>2427.7399999999998</v>
      </c>
      <c r="AH233" t="s">
        <v>199</v>
      </c>
      <c r="AI233" s="5">
        <v>46082</v>
      </c>
      <c r="AJ233" t="s">
        <v>122</v>
      </c>
      <c r="AK233">
        <v>360</v>
      </c>
      <c r="AL233" s="6">
        <v>1848.44</v>
      </c>
      <c r="AM233" s="6">
        <v>0</v>
      </c>
      <c r="AN233" s="6">
        <v>0</v>
      </c>
      <c r="AO233" s="6">
        <v>52.09</v>
      </c>
      <c r="AP233" s="6">
        <v>1900.53</v>
      </c>
    </row>
    <row r="234" spans="2:42" ht="18.75">
      <c r="B234">
        <v>38</v>
      </c>
      <c r="C234" s="5">
        <v>45915</v>
      </c>
      <c r="D234" t="s">
        <v>127</v>
      </c>
      <c r="E234">
        <v>69</v>
      </c>
      <c r="F234" s="6">
        <v>386.3</v>
      </c>
      <c r="G234" s="6">
        <v>0</v>
      </c>
      <c r="H234" s="6">
        <v>0</v>
      </c>
      <c r="I234" s="6">
        <v>0</v>
      </c>
      <c r="J234" s="6">
        <v>386.3</v>
      </c>
      <c r="L234">
        <v>49</v>
      </c>
      <c r="M234" s="5">
        <v>45992</v>
      </c>
      <c r="N234" t="s">
        <v>164</v>
      </c>
      <c r="O234">
        <v>11</v>
      </c>
      <c r="P234" s="6">
        <v>44.07</v>
      </c>
      <c r="Q234" s="6">
        <v>0</v>
      </c>
      <c r="R234" s="6">
        <v>0</v>
      </c>
      <c r="S234" s="6">
        <v>0</v>
      </c>
      <c r="T234" s="6">
        <v>44.07</v>
      </c>
      <c r="V234">
        <v>13</v>
      </c>
      <c r="W234" s="5">
        <v>46104</v>
      </c>
      <c r="X234" t="s">
        <v>178</v>
      </c>
      <c r="Y234">
        <v>334</v>
      </c>
      <c r="Z234" s="6">
        <v>3117.05</v>
      </c>
      <c r="AA234" s="6">
        <v>9.9</v>
      </c>
      <c r="AB234" s="6">
        <v>77.47</v>
      </c>
      <c r="AC234" s="6">
        <v>55.58</v>
      </c>
      <c r="AD234" s="6">
        <v>3162.73</v>
      </c>
      <c r="AH234" t="s">
        <v>199</v>
      </c>
      <c r="AI234" s="5">
        <v>46082</v>
      </c>
      <c r="AJ234" t="s">
        <v>128</v>
      </c>
      <c r="AK234">
        <v>228</v>
      </c>
      <c r="AL234" s="6">
        <v>1027.43</v>
      </c>
      <c r="AM234" s="6">
        <v>0</v>
      </c>
      <c r="AN234" s="6">
        <v>0</v>
      </c>
      <c r="AO234" s="6">
        <v>17.649999999999999</v>
      </c>
      <c r="AP234" s="6">
        <v>1045.08</v>
      </c>
    </row>
    <row r="235" spans="2:42" ht="18.75">
      <c r="B235">
        <v>38</v>
      </c>
      <c r="C235" s="5">
        <v>45915</v>
      </c>
      <c r="D235" t="s">
        <v>122</v>
      </c>
      <c r="E235">
        <v>61</v>
      </c>
      <c r="F235" s="6">
        <v>291</v>
      </c>
      <c r="G235" s="6">
        <v>0</v>
      </c>
      <c r="H235" s="6">
        <v>9.44</v>
      </c>
      <c r="I235" s="6">
        <v>0</v>
      </c>
      <c r="J235" s="6">
        <v>291</v>
      </c>
      <c r="L235">
        <v>49</v>
      </c>
      <c r="M235" s="5">
        <v>45992</v>
      </c>
      <c r="N235" t="s">
        <v>165</v>
      </c>
      <c r="O235">
        <v>62</v>
      </c>
      <c r="P235" s="6">
        <v>487.38</v>
      </c>
      <c r="Q235" s="6">
        <v>8.99</v>
      </c>
      <c r="R235" s="6">
        <v>0</v>
      </c>
      <c r="S235" s="6">
        <v>74</v>
      </c>
      <c r="T235" s="6">
        <v>552.39</v>
      </c>
      <c r="V235">
        <v>13</v>
      </c>
      <c r="W235" s="5">
        <v>46104</v>
      </c>
      <c r="X235" t="s">
        <v>183</v>
      </c>
      <c r="Y235">
        <v>411</v>
      </c>
      <c r="Z235" s="6">
        <v>858.38000000000102</v>
      </c>
      <c r="AA235" s="6">
        <v>0</v>
      </c>
      <c r="AB235" s="6">
        <v>0</v>
      </c>
      <c r="AC235" s="6">
        <v>59.45</v>
      </c>
      <c r="AD235" s="6">
        <v>917.83000000000095</v>
      </c>
      <c r="AH235" t="s">
        <v>199</v>
      </c>
      <c r="AI235" s="5">
        <v>46082</v>
      </c>
      <c r="AJ235" t="s">
        <v>138</v>
      </c>
      <c r="AK235">
        <v>542</v>
      </c>
      <c r="AL235" s="6">
        <v>2786.0299999999902</v>
      </c>
      <c r="AM235" s="6">
        <v>5.9</v>
      </c>
      <c r="AN235" s="6">
        <v>0</v>
      </c>
      <c r="AO235" s="6">
        <v>187.9</v>
      </c>
      <c r="AP235" s="6">
        <v>2968.0299999999902</v>
      </c>
    </row>
    <row r="236" spans="2:42" ht="18.75">
      <c r="B236">
        <v>38</v>
      </c>
      <c r="C236" s="5">
        <v>45915</v>
      </c>
      <c r="D236" t="s">
        <v>121</v>
      </c>
      <c r="E236">
        <v>37</v>
      </c>
      <c r="F236" s="6">
        <v>98.12</v>
      </c>
      <c r="G236" s="6">
        <v>0</v>
      </c>
      <c r="H236" s="6">
        <v>1.06</v>
      </c>
      <c r="I236" s="6">
        <v>0</v>
      </c>
      <c r="J236" s="6">
        <v>98.12</v>
      </c>
      <c r="L236">
        <v>49</v>
      </c>
      <c r="M236" s="5">
        <v>45992</v>
      </c>
      <c r="N236" t="s">
        <v>174</v>
      </c>
      <c r="O236">
        <v>80</v>
      </c>
      <c r="P236" s="6">
        <v>587.73</v>
      </c>
      <c r="Q236" s="6">
        <v>0</v>
      </c>
      <c r="R236" s="6">
        <v>0</v>
      </c>
      <c r="S236" s="6">
        <v>92.27</v>
      </c>
      <c r="T236" s="6">
        <v>680</v>
      </c>
      <c r="V236">
        <v>13</v>
      </c>
      <c r="W236" s="5">
        <v>46104</v>
      </c>
      <c r="X236" t="s">
        <v>185</v>
      </c>
      <c r="Y236">
        <v>275</v>
      </c>
      <c r="Z236" s="6">
        <v>1317.1600000000101</v>
      </c>
      <c r="AA236" s="6">
        <v>5.45</v>
      </c>
      <c r="AB236" s="6">
        <v>0</v>
      </c>
      <c r="AC236" s="6">
        <v>83.55</v>
      </c>
      <c r="AD236" s="6">
        <v>1395.26000000001</v>
      </c>
      <c r="AH236" t="s">
        <v>199</v>
      </c>
      <c r="AI236" s="5">
        <v>46082</v>
      </c>
      <c r="AJ236" t="s">
        <v>136</v>
      </c>
      <c r="AK236">
        <v>226</v>
      </c>
      <c r="AL236" s="6">
        <v>692.7</v>
      </c>
      <c r="AM236" s="6">
        <v>0</v>
      </c>
      <c r="AN236" s="6">
        <v>0</v>
      </c>
      <c r="AO236" s="6">
        <v>443.27</v>
      </c>
      <c r="AP236" s="6">
        <v>1135.97</v>
      </c>
    </row>
    <row r="237" spans="2:42" ht="18.75">
      <c r="B237">
        <v>38</v>
      </c>
      <c r="C237" s="5">
        <v>45915</v>
      </c>
      <c r="D237" t="s">
        <v>140</v>
      </c>
      <c r="E237">
        <v>16</v>
      </c>
      <c r="F237" s="6">
        <v>43.52</v>
      </c>
      <c r="G237" s="6">
        <v>0</v>
      </c>
      <c r="H237" s="6">
        <v>0.42</v>
      </c>
      <c r="I237" s="6">
        <v>0</v>
      </c>
      <c r="J237" s="6">
        <v>43.52</v>
      </c>
      <c r="L237">
        <v>49</v>
      </c>
      <c r="M237" s="5">
        <v>45992</v>
      </c>
      <c r="N237" t="s">
        <v>172</v>
      </c>
      <c r="O237">
        <v>36</v>
      </c>
      <c r="P237" s="6">
        <v>112.8</v>
      </c>
      <c r="Q237" s="6">
        <v>0</v>
      </c>
      <c r="R237" s="6">
        <v>0</v>
      </c>
      <c r="S237" s="6">
        <v>3.2</v>
      </c>
      <c r="T237" s="6">
        <v>116</v>
      </c>
      <c r="V237">
        <v>13</v>
      </c>
      <c r="W237" s="5">
        <v>46104</v>
      </c>
      <c r="X237" t="s">
        <v>180</v>
      </c>
      <c r="Y237">
        <v>44</v>
      </c>
      <c r="Z237" s="6">
        <v>354.39</v>
      </c>
      <c r="AA237" s="6">
        <v>0</v>
      </c>
      <c r="AB237" s="6">
        <v>0</v>
      </c>
      <c r="AC237" s="6">
        <v>40.840000000000003</v>
      </c>
      <c r="AD237" s="6">
        <v>395.23</v>
      </c>
      <c r="AH237" t="s">
        <v>199</v>
      </c>
      <c r="AI237" s="5">
        <v>46082</v>
      </c>
      <c r="AJ237" t="s">
        <v>114</v>
      </c>
      <c r="AK237">
        <v>343</v>
      </c>
      <c r="AL237" s="6">
        <v>1486.18</v>
      </c>
      <c r="AM237" s="6">
        <v>5.99</v>
      </c>
      <c r="AN237" s="6">
        <v>0</v>
      </c>
      <c r="AO237" s="6">
        <v>562.39</v>
      </c>
      <c r="AP237" s="6">
        <v>2042.58</v>
      </c>
    </row>
    <row r="238" spans="2:42" ht="18.75">
      <c r="B238">
        <v>38</v>
      </c>
      <c r="C238" s="5">
        <v>45915</v>
      </c>
      <c r="D238" t="s">
        <v>135</v>
      </c>
      <c r="E238">
        <v>12</v>
      </c>
      <c r="F238" s="6">
        <v>29.25</v>
      </c>
      <c r="G238" s="6">
        <v>0</v>
      </c>
      <c r="H238" s="6">
        <v>0</v>
      </c>
      <c r="I238" s="6">
        <v>5.38</v>
      </c>
      <c r="J238" s="6">
        <v>34.630000000000003</v>
      </c>
      <c r="L238">
        <v>50</v>
      </c>
      <c r="M238" s="5">
        <v>45999</v>
      </c>
      <c r="N238" t="s">
        <v>158</v>
      </c>
      <c r="O238">
        <v>130</v>
      </c>
      <c r="P238" s="6">
        <v>788.38999999999896</v>
      </c>
      <c r="Q238" s="6">
        <v>6.3</v>
      </c>
      <c r="R238" s="6">
        <v>7.27</v>
      </c>
      <c r="S238" s="6">
        <v>23.34</v>
      </c>
      <c r="T238" s="6">
        <v>805.42999999999904</v>
      </c>
      <c r="V238">
        <v>16</v>
      </c>
      <c r="W238" s="5">
        <v>46125</v>
      </c>
      <c r="X238" t="s">
        <v>182</v>
      </c>
      <c r="Y238">
        <v>1171</v>
      </c>
      <c r="Z238" s="6">
        <v>2997.79000000002</v>
      </c>
      <c r="AA238" s="6">
        <v>0</v>
      </c>
      <c r="AB238" s="6">
        <v>18.97</v>
      </c>
      <c r="AC238" s="6">
        <v>91.34</v>
      </c>
      <c r="AD238" s="6">
        <v>3089.1300000000201</v>
      </c>
      <c r="AH238" t="s">
        <v>199</v>
      </c>
      <c r="AI238" s="5">
        <v>46082</v>
      </c>
      <c r="AJ238" t="s">
        <v>130</v>
      </c>
      <c r="AK238">
        <v>630</v>
      </c>
      <c r="AL238" s="6">
        <v>2906.8299999999899</v>
      </c>
      <c r="AM238" s="6">
        <v>4.99</v>
      </c>
      <c r="AN238" s="6">
        <v>0</v>
      </c>
      <c r="AO238" s="6">
        <v>63.23</v>
      </c>
      <c r="AP238" s="6">
        <v>2965.0699999999902</v>
      </c>
    </row>
    <row r="239" spans="2:42" ht="18.75">
      <c r="B239">
        <v>38</v>
      </c>
      <c r="C239" s="5">
        <v>45915</v>
      </c>
      <c r="D239" t="s">
        <v>150</v>
      </c>
      <c r="E239">
        <v>6</v>
      </c>
      <c r="F239" s="6">
        <v>30.87</v>
      </c>
      <c r="G239" s="6">
        <v>0</v>
      </c>
      <c r="H239" s="6">
        <v>1.8</v>
      </c>
      <c r="I239" s="6">
        <v>0</v>
      </c>
      <c r="J239" s="6">
        <v>30.87</v>
      </c>
      <c r="L239">
        <v>50</v>
      </c>
      <c r="M239" s="5">
        <v>45999</v>
      </c>
      <c r="N239" t="s">
        <v>163</v>
      </c>
      <c r="O239">
        <v>242</v>
      </c>
      <c r="P239" s="6">
        <v>466.6</v>
      </c>
      <c r="Q239" s="6">
        <v>0</v>
      </c>
      <c r="R239" s="6">
        <v>0</v>
      </c>
      <c r="S239" s="6">
        <v>20.399999999999999</v>
      </c>
      <c r="T239" s="6">
        <v>487</v>
      </c>
      <c r="V239">
        <v>16</v>
      </c>
      <c r="W239" s="5">
        <v>46125</v>
      </c>
      <c r="X239" t="s">
        <v>183</v>
      </c>
      <c r="Y239">
        <v>362</v>
      </c>
      <c r="Z239" s="6">
        <v>772.99000000000103</v>
      </c>
      <c r="AA239" s="6">
        <v>0</v>
      </c>
      <c r="AB239" s="6">
        <v>12.67</v>
      </c>
      <c r="AC239" s="6">
        <v>52.05</v>
      </c>
      <c r="AD239" s="6">
        <v>825.04000000000099</v>
      </c>
      <c r="AH239" t="s">
        <v>199</v>
      </c>
      <c r="AI239" s="5">
        <v>46082</v>
      </c>
      <c r="AJ239" t="s">
        <v>119</v>
      </c>
      <c r="AK239">
        <v>681</v>
      </c>
      <c r="AL239" s="6">
        <v>2584.2199999999898</v>
      </c>
      <c r="AM239" s="6">
        <v>10.25</v>
      </c>
      <c r="AN239" s="6">
        <v>0</v>
      </c>
      <c r="AO239" s="6">
        <v>98.53</v>
      </c>
      <c r="AP239" s="6">
        <v>2672.49999999999</v>
      </c>
    </row>
    <row r="240" spans="2:42" ht="18.75">
      <c r="B240">
        <v>38</v>
      </c>
      <c r="C240" s="5">
        <v>45915</v>
      </c>
      <c r="D240" t="s">
        <v>113</v>
      </c>
      <c r="E240">
        <v>66</v>
      </c>
      <c r="F240" s="6">
        <v>234.11</v>
      </c>
      <c r="G240" s="6">
        <v>0</v>
      </c>
      <c r="H240" s="6">
        <v>0</v>
      </c>
      <c r="I240" s="6">
        <v>0</v>
      </c>
      <c r="J240" s="6">
        <v>234.11</v>
      </c>
      <c r="L240">
        <v>50</v>
      </c>
      <c r="M240" s="5">
        <v>45999</v>
      </c>
      <c r="N240" t="s">
        <v>160</v>
      </c>
      <c r="O240">
        <v>803</v>
      </c>
      <c r="P240" s="6">
        <v>5344.6599999999398</v>
      </c>
      <c r="Q240" s="6">
        <v>16.829999999999998</v>
      </c>
      <c r="R240" s="6">
        <v>132.27000000000001</v>
      </c>
      <c r="S240" s="6">
        <v>170.81</v>
      </c>
      <c r="T240" s="6">
        <v>5498.6399999999403</v>
      </c>
      <c r="V240">
        <v>16</v>
      </c>
      <c r="W240" s="5">
        <v>46125</v>
      </c>
      <c r="X240" t="s">
        <v>179</v>
      </c>
      <c r="Y240">
        <v>714</v>
      </c>
      <c r="Z240" s="6">
        <v>4010.49999999996</v>
      </c>
      <c r="AA240" s="6">
        <v>18.59</v>
      </c>
      <c r="AB240" s="6">
        <v>94.39</v>
      </c>
      <c r="AC240" s="6">
        <v>167.14</v>
      </c>
      <c r="AD240" s="6">
        <v>4159.0499999999602</v>
      </c>
      <c r="AH240" t="s">
        <v>199</v>
      </c>
      <c r="AI240" s="5">
        <v>46082</v>
      </c>
      <c r="AJ240" t="s">
        <v>134</v>
      </c>
      <c r="AK240">
        <v>382</v>
      </c>
      <c r="AL240" s="6">
        <v>2130.5500000000002</v>
      </c>
      <c r="AM240" s="6">
        <v>0</v>
      </c>
      <c r="AN240" s="6">
        <v>0</v>
      </c>
      <c r="AO240" s="6">
        <v>68.48</v>
      </c>
      <c r="AP240" s="6">
        <v>2199.0300000000002</v>
      </c>
    </row>
    <row r="241" spans="2:42" ht="18.75">
      <c r="B241">
        <v>38</v>
      </c>
      <c r="C241" s="5">
        <v>45915</v>
      </c>
      <c r="D241" t="s">
        <v>126</v>
      </c>
      <c r="E241">
        <v>31</v>
      </c>
      <c r="F241" s="6">
        <v>99.37</v>
      </c>
      <c r="G241" s="6">
        <v>0</v>
      </c>
      <c r="H241" s="6">
        <v>0</v>
      </c>
      <c r="I241" s="6">
        <v>0</v>
      </c>
      <c r="J241" s="6">
        <v>99.37</v>
      </c>
      <c r="L241">
        <v>50</v>
      </c>
      <c r="M241" s="5">
        <v>45999</v>
      </c>
      <c r="N241" t="s">
        <v>169</v>
      </c>
      <c r="O241">
        <v>1008</v>
      </c>
      <c r="P241" s="6">
        <v>2649.28999999999</v>
      </c>
      <c r="Q241" s="6">
        <v>11.64</v>
      </c>
      <c r="R241" s="6">
        <v>26.18</v>
      </c>
      <c r="S241" s="6">
        <v>109.16</v>
      </c>
      <c r="T241" s="6">
        <v>2746.8099999999899</v>
      </c>
      <c r="V241">
        <v>16</v>
      </c>
      <c r="W241" s="5">
        <v>46125</v>
      </c>
      <c r="X241" t="s">
        <v>184</v>
      </c>
      <c r="Y241">
        <v>384</v>
      </c>
      <c r="Z241" s="6">
        <v>818.61</v>
      </c>
      <c r="AA241" s="6">
        <v>0</v>
      </c>
      <c r="AB241" s="6">
        <v>5.26</v>
      </c>
      <c r="AC241" s="6">
        <v>118.63</v>
      </c>
      <c r="AD241" s="6">
        <v>937.24</v>
      </c>
      <c r="AH241" t="s">
        <v>199</v>
      </c>
      <c r="AI241" s="5">
        <v>46082</v>
      </c>
      <c r="AJ241" t="s">
        <v>148</v>
      </c>
      <c r="AK241">
        <v>128</v>
      </c>
      <c r="AL241" s="6">
        <v>615.91999999999996</v>
      </c>
      <c r="AM241" s="6">
        <v>0</v>
      </c>
      <c r="AN241" s="6">
        <v>0</v>
      </c>
      <c r="AO241" s="6">
        <v>46.39</v>
      </c>
      <c r="AP241" s="6">
        <v>662.31</v>
      </c>
    </row>
    <row r="242" spans="2:42" ht="18.75">
      <c r="B242">
        <v>37</v>
      </c>
      <c r="C242" s="5">
        <v>45908</v>
      </c>
      <c r="D242" t="s">
        <v>124</v>
      </c>
      <c r="E242">
        <v>178</v>
      </c>
      <c r="F242" s="6">
        <v>646.97</v>
      </c>
      <c r="G242" s="6">
        <v>0</v>
      </c>
      <c r="H242" s="6">
        <v>6.27</v>
      </c>
      <c r="I242" s="6">
        <v>0</v>
      </c>
      <c r="J242" s="6">
        <v>646.97</v>
      </c>
      <c r="L242">
        <v>50</v>
      </c>
      <c r="M242" s="5">
        <v>45999</v>
      </c>
      <c r="N242" t="s">
        <v>173</v>
      </c>
      <c r="O242">
        <v>189</v>
      </c>
      <c r="P242" s="6">
        <v>926.50000000000296</v>
      </c>
      <c r="Q242" s="6">
        <v>4.95</v>
      </c>
      <c r="R242" s="6">
        <v>0</v>
      </c>
      <c r="S242" s="6">
        <v>38.770000000000003</v>
      </c>
      <c r="T242" s="6">
        <v>960.32000000000301</v>
      </c>
      <c r="V242">
        <v>16</v>
      </c>
      <c r="W242" s="5">
        <v>46125</v>
      </c>
      <c r="X242" t="s">
        <v>181</v>
      </c>
      <c r="Y242">
        <v>328</v>
      </c>
      <c r="Z242" s="6">
        <v>1981.19</v>
      </c>
      <c r="AA242" s="6">
        <v>0</v>
      </c>
      <c r="AB242" s="6">
        <v>180.43</v>
      </c>
      <c r="AC242" s="6">
        <v>211.38</v>
      </c>
      <c r="AD242" s="6">
        <v>2192.5700000000002</v>
      </c>
      <c r="AH242" t="s">
        <v>199</v>
      </c>
      <c r="AI242" s="5">
        <v>46082</v>
      </c>
      <c r="AJ242" t="s">
        <v>111</v>
      </c>
      <c r="AK242">
        <v>279</v>
      </c>
      <c r="AL242" s="6">
        <v>1209.26</v>
      </c>
      <c r="AM242" s="6">
        <v>0</v>
      </c>
      <c r="AN242" s="6">
        <v>0</v>
      </c>
      <c r="AO242" s="6">
        <v>38.369999999999997</v>
      </c>
      <c r="AP242" s="6">
        <v>1247.6300000000001</v>
      </c>
    </row>
    <row r="243" spans="2:42" ht="18.75">
      <c r="B243">
        <v>37</v>
      </c>
      <c r="C243" s="5">
        <v>45908</v>
      </c>
      <c r="D243" t="s">
        <v>113</v>
      </c>
      <c r="E243">
        <v>78</v>
      </c>
      <c r="F243" s="6">
        <v>319.74</v>
      </c>
      <c r="G243" s="6">
        <v>0</v>
      </c>
      <c r="H243" s="6">
        <v>0</v>
      </c>
      <c r="I243" s="6">
        <v>0</v>
      </c>
      <c r="J243" s="6">
        <v>319.74</v>
      </c>
      <c r="L243">
        <v>50</v>
      </c>
      <c r="M243" s="5">
        <v>45999</v>
      </c>
      <c r="N243" t="s">
        <v>168</v>
      </c>
      <c r="O243">
        <v>289</v>
      </c>
      <c r="P243" s="6">
        <v>532.20000000000005</v>
      </c>
      <c r="Q243" s="6">
        <v>0</v>
      </c>
      <c r="R243" s="6">
        <v>0</v>
      </c>
      <c r="S243" s="6">
        <v>88.04</v>
      </c>
      <c r="T243" s="6">
        <v>620.24</v>
      </c>
      <c r="V243">
        <v>16</v>
      </c>
      <c r="W243" s="5">
        <v>46125</v>
      </c>
      <c r="X243" t="s">
        <v>185</v>
      </c>
      <c r="Y243">
        <v>253</v>
      </c>
      <c r="Z243" s="6">
        <v>1216.6700000000101</v>
      </c>
      <c r="AA243" s="6">
        <v>0</v>
      </c>
      <c r="AB243" s="6">
        <v>7.74</v>
      </c>
      <c r="AC243" s="6">
        <v>65.66</v>
      </c>
      <c r="AD243" s="6">
        <v>1282.3300000000099</v>
      </c>
      <c r="AH243" t="s">
        <v>199</v>
      </c>
      <c r="AI243" s="5">
        <v>46082</v>
      </c>
      <c r="AJ243" t="s">
        <v>142</v>
      </c>
      <c r="AK243">
        <v>219</v>
      </c>
      <c r="AL243" s="6">
        <v>1130.95</v>
      </c>
      <c r="AM243" s="6">
        <v>0</v>
      </c>
      <c r="AN243" s="6">
        <v>0</v>
      </c>
      <c r="AO243" s="6">
        <v>47.97</v>
      </c>
      <c r="AP243" s="6">
        <v>1178.92</v>
      </c>
    </row>
    <row r="244" spans="2:42" ht="18.75">
      <c r="B244">
        <v>37</v>
      </c>
      <c r="C244" s="5">
        <v>45908</v>
      </c>
      <c r="D244" t="s">
        <v>118</v>
      </c>
      <c r="E244">
        <v>60</v>
      </c>
      <c r="F244" s="6">
        <v>208.67</v>
      </c>
      <c r="G244" s="6">
        <v>0</v>
      </c>
      <c r="H244" s="6">
        <v>4.79</v>
      </c>
      <c r="I244" s="6">
        <v>1.5</v>
      </c>
      <c r="J244" s="6">
        <v>210.17</v>
      </c>
      <c r="L244">
        <v>50</v>
      </c>
      <c r="M244" s="5">
        <v>45999</v>
      </c>
      <c r="N244" t="s">
        <v>165</v>
      </c>
      <c r="O244">
        <v>63</v>
      </c>
      <c r="P244" s="6">
        <v>532.65</v>
      </c>
      <c r="Q244" s="6">
        <v>17.98</v>
      </c>
      <c r="R244" s="6">
        <v>0</v>
      </c>
      <c r="S244" s="6">
        <v>33.72</v>
      </c>
      <c r="T244" s="6">
        <v>548.39</v>
      </c>
      <c r="V244">
        <v>16</v>
      </c>
      <c r="W244" s="5">
        <v>46125</v>
      </c>
      <c r="X244" t="s">
        <v>178</v>
      </c>
      <c r="Y244">
        <v>250</v>
      </c>
      <c r="Z244" s="6">
        <v>2336.42</v>
      </c>
      <c r="AA244" s="6">
        <v>0</v>
      </c>
      <c r="AB244" s="6">
        <v>39.590000000000003</v>
      </c>
      <c r="AC244" s="6">
        <v>53.16</v>
      </c>
      <c r="AD244" s="6">
        <v>2389.58</v>
      </c>
      <c r="AH244" t="s">
        <v>199</v>
      </c>
      <c r="AI244" s="5">
        <v>46082</v>
      </c>
      <c r="AJ244" t="s">
        <v>127</v>
      </c>
      <c r="AK244">
        <v>377</v>
      </c>
      <c r="AL244" s="6">
        <v>1935.52</v>
      </c>
      <c r="AM244" s="6">
        <v>0</v>
      </c>
      <c r="AN244" s="6">
        <v>0</v>
      </c>
      <c r="AO244" s="6">
        <v>21.21</v>
      </c>
      <c r="AP244" s="6">
        <v>1956.73</v>
      </c>
    </row>
    <row r="245" spans="2:42" ht="18.75">
      <c r="B245">
        <v>37</v>
      </c>
      <c r="C245" s="5">
        <v>45908</v>
      </c>
      <c r="D245" t="s">
        <v>139</v>
      </c>
      <c r="E245">
        <v>77</v>
      </c>
      <c r="F245" s="6">
        <v>279.95999999999998</v>
      </c>
      <c r="G245" s="6">
        <v>0</v>
      </c>
      <c r="H245" s="6">
        <v>9.51</v>
      </c>
      <c r="I245" s="6">
        <v>0</v>
      </c>
      <c r="J245" s="6">
        <v>279.95999999999998</v>
      </c>
      <c r="L245">
        <v>50</v>
      </c>
      <c r="M245" s="5">
        <v>45999</v>
      </c>
      <c r="N245" t="s">
        <v>198</v>
      </c>
      <c r="O245">
        <v>229</v>
      </c>
      <c r="P245" s="6">
        <v>1781.43</v>
      </c>
      <c r="Q245" s="6">
        <v>0</v>
      </c>
      <c r="R245" s="6">
        <v>103.83</v>
      </c>
      <c r="S245" s="6">
        <v>240.79</v>
      </c>
      <c r="T245" s="6">
        <v>2022.22</v>
      </c>
      <c r="V245">
        <v>16</v>
      </c>
      <c r="W245" s="5">
        <v>46125</v>
      </c>
      <c r="X245" t="s">
        <v>180</v>
      </c>
      <c r="Y245">
        <v>26</v>
      </c>
      <c r="Z245" s="6">
        <v>221.15</v>
      </c>
      <c r="AA245" s="6">
        <v>0</v>
      </c>
      <c r="AB245" s="6">
        <v>0</v>
      </c>
      <c r="AC245" s="6">
        <v>12.59</v>
      </c>
      <c r="AD245" s="6">
        <v>233.74</v>
      </c>
      <c r="AH245" t="s">
        <v>199</v>
      </c>
      <c r="AI245" s="5">
        <v>46082</v>
      </c>
      <c r="AJ245" t="s">
        <v>135</v>
      </c>
      <c r="AK245">
        <v>56</v>
      </c>
      <c r="AL245" s="6">
        <v>179.5</v>
      </c>
      <c r="AM245" s="6">
        <v>0</v>
      </c>
      <c r="AN245" s="6">
        <v>0</v>
      </c>
      <c r="AO245" s="6">
        <v>62.31</v>
      </c>
      <c r="AP245" s="6">
        <v>241.81</v>
      </c>
    </row>
    <row r="246" spans="2:42" ht="18.75">
      <c r="B246">
        <v>37</v>
      </c>
      <c r="C246" s="5">
        <v>45908</v>
      </c>
      <c r="D246" t="s">
        <v>119</v>
      </c>
      <c r="E246">
        <v>173</v>
      </c>
      <c r="F246" s="6">
        <v>662.64000000000101</v>
      </c>
      <c r="G246" s="6">
        <v>0</v>
      </c>
      <c r="H246" s="6">
        <v>3.97</v>
      </c>
      <c r="I246" s="6">
        <v>0</v>
      </c>
      <c r="J246" s="6">
        <v>662.64000000000101</v>
      </c>
      <c r="L246">
        <v>50</v>
      </c>
      <c r="M246" s="5">
        <v>45999</v>
      </c>
      <c r="N246" t="s">
        <v>171</v>
      </c>
      <c r="O246">
        <v>104</v>
      </c>
      <c r="P246" s="6">
        <v>639.52</v>
      </c>
      <c r="Q246" s="6">
        <v>0</v>
      </c>
      <c r="R246" s="6">
        <v>11.48</v>
      </c>
      <c r="S246" s="6">
        <v>87.66</v>
      </c>
      <c r="T246" s="6">
        <v>727.18</v>
      </c>
      <c r="V246">
        <v>16</v>
      </c>
      <c r="W246" s="5">
        <v>46125</v>
      </c>
      <c r="X246" t="s">
        <v>227</v>
      </c>
      <c r="Y246">
        <v>1</v>
      </c>
      <c r="Z246" s="6">
        <v>1.75</v>
      </c>
      <c r="AA246" s="6">
        <v>0</v>
      </c>
      <c r="AB246" s="6">
        <v>0</v>
      </c>
      <c r="AC246" s="6">
        <v>0</v>
      </c>
      <c r="AD246" s="6">
        <v>1.75</v>
      </c>
      <c r="AH246" t="s">
        <v>199</v>
      </c>
      <c r="AI246" s="5">
        <v>46082</v>
      </c>
      <c r="AJ246" t="s">
        <v>145</v>
      </c>
      <c r="AK246">
        <v>260</v>
      </c>
      <c r="AL246" s="6">
        <v>1627.85</v>
      </c>
      <c r="AM246" s="6">
        <v>0</v>
      </c>
      <c r="AN246" s="6">
        <v>0</v>
      </c>
      <c r="AO246" s="6">
        <v>26.38</v>
      </c>
      <c r="AP246" s="6">
        <v>1654.23</v>
      </c>
    </row>
    <row r="247" spans="2:42" ht="18.75">
      <c r="B247">
        <v>37</v>
      </c>
      <c r="C247" s="5">
        <v>45908</v>
      </c>
      <c r="D247" t="s">
        <v>219</v>
      </c>
      <c r="E247">
        <v>90</v>
      </c>
      <c r="F247" s="6">
        <v>465.6</v>
      </c>
      <c r="G247" s="6">
        <v>18.489999999999998</v>
      </c>
      <c r="H247" s="6">
        <v>2.7</v>
      </c>
      <c r="I247" s="6">
        <v>0</v>
      </c>
      <c r="J247" s="6">
        <v>447.11</v>
      </c>
      <c r="L247">
        <v>50</v>
      </c>
      <c r="M247" s="5">
        <v>45999</v>
      </c>
      <c r="N247" t="s">
        <v>176</v>
      </c>
      <c r="O247">
        <v>72</v>
      </c>
      <c r="P247" s="6">
        <v>151.54</v>
      </c>
      <c r="Q247" s="6">
        <v>0</v>
      </c>
      <c r="R247" s="6">
        <v>0</v>
      </c>
      <c r="S247" s="6">
        <v>12.12</v>
      </c>
      <c r="T247" s="6">
        <v>163.66</v>
      </c>
      <c r="V247">
        <v>16</v>
      </c>
      <c r="W247" s="5">
        <v>46125</v>
      </c>
      <c r="X247" t="s">
        <v>202</v>
      </c>
      <c r="Y247">
        <v>58</v>
      </c>
      <c r="Z247" s="6">
        <v>174</v>
      </c>
      <c r="AA247" s="6">
        <v>0</v>
      </c>
      <c r="AB247" s="6">
        <v>0</v>
      </c>
      <c r="AC247" s="6">
        <v>0</v>
      </c>
      <c r="AD247" s="6">
        <v>174</v>
      </c>
      <c r="AH247" t="s">
        <v>199</v>
      </c>
      <c r="AI247" s="5">
        <v>46082</v>
      </c>
      <c r="AJ247" t="s">
        <v>140</v>
      </c>
      <c r="AK247">
        <v>102</v>
      </c>
      <c r="AL247" s="6">
        <v>352.75</v>
      </c>
      <c r="AM247" s="6">
        <v>0</v>
      </c>
      <c r="AN247" s="6">
        <v>0</v>
      </c>
      <c r="AO247" s="6">
        <v>8.31</v>
      </c>
      <c r="AP247" s="6">
        <v>361.06</v>
      </c>
    </row>
    <row r="248" spans="2:42" ht="18.75">
      <c r="B248">
        <v>37</v>
      </c>
      <c r="C248" s="5">
        <v>45908</v>
      </c>
      <c r="D248" t="s">
        <v>136</v>
      </c>
      <c r="E248">
        <v>30</v>
      </c>
      <c r="F248" s="6">
        <v>76.709999999999994</v>
      </c>
      <c r="G248" s="6">
        <v>0</v>
      </c>
      <c r="H248" s="6">
        <v>2.88</v>
      </c>
      <c r="I248" s="6">
        <v>43.02</v>
      </c>
      <c r="J248" s="6">
        <v>119.73</v>
      </c>
      <c r="L248">
        <v>50</v>
      </c>
      <c r="M248" s="5">
        <v>45999</v>
      </c>
      <c r="N248" t="s">
        <v>170</v>
      </c>
      <c r="O248">
        <v>10</v>
      </c>
      <c r="P248" s="6">
        <v>34.56</v>
      </c>
      <c r="Q248" s="6">
        <v>0</v>
      </c>
      <c r="R248" s="6">
        <v>0</v>
      </c>
      <c r="S248" s="6">
        <v>1.44</v>
      </c>
      <c r="T248" s="6">
        <v>36</v>
      </c>
      <c r="V248">
        <v>15</v>
      </c>
      <c r="W248" s="5">
        <v>46118</v>
      </c>
      <c r="X248" t="s">
        <v>181</v>
      </c>
      <c r="Y248">
        <v>255</v>
      </c>
      <c r="Z248" s="6">
        <v>1491.55</v>
      </c>
      <c r="AA248" s="6">
        <v>0</v>
      </c>
      <c r="AB248" s="6">
        <v>203.42</v>
      </c>
      <c r="AC248" s="6">
        <v>188.94</v>
      </c>
      <c r="AD248" s="6">
        <v>1680.49</v>
      </c>
      <c r="AH248" t="s">
        <v>199</v>
      </c>
      <c r="AI248" s="5">
        <v>46082</v>
      </c>
      <c r="AJ248" t="s">
        <v>120</v>
      </c>
      <c r="AK248">
        <v>129</v>
      </c>
      <c r="AL248" s="6">
        <v>588.66</v>
      </c>
      <c r="AM248" s="6">
        <v>0</v>
      </c>
      <c r="AN248" s="6">
        <v>0</v>
      </c>
      <c r="AO248" s="6">
        <v>18.77</v>
      </c>
      <c r="AP248" s="6">
        <v>607.42999999999995</v>
      </c>
    </row>
    <row r="249" spans="2:42" ht="18.75">
      <c r="B249">
        <v>37</v>
      </c>
      <c r="C249" s="5">
        <v>45908</v>
      </c>
      <c r="D249" t="s">
        <v>123</v>
      </c>
      <c r="E249">
        <v>163</v>
      </c>
      <c r="F249" s="6">
        <v>650.21000000000095</v>
      </c>
      <c r="G249" s="6">
        <v>0</v>
      </c>
      <c r="H249" s="6">
        <v>1.79</v>
      </c>
      <c r="I249" s="6">
        <v>0</v>
      </c>
      <c r="J249" s="6">
        <v>650.21000000000095</v>
      </c>
      <c r="L249">
        <v>50</v>
      </c>
      <c r="M249" s="5">
        <v>45999</v>
      </c>
      <c r="N249" t="s">
        <v>175</v>
      </c>
      <c r="O249">
        <v>71</v>
      </c>
      <c r="P249" s="6">
        <v>208.51</v>
      </c>
      <c r="Q249" s="6">
        <v>6.75</v>
      </c>
      <c r="R249" s="6">
        <v>21.07</v>
      </c>
      <c r="S249" s="6">
        <v>29.57</v>
      </c>
      <c r="T249" s="6">
        <v>231.33</v>
      </c>
      <c r="V249">
        <v>15</v>
      </c>
      <c r="W249" s="5">
        <v>46118</v>
      </c>
      <c r="X249" t="s">
        <v>184</v>
      </c>
      <c r="Y249">
        <v>341</v>
      </c>
      <c r="Z249" s="6">
        <v>720.150000000001</v>
      </c>
      <c r="AA249" s="6">
        <v>0</v>
      </c>
      <c r="AB249" s="6">
        <v>0</v>
      </c>
      <c r="AC249" s="6">
        <v>95.85</v>
      </c>
      <c r="AD249" s="6">
        <v>816.00000000000102</v>
      </c>
      <c r="AH249" t="s">
        <v>199</v>
      </c>
      <c r="AI249" s="5">
        <v>46082</v>
      </c>
      <c r="AJ249" t="s">
        <v>126</v>
      </c>
      <c r="AK249">
        <v>274</v>
      </c>
      <c r="AL249" s="6">
        <v>1105.8</v>
      </c>
      <c r="AM249" s="6">
        <v>0</v>
      </c>
      <c r="AN249" s="6">
        <v>0</v>
      </c>
      <c r="AO249" s="6">
        <v>33.78</v>
      </c>
      <c r="AP249" s="6">
        <v>1139.58</v>
      </c>
    </row>
    <row r="250" spans="2:42" ht="18.75">
      <c r="B250">
        <v>37</v>
      </c>
      <c r="C250" s="5">
        <v>45908</v>
      </c>
      <c r="D250" t="s">
        <v>133</v>
      </c>
      <c r="E250">
        <v>123</v>
      </c>
      <c r="F250" s="6">
        <v>573.37</v>
      </c>
      <c r="G250" s="6">
        <v>0</v>
      </c>
      <c r="H250" s="6">
        <v>19.95</v>
      </c>
      <c r="I250" s="6">
        <v>0</v>
      </c>
      <c r="J250" s="6">
        <v>573.37</v>
      </c>
      <c r="L250">
        <v>50</v>
      </c>
      <c r="M250" s="5">
        <v>45999</v>
      </c>
      <c r="N250" t="s">
        <v>164</v>
      </c>
      <c r="O250">
        <v>7</v>
      </c>
      <c r="P250" s="6">
        <v>26.25</v>
      </c>
      <c r="Q250" s="6">
        <v>0</v>
      </c>
      <c r="R250" s="6">
        <v>0</v>
      </c>
      <c r="S250" s="6">
        <v>0</v>
      </c>
      <c r="T250" s="6">
        <v>26.25</v>
      </c>
      <c r="V250">
        <v>15</v>
      </c>
      <c r="W250" s="5">
        <v>46118</v>
      </c>
      <c r="X250" t="s">
        <v>179</v>
      </c>
      <c r="Y250">
        <v>587</v>
      </c>
      <c r="Z250" s="6">
        <v>3285.1799999999798</v>
      </c>
      <c r="AA250" s="6">
        <v>0</v>
      </c>
      <c r="AB250" s="6">
        <v>99.699999999999903</v>
      </c>
      <c r="AC250" s="6">
        <v>142.56</v>
      </c>
      <c r="AD250" s="6">
        <v>3427.7399999999798</v>
      </c>
      <c r="AH250" t="s">
        <v>199</v>
      </c>
      <c r="AI250" s="5">
        <v>46082</v>
      </c>
      <c r="AJ250" t="s">
        <v>116</v>
      </c>
      <c r="AK250">
        <v>152</v>
      </c>
      <c r="AL250" s="6">
        <v>544.92999999999995</v>
      </c>
      <c r="AM250" s="6">
        <v>0</v>
      </c>
      <c r="AN250" s="6">
        <v>0</v>
      </c>
      <c r="AO250" s="6">
        <v>8.33</v>
      </c>
      <c r="AP250" s="6">
        <v>553.26</v>
      </c>
    </row>
    <row r="251" spans="2:42" ht="18.75">
      <c r="B251">
        <v>37</v>
      </c>
      <c r="C251" s="5">
        <v>45908</v>
      </c>
      <c r="D251" t="s">
        <v>129</v>
      </c>
      <c r="E251">
        <v>135</v>
      </c>
      <c r="F251" s="6">
        <v>6.75</v>
      </c>
      <c r="G251" s="6">
        <v>0</v>
      </c>
      <c r="H251" s="6">
        <v>0</v>
      </c>
      <c r="I251" s="6">
        <v>587.97</v>
      </c>
      <c r="J251" s="6">
        <v>594.72</v>
      </c>
      <c r="L251">
        <v>50</v>
      </c>
      <c r="M251" s="5">
        <v>45999</v>
      </c>
      <c r="N251" t="s">
        <v>172</v>
      </c>
      <c r="O251">
        <v>33</v>
      </c>
      <c r="P251" s="6">
        <v>102.4</v>
      </c>
      <c r="Q251" s="6">
        <v>0</v>
      </c>
      <c r="R251" s="6">
        <v>0</v>
      </c>
      <c r="S251" s="6">
        <v>3.2</v>
      </c>
      <c r="T251" s="6">
        <v>105.6</v>
      </c>
      <c r="V251">
        <v>15</v>
      </c>
      <c r="W251" s="5">
        <v>46118</v>
      </c>
      <c r="X251" t="s">
        <v>178</v>
      </c>
      <c r="Y251">
        <v>281</v>
      </c>
      <c r="Z251" s="6">
        <v>2568.0800000000099</v>
      </c>
      <c r="AA251" s="6">
        <v>0</v>
      </c>
      <c r="AB251" s="6">
        <v>66.569999999999993</v>
      </c>
      <c r="AC251" s="6">
        <v>68.959999999999994</v>
      </c>
      <c r="AD251" s="6">
        <v>2637.04000000001</v>
      </c>
      <c r="AH251" t="s">
        <v>199</v>
      </c>
      <c r="AI251" s="5">
        <v>46082</v>
      </c>
      <c r="AJ251" t="s">
        <v>150</v>
      </c>
      <c r="AK251">
        <v>84</v>
      </c>
      <c r="AL251" s="6">
        <v>494.05</v>
      </c>
      <c r="AM251" s="6">
        <v>0</v>
      </c>
      <c r="AN251" s="6">
        <v>0</v>
      </c>
      <c r="AO251" s="6">
        <v>7.29</v>
      </c>
      <c r="AP251" s="6">
        <v>501.34</v>
      </c>
    </row>
    <row r="252" spans="2:42" ht="18.75">
      <c r="B252">
        <v>37</v>
      </c>
      <c r="C252" s="5">
        <v>45908</v>
      </c>
      <c r="D252" t="s">
        <v>134</v>
      </c>
      <c r="E252">
        <v>103</v>
      </c>
      <c r="F252" s="6">
        <v>497.57</v>
      </c>
      <c r="G252" s="6">
        <v>0</v>
      </c>
      <c r="H252" s="6">
        <v>3.29</v>
      </c>
      <c r="I252" s="6">
        <v>15.32</v>
      </c>
      <c r="J252" s="6">
        <v>512.89</v>
      </c>
      <c r="L252">
        <v>50</v>
      </c>
      <c r="M252" s="5">
        <v>45999</v>
      </c>
      <c r="N252" t="s">
        <v>204</v>
      </c>
      <c r="O252">
        <v>2</v>
      </c>
      <c r="P252" s="6">
        <v>5</v>
      </c>
      <c r="Q252" s="6">
        <v>0</v>
      </c>
      <c r="R252" s="6">
        <v>0</v>
      </c>
      <c r="S252" s="6">
        <v>0</v>
      </c>
      <c r="T252" s="6">
        <v>5</v>
      </c>
      <c r="V252">
        <v>15</v>
      </c>
      <c r="W252" s="5">
        <v>46118</v>
      </c>
      <c r="X252" t="s">
        <v>182</v>
      </c>
      <c r="Y252">
        <v>942</v>
      </c>
      <c r="Z252" s="6">
        <v>2352.81</v>
      </c>
      <c r="AA252" s="6">
        <v>0</v>
      </c>
      <c r="AB252" s="6">
        <v>25.9</v>
      </c>
      <c r="AC252" s="6">
        <v>77.36</v>
      </c>
      <c r="AD252" s="6">
        <v>2430.17</v>
      </c>
      <c r="AH252" t="s">
        <v>199</v>
      </c>
      <c r="AI252" s="5">
        <v>46082</v>
      </c>
      <c r="AJ252" t="s">
        <v>113</v>
      </c>
      <c r="AK252">
        <v>357</v>
      </c>
      <c r="AL252" s="6">
        <v>1158.2</v>
      </c>
      <c r="AM252" s="6">
        <v>0</v>
      </c>
      <c r="AN252" s="6">
        <v>0</v>
      </c>
      <c r="AO252" s="6">
        <v>30.47</v>
      </c>
      <c r="AP252" s="6">
        <v>1188.67</v>
      </c>
    </row>
    <row r="253" spans="2:42" ht="18.75">
      <c r="B253">
        <v>37</v>
      </c>
      <c r="C253" s="5">
        <v>45908</v>
      </c>
      <c r="D253" t="s">
        <v>117</v>
      </c>
      <c r="E253">
        <v>72</v>
      </c>
      <c r="F253" s="6">
        <v>329.78</v>
      </c>
      <c r="G253" s="6">
        <v>0</v>
      </c>
      <c r="H253" s="6">
        <v>26.09</v>
      </c>
      <c r="I253" s="6">
        <v>0</v>
      </c>
      <c r="J253" s="6">
        <v>329.78</v>
      </c>
      <c r="L253">
        <v>51</v>
      </c>
      <c r="M253" s="5">
        <v>46006</v>
      </c>
      <c r="N253" t="s">
        <v>171</v>
      </c>
      <c r="O253">
        <v>173</v>
      </c>
      <c r="P253" s="6">
        <v>1129.06</v>
      </c>
      <c r="Q253" s="6">
        <v>0</v>
      </c>
      <c r="R253" s="6">
        <v>19.28</v>
      </c>
      <c r="S253" s="6">
        <v>155.44999999999999</v>
      </c>
      <c r="T253" s="6">
        <v>1284.51</v>
      </c>
      <c r="V253">
        <v>15</v>
      </c>
      <c r="W253" s="5">
        <v>46118</v>
      </c>
      <c r="X253" t="s">
        <v>185</v>
      </c>
      <c r="Y253">
        <v>220</v>
      </c>
      <c r="Z253" s="6">
        <v>1046.47</v>
      </c>
      <c r="AA253" s="6">
        <v>0</v>
      </c>
      <c r="AB253" s="6">
        <v>5.45</v>
      </c>
      <c r="AC253" s="6">
        <v>66.8</v>
      </c>
      <c r="AD253" s="6">
        <v>1113.27</v>
      </c>
      <c r="AH253" t="s">
        <v>199</v>
      </c>
      <c r="AI253" s="5">
        <v>46082</v>
      </c>
      <c r="AJ253" t="s">
        <v>137</v>
      </c>
      <c r="AK253">
        <v>63</v>
      </c>
      <c r="AL253" s="6">
        <v>206.2</v>
      </c>
      <c r="AM253" s="6">
        <v>0</v>
      </c>
      <c r="AN253" s="6">
        <v>0</v>
      </c>
      <c r="AO253" s="6">
        <v>148.4</v>
      </c>
      <c r="AP253" s="6">
        <v>354.6</v>
      </c>
    </row>
    <row r="254" spans="2:42" ht="18.75">
      <c r="B254">
        <v>37</v>
      </c>
      <c r="C254" s="5">
        <v>45908</v>
      </c>
      <c r="D254" t="s">
        <v>149</v>
      </c>
      <c r="E254">
        <v>55</v>
      </c>
      <c r="F254" s="6">
        <v>173.73</v>
      </c>
      <c r="G254" s="6">
        <v>6.3</v>
      </c>
      <c r="H254" s="6">
        <v>9.65</v>
      </c>
      <c r="I254" s="6">
        <v>0</v>
      </c>
      <c r="J254" s="6">
        <v>167.43</v>
      </c>
      <c r="L254">
        <v>51</v>
      </c>
      <c r="M254" s="5">
        <v>46006</v>
      </c>
      <c r="N254" t="s">
        <v>158</v>
      </c>
      <c r="O254">
        <v>115</v>
      </c>
      <c r="P254" s="6">
        <v>694.82999999999902</v>
      </c>
      <c r="Q254" s="6">
        <v>0</v>
      </c>
      <c r="R254" s="6">
        <v>9.81</v>
      </c>
      <c r="S254" s="6">
        <v>19.86</v>
      </c>
      <c r="T254" s="6">
        <v>714.68999999999903</v>
      </c>
      <c r="V254">
        <v>15</v>
      </c>
      <c r="W254" s="5">
        <v>46118</v>
      </c>
      <c r="X254" t="s">
        <v>180</v>
      </c>
      <c r="Y254">
        <v>29</v>
      </c>
      <c r="Z254" s="6">
        <v>245.63</v>
      </c>
      <c r="AA254" s="6">
        <v>0</v>
      </c>
      <c r="AB254" s="6">
        <v>0</v>
      </c>
      <c r="AC254" s="6">
        <v>15.74</v>
      </c>
      <c r="AD254" s="6">
        <v>261.37</v>
      </c>
      <c r="AH254" t="s">
        <v>199</v>
      </c>
      <c r="AI254" s="5">
        <v>46082</v>
      </c>
      <c r="AJ254" t="s">
        <v>125</v>
      </c>
      <c r="AK254">
        <v>76</v>
      </c>
      <c r="AL254" s="6">
        <v>333.38</v>
      </c>
      <c r="AM254" s="6">
        <v>0</v>
      </c>
      <c r="AN254" s="6">
        <v>0</v>
      </c>
      <c r="AO254" s="6">
        <v>16.96</v>
      </c>
      <c r="AP254" s="6">
        <v>350.34</v>
      </c>
    </row>
    <row r="255" spans="2:42" ht="18.75">
      <c r="B255">
        <v>37</v>
      </c>
      <c r="C255" s="5">
        <v>45908</v>
      </c>
      <c r="D255" t="s">
        <v>128</v>
      </c>
      <c r="E255">
        <v>52</v>
      </c>
      <c r="F255" s="6">
        <v>256.35000000000002</v>
      </c>
      <c r="G255" s="6">
        <v>0</v>
      </c>
      <c r="H255" s="6">
        <v>6.39</v>
      </c>
      <c r="I255" s="6">
        <v>0</v>
      </c>
      <c r="J255" s="6">
        <v>256.35000000000002</v>
      </c>
      <c r="L255">
        <v>51</v>
      </c>
      <c r="M255" s="5">
        <v>46006</v>
      </c>
      <c r="N255" t="s">
        <v>169</v>
      </c>
      <c r="O255">
        <v>982</v>
      </c>
      <c r="P255" s="6">
        <v>2611.0599999999899</v>
      </c>
      <c r="Q255" s="6">
        <v>0</v>
      </c>
      <c r="R255" s="6">
        <v>23.85</v>
      </c>
      <c r="S255" s="6">
        <v>92.6</v>
      </c>
      <c r="T255" s="6">
        <v>2703.6599999999899</v>
      </c>
      <c r="V255">
        <v>15</v>
      </c>
      <c r="W255" s="5">
        <v>46118</v>
      </c>
      <c r="X255" t="s">
        <v>183</v>
      </c>
      <c r="Y255">
        <v>360</v>
      </c>
      <c r="Z255" s="6">
        <v>780.27000000000203</v>
      </c>
      <c r="AA255" s="6">
        <v>0</v>
      </c>
      <c r="AB255" s="6">
        <v>4.5</v>
      </c>
      <c r="AC255" s="6">
        <v>50.01</v>
      </c>
      <c r="AD255" s="6">
        <v>830.28000000000202</v>
      </c>
      <c r="AH255" t="s">
        <v>199</v>
      </c>
      <c r="AI255" s="5">
        <v>46082</v>
      </c>
      <c r="AK255">
        <v>3</v>
      </c>
      <c r="AL255" s="6">
        <v>0</v>
      </c>
      <c r="AM255" s="6">
        <v>0</v>
      </c>
      <c r="AN255" s="6">
        <v>0</v>
      </c>
      <c r="AO255" s="6">
        <v>6.3</v>
      </c>
      <c r="AP255" s="6">
        <v>6.3</v>
      </c>
    </row>
    <row r="256" spans="2:42" ht="18.75">
      <c r="B256">
        <v>37</v>
      </c>
      <c r="C256" s="5">
        <v>45908</v>
      </c>
      <c r="D256" t="s">
        <v>111</v>
      </c>
      <c r="E256">
        <v>87</v>
      </c>
      <c r="F256" s="6">
        <v>364.88</v>
      </c>
      <c r="G256" s="6">
        <v>0</v>
      </c>
      <c r="H256" s="6">
        <v>8.42</v>
      </c>
      <c r="I256" s="6">
        <v>0</v>
      </c>
      <c r="J256" s="6">
        <v>364.88</v>
      </c>
      <c r="L256">
        <v>51</v>
      </c>
      <c r="M256" s="5">
        <v>46006</v>
      </c>
      <c r="N256" t="s">
        <v>160</v>
      </c>
      <c r="O256">
        <v>836</v>
      </c>
      <c r="P256" s="6">
        <v>5649.7899999999399</v>
      </c>
      <c r="Q256" s="6">
        <v>9.9</v>
      </c>
      <c r="R256" s="6">
        <v>150.41</v>
      </c>
      <c r="S256" s="6">
        <v>173.3</v>
      </c>
      <c r="T256" s="6">
        <v>5813.1899999999396</v>
      </c>
      <c r="V256">
        <v>15</v>
      </c>
      <c r="W256" s="5">
        <v>46118</v>
      </c>
      <c r="X256" t="s">
        <v>233</v>
      </c>
      <c r="Y256">
        <v>3</v>
      </c>
      <c r="Z256" s="6">
        <v>9</v>
      </c>
      <c r="AA256" s="6">
        <v>0</v>
      </c>
      <c r="AB256" s="6">
        <v>0</v>
      </c>
      <c r="AC256" s="6">
        <v>0</v>
      </c>
      <c r="AD256" s="6">
        <v>9</v>
      </c>
      <c r="AH256" t="s">
        <v>200</v>
      </c>
      <c r="AI256" s="5">
        <v>46113</v>
      </c>
      <c r="AJ256" t="s">
        <v>151</v>
      </c>
      <c r="AK256">
        <v>864</v>
      </c>
      <c r="AL256" s="6">
        <v>4303.6099999999897</v>
      </c>
      <c r="AM256" s="6">
        <v>0</v>
      </c>
      <c r="AN256" s="6">
        <v>0</v>
      </c>
      <c r="AO256" s="6">
        <v>79.83</v>
      </c>
      <c r="AP256" s="6">
        <v>4383.4399999999896</v>
      </c>
    </row>
    <row r="257" spans="2:42" ht="18.75">
      <c r="B257">
        <v>37</v>
      </c>
      <c r="C257" s="5">
        <v>45908</v>
      </c>
      <c r="D257" t="s">
        <v>135</v>
      </c>
      <c r="E257">
        <v>20</v>
      </c>
      <c r="F257" s="6">
        <v>53.38</v>
      </c>
      <c r="G257" s="6">
        <v>0</v>
      </c>
      <c r="H257" s="6">
        <v>3.94</v>
      </c>
      <c r="I257" s="6">
        <v>12.18</v>
      </c>
      <c r="J257" s="6">
        <v>65.56</v>
      </c>
      <c r="L257">
        <v>51</v>
      </c>
      <c r="M257" s="5">
        <v>46006</v>
      </c>
      <c r="N257" t="s">
        <v>168</v>
      </c>
      <c r="O257">
        <v>318</v>
      </c>
      <c r="P257" s="6">
        <v>584.39</v>
      </c>
      <c r="Q257" s="6">
        <v>1.5</v>
      </c>
      <c r="R257" s="6">
        <v>0</v>
      </c>
      <c r="S257" s="6">
        <v>95.11</v>
      </c>
      <c r="T257" s="6">
        <v>678</v>
      </c>
      <c r="V257">
        <v>15</v>
      </c>
      <c r="W257" s="5">
        <v>46118</v>
      </c>
      <c r="X257" t="s">
        <v>227</v>
      </c>
      <c r="Y257">
        <v>1</v>
      </c>
      <c r="Z257" s="6">
        <v>1.75</v>
      </c>
      <c r="AA257" s="6">
        <v>0</v>
      </c>
      <c r="AB257" s="6">
        <v>0</v>
      </c>
      <c r="AC257" s="6">
        <v>0</v>
      </c>
      <c r="AD257" s="6">
        <v>1.75</v>
      </c>
      <c r="AH257" t="s">
        <v>200</v>
      </c>
      <c r="AI257" s="5">
        <v>46113</v>
      </c>
      <c r="AJ257" t="s">
        <v>137</v>
      </c>
      <c r="AK257">
        <v>62</v>
      </c>
      <c r="AL257" s="6">
        <v>193</v>
      </c>
      <c r="AM257" s="6">
        <v>0</v>
      </c>
      <c r="AN257" s="6">
        <v>0</v>
      </c>
      <c r="AO257" s="6">
        <v>133.25</v>
      </c>
      <c r="AP257" s="6">
        <v>326.25</v>
      </c>
    </row>
    <row r="258" spans="2:42" ht="18.75">
      <c r="B258">
        <v>37</v>
      </c>
      <c r="C258" s="5">
        <v>45908</v>
      </c>
      <c r="D258" t="s">
        <v>140</v>
      </c>
      <c r="E258">
        <v>24</v>
      </c>
      <c r="F258" s="6">
        <v>81.42</v>
      </c>
      <c r="G258" s="6">
        <v>0</v>
      </c>
      <c r="H258" s="6">
        <v>0</v>
      </c>
      <c r="I258" s="6">
        <v>0</v>
      </c>
      <c r="J258" s="6">
        <v>81.42</v>
      </c>
      <c r="L258">
        <v>51</v>
      </c>
      <c r="M258" s="5">
        <v>46006</v>
      </c>
      <c r="N258" t="s">
        <v>173</v>
      </c>
      <c r="O258">
        <v>213</v>
      </c>
      <c r="P258" s="6">
        <v>1044.4100000000001</v>
      </c>
      <c r="Q258" s="6">
        <v>4.95</v>
      </c>
      <c r="R258" s="6">
        <v>0</v>
      </c>
      <c r="S258" s="6">
        <v>49.92</v>
      </c>
      <c r="T258" s="6">
        <v>1089.3800000000001</v>
      </c>
      <c r="V258">
        <v>17</v>
      </c>
      <c r="W258" s="5">
        <v>46132</v>
      </c>
      <c r="X258" t="s">
        <v>179</v>
      </c>
      <c r="Y258">
        <v>871</v>
      </c>
      <c r="Z258" s="6">
        <v>4813.9699999999502</v>
      </c>
      <c r="AA258" s="6">
        <v>10.57</v>
      </c>
      <c r="AB258" s="6">
        <v>141.53</v>
      </c>
      <c r="AC258" s="6">
        <v>208.54</v>
      </c>
      <c r="AD258" s="6">
        <v>5011.9399999999496</v>
      </c>
      <c r="AH258" t="s">
        <v>200</v>
      </c>
      <c r="AI258" s="5">
        <v>46113</v>
      </c>
      <c r="AJ258" t="s">
        <v>111</v>
      </c>
      <c r="AK258">
        <v>202</v>
      </c>
      <c r="AL258" s="6">
        <v>767.83</v>
      </c>
      <c r="AM258" s="6">
        <v>0</v>
      </c>
      <c r="AN258" s="6">
        <v>0</v>
      </c>
      <c r="AO258" s="6">
        <v>15.9</v>
      </c>
      <c r="AP258" s="6">
        <v>783.73</v>
      </c>
    </row>
    <row r="259" spans="2:42" ht="18.75">
      <c r="B259">
        <v>37</v>
      </c>
      <c r="C259" s="5">
        <v>45908</v>
      </c>
      <c r="D259" t="s">
        <v>138</v>
      </c>
      <c r="E259">
        <v>136</v>
      </c>
      <c r="F259" s="6">
        <v>751.46000000000095</v>
      </c>
      <c r="G259" s="6">
        <v>0</v>
      </c>
      <c r="H259" s="6">
        <v>11.64</v>
      </c>
      <c r="I259" s="6">
        <v>0</v>
      </c>
      <c r="J259" s="6">
        <v>751.46000000000095</v>
      </c>
      <c r="L259">
        <v>51</v>
      </c>
      <c r="M259" s="5">
        <v>46006</v>
      </c>
      <c r="N259" t="s">
        <v>165</v>
      </c>
      <c r="O259">
        <v>69</v>
      </c>
      <c r="P259" s="6">
        <v>551.32000000000005</v>
      </c>
      <c r="Q259" s="6">
        <v>0</v>
      </c>
      <c r="R259" s="6">
        <v>0</v>
      </c>
      <c r="S259" s="6">
        <v>70.81</v>
      </c>
      <c r="T259" s="6">
        <v>622.13</v>
      </c>
      <c r="V259">
        <v>17</v>
      </c>
      <c r="W259" s="5">
        <v>46132</v>
      </c>
      <c r="X259" t="s">
        <v>182</v>
      </c>
      <c r="Y259">
        <v>1229</v>
      </c>
      <c r="Z259" s="6">
        <v>3024.8000000000102</v>
      </c>
      <c r="AA259" s="6">
        <v>0</v>
      </c>
      <c r="AB259" s="6">
        <v>26.86</v>
      </c>
      <c r="AC259" s="6">
        <v>111.09</v>
      </c>
      <c r="AD259" s="6">
        <v>3135.8900000000099</v>
      </c>
      <c r="AH259" t="s">
        <v>200</v>
      </c>
      <c r="AI259" s="5">
        <v>46113</v>
      </c>
      <c r="AJ259" t="s">
        <v>122</v>
      </c>
      <c r="AK259">
        <v>306</v>
      </c>
      <c r="AL259" s="6">
        <v>1475.55</v>
      </c>
      <c r="AM259" s="6">
        <v>6.3</v>
      </c>
      <c r="AN259" s="6">
        <v>0</v>
      </c>
      <c r="AO259" s="6">
        <v>44.29</v>
      </c>
      <c r="AP259" s="6">
        <v>1513.54</v>
      </c>
    </row>
    <row r="260" spans="2:42" ht="18.75">
      <c r="B260">
        <v>37</v>
      </c>
      <c r="C260" s="5">
        <v>45908</v>
      </c>
      <c r="D260" t="s">
        <v>114</v>
      </c>
      <c r="E260">
        <v>66</v>
      </c>
      <c r="F260" s="6">
        <v>242.33</v>
      </c>
      <c r="G260" s="6">
        <v>0</v>
      </c>
      <c r="H260" s="6">
        <v>4.6100000000000003</v>
      </c>
      <c r="I260" s="6">
        <v>82.54</v>
      </c>
      <c r="J260" s="6">
        <v>324.87</v>
      </c>
      <c r="L260">
        <v>51</v>
      </c>
      <c r="M260" s="5">
        <v>46006</v>
      </c>
      <c r="N260" t="s">
        <v>174</v>
      </c>
      <c r="O260">
        <v>82</v>
      </c>
      <c r="P260" s="6">
        <v>540.48</v>
      </c>
      <c r="Q260" s="6">
        <v>0</v>
      </c>
      <c r="R260" s="6">
        <v>11.76</v>
      </c>
      <c r="S260" s="6">
        <v>58.14</v>
      </c>
      <c r="T260" s="6">
        <v>598.62</v>
      </c>
      <c r="V260">
        <v>17</v>
      </c>
      <c r="W260" s="5">
        <v>46132</v>
      </c>
      <c r="X260" t="s">
        <v>181</v>
      </c>
      <c r="Y260">
        <v>336</v>
      </c>
      <c r="Z260" s="6">
        <v>2281.94</v>
      </c>
      <c r="AA260" s="6">
        <v>0</v>
      </c>
      <c r="AB260" s="6">
        <v>275.75</v>
      </c>
      <c r="AC260" s="6">
        <v>274.23</v>
      </c>
      <c r="AD260" s="6">
        <v>2556.17</v>
      </c>
      <c r="AH260" t="s">
        <v>200</v>
      </c>
      <c r="AI260" s="5">
        <v>46113</v>
      </c>
      <c r="AJ260" t="s">
        <v>121</v>
      </c>
      <c r="AK260">
        <v>368</v>
      </c>
      <c r="AL260" s="6">
        <v>1181.52</v>
      </c>
      <c r="AM260" s="6">
        <v>0</v>
      </c>
      <c r="AN260" s="6">
        <v>0</v>
      </c>
      <c r="AO260" s="6">
        <v>59.21</v>
      </c>
      <c r="AP260" s="6">
        <v>1240.73</v>
      </c>
    </row>
    <row r="261" spans="2:42" ht="18.75">
      <c r="B261">
        <v>37</v>
      </c>
      <c r="C261" s="5">
        <v>45908</v>
      </c>
      <c r="D261" t="s">
        <v>122</v>
      </c>
      <c r="E261">
        <v>78</v>
      </c>
      <c r="F261" s="6">
        <v>382.69</v>
      </c>
      <c r="G261" s="6">
        <v>0</v>
      </c>
      <c r="H261" s="6">
        <v>12.01</v>
      </c>
      <c r="I261" s="6">
        <v>0</v>
      </c>
      <c r="J261" s="6">
        <v>382.69</v>
      </c>
      <c r="L261">
        <v>51</v>
      </c>
      <c r="M261" s="5">
        <v>46006</v>
      </c>
      <c r="N261" t="s">
        <v>175</v>
      </c>
      <c r="O261">
        <v>56</v>
      </c>
      <c r="P261" s="6">
        <v>157.99</v>
      </c>
      <c r="Q261" s="6">
        <v>0</v>
      </c>
      <c r="R261" s="6">
        <v>28.36</v>
      </c>
      <c r="S261" s="6">
        <v>18.05</v>
      </c>
      <c r="T261" s="6">
        <v>176.04</v>
      </c>
      <c r="V261">
        <v>17</v>
      </c>
      <c r="W261" s="5">
        <v>46132</v>
      </c>
      <c r="X261" t="s">
        <v>178</v>
      </c>
      <c r="Y261">
        <v>343</v>
      </c>
      <c r="Z261" s="6">
        <v>3258.02</v>
      </c>
      <c r="AA261" s="6">
        <v>0</v>
      </c>
      <c r="AB261" s="6">
        <v>58.26</v>
      </c>
      <c r="AC261" s="6">
        <v>70.42</v>
      </c>
      <c r="AD261" s="6">
        <v>3328.44</v>
      </c>
      <c r="AH261" t="s">
        <v>200</v>
      </c>
      <c r="AI261" s="5">
        <v>46113</v>
      </c>
      <c r="AJ261" t="s">
        <v>113</v>
      </c>
      <c r="AK261">
        <v>346</v>
      </c>
      <c r="AL261" s="6">
        <v>1234.01</v>
      </c>
      <c r="AM261" s="6">
        <v>6.8</v>
      </c>
      <c r="AN261" s="6">
        <v>0</v>
      </c>
      <c r="AO261" s="6">
        <v>32.909999999999997</v>
      </c>
      <c r="AP261" s="6">
        <v>1260.1199999999999</v>
      </c>
    </row>
    <row r="262" spans="2:42" ht="18.75">
      <c r="B262">
        <v>37</v>
      </c>
      <c r="C262" s="5">
        <v>45908</v>
      </c>
      <c r="D262" t="s">
        <v>127</v>
      </c>
      <c r="E262">
        <v>71</v>
      </c>
      <c r="F262" s="6">
        <v>366.69</v>
      </c>
      <c r="G262" s="6">
        <v>0</v>
      </c>
      <c r="H262" s="6">
        <v>3.59</v>
      </c>
      <c r="I262" s="6">
        <v>0</v>
      </c>
      <c r="J262" s="6">
        <v>366.69</v>
      </c>
      <c r="L262">
        <v>51</v>
      </c>
      <c r="M262" s="5">
        <v>46006</v>
      </c>
      <c r="N262" t="s">
        <v>163</v>
      </c>
      <c r="O262">
        <v>217</v>
      </c>
      <c r="P262" s="6">
        <v>424.1</v>
      </c>
      <c r="Q262" s="6">
        <v>0</v>
      </c>
      <c r="R262" s="6">
        <v>0</v>
      </c>
      <c r="S262" s="6">
        <v>12.9</v>
      </c>
      <c r="T262" s="6">
        <v>437</v>
      </c>
      <c r="V262">
        <v>17</v>
      </c>
      <c r="W262" s="5">
        <v>46132</v>
      </c>
      <c r="X262" t="s">
        <v>185</v>
      </c>
      <c r="Y262">
        <v>290</v>
      </c>
      <c r="Z262" s="6">
        <v>1385.78000000001</v>
      </c>
      <c r="AA262" s="6">
        <v>0</v>
      </c>
      <c r="AB262" s="6">
        <v>0</v>
      </c>
      <c r="AC262" s="6">
        <v>92.42</v>
      </c>
      <c r="AD262" s="6">
        <v>1478.20000000001</v>
      </c>
      <c r="AH262" t="s">
        <v>200</v>
      </c>
      <c r="AI262" s="5">
        <v>46113</v>
      </c>
      <c r="AJ262" t="s">
        <v>114</v>
      </c>
      <c r="AK262">
        <v>352</v>
      </c>
      <c r="AL262" s="6">
        <v>1480.07</v>
      </c>
      <c r="AM262" s="6">
        <v>0</v>
      </c>
      <c r="AN262" s="6">
        <v>0</v>
      </c>
      <c r="AO262" s="6">
        <v>568.22000000000105</v>
      </c>
      <c r="AP262" s="6">
        <v>2048.29</v>
      </c>
    </row>
    <row r="263" spans="2:42" ht="18.75">
      <c r="B263">
        <v>37</v>
      </c>
      <c r="C263" s="5">
        <v>45908</v>
      </c>
      <c r="D263" t="s">
        <v>132</v>
      </c>
      <c r="E263">
        <v>72</v>
      </c>
      <c r="F263" s="6">
        <v>230.42</v>
      </c>
      <c r="G263" s="6">
        <v>5.95</v>
      </c>
      <c r="H263" s="6">
        <v>3.6</v>
      </c>
      <c r="I263" s="6">
        <v>0</v>
      </c>
      <c r="J263" s="6">
        <v>224.47</v>
      </c>
      <c r="L263">
        <v>51</v>
      </c>
      <c r="M263" s="5">
        <v>46006</v>
      </c>
      <c r="N263" t="s">
        <v>176</v>
      </c>
      <c r="O263">
        <v>100</v>
      </c>
      <c r="P263" s="6">
        <v>191.41</v>
      </c>
      <c r="Q263" s="6">
        <v>0</v>
      </c>
      <c r="R263" s="6">
        <v>0</v>
      </c>
      <c r="S263" s="6">
        <v>34.57</v>
      </c>
      <c r="T263" s="6">
        <v>225.98</v>
      </c>
      <c r="V263">
        <v>17</v>
      </c>
      <c r="W263" s="5">
        <v>46132</v>
      </c>
      <c r="X263" t="s">
        <v>184</v>
      </c>
      <c r="Y263">
        <v>411</v>
      </c>
      <c r="Z263" s="6">
        <v>890.68000000000097</v>
      </c>
      <c r="AA263" s="6">
        <v>0</v>
      </c>
      <c r="AB263" s="6">
        <v>0</v>
      </c>
      <c r="AC263" s="6">
        <v>92.2</v>
      </c>
      <c r="AD263" s="6">
        <v>982.88000000000102</v>
      </c>
      <c r="AH263" t="s">
        <v>200</v>
      </c>
      <c r="AI263" s="5">
        <v>46113</v>
      </c>
      <c r="AJ263" t="s">
        <v>141</v>
      </c>
      <c r="AK263">
        <v>1019</v>
      </c>
      <c r="AL263" s="6">
        <v>3641.82</v>
      </c>
      <c r="AM263" s="6">
        <v>0</v>
      </c>
      <c r="AN263" s="6">
        <v>0</v>
      </c>
      <c r="AO263" s="6">
        <v>51.27</v>
      </c>
      <c r="AP263" s="6">
        <v>3693.09</v>
      </c>
    </row>
    <row r="264" spans="2:42" ht="18.75">
      <c r="B264">
        <v>37</v>
      </c>
      <c r="C264" s="5">
        <v>45908</v>
      </c>
      <c r="D264" t="s">
        <v>121</v>
      </c>
      <c r="E264">
        <v>33</v>
      </c>
      <c r="F264" s="6">
        <v>90.3</v>
      </c>
      <c r="G264" s="6">
        <v>0</v>
      </c>
      <c r="H264" s="6">
        <v>4.53</v>
      </c>
      <c r="I264" s="6">
        <v>0</v>
      </c>
      <c r="J264" s="6">
        <v>90.3</v>
      </c>
      <c r="L264">
        <v>51</v>
      </c>
      <c r="M264" s="5">
        <v>46006</v>
      </c>
      <c r="N264" t="s">
        <v>172</v>
      </c>
      <c r="O264">
        <v>51</v>
      </c>
      <c r="P264" s="6">
        <v>150.4</v>
      </c>
      <c r="Q264" s="6">
        <v>0</v>
      </c>
      <c r="R264" s="6">
        <v>0</v>
      </c>
      <c r="S264" s="6">
        <v>12.8</v>
      </c>
      <c r="T264" s="6">
        <v>163.19999999999999</v>
      </c>
      <c r="V264">
        <v>17</v>
      </c>
      <c r="W264" s="5">
        <v>46132</v>
      </c>
      <c r="X264" t="s">
        <v>183</v>
      </c>
      <c r="Y264">
        <v>411</v>
      </c>
      <c r="Z264" s="6">
        <v>871.71000000000197</v>
      </c>
      <c r="AA264" s="6">
        <v>2.2000000000000002</v>
      </c>
      <c r="AB264" s="6">
        <v>0</v>
      </c>
      <c r="AC264" s="6">
        <v>58.2</v>
      </c>
      <c r="AD264" s="6">
        <v>927.71000000000197</v>
      </c>
      <c r="AH264" t="s">
        <v>200</v>
      </c>
      <c r="AI264" s="5">
        <v>46113</v>
      </c>
      <c r="AJ264" t="s">
        <v>143</v>
      </c>
      <c r="AK264">
        <v>3284</v>
      </c>
      <c r="AL264" s="6">
        <v>14572.200000000201</v>
      </c>
      <c r="AM264" s="6">
        <v>7.37</v>
      </c>
      <c r="AN264" s="6">
        <v>0</v>
      </c>
      <c r="AO264" s="6">
        <v>183.47</v>
      </c>
      <c r="AP264" s="6">
        <v>14748.300000000199</v>
      </c>
    </row>
    <row r="265" spans="2:42" ht="18.75">
      <c r="B265">
        <v>37</v>
      </c>
      <c r="C265" s="5">
        <v>45908</v>
      </c>
      <c r="D265" t="s">
        <v>150</v>
      </c>
      <c r="E265">
        <v>21</v>
      </c>
      <c r="F265" s="6">
        <v>133.31</v>
      </c>
      <c r="G265" s="6">
        <v>0</v>
      </c>
      <c r="H265" s="6">
        <v>0</v>
      </c>
      <c r="I265" s="6">
        <v>0</v>
      </c>
      <c r="J265" s="6">
        <v>133.31</v>
      </c>
      <c r="L265">
        <v>51</v>
      </c>
      <c r="M265" s="5">
        <v>46006</v>
      </c>
      <c r="N265" t="s">
        <v>198</v>
      </c>
      <c r="O265">
        <v>30</v>
      </c>
      <c r="P265" s="6">
        <v>255</v>
      </c>
      <c r="Q265" s="6">
        <v>0</v>
      </c>
      <c r="R265" s="6">
        <v>19.059999999999999</v>
      </c>
      <c r="S265" s="6">
        <v>10.94</v>
      </c>
      <c r="T265" s="6">
        <v>265.94</v>
      </c>
      <c r="V265">
        <v>17</v>
      </c>
      <c r="W265" s="5">
        <v>46132</v>
      </c>
      <c r="X265" t="s">
        <v>180</v>
      </c>
      <c r="Y265">
        <v>27</v>
      </c>
      <c r="Z265" s="6">
        <v>214.23</v>
      </c>
      <c r="AA265" s="6">
        <v>0</v>
      </c>
      <c r="AB265" s="6">
        <v>0</v>
      </c>
      <c r="AC265" s="6">
        <v>29.04</v>
      </c>
      <c r="AD265" s="6">
        <v>243.27</v>
      </c>
      <c r="AH265" t="s">
        <v>200</v>
      </c>
      <c r="AI265" s="5">
        <v>46113</v>
      </c>
      <c r="AJ265" t="s">
        <v>133</v>
      </c>
      <c r="AK265">
        <v>371</v>
      </c>
      <c r="AL265" s="6">
        <v>2083.6</v>
      </c>
      <c r="AM265" s="6">
        <v>0</v>
      </c>
      <c r="AN265" s="6">
        <v>0</v>
      </c>
      <c r="AO265" s="6">
        <v>62.79</v>
      </c>
      <c r="AP265" s="6">
        <v>2146.39</v>
      </c>
    </row>
    <row r="266" spans="2:42" ht="18.75">
      <c r="B266">
        <v>37</v>
      </c>
      <c r="C266" s="5">
        <v>45908</v>
      </c>
      <c r="D266" t="s">
        <v>146</v>
      </c>
      <c r="E266">
        <v>157</v>
      </c>
      <c r="F266" s="6">
        <v>834.88000000000102</v>
      </c>
      <c r="G266" s="6">
        <v>16.54</v>
      </c>
      <c r="H266" s="6">
        <v>4.68</v>
      </c>
      <c r="I266" s="6">
        <v>0</v>
      </c>
      <c r="J266" s="6">
        <v>818.34000000000106</v>
      </c>
      <c r="L266">
        <v>51</v>
      </c>
      <c r="M266" s="5">
        <v>46006</v>
      </c>
      <c r="N266" t="s">
        <v>170</v>
      </c>
      <c r="O266">
        <v>17</v>
      </c>
      <c r="P266" s="6">
        <v>57.42</v>
      </c>
      <c r="Q266" s="6">
        <v>0</v>
      </c>
      <c r="R266" s="6">
        <v>0</v>
      </c>
      <c r="S266" s="6">
        <v>3.78</v>
      </c>
      <c r="T266" s="6">
        <v>61.2</v>
      </c>
      <c r="V266">
        <v>17</v>
      </c>
      <c r="W266" s="5">
        <v>46132</v>
      </c>
      <c r="X266" t="s">
        <v>202</v>
      </c>
      <c r="Y266">
        <v>74</v>
      </c>
      <c r="Z266" s="6">
        <v>222</v>
      </c>
      <c r="AA266" s="6">
        <v>0</v>
      </c>
      <c r="AB266" s="6">
        <v>0</v>
      </c>
      <c r="AC266" s="6">
        <v>0</v>
      </c>
      <c r="AD266" s="6">
        <v>222</v>
      </c>
      <c r="AH266" t="s">
        <v>200</v>
      </c>
      <c r="AI266" s="5">
        <v>46113</v>
      </c>
      <c r="AJ266" t="s">
        <v>134</v>
      </c>
      <c r="AK266">
        <v>360</v>
      </c>
      <c r="AL266" s="6">
        <v>2112.52</v>
      </c>
      <c r="AM266" s="6">
        <v>0</v>
      </c>
      <c r="AN266" s="6">
        <v>0</v>
      </c>
      <c r="AO266" s="6">
        <v>52.22</v>
      </c>
      <c r="AP266" s="6">
        <v>2164.7399999999998</v>
      </c>
    </row>
    <row r="267" spans="2:42" ht="18.75">
      <c r="B267">
        <v>37</v>
      </c>
      <c r="C267" s="5">
        <v>45908</v>
      </c>
      <c r="D267" t="s">
        <v>137</v>
      </c>
      <c r="E267">
        <v>25</v>
      </c>
      <c r="F267" s="6">
        <v>66.13</v>
      </c>
      <c r="G267" s="6">
        <v>0</v>
      </c>
      <c r="H267" s="6">
        <v>2.38</v>
      </c>
      <c r="I267" s="6">
        <v>44.26</v>
      </c>
      <c r="J267" s="6">
        <v>110.39</v>
      </c>
      <c r="L267">
        <v>51</v>
      </c>
      <c r="M267" s="5">
        <v>46006</v>
      </c>
      <c r="N267" t="s">
        <v>164</v>
      </c>
      <c r="O267">
        <v>8</v>
      </c>
      <c r="P267" s="6">
        <v>26.25</v>
      </c>
      <c r="Q267" s="6">
        <v>0</v>
      </c>
      <c r="R267" s="6">
        <v>0</v>
      </c>
      <c r="S267" s="6">
        <v>3.75</v>
      </c>
      <c r="T267" s="6">
        <v>30</v>
      </c>
      <c r="V267">
        <v>18</v>
      </c>
      <c r="W267" s="5">
        <v>46139</v>
      </c>
      <c r="X267" t="s">
        <v>202</v>
      </c>
      <c r="Y267">
        <v>87</v>
      </c>
      <c r="Z267" s="6">
        <v>261</v>
      </c>
      <c r="AA267" s="6">
        <v>0</v>
      </c>
      <c r="AB267" s="6">
        <v>0</v>
      </c>
      <c r="AC267" s="6">
        <v>0</v>
      </c>
      <c r="AD267" s="6">
        <v>261</v>
      </c>
      <c r="AH267" t="s">
        <v>200</v>
      </c>
      <c r="AI267" s="5">
        <v>46113</v>
      </c>
      <c r="AJ267" t="s">
        <v>139</v>
      </c>
      <c r="AK267">
        <v>323</v>
      </c>
      <c r="AL267" s="6">
        <v>1420.57</v>
      </c>
      <c r="AM267" s="6">
        <v>0</v>
      </c>
      <c r="AN267" s="6">
        <v>0</v>
      </c>
      <c r="AO267" s="6">
        <v>67.599999999999994</v>
      </c>
      <c r="AP267" s="6">
        <v>1488.17</v>
      </c>
    </row>
    <row r="268" spans="2:42" ht="18.75">
      <c r="B268">
        <v>37</v>
      </c>
      <c r="C268" s="5">
        <v>45908</v>
      </c>
      <c r="D268" t="s">
        <v>142</v>
      </c>
      <c r="E268">
        <v>34</v>
      </c>
      <c r="F268" s="6">
        <v>148.29</v>
      </c>
      <c r="G268" s="6">
        <v>0</v>
      </c>
      <c r="H268" s="6">
        <v>1.6</v>
      </c>
      <c r="I268" s="6">
        <v>0</v>
      </c>
      <c r="J268" s="6">
        <v>148.29</v>
      </c>
      <c r="L268">
        <v>51</v>
      </c>
      <c r="M268" s="5">
        <v>46006</v>
      </c>
      <c r="N268" t="s">
        <v>204</v>
      </c>
      <c r="O268">
        <v>2</v>
      </c>
      <c r="P268" s="6">
        <v>4.8</v>
      </c>
      <c r="Q268" s="6">
        <v>0</v>
      </c>
      <c r="R268" s="6">
        <v>0</v>
      </c>
      <c r="S268" s="6">
        <v>0</v>
      </c>
      <c r="T268" s="6">
        <v>4.8</v>
      </c>
      <c r="V268">
        <v>18</v>
      </c>
      <c r="W268" s="5">
        <v>46139</v>
      </c>
      <c r="X268" t="s">
        <v>182</v>
      </c>
      <c r="Y268">
        <v>939</v>
      </c>
      <c r="Z268" s="6">
        <v>2274.6899999999901</v>
      </c>
      <c r="AA268" s="6">
        <v>6.8</v>
      </c>
      <c r="AB268" s="6">
        <v>4.1500000000000004</v>
      </c>
      <c r="AC268" s="6">
        <v>109.71</v>
      </c>
      <c r="AD268" s="6">
        <v>2377.5999999999899</v>
      </c>
      <c r="AH268" t="s">
        <v>200</v>
      </c>
      <c r="AI268" s="5">
        <v>46113</v>
      </c>
      <c r="AJ268" t="s">
        <v>147</v>
      </c>
      <c r="AK268">
        <v>416</v>
      </c>
      <c r="AL268" s="6">
        <v>2055.7800000000002</v>
      </c>
      <c r="AM268" s="6">
        <v>0</v>
      </c>
      <c r="AN268" s="6">
        <v>0</v>
      </c>
      <c r="AO268" s="6">
        <v>70.8</v>
      </c>
      <c r="AP268" s="6">
        <v>2126.58</v>
      </c>
    </row>
    <row r="269" spans="2:42" ht="18.75">
      <c r="B269">
        <v>37</v>
      </c>
      <c r="C269" s="5">
        <v>45908</v>
      </c>
      <c r="D269" t="s">
        <v>126</v>
      </c>
      <c r="E269">
        <v>34</v>
      </c>
      <c r="F269" s="6">
        <v>148.07</v>
      </c>
      <c r="G269" s="6">
        <v>0</v>
      </c>
      <c r="H269" s="6">
        <v>0</v>
      </c>
      <c r="I269" s="6">
        <v>0</v>
      </c>
      <c r="J269" s="6">
        <v>148.07</v>
      </c>
      <c r="L269">
        <v>52</v>
      </c>
      <c r="M269" s="5">
        <v>46013</v>
      </c>
      <c r="N269" t="s">
        <v>158</v>
      </c>
      <c r="O269">
        <v>352</v>
      </c>
      <c r="P269" s="6">
        <v>2376.34</v>
      </c>
      <c r="Q269" s="6">
        <v>0</v>
      </c>
      <c r="R269" s="6">
        <v>84.35</v>
      </c>
      <c r="S269" s="6">
        <v>86.28</v>
      </c>
      <c r="T269" s="6">
        <v>2462.62</v>
      </c>
      <c r="V269">
        <v>18</v>
      </c>
      <c r="W269" s="5">
        <v>46139</v>
      </c>
      <c r="X269" t="s">
        <v>185</v>
      </c>
      <c r="Y269">
        <v>210</v>
      </c>
      <c r="Z269" s="6">
        <v>979.41000000000304</v>
      </c>
      <c r="AA269" s="6">
        <v>0</v>
      </c>
      <c r="AB269" s="6">
        <v>0</v>
      </c>
      <c r="AC269" s="6">
        <v>62.33</v>
      </c>
      <c r="AD269" s="6">
        <v>1041.74</v>
      </c>
      <c r="AH269" t="s">
        <v>200</v>
      </c>
      <c r="AI269" s="5">
        <v>46113</v>
      </c>
      <c r="AJ269" t="s">
        <v>120</v>
      </c>
      <c r="AK269">
        <v>85</v>
      </c>
      <c r="AL269" s="6">
        <v>345.99</v>
      </c>
      <c r="AM269" s="6">
        <v>0</v>
      </c>
      <c r="AN269" s="6">
        <v>0</v>
      </c>
      <c r="AO269" s="6">
        <v>9.91</v>
      </c>
      <c r="AP269" s="6">
        <v>355.9</v>
      </c>
    </row>
    <row r="270" spans="2:42" ht="18.75">
      <c r="B270">
        <v>37</v>
      </c>
      <c r="C270" s="5">
        <v>45908</v>
      </c>
      <c r="D270" t="s">
        <v>141</v>
      </c>
      <c r="E270">
        <v>241</v>
      </c>
      <c r="F270" s="6">
        <v>784.75000000000205</v>
      </c>
      <c r="G270" s="6">
        <v>5.7</v>
      </c>
      <c r="H270" s="6">
        <v>14.24</v>
      </c>
      <c r="I270" s="6">
        <v>0</v>
      </c>
      <c r="J270" s="6">
        <v>779.050000000002</v>
      </c>
      <c r="L270">
        <v>52</v>
      </c>
      <c r="M270" s="5">
        <v>46013</v>
      </c>
      <c r="N270" t="s">
        <v>169</v>
      </c>
      <c r="O270">
        <v>334</v>
      </c>
      <c r="P270" s="6">
        <v>804.1</v>
      </c>
      <c r="Q270" s="6">
        <v>0</v>
      </c>
      <c r="R270" s="6">
        <v>4.2</v>
      </c>
      <c r="S270" s="6">
        <v>34.36</v>
      </c>
      <c r="T270" s="6">
        <v>838.46</v>
      </c>
      <c r="V270">
        <v>18</v>
      </c>
      <c r="W270" s="5">
        <v>46139</v>
      </c>
      <c r="X270" t="s">
        <v>181</v>
      </c>
      <c r="Y270">
        <v>240</v>
      </c>
      <c r="Z270" s="6">
        <v>1632.3300000000099</v>
      </c>
      <c r="AA270" s="6">
        <v>0</v>
      </c>
      <c r="AB270" s="6">
        <v>0</v>
      </c>
      <c r="AC270" s="6">
        <v>251.98</v>
      </c>
      <c r="AD270" s="6">
        <v>1884.3100000000099</v>
      </c>
      <c r="AH270" t="s">
        <v>200</v>
      </c>
      <c r="AI270" s="5">
        <v>46113</v>
      </c>
      <c r="AJ270" t="s">
        <v>130</v>
      </c>
      <c r="AK270">
        <v>503</v>
      </c>
      <c r="AL270" s="6">
        <v>2335.77</v>
      </c>
      <c r="AM270" s="6">
        <v>0</v>
      </c>
      <c r="AN270" s="6">
        <v>0</v>
      </c>
      <c r="AO270" s="6">
        <v>56.46</v>
      </c>
      <c r="AP270" s="6">
        <v>2392.23</v>
      </c>
    </row>
    <row r="271" spans="2:42" ht="18.75">
      <c r="B271">
        <v>37</v>
      </c>
      <c r="C271" s="5">
        <v>45908</v>
      </c>
      <c r="D271" t="s">
        <v>145</v>
      </c>
      <c r="E271">
        <v>117</v>
      </c>
      <c r="F271" s="6">
        <v>648.87000000000103</v>
      </c>
      <c r="G271" s="6">
        <v>0</v>
      </c>
      <c r="H271" s="6">
        <v>15.35</v>
      </c>
      <c r="I271" s="6">
        <v>0</v>
      </c>
      <c r="J271" s="6">
        <v>648.87000000000103</v>
      </c>
      <c r="L271">
        <v>52</v>
      </c>
      <c r="M271" s="5">
        <v>46013</v>
      </c>
      <c r="N271" t="s">
        <v>163</v>
      </c>
      <c r="O271">
        <v>135</v>
      </c>
      <c r="P271" s="6">
        <v>262.2</v>
      </c>
      <c r="Q271" s="6">
        <v>0</v>
      </c>
      <c r="R271" s="6">
        <v>0</v>
      </c>
      <c r="S271" s="6">
        <v>8.8000000000000007</v>
      </c>
      <c r="T271" s="6">
        <v>271</v>
      </c>
      <c r="V271">
        <v>18</v>
      </c>
      <c r="W271" s="5">
        <v>46139</v>
      </c>
      <c r="X271" t="s">
        <v>183</v>
      </c>
      <c r="Y271">
        <v>438</v>
      </c>
      <c r="Z271" s="6">
        <v>931.65000000000305</v>
      </c>
      <c r="AA271" s="6">
        <v>0</v>
      </c>
      <c r="AB271" s="6">
        <v>0</v>
      </c>
      <c r="AC271" s="6">
        <v>61.31</v>
      </c>
      <c r="AD271" s="6">
        <v>992.96000000000299</v>
      </c>
      <c r="AH271" t="s">
        <v>200</v>
      </c>
      <c r="AI271" s="5">
        <v>46113</v>
      </c>
      <c r="AJ271" t="s">
        <v>149</v>
      </c>
      <c r="AK271">
        <v>106</v>
      </c>
      <c r="AL271" s="6">
        <v>311.55</v>
      </c>
      <c r="AM271" s="6">
        <v>0</v>
      </c>
      <c r="AN271" s="6">
        <v>0</v>
      </c>
      <c r="AO271" s="6">
        <v>34.479999999999997</v>
      </c>
      <c r="AP271" s="6">
        <v>346.03</v>
      </c>
    </row>
    <row r="272" spans="2:42" ht="18.75">
      <c r="B272">
        <v>37</v>
      </c>
      <c r="C272" s="5">
        <v>45908</v>
      </c>
      <c r="D272" t="s">
        <v>116</v>
      </c>
      <c r="E272">
        <v>42</v>
      </c>
      <c r="F272" s="6">
        <v>161.76</v>
      </c>
      <c r="G272" s="6">
        <v>0</v>
      </c>
      <c r="H272" s="6">
        <v>4.26</v>
      </c>
      <c r="I272" s="6">
        <v>0</v>
      </c>
      <c r="J272" s="6">
        <v>161.76</v>
      </c>
      <c r="L272">
        <v>52</v>
      </c>
      <c r="M272" s="5">
        <v>46013</v>
      </c>
      <c r="N272" t="s">
        <v>171</v>
      </c>
      <c r="O272">
        <v>106</v>
      </c>
      <c r="P272" s="6">
        <v>741.92000000000098</v>
      </c>
      <c r="Q272" s="6">
        <v>0</v>
      </c>
      <c r="R272" s="6">
        <v>9.15</v>
      </c>
      <c r="S272" s="6">
        <v>136.80000000000001</v>
      </c>
      <c r="T272" s="6">
        <v>878.72</v>
      </c>
      <c r="V272">
        <v>18</v>
      </c>
      <c r="W272" s="5">
        <v>46139</v>
      </c>
      <c r="X272" t="s">
        <v>179</v>
      </c>
      <c r="Y272">
        <v>664</v>
      </c>
      <c r="Z272" s="6">
        <v>3820.6399999999699</v>
      </c>
      <c r="AA272" s="6">
        <v>0</v>
      </c>
      <c r="AB272" s="6">
        <v>41.73</v>
      </c>
      <c r="AC272" s="6">
        <v>174.16</v>
      </c>
      <c r="AD272" s="6">
        <v>3994.7999999999702</v>
      </c>
      <c r="AH272" t="s">
        <v>200</v>
      </c>
      <c r="AI272" s="5">
        <v>46113</v>
      </c>
      <c r="AJ272" t="s">
        <v>117</v>
      </c>
      <c r="AK272">
        <v>232</v>
      </c>
      <c r="AL272" s="6">
        <v>1231.3699999999999</v>
      </c>
      <c r="AM272" s="6">
        <v>0</v>
      </c>
      <c r="AN272" s="6">
        <v>0</v>
      </c>
      <c r="AO272" s="6">
        <v>77.139999999999901</v>
      </c>
      <c r="AP272" s="6">
        <v>1308.51</v>
      </c>
    </row>
    <row r="273" spans="2:42" ht="18.75">
      <c r="B273">
        <v>37</v>
      </c>
      <c r="C273" s="5">
        <v>45908</v>
      </c>
      <c r="D273" t="s">
        <v>125</v>
      </c>
      <c r="E273">
        <v>7</v>
      </c>
      <c r="F273" s="6">
        <v>34.81</v>
      </c>
      <c r="G273" s="6">
        <v>0</v>
      </c>
      <c r="H273" s="6">
        <v>0.42</v>
      </c>
      <c r="I273" s="6">
        <v>0</v>
      </c>
      <c r="J273" s="6">
        <v>34.81</v>
      </c>
      <c r="L273">
        <v>52</v>
      </c>
      <c r="M273" s="5">
        <v>46013</v>
      </c>
      <c r="N273" t="s">
        <v>175</v>
      </c>
      <c r="O273">
        <v>26</v>
      </c>
      <c r="P273" s="6">
        <v>60.13</v>
      </c>
      <c r="Q273" s="6">
        <v>0</v>
      </c>
      <c r="R273" s="6">
        <v>34.770000000000003</v>
      </c>
      <c r="S273" s="6">
        <v>0</v>
      </c>
      <c r="T273" s="6">
        <v>60.13</v>
      </c>
      <c r="V273">
        <v>18</v>
      </c>
      <c r="W273" s="5">
        <v>46139</v>
      </c>
      <c r="X273" t="s">
        <v>184</v>
      </c>
      <c r="Y273">
        <v>350</v>
      </c>
      <c r="Z273" s="6">
        <v>716.33</v>
      </c>
      <c r="AA273" s="6">
        <v>0</v>
      </c>
      <c r="AB273" s="6">
        <v>0</v>
      </c>
      <c r="AC273" s="6">
        <v>95.22</v>
      </c>
      <c r="AD273" s="6">
        <v>811.55</v>
      </c>
      <c r="AH273" t="s">
        <v>200</v>
      </c>
      <c r="AI273" s="5">
        <v>46113</v>
      </c>
      <c r="AJ273" t="s">
        <v>150</v>
      </c>
      <c r="AK273">
        <v>83</v>
      </c>
      <c r="AL273" s="6">
        <v>473.23</v>
      </c>
      <c r="AM273" s="6">
        <v>0</v>
      </c>
      <c r="AN273" s="6">
        <v>0</v>
      </c>
      <c r="AO273" s="6">
        <v>6.71</v>
      </c>
      <c r="AP273" s="6">
        <v>479.94</v>
      </c>
    </row>
    <row r="274" spans="2:42" ht="18.75">
      <c r="B274">
        <v>36</v>
      </c>
      <c r="C274" s="5">
        <v>45901</v>
      </c>
      <c r="D274" t="s">
        <v>139</v>
      </c>
      <c r="E274">
        <v>67</v>
      </c>
      <c r="F274" s="6">
        <v>247.4</v>
      </c>
      <c r="G274" s="6">
        <v>0</v>
      </c>
      <c r="H274" s="6">
        <v>6.28</v>
      </c>
      <c r="I274" s="6">
        <v>0</v>
      </c>
      <c r="J274" s="6">
        <v>247.4</v>
      </c>
      <c r="L274">
        <v>52</v>
      </c>
      <c r="M274" s="5">
        <v>46013</v>
      </c>
      <c r="N274" t="s">
        <v>176</v>
      </c>
      <c r="O274">
        <v>31</v>
      </c>
      <c r="P274" s="6">
        <v>69.739999999999995</v>
      </c>
      <c r="Q274" s="6">
        <v>0</v>
      </c>
      <c r="R274" s="6">
        <v>0</v>
      </c>
      <c r="S274" s="6">
        <v>0.92</v>
      </c>
      <c r="T274" s="6">
        <v>70.66</v>
      </c>
      <c r="V274">
        <v>18</v>
      </c>
      <c r="W274" s="5">
        <v>46139</v>
      </c>
      <c r="X274" t="s">
        <v>178</v>
      </c>
      <c r="Y274">
        <v>277</v>
      </c>
      <c r="Z274" s="6">
        <v>2577.1999999999998</v>
      </c>
      <c r="AA274" s="6">
        <v>0</v>
      </c>
      <c r="AB274" s="6">
        <v>14.72</v>
      </c>
      <c r="AC274" s="6">
        <v>79.84</v>
      </c>
      <c r="AD274" s="6">
        <v>2657.04</v>
      </c>
      <c r="AH274" t="s">
        <v>200</v>
      </c>
      <c r="AI274" s="5">
        <v>46113</v>
      </c>
      <c r="AJ274" t="s">
        <v>124</v>
      </c>
      <c r="AK274">
        <v>590</v>
      </c>
      <c r="AL274" s="6">
        <v>1951</v>
      </c>
      <c r="AM274" s="6">
        <v>0</v>
      </c>
      <c r="AN274" s="6">
        <v>0</v>
      </c>
      <c r="AO274" s="6">
        <v>50.87</v>
      </c>
      <c r="AP274" s="6">
        <v>2001.87</v>
      </c>
    </row>
    <row r="275" spans="2:42" ht="18.75">
      <c r="B275">
        <v>36</v>
      </c>
      <c r="C275" s="5">
        <v>45901</v>
      </c>
      <c r="D275" t="s">
        <v>124</v>
      </c>
      <c r="E275">
        <v>183</v>
      </c>
      <c r="F275" s="6">
        <v>670.58000000000095</v>
      </c>
      <c r="G275" s="6">
        <v>0</v>
      </c>
      <c r="H275" s="6">
        <v>9.31</v>
      </c>
      <c r="I275" s="6">
        <v>0</v>
      </c>
      <c r="J275" s="6">
        <v>670.58000000000095</v>
      </c>
      <c r="L275">
        <v>52</v>
      </c>
      <c r="M275" s="5">
        <v>46013</v>
      </c>
      <c r="N275" t="s">
        <v>168</v>
      </c>
      <c r="O275">
        <v>127</v>
      </c>
      <c r="P275" s="6">
        <v>221.47</v>
      </c>
      <c r="Q275" s="6">
        <v>0</v>
      </c>
      <c r="R275" s="6">
        <v>0</v>
      </c>
      <c r="S275" s="6">
        <v>48.17</v>
      </c>
      <c r="T275" s="6">
        <v>269.64</v>
      </c>
      <c r="V275">
        <v>18</v>
      </c>
      <c r="W275" s="5">
        <v>46139</v>
      </c>
      <c r="X275" t="s">
        <v>227</v>
      </c>
      <c r="Y275">
        <v>13</v>
      </c>
      <c r="Z275" s="6">
        <v>39.35</v>
      </c>
      <c r="AA275" s="6">
        <v>0</v>
      </c>
      <c r="AB275" s="6">
        <v>0</v>
      </c>
      <c r="AC275" s="6">
        <v>0.8</v>
      </c>
      <c r="AD275" s="6">
        <v>40.15</v>
      </c>
      <c r="AH275" t="s">
        <v>200</v>
      </c>
      <c r="AI275" s="5">
        <v>46113</v>
      </c>
      <c r="AJ275" t="s">
        <v>138</v>
      </c>
      <c r="AK275">
        <v>470</v>
      </c>
      <c r="AL275" s="6">
        <v>2453.42</v>
      </c>
      <c r="AM275" s="6">
        <v>5.4</v>
      </c>
      <c r="AN275" s="6">
        <v>0</v>
      </c>
      <c r="AO275" s="6">
        <v>99.14</v>
      </c>
      <c r="AP275" s="6">
        <v>2547.16</v>
      </c>
    </row>
    <row r="276" spans="2:42" ht="18.75">
      <c r="B276">
        <v>36</v>
      </c>
      <c r="C276" s="5">
        <v>45901</v>
      </c>
      <c r="D276" t="s">
        <v>118</v>
      </c>
      <c r="E276">
        <v>77</v>
      </c>
      <c r="F276" s="6">
        <v>285.89</v>
      </c>
      <c r="G276" s="6">
        <v>0</v>
      </c>
      <c r="H276" s="6">
        <v>6</v>
      </c>
      <c r="I276" s="6">
        <v>0</v>
      </c>
      <c r="J276" s="6">
        <v>285.89</v>
      </c>
      <c r="L276">
        <v>52</v>
      </c>
      <c r="M276" s="5">
        <v>46013</v>
      </c>
      <c r="N276" t="s">
        <v>173</v>
      </c>
      <c r="O276">
        <v>87</v>
      </c>
      <c r="P276" s="6">
        <v>419.719999999999</v>
      </c>
      <c r="Q276" s="6">
        <v>0</v>
      </c>
      <c r="R276" s="6">
        <v>0</v>
      </c>
      <c r="S276" s="6">
        <v>29.91</v>
      </c>
      <c r="T276" s="6">
        <v>449.62999999999897</v>
      </c>
      <c r="V276">
        <v>18</v>
      </c>
      <c r="W276" s="5">
        <v>46139</v>
      </c>
      <c r="X276" t="s">
        <v>180</v>
      </c>
      <c r="Y276">
        <v>30</v>
      </c>
      <c r="Z276" s="6">
        <v>268.8</v>
      </c>
      <c r="AA276" s="6">
        <v>0</v>
      </c>
      <c r="AB276" s="6">
        <v>0</v>
      </c>
      <c r="AC276" s="6">
        <v>0</v>
      </c>
      <c r="AD276" s="6">
        <v>268.8</v>
      </c>
      <c r="AH276" t="s">
        <v>200</v>
      </c>
      <c r="AI276" s="5">
        <v>46113</v>
      </c>
      <c r="AJ276" t="s">
        <v>135</v>
      </c>
      <c r="AK276">
        <v>70</v>
      </c>
      <c r="AL276" s="6">
        <v>210.72</v>
      </c>
      <c r="AM276" s="6">
        <v>0</v>
      </c>
      <c r="AN276" s="6">
        <v>0</v>
      </c>
      <c r="AO276" s="6">
        <v>77.239999999999995</v>
      </c>
      <c r="AP276" s="6">
        <v>287.95999999999998</v>
      </c>
    </row>
    <row r="277" spans="2:42" ht="18.75">
      <c r="B277">
        <v>36</v>
      </c>
      <c r="C277" s="5">
        <v>45901</v>
      </c>
      <c r="D277" t="s">
        <v>123</v>
      </c>
      <c r="E277">
        <v>164</v>
      </c>
      <c r="F277" s="6">
        <v>634.83000000000095</v>
      </c>
      <c r="G277" s="6">
        <v>0</v>
      </c>
      <c r="H277" s="6">
        <v>12.33</v>
      </c>
      <c r="I277" s="6">
        <v>0</v>
      </c>
      <c r="J277" s="6">
        <v>634.83000000000095</v>
      </c>
      <c r="L277">
        <v>52</v>
      </c>
      <c r="M277" s="5">
        <v>46013</v>
      </c>
      <c r="N277" t="s">
        <v>165</v>
      </c>
      <c r="O277">
        <v>49</v>
      </c>
      <c r="P277" s="6">
        <v>401.41</v>
      </c>
      <c r="Q277" s="6">
        <v>0</v>
      </c>
      <c r="R277" s="6">
        <v>0</v>
      </c>
      <c r="S277" s="6">
        <v>39.47</v>
      </c>
      <c r="T277" s="6">
        <v>440.88</v>
      </c>
      <c r="V277">
        <v>20</v>
      </c>
      <c r="W277" s="5">
        <v>46153</v>
      </c>
      <c r="X277" t="s">
        <v>182</v>
      </c>
      <c r="Y277">
        <v>946</v>
      </c>
      <c r="Z277" s="6">
        <v>2273.73</v>
      </c>
      <c r="AA277" s="6">
        <v>0</v>
      </c>
      <c r="AB277" s="6">
        <v>44.25</v>
      </c>
      <c r="AC277" s="6">
        <v>102.35</v>
      </c>
      <c r="AD277" s="6">
        <v>2376.08</v>
      </c>
      <c r="AH277" t="s">
        <v>200</v>
      </c>
      <c r="AI277" s="5">
        <v>46113</v>
      </c>
      <c r="AJ277" t="s">
        <v>136</v>
      </c>
      <c r="AK277">
        <v>166</v>
      </c>
      <c r="AL277" s="6">
        <v>450.34</v>
      </c>
      <c r="AM277" s="6">
        <v>0</v>
      </c>
      <c r="AN277" s="6">
        <v>0</v>
      </c>
      <c r="AO277" s="6">
        <v>274.61</v>
      </c>
      <c r="AP277" s="6">
        <v>724.95</v>
      </c>
    </row>
    <row r="278" spans="2:42" ht="18.75">
      <c r="B278">
        <v>36</v>
      </c>
      <c r="C278" s="5">
        <v>45901</v>
      </c>
      <c r="D278" t="s">
        <v>129</v>
      </c>
      <c r="E278">
        <v>146</v>
      </c>
      <c r="F278" s="6">
        <v>14.63</v>
      </c>
      <c r="G278" s="6">
        <v>6.41</v>
      </c>
      <c r="H278" s="6">
        <v>0</v>
      </c>
      <c r="I278" s="6">
        <v>606.49</v>
      </c>
      <c r="J278" s="6">
        <v>614.71</v>
      </c>
      <c r="L278">
        <v>52</v>
      </c>
      <c r="M278" s="5">
        <v>46013</v>
      </c>
      <c r="N278" t="s">
        <v>160</v>
      </c>
      <c r="O278">
        <v>1</v>
      </c>
      <c r="P278" s="6">
        <v>9.9</v>
      </c>
      <c r="Q278" s="6">
        <v>0</v>
      </c>
      <c r="R278" s="6">
        <v>0</v>
      </c>
      <c r="S278" s="6">
        <v>0</v>
      </c>
      <c r="T278" s="6">
        <v>9.9</v>
      </c>
      <c r="V278">
        <v>20</v>
      </c>
      <c r="W278" s="5">
        <v>46153</v>
      </c>
      <c r="X278" t="s">
        <v>179</v>
      </c>
      <c r="Y278">
        <v>645</v>
      </c>
      <c r="Z278" s="6">
        <v>3571.3999999999801</v>
      </c>
      <c r="AA278" s="6">
        <v>6.3</v>
      </c>
      <c r="AB278" s="6">
        <v>124.93</v>
      </c>
      <c r="AC278" s="6">
        <v>148.77000000000001</v>
      </c>
      <c r="AD278" s="6">
        <v>3713.8699999999799</v>
      </c>
      <c r="AH278" t="s">
        <v>200</v>
      </c>
      <c r="AI278" s="5">
        <v>46113</v>
      </c>
      <c r="AJ278" t="s">
        <v>126</v>
      </c>
      <c r="AK278">
        <v>205</v>
      </c>
      <c r="AL278" s="6">
        <v>807.44</v>
      </c>
      <c r="AM278" s="6">
        <v>0</v>
      </c>
      <c r="AN278" s="6">
        <v>0</v>
      </c>
      <c r="AO278" s="6">
        <v>22.59</v>
      </c>
      <c r="AP278" s="6">
        <v>830.03</v>
      </c>
    </row>
    <row r="279" spans="2:42" ht="18.75">
      <c r="B279">
        <v>36</v>
      </c>
      <c r="C279" s="5">
        <v>45901</v>
      </c>
      <c r="D279" t="s">
        <v>136</v>
      </c>
      <c r="E279">
        <v>24</v>
      </c>
      <c r="F279" s="6">
        <v>54.81</v>
      </c>
      <c r="G279" s="6">
        <v>0</v>
      </c>
      <c r="H279" s="6">
        <v>5.64</v>
      </c>
      <c r="I279" s="6">
        <v>29.72</v>
      </c>
      <c r="J279" s="6">
        <v>84.53</v>
      </c>
      <c r="L279">
        <v>52</v>
      </c>
      <c r="M279" s="5">
        <v>46013</v>
      </c>
      <c r="N279" t="s">
        <v>170</v>
      </c>
      <c r="O279">
        <v>15</v>
      </c>
      <c r="P279" s="6">
        <v>54</v>
      </c>
      <c r="Q279" s="6">
        <v>0</v>
      </c>
      <c r="R279" s="6">
        <v>0</v>
      </c>
      <c r="S279" s="6">
        <v>0</v>
      </c>
      <c r="T279" s="6">
        <v>54</v>
      </c>
      <c r="V279">
        <v>20</v>
      </c>
      <c r="W279" s="5">
        <v>46153</v>
      </c>
      <c r="X279" t="s">
        <v>184</v>
      </c>
      <c r="Y279">
        <v>306</v>
      </c>
      <c r="Z279" s="6">
        <v>581.38</v>
      </c>
      <c r="AA279" s="6">
        <v>0</v>
      </c>
      <c r="AB279" s="6">
        <v>10.14</v>
      </c>
      <c r="AC279" s="6">
        <v>105.26</v>
      </c>
      <c r="AD279" s="6">
        <v>686.64</v>
      </c>
      <c r="AH279" t="s">
        <v>200</v>
      </c>
      <c r="AI279" s="5">
        <v>46113</v>
      </c>
      <c r="AJ279" t="s">
        <v>119</v>
      </c>
      <c r="AK279">
        <v>550</v>
      </c>
      <c r="AL279" s="6">
        <v>2135.7800000000002</v>
      </c>
      <c r="AM279" s="6">
        <v>0</v>
      </c>
      <c r="AN279" s="6">
        <v>0</v>
      </c>
      <c r="AO279" s="6">
        <v>44.69</v>
      </c>
      <c r="AP279" s="6">
        <v>2180.4699999999998</v>
      </c>
    </row>
    <row r="280" spans="2:42" ht="18.75">
      <c r="B280">
        <v>36</v>
      </c>
      <c r="C280" s="5">
        <v>45901</v>
      </c>
      <c r="D280" t="s">
        <v>117</v>
      </c>
      <c r="E280">
        <v>69</v>
      </c>
      <c r="F280" s="6">
        <v>386.9</v>
      </c>
      <c r="G280" s="6">
        <v>0</v>
      </c>
      <c r="H280" s="6">
        <v>14.43</v>
      </c>
      <c r="I280" s="6">
        <v>0</v>
      </c>
      <c r="J280" s="6">
        <v>386.9</v>
      </c>
      <c r="L280">
        <v>52</v>
      </c>
      <c r="M280" s="5">
        <v>46013</v>
      </c>
      <c r="N280" t="s">
        <v>172</v>
      </c>
      <c r="O280">
        <v>14</v>
      </c>
      <c r="P280" s="6">
        <v>46.4</v>
      </c>
      <c r="Q280" s="6">
        <v>0</v>
      </c>
      <c r="R280" s="6">
        <v>0</v>
      </c>
      <c r="S280" s="6">
        <v>0</v>
      </c>
      <c r="T280" s="6">
        <v>46.4</v>
      </c>
      <c r="V280">
        <v>20</v>
      </c>
      <c r="W280" s="5">
        <v>46153</v>
      </c>
      <c r="X280" t="s">
        <v>185</v>
      </c>
      <c r="Y280">
        <v>196</v>
      </c>
      <c r="Z280" s="6">
        <v>901.17000000000201</v>
      </c>
      <c r="AA280" s="6">
        <v>0</v>
      </c>
      <c r="AB280" s="6">
        <v>4.0599999999999996</v>
      </c>
      <c r="AC280" s="6">
        <v>98.470000000000098</v>
      </c>
      <c r="AD280" s="6">
        <v>999.64000000000203</v>
      </c>
      <c r="AH280" t="s">
        <v>200</v>
      </c>
      <c r="AI280" s="5">
        <v>46113</v>
      </c>
      <c r="AJ280" t="s">
        <v>146</v>
      </c>
      <c r="AK280">
        <v>681</v>
      </c>
      <c r="AL280" s="6">
        <v>3848.2599999999902</v>
      </c>
      <c r="AM280" s="6">
        <v>0</v>
      </c>
      <c r="AN280" s="6">
        <v>0</v>
      </c>
      <c r="AO280" s="6">
        <v>91.41</v>
      </c>
      <c r="AP280" s="6">
        <v>3939.6699999999901</v>
      </c>
    </row>
    <row r="281" spans="2:42" ht="18.75">
      <c r="B281">
        <v>36</v>
      </c>
      <c r="C281" s="5">
        <v>45901</v>
      </c>
      <c r="D281" t="s">
        <v>134</v>
      </c>
      <c r="E281">
        <v>80</v>
      </c>
      <c r="F281" s="6">
        <v>392.12</v>
      </c>
      <c r="G281" s="6">
        <v>0</v>
      </c>
      <c r="H281" s="6">
        <v>3.81</v>
      </c>
      <c r="I281" s="6">
        <v>4.21</v>
      </c>
      <c r="J281" s="6">
        <v>396.33</v>
      </c>
      <c r="L281">
        <v>52</v>
      </c>
      <c r="M281" s="5">
        <v>46013</v>
      </c>
      <c r="N281" t="s">
        <v>164</v>
      </c>
      <c r="O281">
        <v>3</v>
      </c>
      <c r="P281" s="6">
        <v>12.19</v>
      </c>
      <c r="Q281" s="6">
        <v>0</v>
      </c>
      <c r="R281" s="6">
        <v>0</v>
      </c>
      <c r="S281" s="6">
        <v>0</v>
      </c>
      <c r="T281" s="6">
        <v>12.19</v>
      </c>
      <c r="V281">
        <v>20</v>
      </c>
      <c r="W281" s="5">
        <v>46153</v>
      </c>
      <c r="X281" t="s">
        <v>183</v>
      </c>
      <c r="Y281">
        <v>295</v>
      </c>
      <c r="Z281" s="6">
        <v>594.62</v>
      </c>
      <c r="AA281" s="6">
        <v>0</v>
      </c>
      <c r="AB281" s="6">
        <v>2.66</v>
      </c>
      <c r="AC281" s="6">
        <v>51</v>
      </c>
      <c r="AD281" s="6">
        <v>645.62</v>
      </c>
      <c r="AH281" t="s">
        <v>200</v>
      </c>
      <c r="AI281" s="5">
        <v>46113</v>
      </c>
      <c r="AJ281" t="s">
        <v>129</v>
      </c>
      <c r="AK281">
        <v>641</v>
      </c>
      <c r="AL281" s="6">
        <v>21.86</v>
      </c>
      <c r="AM281" s="6">
        <v>0</v>
      </c>
      <c r="AN281" s="6">
        <v>0</v>
      </c>
      <c r="AO281" s="6">
        <v>2638.0599999999899</v>
      </c>
      <c r="AP281" s="6">
        <v>2659.9199999999901</v>
      </c>
    </row>
    <row r="282" spans="2:42" ht="18.75">
      <c r="B282">
        <v>36</v>
      </c>
      <c r="C282" s="5">
        <v>45901</v>
      </c>
      <c r="D282" t="s">
        <v>140</v>
      </c>
      <c r="E282">
        <v>20</v>
      </c>
      <c r="F282" s="6">
        <v>52.18</v>
      </c>
      <c r="G282" s="6">
        <v>0</v>
      </c>
      <c r="H282" s="6">
        <v>0</v>
      </c>
      <c r="I282" s="6">
        <v>0</v>
      </c>
      <c r="J282" s="6">
        <v>52.18</v>
      </c>
      <c r="L282">
        <v>7</v>
      </c>
      <c r="M282" s="5">
        <v>46062</v>
      </c>
      <c r="N282" t="s">
        <v>169</v>
      </c>
      <c r="O282">
        <v>1289</v>
      </c>
      <c r="P282" s="6">
        <v>3464.1700000000401</v>
      </c>
      <c r="Q282" s="6">
        <v>0</v>
      </c>
      <c r="R282" s="6">
        <v>36.409999999999997</v>
      </c>
      <c r="S282" s="6">
        <v>98.09</v>
      </c>
      <c r="T282" s="6">
        <v>3562.2600000000398</v>
      </c>
      <c r="V282">
        <v>20</v>
      </c>
      <c r="W282" s="5">
        <v>46153</v>
      </c>
      <c r="X282" t="s">
        <v>178</v>
      </c>
      <c r="Y282">
        <v>264</v>
      </c>
      <c r="Z282" s="6">
        <v>2407.9899999999998</v>
      </c>
      <c r="AA282" s="6">
        <v>0</v>
      </c>
      <c r="AB282" s="6">
        <v>86.95</v>
      </c>
      <c r="AC282" s="6">
        <v>63.2</v>
      </c>
      <c r="AD282" s="6">
        <v>2471.19</v>
      </c>
      <c r="AH282" t="s">
        <v>200</v>
      </c>
      <c r="AI282" s="5">
        <v>46113</v>
      </c>
      <c r="AJ282" t="s">
        <v>118</v>
      </c>
      <c r="AK282">
        <v>263</v>
      </c>
      <c r="AL282" s="6">
        <v>859.57000000000096</v>
      </c>
      <c r="AM282" s="6">
        <v>0</v>
      </c>
      <c r="AN282" s="6">
        <v>0</v>
      </c>
      <c r="AO282" s="6">
        <v>16.82</v>
      </c>
      <c r="AP282" s="6">
        <v>876.39000000000101</v>
      </c>
    </row>
    <row r="283" spans="2:42" ht="18.75">
      <c r="B283">
        <v>36</v>
      </c>
      <c r="C283" s="5">
        <v>45901</v>
      </c>
      <c r="D283" t="s">
        <v>128</v>
      </c>
      <c r="E283">
        <v>41</v>
      </c>
      <c r="F283" s="6">
        <v>205.39</v>
      </c>
      <c r="G283" s="6">
        <v>0</v>
      </c>
      <c r="H283" s="6">
        <v>4.58</v>
      </c>
      <c r="I283" s="6">
        <v>0</v>
      </c>
      <c r="J283" s="6">
        <v>205.39</v>
      </c>
      <c r="L283">
        <v>7</v>
      </c>
      <c r="M283" s="5">
        <v>46062</v>
      </c>
      <c r="N283" t="s">
        <v>160</v>
      </c>
      <c r="O283">
        <v>1019</v>
      </c>
      <c r="P283" s="6">
        <v>6919.1499999999096</v>
      </c>
      <c r="Q283" s="6">
        <v>0</v>
      </c>
      <c r="R283" s="6">
        <v>186.97</v>
      </c>
      <c r="S283" s="6">
        <v>196.76</v>
      </c>
      <c r="T283" s="6">
        <v>7115.9099999999098</v>
      </c>
      <c r="V283">
        <v>20</v>
      </c>
      <c r="W283" s="5">
        <v>46153</v>
      </c>
      <c r="X283" t="s">
        <v>181</v>
      </c>
      <c r="Y283">
        <v>192</v>
      </c>
      <c r="Z283" s="6">
        <v>1438.71</v>
      </c>
      <c r="AA283" s="6">
        <v>0</v>
      </c>
      <c r="AB283" s="6">
        <v>23.28</v>
      </c>
      <c r="AC283" s="6">
        <v>165.41</v>
      </c>
      <c r="AD283" s="6">
        <v>1604.12</v>
      </c>
      <c r="AH283" t="s">
        <v>200</v>
      </c>
      <c r="AI283" s="5">
        <v>46113</v>
      </c>
      <c r="AJ283" t="s">
        <v>128</v>
      </c>
      <c r="AK283">
        <v>181</v>
      </c>
      <c r="AL283" s="6">
        <v>795.95000000000095</v>
      </c>
      <c r="AM283" s="6">
        <v>0</v>
      </c>
      <c r="AN283" s="6">
        <v>0</v>
      </c>
      <c r="AO283" s="6">
        <v>25.04</v>
      </c>
      <c r="AP283" s="6">
        <v>820.99000000000103</v>
      </c>
    </row>
    <row r="284" spans="2:42" ht="18.75">
      <c r="B284">
        <v>36</v>
      </c>
      <c r="C284" s="5">
        <v>45901</v>
      </c>
      <c r="D284" t="s">
        <v>219</v>
      </c>
      <c r="E284">
        <v>120</v>
      </c>
      <c r="F284" s="6">
        <v>560.42999999999995</v>
      </c>
      <c r="G284" s="6">
        <v>0</v>
      </c>
      <c r="H284" s="6">
        <v>9.35</v>
      </c>
      <c r="I284" s="6">
        <v>0</v>
      </c>
      <c r="J284" s="6">
        <v>560.42999999999995</v>
      </c>
      <c r="L284">
        <v>7</v>
      </c>
      <c r="M284" s="5">
        <v>46062</v>
      </c>
      <c r="N284" t="s">
        <v>175</v>
      </c>
      <c r="O284">
        <v>48</v>
      </c>
      <c r="P284" s="6">
        <v>131.83000000000001</v>
      </c>
      <c r="Q284" s="6">
        <v>0</v>
      </c>
      <c r="R284" s="6">
        <v>35.159999999999997</v>
      </c>
      <c r="S284" s="6">
        <v>8.2100000000000009</v>
      </c>
      <c r="T284" s="6">
        <v>140.04</v>
      </c>
      <c r="V284">
        <v>20</v>
      </c>
      <c r="W284" s="5">
        <v>46153</v>
      </c>
      <c r="X284" t="s">
        <v>227</v>
      </c>
      <c r="Y284">
        <v>25</v>
      </c>
      <c r="Z284" s="6">
        <v>121.5</v>
      </c>
      <c r="AA284" s="6">
        <v>0</v>
      </c>
      <c r="AB284" s="6">
        <v>0</v>
      </c>
      <c r="AC284" s="6">
        <v>21.65</v>
      </c>
      <c r="AD284" s="6">
        <v>143.15</v>
      </c>
      <c r="AH284" t="s">
        <v>200</v>
      </c>
      <c r="AI284" s="5">
        <v>46113</v>
      </c>
      <c r="AJ284" t="s">
        <v>123</v>
      </c>
      <c r="AK284">
        <v>655</v>
      </c>
      <c r="AL284" s="6">
        <v>2603.76999999999</v>
      </c>
      <c r="AM284" s="6">
        <v>0</v>
      </c>
      <c r="AN284" s="6">
        <v>0</v>
      </c>
      <c r="AO284" s="6">
        <v>103.63</v>
      </c>
      <c r="AP284" s="6">
        <v>2707.3999999999901</v>
      </c>
    </row>
    <row r="285" spans="2:42" ht="18.75">
      <c r="B285">
        <v>36</v>
      </c>
      <c r="C285" s="5">
        <v>45901</v>
      </c>
      <c r="D285" t="s">
        <v>119</v>
      </c>
      <c r="E285">
        <v>172</v>
      </c>
      <c r="F285" s="6">
        <v>638.68000000000097</v>
      </c>
      <c r="G285" s="6">
        <v>0</v>
      </c>
      <c r="H285" s="6">
        <v>12.09</v>
      </c>
      <c r="I285" s="6">
        <v>0</v>
      </c>
      <c r="J285" s="6">
        <v>638.68000000000097</v>
      </c>
      <c r="L285">
        <v>7</v>
      </c>
      <c r="M285" s="5">
        <v>46062</v>
      </c>
      <c r="N285" t="s">
        <v>163</v>
      </c>
      <c r="O285">
        <v>188</v>
      </c>
      <c r="P285" s="6">
        <v>355.23</v>
      </c>
      <c r="Q285" s="6">
        <v>0</v>
      </c>
      <c r="R285" s="6">
        <v>0</v>
      </c>
      <c r="S285" s="6">
        <v>23.77</v>
      </c>
      <c r="T285" s="6">
        <v>379</v>
      </c>
      <c r="V285">
        <v>20</v>
      </c>
      <c r="W285" s="5">
        <v>46153</v>
      </c>
      <c r="X285" t="s">
        <v>180</v>
      </c>
      <c r="Y285">
        <v>30</v>
      </c>
      <c r="Z285" s="6">
        <v>238.47</v>
      </c>
      <c r="AA285" s="6">
        <v>0</v>
      </c>
      <c r="AB285" s="6">
        <v>1.8</v>
      </c>
      <c r="AC285" s="6">
        <v>29.13</v>
      </c>
      <c r="AD285" s="6">
        <v>267.60000000000002</v>
      </c>
      <c r="AH285" t="s">
        <v>200</v>
      </c>
      <c r="AI285" s="5">
        <v>46113</v>
      </c>
      <c r="AJ285" t="s">
        <v>127</v>
      </c>
      <c r="AK285">
        <v>320</v>
      </c>
      <c r="AL285" s="6">
        <v>1612.02</v>
      </c>
      <c r="AM285" s="6">
        <v>0</v>
      </c>
      <c r="AN285" s="6">
        <v>0</v>
      </c>
      <c r="AO285" s="6">
        <v>25.69</v>
      </c>
      <c r="AP285" s="6">
        <v>1637.71</v>
      </c>
    </row>
    <row r="286" spans="2:42" ht="18.75">
      <c r="B286">
        <v>36</v>
      </c>
      <c r="C286" s="5">
        <v>45901</v>
      </c>
      <c r="D286" t="s">
        <v>111</v>
      </c>
      <c r="E286">
        <v>88</v>
      </c>
      <c r="F286" s="6">
        <v>357.39</v>
      </c>
      <c r="G286" s="6">
        <v>0</v>
      </c>
      <c r="H286" s="6">
        <v>11.05</v>
      </c>
      <c r="I286" s="6">
        <v>0</v>
      </c>
      <c r="J286" s="6">
        <v>357.39</v>
      </c>
      <c r="L286">
        <v>7</v>
      </c>
      <c r="M286" s="5">
        <v>46062</v>
      </c>
      <c r="N286" t="s">
        <v>173</v>
      </c>
      <c r="O286">
        <v>250</v>
      </c>
      <c r="P286" s="6">
        <v>1174.1400000000001</v>
      </c>
      <c r="Q286" s="6">
        <v>0</v>
      </c>
      <c r="R286" s="6">
        <v>0</v>
      </c>
      <c r="S286" s="6">
        <v>107.32</v>
      </c>
      <c r="T286" s="6">
        <v>1281.46000000001</v>
      </c>
      <c r="V286">
        <v>20</v>
      </c>
      <c r="W286" s="5">
        <v>46153</v>
      </c>
      <c r="X286" t="s">
        <v>202</v>
      </c>
      <c r="Y286">
        <v>78</v>
      </c>
      <c r="Z286" s="6">
        <v>234</v>
      </c>
      <c r="AA286" s="6">
        <v>0</v>
      </c>
      <c r="AB286" s="6">
        <v>0</v>
      </c>
      <c r="AC286" s="6">
        <v>0</v>
      </c>
      <c r="AD286" s="6">
        <v>234</v>
      </c>
      <c r="AH286" t="s">
        <v>200</v>
      </c>
      <c r="AI286" s="5">
        <v>46113</v>
      </c>
      <c r="AJ286" t="s">
        <v>132</v>
      </c>
      <c r="AK286">
        <v>285</v>
      </c>
      <c r="AL286" s="6">
        <v>1082.46</v>
      </c>
      <c r="AM286" s="6">
        <v>0</v>
      </c>
      <c r="AN286" s="6">
        <v>0</v>
      </c>
      <c r="AO286" s="6">
        <v>20.81</v>
      </c>
      <c r="AP286" s="6">
        <v>1103.27</v>
      </c>
    </row>
    <row r="287" spans="2:42" ht="18.75">
      <c r="B287">
        <v>36</v>
      </c>
      <c r="C287" s="5">
        <v>45901</v>
      </c>
      <c r="D287" t="s">
        <v>141</v>
      </c>
      <c r="E287">
        <v>227</v>
      </c>
      <c r="F287" s="6">
        <v>692.40000000000202</v>
      </c>
      <c r="G287" s="6">
        <v>0</v>
      </c>
      <c r="H287" s="6">
        <v>6.44</v>
      </c>
      <c r="I287" s="6">
        <v>0</v>
      </c>
      <c r="J287" s="6">
        <v>692.40000000000202</v>
      </c>
      <c r="L287">
        <v>7</v>
      </c>
      <c r="M287" s="5">
        <v>46062</v>
      </c>
      <c r="N287" t="s">
        <v>171</v>
      </c>
      <c r="O287">
        <v>190</v>
      </c>
      <c r="P287" s="6">
        <v>1114.68</v>
      </c>
      <c r="Q287" s="6">
        <v>0</v>
      </c>
      <c r="R287" s="6">
        <v>187.28</v>
      </c>
      <c r="S287" s="6">
        <v>148.27000000000001</v>
      </c>
      <c r="T287" s="6">
        <v>1262.95</v>
      </c>
      <c r="V287">
        <v>19</v>
      </c>
      <c r="W287" s="5">
        <v>46146</v>
      </c>
      <c r="X287" t="s">
        <v>183</v>
      </c>
      <c r="Y287">
        <v>363</v>
      </c>
      <c r="Z287" s="6">
        <v>747.91000000000201</v>
      </c>
      <c r="AA287" s="6">
        <v>0</v>
      </c>
      <c r="AB287" s="6">
        <v>0</v>
      </c>
      <c r="AC287" s="6">
        <v>66.03</v>
      </c>
      <c r="AD287" s="6">
        <v>813.94000000000199</v>
      </c>
      <c r="AH287" t="s">
        <v>200</v>
      </c>
      <c r="AI287" s="5">
        <v>46113</v>
      </c>
      <c r="AJ287" t="s">
        <v>148</v>
      </c>
      <c r="AK287">
        <v>95</v>
      </c>
      <c r="AL287" s="6">
        <v>503.56</v>
      </c>
      <c r="AM287" s="6">
        <v>0</v>
      </c>
      <c r="AN287" s="6">
        <v>0</v>
      </c>
      <c r="AO287" s="6">
        <v>22.33</v>
      </c>
      <c r="AP287" s="6">
        <v>525.89</v>
      </c>
    </row>
    <row r="288" spans="2:42" ht="18.75">
      <c r="B288">
        <v>36</v>
      </c>
      <c r="C288" s="5">
        <v>45901</v>
      </c>
      <c r="D288" t="s">
        <v>132</v>
      </c>
      <c r="E288">
        <v>74</v>
      </c>
      <c r="F288" s="6">
        <v>259.3</v>
      </c>
      <c r="G288" s="6">
        <v>0</v>
      </c>
      <c r="H288" s="6">
        <v>11.25</v>
      </c>
      <c r="I288" s="6">
        <v>0</v>
      </c>
      <c r="J288" s="6">
        <v>259.3</v>
      </c>
      <c r="L288">
        <v>7</v>
      </c>
      <c r="M288" s="5">
        <v>46062</v>
      </c>
      <c r="N288" t="s">
        <v>168</v>
      </c>
      <c r="O288">
        <v>329</v>
      </c>
      <c r="P288" s="6">
        <v>639.26</v>
      </c>
      <c r="Q288" s="6">
        <v>0</v>
      </c>
      <c r="R288" s="6">
        <v>0</v>
      </c>
      <c r="S288" s="6">
        <v>57.67</v>
      </c>
      <c r="T288" s="6">
        <v>696.93</v>
      </c>
      <c r="V288">
        <v>19</v>
      </c>
      <c r="W288" s="5">
        <v>46146</v>
      </c>
      <c r="X288" t="s">
        <v>179</v>
      </c>
      <c r="Y288">
        <v>771</v>
      </c>
      <c r="Z288" s="6">
        <v>4322.0099999999702</v>
      </c>
      <c r="AA288" s="6">
        <v>5.75</v>
      </c>
      <c r="AB288" s="6">
        <v>129.97</v>
      </c>
      <c r="AC288" s="6">
        <v>177.06</v>
      </c>
      <c r="AD288" s="6">
        <v>4493.3199999999697</v>
      </c>
      <c r="AH288" t="s">
        <v>200</v>
      </c>
      <c r="AI288" s="5">
        <v>46113</v>
      </c>
      <c r="AJ288" t="s">
        <v>145</v>
      </c>
      <c r="AK288">
        <v>181</v>
      </c>
      <c r="AL288" s="6">
        <v>1073.6500000000001</v>
      </c>
      <c r="AM288" s="6">
        <v>12.29</v>
      </c>
      <c r="AN288" s="6">
        <v>0</v>
      </c>
      <c r="AO288" s="6">
        <v>21.62</v>
      </c>
      <c r="AP288" s="6">
        <v>1082.98</v>
      </c>
    </row>
    <row r="289" spans="2:42" ht="18.75">
      <c r="B289">
        <v>36</v>
      </c>
      <c r="C289" s="5">
        <v>45901</v>
      </c>
      <c r="D289" t="s">
        <v>133</v>
      </c>
      <c r="E289">
        <v>90</v>
      </c>
      <c r="F289" s="6">
        <v>445.2</v>
      </c>
      <c r="G289" s="6">
        <v>0</v>
      </c>
      <c r="H289" s="6">
        <v>5.48</v>
      </c>
      <c r="I289" s="6">
        <v>7.37</v>
      </c>
      <c r="J289" s="6">
        <v>452.57</v>
      </c>
      <c r="L289">
        <v>7</v>
      </c>
      <c r="M289" s="5">
        <v>46062</v>
      </c>
      <c r="N289" t="s">
        <v>158</v>
      </c>
      <c r="O289">
        <v>115</v>
      </c>
      <c r="P289" s="6">
        <v>670.24</v>
      </c>
      <c r="Q289" s="6">
        <v>0</v>
      </c>
      <c r="R289" s="6">
        <v>14.54</v>
      </c>
      <c r="S289" s="6">
        <v>39.72</v>
      </c>
      <c r="T289" s="6">
        <v>709.96</v>
      </c>
      <c r="V289">
        <v>19</v>
      </c>
      <c r="W289" s="5">
        <v>46146</v>
      </c>
      <c r="X289" t="s">
        <v>185</v>
      </c>
      <c r="Y289">
        <v>214</v>
      </c>
      <c r="Z289" s="6">
        <v>990.24000000000399</v>
      </c>
      <c r="AA289" s="6">
        <v>0</v>
      </c>
      <c r="AB289" s="6">
        <v>0</v>
      </c>
      <c r="AC289" s="6">
        <v>72.78</v>
      </c>
      <c r="AD289" s="6">
        <v>1063.02</v>
      </c>
      <c r="AH289" t="s">
        <v>200</v>
      </c>
      <c r="AI289" s="5">
        <v>46113</v>
      </c>
      <c r="AJ289" t="s">
        <v>115</v>
      </c>
      <c r="AK289">
        <v>197</v>
      </c>
      <c r="AL289" s="6">
        <v>591</v>
      </c>
      <c r="AM289" s="6">
        <v>0</v>
      </c>
      <c r="AN289" s="6">
        <v>0</v>
      </c>
      <c r="AO289" s="6">
        <v>0</v>
      </c>
      <c r="AP289" s="6">
        <v>591</v>
      </c>
    </row>
    <row r="290" spans="2:42" ht="18.75">
      <c r="B290">
        <v>36</v>
      </c>
      <c r="C290" s="5">
        <v>45901</v>
      </c>
      <c r="D290" t="s">
        <v>126</v>
      </c>
      <c r="E290">
        <v>29</v>
      </c>
      <c r="F290" s="6">
        <v>111.93</v>
      </c>
      <c r="G290" s="6">
        <v>0</v>
      </c>
      <c r="H290" s="6">
        <v>0.99</v>
      </c>
      <c r="I290" s="6">
        <v>0</v>
      </c>
      <c r="J290" s="6">
        <v>111.93</v>
      </c>
      <c r="L290">
        <v>7</v>
      </c>
      <c r="M290" s="5">
        <v>46062</v>
      </c>
      <c r="N290" t="s">
        <v>174</v>
      </c>
      <c r="O290">
        <v>179</v>
      </c>
      <c r="P290" s="6">
        <v>1020.43</v>
      </c>
      <c r="Q290" s="6">
        <v>0</v>
      </c>
      <c r="R290" s="6">
        <v>124.04</v>
      </c>
      <c r="S290" s="6">
        <v>90.63</v>
      </c>
      <c r="T290" s="6">
        <v>1111.06</v>
      </c>
      <c r="V290">
        <v>19</v>
      </c>
      <c r="W290" s="5">
        <v>46146</v>
      </c>
      <c r="X290" t="s">
        <v>182</v>
      </c>
      <c r="Y290">
        <v>1109</v>
      </c>
      <c r="Z290" s="6">
        <v>2765.9000000000101</v>
      </c>
      <c r="AA290" s="6">
        <v>9.4499999999999993</v>
      </c>
      <c r="AB290" s="6">
        <v>38.58</v>
      </c>
      <c r="AC290" s="6">
        <v>86.9</v>
      </c>
      <c r="AD290" s="6">
        <v>2843.3500000000099</v>
      </c>
      <c r="AH290" t="s">
        <v>200</v>
      </c>
      <c r="AI290" s="5">
        <v>46113</v>
      </c>
      <c r="AJ290" t="s">
        <v>116</v>
      </c>
      <c r="AK290">
        <v>133</v>
      </c>
      <c r="AL290" s="6">
        <v>466.48</v>
      </c>
      <c r="AM290" s="6">
        <v>0</v>
      </c>
      <c r="AN290" s="6">
        <v>0</v>
      </c>
      <c r="AO290" s="6">
        <v>6.26</v>
      </c>
      <c r="AP290" s="6">
        <v>472.74</v>
      </c>
    </row>
    <row r="291" spans="2:42" ht="18.75">
      <c r="B291">
        <v>36</v>
      </c>
      <c r="C291" s="5">
        <v>45901</v>
      </c>
      <c r="D291" t="s">
        <v>122</v>
      </c>
      <c r="E291">
        <v>76</v>
      </c>
      <c r="F291" s="6">
        <v>362.32</v>
      </c>
      <c r="G291" s="6">
        <v>5.98</v>
      </c>
      <c r="H291" s="6">
        <v>0</v>
      </c>
      <c r="I291" s="6">
        <v>0</v>
      </c>
      <c r="J291" s="6">
        <v>356.34</v>
      </c>
      <c r="L291">
        <v>7</v>
      </c>
      <c r="M291" s="5">
        <v>46062</v>
      </c>
      <c r="N291" t="s">
        <v>164</v>
      </c>
      <c r="O291">
        <v>8</v>
      </c>
      <c r="P291" s="6">
        <v>30</v>
      </c>
      <c r="Q291" s="6">
        <v>0</v>
      </c>
      <c r="R291" s="6">
        <v>0</v>
      </c>
      <c r="S291" s="6">
        <v>0</v>
      </c>
      <c r="T291" s="6">
        <v>30</v>
      </c>
      <c r="V291">
        <v>19</v>
      </c>
      <c r="W291" s="5">
        <v>46146</v>
      </c>
      <c r="X291" t="s">
        <v>178</v>
      </c>
      <c r="Y291">
        <v>306</v>
      </c>
      <c r="Z291" s="6">
        <v>2819.76</v>
      </c>
      <c r="AA291" s="6">
        <v>9.9</v>
      </c>
      <c r="AB291" s="6">
        <v>60.08</v>
      </c>
      <c r="AC291" s="6">
        <v>70.86</v>
      </c>
      <c r="AD291" s="6">
        <v>2880.72</v>
      </c>
      <c r="AH291" t="s">
        <v>200</v>
      </c>
      <c r="AI291" s="5">
        <v>46113</v>
      </c>
      <c r="AJ291" t="s">
        <v>142</v>
      </c>
      <c r="AK291">
        <v>174</v>
      </c>
      <c r="AL291" s="6">
        <v>808.41000000000099</v>
      </c>
      <c r="AM291" s="6">
        <v>0</v>
      </c>
      <c r="AN291" s="6">
        <v>0</v>
      </c>
      <c r="AO291" s="6">
        <v>19.22</v>
      </c>
      <c r="AP291" s="6">
        <v>827.63000000000102</v>
      </c>
    </row>
    <row r="292" spans="2:42" ht="18.75">
      <c r="B292">
        <v>36</v>
      </c>
      <c r="C292" s="5">
        <v>45901</v>
      </c>
      <c r="D292" t="s">
        <v>116</v>
      </c>
      <c r="E292">
        <v>56</v>
      </c>
      <c r="F292" s="6">
        <v>194.45</v>
      </c>
      <c r="G292" s="6">
        <v>0</v>
      </c>
      <c r="H292" s="6">
        <v>0.74</v>
      </c>
      <c r="I292" s="6">
        <v>0</v>
      </c>
      <c r="J292" s="6">
        <v>194.45</v>
      </c>
      <c r="L292">
        <v>7</v>
      </c>
      <c r="M292" s="5">
        <v>46062</v>
      </c>
      <c r="N292" t="s">
        <v>170</v>
      </c>
      <c r="O292">
        <v>14</v>
      </c>
      <c r="P292" s="6">
        <v>48.96</v>
      </c>
      <c r="Q292" s="6">
        <v>3.6</v>
      </c>
      <c r="R292" s="6">
        <v>0</v>
      </c>
      <c r="S292" s="6">
        <v>1.44</v>
      </c>
      <c r="T292" s="6">
        <v>46.8</v>
      </c>
      <c r="V292">
        <v>19</v>
      </c>
      <c r="W292" s="5">
        <v>46146</v>
      </c>
      <c r="X292" t="s">
        <v>181</v>
      </c>
      <c r="Y292">
        <v>272</v>
      </c>
      <c r="Z292" s="6">
        <v>1961.75</v>
      </c>
      <c r="AA292" s="6">
        <v>0</v>
      </c>
      <c r="AB292" s="6">
        <v>207.12</v>
      </c>
      <c r="AC292" s="6">
        <v>252.17</v>
      </c>
      <c r="AD292" s="6">
        <v>2213.92</v>
      </c>
      <c r="AH292" t="s">
        <v>200</v>
      </c>
      <c r="AI292" s="5">
        <v>46113</v>
      </c>
      <c r="AJ292" t="s">
        <v>125</v>
      </c>
      <c r="AK292">
        <v>54</v>
      </c>
      <c r="AL292" s="6">
        <v>245.65</v>
      </c>
      <c r="AM292" s="6">
        <v>0</v>
      </c>
      <c r="AN292" s="6">
        <v>0</v>
      </c>
      <c r="AO292" s="6">
        <v>11.65</v>
      </c>
      <c r="AP292" s="6">
        <v>257.3</v>
      </c>
    </row>
    <row r="293" spans="2:42" ht="18.75">
      <c r="B293">
        <v>36</v>
      </c>
      <c r="C293" s="5">
        <v>45901</v>
      </c>
      <c r="D293" t="s">
        <v>138</v>
      </c>
      <c r="E293">
        <v>113</v>
      </c>
      <c r="F293" s="6">
        <v>637.12000000000103</v>
      </c>
      <c r="G293" s="6">
        <v>0</v>
      </c>
      <c r="H293" s="6">
        <v>5.64</v>
      </c>
      <c r="I293" s="6">
        <v>0</v>
      </c>
      <c r="J293" s="6">
        <v>637.12000000000103</v>
      </c>
      <c r="L293">
        <v>7</v>
      </c>
      <c r="M293" s="5">
        <v>46062</v>
      </c>
      <c r="N293" t="s">
        <v>176</v>
      </c>
      <c r="O293">
        <v>108</v>
      </c>
      <c r="P293" s="6">
        <v>236.76</v>
      </c>
      <c r="Q293" s="6">
        <v>0</v>
      </c>
      <c r="R293" s="6">
        <v>0</v>
      </c>
      <c r="S293" s="6">
        <v>6.8</v>
      </c>
      <c r="T293" s="6">
        <v>243.56</v>
      </c>
      <c r="V293">
        <v>19</v>
      </c>
      <c r="W293" s="5">
        <v>46146</v>
      </c>
      <c r="X293" t="s">
        <v>227</v>
      </c>
      <c r="Y293">
        <v>29</v>
      </c>
      <c r="Z293" s="6">
        <v>116.4</v>
      </c>
      <c r="AA293" s="6">
        <v>0</v>
      </c>
      <c r="AB293" s="6">
        <v>0</v>
      </c>
      <c r="AC293" s="6">
        <v>3.2</v>
      </c>
      <c r="AD293" s="6">
        <v>119.6</v>
      </c>
      <c r="AH293" t="s">
        <v>200</v>
      </c>
      <c r="AI293" s="5">
        <v>46113</v>
      </c>
      <c r="AJ293" t="s">
        <v>112</v>
      </c>
      <c r="AK293">
        <v>85</v>
      </c>
      <c r="AL293" s="6">
        <v>262.27</v>
      </c>
      <c r="AM293" s="6">
        <v>0</v>
      </c>
      <c r="AN293" s="6">
        <v>0</v>
      </c>
      <c r="AO293" s="6">
        <v>10.78</v>
      </c>
      <c r="AP293" s="6">
        <v>273.05</v>
      </c>
    </row>
    <row r="294" spans="2:42" ht="18.75">
      <c r="B294">
        <v>36</v>
      </c>
      <c r="C294" s="5">
        <v>45901</v>
      </c>
      <c r="D294" t="s">
        <v>127</v>
      </c>
      <c r="E294">
        <v>64</v>
      </c>
      <c r="F294" s="6">
        <v>317.35000000000002</v>
      </c>
      <c r="G294" s="6">
        <v>0</v>
      </c>
      <c r="H294" s="6">
        <v>3.16</v>
      </c>
      <c r="I294" s="6">
        <v>0</v>
      </c>
      <c r="J294" s="6">
        <v>317.35000000000002</v>
      </c>
      <c r="L294">
        <v>7</v>
      </c>
      <c r="M294" s="5">
        <v>46062</v>
      </c>
      <c r="N294" t="s">
        <v>201</v>
      </c>
      <c r="O294">
        <v>27</v>
      </c>
      <c r="P294" s="6">
        <v>117.55</v>
      </c>
      <c r="Q294" s="6">
        <v>0</v>
      </c>
      <c r="R294" s="6">
        <v>5.95</v>
      </c>
      <c r="S294" s="6">
        <v>4.75</v>
      </c>
      <c r="T294" s="6">
        <v>122.3</v>
      </c>
      <c r="V294">
        <v>19</v>
      </c>
      <c r="W294" s="5">
        <v>46146</v>
      </c>
      <c r="X294" t="s">
        <v>184</v>
      </c>
      <c r="Y294">
        <v>311</v>
      </c>
      <c r="Z294" s="6">
        <v>600.79999999999905</v>
      </c>
      <c r="AA294" s="6">
        <v>4</v>
      </c>
      <c r="AB294" s="6">
        <v>0</v>
      </c>
      <c r="AC294" s="6">
        <v>91.13</v>
      </c>
      <c r="AD294" s="6">
        <v>687.92999999999904</v>
      </c>
      <c r="AH294" t="s">
        <v>200</v>
      </c>
      <c r="AI294" s="5">
        <v>46113</v>
      </c>
      <c r="AJ294" t="s">
        <v>131</v>
      </c>
      <c r="AK294">
        <v>99</v>
      </c>
      <c r="AL294" s="6">
        <v>412.92</v>
      </c>
      <c r="AM294" s="6">
        <v>0</v>
      </c>
      <c r="AN294" s="6">
        <v>0</v>
      </c>
      <c r="AO294" s="6">
        <v>16.829999999999998</v>
      </c>
      <c r="AP294" s="6">
        <v>429.75</v>
      </c>
    </row>
    <row r="295" spans="2:42" ht="18.75">
      <c r="B295">
        <v>36</v>
      </c>
      <c r="C295" s="5">
        <v>45901</v>
      </c>
      <c r="D295" t="s">
        <v>149</v>
      </c>
      <c r="E295">
        <v>49</v>
      </c>
      <c r="F295" s="6">
        <v>199.5</v>
      </c>
      <c r="G295" s="6">
        <v>0</v>
      </c>
      <c r="H295" s="6">
        <v>1.2</v>
      </c>
      <c r="I295" s="6">
        <v>0</v>
      </c>
      <c r="J295" s="6">
        <v>199.5</v>
      </c>
      <c r="L295">
        <v>7</v>
      </c>
      <c r="M295" s="5">
        <v>46062</v>
      </c>
      <c r="N295" t="s">
        <v>165</v>
      </c>
      <c r="O295">
        <v>41</v>
      </c>
      <c r="P295" s="6">
        <v>331.85</v>
      </c>
      <c r="Q295" s="6">
        <v>8.99</v>
      </c>
      <c r="R295" s="6">
        <v>0</v>
      </c>
      <c r="S295" s="6">
        <v>46.76</v>
      </c>
      <c r="T295" s="6">
        <v>369.62</v>
      </c>
      <c r="V295">
        <v>19</v>
      </c>
      <c r="W295" s="5">
        <v>46146</v>
      </c>
      <c r="X295" t="s">
        <v>180</v>
      </c>
      <c r="Y295">
        <v>33</v>
      </c>
      <c r="Z295" s="6">
        <v>280.23</v>
      </c>
      <c r="AA295" s="6">
        <v>0</v>
      </c>
      <c r="AB295" s="6">
        <v>0</v>
      </c>
      <c r="AC295" s="6">
        <v>15.72</v>
      </c>
      <c r="AD295" s="6">
        <v>295.95</v>
      </c>
      <c r="AH295" t="s">
        <v>200</v>
      </c>
      <c r="AI295" s="5">
        <v>46113</v>
      </c>
      <c r="AJ295" t="s">
        <v>144</v>
      </c>
      <c r="AK295">
        <v>236</v>
      </c>
      <c r="AL295" s="6">
        <v>995.58</v>
      </c>
      <c r="AM295" s="6">
        <v>0</v>
      </c>
      <c r="AN295" s="6">
        <v>0</v>
      </c>
      <c r="AO295" s="6">
        <v>21</v>
      </c>
      <c r="AP295" s="6">
        <v>1016.58</v>
      </c>
    </row>
    <row r="296" spans="2:42" ht="18.75">
      <c r="B296">
        <v>36</v>
      </c>
      <c r="C296" s="5">
        <v>45901</v>
      </c>
      <c r="D296" t="s">
        <v>145</v>
      </c>
      <c r="E296">
        <v>89</v>
      </c>
      <c r="F296" s="6">
        <v>525.04</v>
      </c>
      <c r="G296" s="6">
        <v>0</v>
      </c>
      <c r="H296" s="6">
        <v>2.59</v>
      </c>
      <c r="I296" s="6">
        <v>0</v>
      </c>
      <c r="J296" s="6">
        <v>525.04</v>
      </c>
      <c r="L296">
        <v>7</v>
      </c>
      <c r="M296" s="5">
        <v>46062</v>
      </c>
      <c r="N296" t="s">
        <v>172</v>
      </c>
      <c r="O296">
        <v>38</v>
      </c>
      <c r="P296" s="6">
        <v>116</v>
      </c>
      <c r="Q296" s="6">
        <v>0</v>
      </c>
      <c r="R296" s="6">
        <v>0</v>
      </c>
      <c r="S296" s="6">
        <v>6.4</v>
      </c>
      <c r="T296" s="6">
        <v>122.4</v>
      </c>
      <c r="V296">
        <v>19</v>
      </c>
      <c r="W296" s="5">
        <v>46146</v>
      </c>
      <c r="X296" t="s">
        <v>202</v>
      </c>
      <c r="Y296">
        <v>67</v>
      </c>
      <c r="Z296" s="6">
        <v>201</v>
      </c>
      <c r="AA296" s="6">
        <v>0</v>
      </c>
      <c r="AB296" s="6">
        <v>0</v>
      </c>
      <c r="AC296" s="6">
        <v>0</v>
      </c>
      <c r="AD296" s="6">
        <v>201</v>
      </c>
      <c r="AH296" t="s">
        <v>203</v>
      </c>
      <c r="AI296" s="5">
        <v>46143</v>
      </c>
      <c r="AJ296" t="s">
        <v>115</v>
      </c>
      <c r="AK296">
        <v>305</v>
      </c>
      <c r="AL296" s="6">
        <v>915</v>
      </c>
      <c r="AM296" s="6">
        <v>0</v>
      </c>
      <c r="AN296" s="6">
        <v>0</v>
      </c>
      <c r="AO296" s="6">
        <v>0</v>
      </c>
      <c r="AP296" s="6">
        <v>915</v>
      </c>
    </row>
    <row r="297" spans="2:42" ht="18.75">
      <c r="B297">
        <v>36</v>
      </c>
      <c r="C297" s="5">
        <v>45901</v>
      </c>
      <c r="D297" t="s">
        <v>114</v>
      </c>
      <c r="E297">
        <v>54</v>
      </c>
      <c r="F297" s="6">
        <v>239.49</v>
      </c>
      <c r="G297" s="6">
        <v>0</v>
      </c>
      <c r="H297" s="6">
        <v>6.73</v>
      </c>
      <c r="I297" s="6">
        <v>82.3</v>
      </c>
      <c r="J297" s="6">
        <v>321.79000000000002</v>
      </c>
      <c r="L297">
        <v>8</v>
      </c>
      <c r="M297" s="5">
        <v>46069</v>
      </c>
      <c r="N297" t="s">
        <v>168</v>
      </c>
      <c r="O297">
        <v>252</v>
      </c>
      <c r="P297" s="6">
        <v>469.73</v>
      </c>
      <c r="Q297" s="6">
        <v>0</v>
      </c>
      <c r="R297" s="6">
        <v>4.8899999999999997</v>
      </c>
      <c r="S297" s="6">
        <v>53.99</v>
      </c>
      <c r="T297" s="6">
        <v>523.72</v>
      </c>
      <c r="V297">
        <v>22</v>
      </c>
      <c r="W297" s="5">
        <v>46167</v>
      </c>
      <c r="X297" t="s">
        <v>182</v>
      </c>
      <c r="Y297">
        <v>930</v>
      </c>
      <c r="Z297" s="6">
        <v>2344.28999999999</v>
      </c>
      <c r="AA297" s="6">
        <v>0</v>
      </c>
      <c r="AB297" s="6">
        <v>39.39</v>
      </c>
      <c r="AC297" s="6">
        <v>78.77</v>
      </c>
      <c r="AD297" s="6">
        <v>2423.0599999999899</v>
      </c>
      <c r="AH297" t="s">
        <v>203</v>
      </c>
      <c r="AI297" s="5">
        <v>46143</v>
      </c>
      <c r="AJ297" t="s">
        <v>127</v>
      </c>
      <c r="AK297">
        <v>250</v>
      </c>
      <c r="AL297" s="6">
        <v>1282.32</v>
      </c>
      <c r="AM297" s="6">
        <v>0</v>
      </c>
      <c r="AN297" s="6">
        <v>0</v>
      </c>
      <c r="AO297" s="6">
        <v>25.97</v>
      </c>
      <c r="AP297" s="6">
        <v>1308.29</v>
      </c>
    </row>
    <row r="298" spans="2:42" ht="18.75">
      <c r="B298">
        <v>36</v>
      </c>
      <c r="C298" s="5">
        <v>45901</v>
      </c>
      <c r="D298" t="s">
        <v>146</v>
      </c>
      <c r="E298">
        <v>175</v>
      </c>
      <c r="F298" s="6">
        <v>909.71000000000095</v>
      </c>
      <c r="G298" s="6">
        <v>19.350000000000001</v>
      </c>
      <c r="H298" s="6">
        <v>8.7100000000000009</v>
      </c>
      <c r="I298" s="6">
        <v>0</v>
      </c>
      <c r="J298" s="6">
        <v>890.36000000000104</v>
      </c>
      <c r="L298">
        <v>8</v>
      </c>
      <c r="M298" s="5">
        <v>46069</v>
      </c>
      <c r="N298" t="s">
        <v>169</v>
      </c>
      <c r="O298">
        <v>1130</v>
      </c>
      <c r="P298" s="6">
        <v>3045.2400000000198</v>
      </c>
      <c r="Q298" s="6">
        <v>0</v>
      </c>
      <c r="R298" s="6">
        <v>24.26</v>
      </c>
      <c r="S298" s="6">
        <v>83.4</v>
      </c>
      <c r="T298" s="6">
        <v>3128.6400000000199</v>
      </c>
      <c r="V298">
        <v>22</v>
      </c>
      <c r="W298" s="5">
        <v>46167</v>
      </c>
      <c r="X298" t="s">
        <v>178</v>
      </c>
      <c r="Y298">
        <v>307</v>
      </c>
      <c r="Z298" s="6">
        <v>2813.16</v>
      </c>
      <c r="AA298" s="6">
        <v>0</v>
      </c>
      <c r="AB298" s="6">
        <v>82.97</v>
      </c>
      <c r="AC298" s="6">
        <v>92.48</v>
      </c>
      <c r="AD298" s="6">
        <v>2905.64</v>
      </c>
      <c r="AH298" t="s">
        <v>203</v>
      </c>
      <c r="AI298" s="5">
        <v>46143</v>
      </c>
      <c r="AJ298" t="s">
        <v>121</v>
      </c>
      <c r="AK298">
        <v>219</v>
      </c>
      <c r="AL298" s="6">
        <v>670.22000000000105</v>
      </c>
      <c r="AM298" s="6">
        <v>8.99</v>
      </c>
      <c r="AN298" s="6">
        <v>0</v>
      </c>
      <c r="AO298" s="6">
        <v>17.98</v>
      </c>
      <c r="AP298" s="6">
        <v>679.21000000000095</v>
      </c>
    </row>
    <row r="299" spans="2:42" ht="18.75">
      <c r="B299">
        <v>36</v>
      </c>
      <c r="C299" s="5">
        <v>45901</v>
      </c>
      <c r="D299" t="s">
        <v>113</v>
      </c>
      <c r="E299">
        <v>91</v>
      </c>
      <c r="F299" s="6">
        <v>320.31</v>
      </c>
      <c r="G299" s="6">
        <v>0</v>
      </c>
      <c r="H299" s="6">
        <v>0</v>
      </c>
      <c r="I299" s="6">
        <v>36.36</v>
      </c>
      <c r="J299" s="6">
        <v>356.67</v>
      </c>
      <c r="L299">
        <v>8</v>
      </c>
      <c r="M299" s="5">
        <v>46069</v>
      </c>
      <c r="N299" t="s">
        <v>158</v>
      </c>
      <c r="O299">
        <v>100</v>
      </c>
      <c r="P299" s="6">
        <v>604.11</v>
      </c>
      <c r="Q299" s="6">
        <v>0</v>
      </c>
      <c r="R299" s="6">
        <v>15.47</v>
      </c>
      <c r="S299" s="6">
        <v>10.42</v>
      </c>
      <c r="T299" s="6">
        <v>614.53</v>
      </c>
      <c r="V299">
        <v>22</v>
      </c>
      <c r="W299" s="5">
        <v>46167</v>
      </c>
      <c r="X299" t="s">
        <v>184</v>
      </c>
      <c r="Y299">
        <v>478</v>
      </c>
      <c r="Z299" s="6">
        <v>978.38</v>
      </c>
      <c r="AA299" s="6">
        <v>3.05</v>
      </c>
      <c r="AB299" s="6">
        <v>1.1000000000000001</v>
      </c>
      <c r="AC299" s="6">
        <v>107.88</v>
      </c>
      <c r="AD299" s="6">
        <v>1083.21</v>
      </c>
      <c r="AH299" t="s">
        <v>203</v>
      </c>
      <c r="AI299" s="5">
        <v>46143</v>
      </c>
      <c r="AJ299" t="s">
        <v>124</v>
      </c>
      <c r="AK299">
        <v>565</v>
      </c>
      <c r="AL299" s="6">
        <v>2082.12</v>
      </c>
      <c r="AM299" s="6">
        <v>0</v>
      </c>
      <c r="AN299" s="6">
        <v>0</v>
      </c>
      <c r="AO299" s="6">
        <v>30.03</v>
      </c>
      <c r="AP299" s="6">
        <v>2112.15</v>
      </c>
    </row>
    <row r="300" spans="2:42" ht="18.75">
      <c r="B300">
        <v>36</v>
      </c>
      <c r="C300" s="5">
        <v>45901</v>
      </c>
      <c r="D300" t="s">
        <v>142</v>
      </c>
      <c r="E300">
        <v>34</v>
      </c>
      <c r="F300" s="6">
        <v>132.24</v>
      </c>
      <c r="G300" s="6">
        <v>0</v>
      </c>
      <c r="H300" s="6">
        <v>5.26</v>
      </c>
      <c r="I300" s="6">
        <v>0</v>
      </c>
      <c r="J300" s="6">
        <v>132.24</v>
      </c>
      <c r="L300">
        <v>8</v>
      </c>
      <c r="M300" s="5">
        <v>46069</v>
      </c>
      <c r="N300" t="s">
        <v>173</v>
      </c>
      <c r="O300">
        <v>194</v>
      </c>
      <c r="P300" s="6">
        <v>932.05000000000302</v>
      </c>
      <c r="Q300" s="6">
        <v>0</v>
      </c>
      <c r="R300" s="6">
        <v>0</v>
      </c>
      <c r="S300" s="6">
        <v>59.25</v>
      </c>
      <c r="T300" s="6">
        <v>991.30000000000302</v>
      </c>
      <c r="V300">
        <v>22</v>
      </c>
      <c r="W300" s="5">
        <v>46167</v>
      </c>
      <c r="X300" t="s">
        <v>183</v>
      </c>
      <c r="Y300">
        <v>396</v>
      </c>
      <c r="Z300" s="6">
        <v>779.550000000002</v>
      </c>
      <c r="AA300" s="6">
        <v>0</v>
      </c>
      <c r="AB300" s="6">
        <v>22.92</v>
      </c>
      <c r="AC300" s="6">
        <v>63.79</v>
      </c>
      <c r="AD300" s="6">
        <v>843.34000000000196</v>
      </c>
      <c r="AH300" t="s">
        <v>203</v>
      </c>
      <c r="AI300" s="5">
        <v>46143</v>
      </c>
      <c r="AJ300" t="s">
        <v>147</v>
      </c>
      <c r="AK300">
        <v>428</v>
      </c>
      <c r="AL300" s="6">
        <v>2126.34</v>
      </c>
      <c r="AM300" s="6">
        <v>0</v>
      </c>
      <c r="AN300" s="6">
        <v>0</v>
      </c>
      <c r="AO300" s="6">
        <v>49.37</v>
      </c>
      <c r="AP300" s="6">
        <v>2175.71</v>
      </c>
    </row>
    <row r="301" spans="2:42" ht="18.75">
      <c r="B301">
        <v>36</v>
      </c>
      <c r="C301" s="5">
        <v>45901</v>
      </c>
      <c r="D301" t="s">
        <v>135</v>
      </c>
      <c r="E301">
        <v>27</v>
      </c>
      <c r="F301" s="6">
        <v>58.42</v>
      </c>
      <c r="G301" s="6">
        <v>0</v>
      </c>
      <c r="H301" s="6">
        <v>2.35</v>
      </c>
      <c r="I301" s="6">
        <v>17.8</v>
      </c>
      <c r="J301" s="6">
        <v>76.22</v>
      </c>
      <c r="L301">
        <v>8</v>
      </c>
      <c r="M301" s="5">
        <v>46069</v>
      </c>
      <c r="N301" t="s">
        <v>176</v>
      </c>
      <c r="O301">
        <v>112</v>
      </c>
      <c r="P301" s="6">
        <v>239.21</v>
      </c>
      <c r="Q301" s="6">
        <v>0</v>
      </c>
      <c r="R301" s="6">
        <v>0</v>
      </c>
      <c r="S301" s="6">
        <v>11.89</v>
      </c>
      <c r="T301" s="6">
        <v>251.1</v>
      </c>
      <c r="V301">
        <v>22</v>
      </c>
      <c r="W301" s="5">
        <v>46167</v>
      </c>
      <c r="X301" t="s">
        <v>179</v>
      </c>
      <c r="Y301">
        <v>656</v>
      </c>
      <c r="Z301" s="6">
        <v>3706.4499999999698</v>
      </c>
      <c r="AA301" s="6">
        <v>5.99</v>
      </c>
      <c r="AB301" s="6">
        <v>141.06</v>
      </c>
      <c r="AC301" s="6">
        <v>138.81</v>
      </c>
      <c r="AD301" s="6">
        <v>3839.26999999997</v>
      </c>
      <c r="AH301" t="s">
        <v>203</v>
      </c>
      <c r="AI301" s="5">
        <v>46143</v>
      </c>
      <c r="AJ301" t="s">
        <v>143</v>
      </c>
      <c r="AK301">
        <v>1813</v>
      </c>
      <c r="AL301" s="6">
        <v>8063.0899999999101</v>
      </c>
      <c r="AM301" s="6">
        <v>15.15</v>
      </c>
      <c r="AN301" s="6">
        <v>0</v>
      </c>
      <c r="AO301" s="6">
        <v>70.150000000000006</v>
      </c>
      <c r="AP301" s="6">
        <v>8118.0899999999101</v>
      </c>
    </row>
    <row r="302" spans="2:42" ht="18.75">
      <c r="B302">
        <v>36</v>
      </c>
      <c r="C302" s="5">
        <v>45901</v>
      </c>
      <c r="D302" t="s">
        <v>137</v>
      </c>
      <c r="E302">
        <v>15</v>
      </c>
      <c r="F302" s="6">
        <v>44.09</v>
      </c>
      <c r="G302" s="6">
        <v>0</v>
      </c>
      <c r="H302" s="6">
        <v>1.1399999999999999</v>
      </c>
      <c r="I302" s="6">
        <v>25.98</v>
      </c>
      <c r="J302" s="6">
        <v>70.069999999999993</v>
      </c>
      <c r="L302">
        <v>8</v>
      </c>
      <c r="M302" s="5">
        <v>46069</v>
      </c>
      <c r="N302" t="s">
        <v>160</v>
      </c>
      <c r="O302">
        <v>822</v>
      </c>
      <c r="P302" s="6">
        <v>5458.0199999999404</v>
      </c>
      <c r="Q302" s="6">
        <v>0</v>
      </c>
      <c r="R302" s="6">
        <v>166.24</v>
      </c>
      <c r="S302" s="6">
        <v>194.66</v>
      </c>
      <c r="T302" s="6">
        <v>5652.6799999999403</v>
      </c>
      <c r="V302">
        <v>22</v>
      </c>
      <c r="W302" s="5">
        <v>46167</v>
      </c>
      <c r="X302" t="s">
        <v>180</v>
      </c>
      <c r="Y302">
        <v>37</v>
      </c>
      <c r="Z302" s="6">
        <v>324.87</v>
      </c>
      <c r="AA302" s="6">
        <v>0</v>
      </c>
      <c r="AB302" s="6">
        <v>0</v>
      </c>
      <c r="AC302" s="6">
        <v>11.4</v>
      </c>
      <c r="AD302" s="6">
        <v>336.27</v>
      </c>
      <c r="AH302" t="s">
        <v>203</v>
      </c>
      <c r="AI302" s="5">
        <v>46143</v>
      </c>
      <c r="AJ302" t="s">
        <v>123</v>
      </c>
      <c r="AK302">
        <v>678</v>
      </c>
      <c r="AL302" s="6">
        <v>2639.94</v>
      </c>
      <c r="AM302" s="6">
        <v>12.29</v>
      </c>
      <c r="AN302" s="6">
        <v>0</v>
      </c>
      <c r="AO302" s="6">
        <v>54.22</v>
      </c>
      <c r="AP302" s="6">
        <v>2681.87</v>
      </c>
    </row>
    <row r="303" spans="2:42" ht="18.75">
      <c r="B303">
        <v>36</v>
      </c>
      <c r="C303" s="5">
        <v>45901</v>
      </c>
      <c r="D303" t="s">
        <v>150</v>
      </c>
      <c r="E303">
        <v>25</v>
      </c>
      <c r="F303" s="6">
        <v>136.19999999999999</v>
      </c>
      <c r="G303" s="6">
        <v>0</v>
      </c>
      <c r="H303" s="6">
        <v>0</v>
      </c>
      <c r="I303" s="6">
        <v>0</v>
      </c>
      <c r="J303" s="6">
        <v>136.19999999999999</v>
      </c>
      <c r="L303">
        <v>8</v>
      </c>
      <c r="M303" s="5">
        <v>46069</v>
      </c>
      <c r="N303" t="s">
        <v>198</v>
      </c>
      <c r="O303">
        <v>47</v>
      </c>
      <c r="P303" s="6">
        <v>322.97000000000003</v>
      </c>
      <c r="Q303" s="6">
        <v>0</v>
      </c>
      <c r="R303" s="6">
        <v>61.75</v>
      </c>
      <c r="S303" s="6">
        <v>61.78</v>
      </c>
      <c r="T303" s="6">
        <v>384.75</v>
      </c>
      <c r="V303">
        <v>22</v>
      </c>
      <c r="W303" s="5">
        <v>46167</v>
      </c>
      <c r="X303" t="s">
        <v>185</v>
      </c>
      <c r="Y303">
        <v>126</v>
      </c>
      <c r="Z303" s="6">
        <v>605.32000000000005</v>
      </c>
      <c r="AA303" s="6">
        <v>0</v>
      </c>
      <c r="AB303" s="6">
        <v>0</v>
      </c>
      <c r="AC303" s="6">
        <v>28.34</v>
      </c>
      <c r="AD303" s="6">
        <v>633.66</v>
      </c>
      <c r="AH303" t="s">
        <v>203</v>
      </c>
      <c r="AI303" s="5">
        <v>46143</v>
      </c>
      <c r="AJ303" t="s">
        <v>118</v>
      </c>
      <c r="AK303">
        <v>237</v>
      </c>
      <c r="AL303" s="6">
        <v>878.64000000000101</v>
      </c>
      <c r="AM303" s="6">
        <v>5.99</v>
      </c>
      <c r="AN303" s="6">
        <v>0</v>
      </c>
      <c r="AO303" s="6">
        <v>28.73</v>
      </c>
      <c r="AP303" s="6">
        <v>901.38000000000102</v>
      </c>
    </row>
    <row r="304" spans="2:42" ht="18.75">
      <c r="B304">
        <v>36</v>
      </c>
      <c r="C304" s="5">
        <v>45901</v>
      </c>
      <c r="D304" t="s">
        <v>125</v>
      </c>
      <c r="E304">
        <v>18</v>
      </c>
      <c r="F304" s="6">
        <v>70.31</v>
      </c>
      <c r="G304" s="6">
        <v>0</v>
      </c>
      <c r="H304" s="6">
        <v>4.96</v>
      </c>
      <c r="I304" s="6">
        <v>0</v>
      </c>
      <c r="J304" s="6">
        <v>70.31</v>
      </c>
      <c r="L304">
        <v>8</v>
      </c>
      <c r="M304" s="5">
        <v>46069</v>
      </c>
      <c r="N304" t="s">
        <v>163</v>
      </c>
      <c r="O304">
        <v>223</v>
      </c>
      <c r="P304" s="6">
        <v>426.6</v>
      </c>
      <c r="Q304" s="6">
        <v>0</v>
      </c>
      <c r="R304" s="6">
        <v>0</v>
      </c>
      <c r="S304" s="6">
        <v>22.9</v>
      </c>
      <c r="T304" s="6">
        <v>449.5</v>
      </c>
      <c r="V304">
        <v>22</v>
      </c>
      <c r="W304" s="5">
        <v>46167</v>
      </c>
      <c r="X304" t="s">
        <v>181</v>
      </c>
      <c r="Y304">
        <v>205</v>
      </c>
      <c r="Z304" s="6">
        <v>1487.37</v>
      </c>
      <c r="AA304" s="6">
        <v>0</v>
      </c>
      <c r="AB304" s="6">
        <v>92.22</v>
      </c>
      <c r="AC304" s="6">
        <v>129.06</v>
      </c>
      <c r="AD304" s="6">
        <v>1616.43</v>
      </c>
      <c r="AH304" t="s">
        <v>203</v>
      </c>
      <c r="AI304" s="5">
        <v>46143</v>
      </c>
      <c r="AJ304" t="s">
        <v>148</v>
      </c>
      <c r="AK304">
        <v>100</v>
      </c>
      <c r="AL304" s="6">
        <v>474.33</v>
      </c>
      <c r="AM304" s="6">
        <v>0</v>
      </c>
      <c r="AN304" s="6">
        <v>0</v>
      </c>
      <c r="AO304" s="6">
        <v>33.79</v>
      </c>
      <c r="AP304" s="6">
        <v>508.12</v>
      </c>
    </row>
    <row r="305" spans="2:42" ht="18.75">
      <c r="B305">
        <v>36</v>
      </c>
      <c r="C305" s="5">
        <v>45901</v>
      </c>
      <c r="D305" t="s">
        <v>121</v>
      </c>
      <c r="E305">
        <v>42</v>
      </c>
      <c r="F305" s="6">
        <v>111.9</v>
      </c>
      <c r="G305" s="6">
        <v>0</v>
      </c>
      <c r="H305" s="6">
        <v>3.18</v>
      </c>
      <c r="I305" s="6">
        <v>0</v>
      </c>
      <c r="J305" s="6">
        <v>111.9</v>
      </c>
      <c r="L305">
        <v>8</v>
      </c>
      <c r="M305" s="5">
        <v>46069</v>
      </c>
      <c r="N305" t="s">
        <v>174</v>
      </c>
      <c r="O305">
        <v>73</v>
      </c>
      <c r="P305" s="6">
        <v>427.32</v>
      </c>
      <c r="Q305" s="6">
        <v>0</v>
      </c>
      <c r="R305" s="6">
        <v>110.14</v>
      </c>
      <c r="S305" s="6">
        <v>55.68</v>
      </c>
      <c r="T305" s="6">
        <v>483</v>
      </c>
      <c r="V305">
        <v>22</v>
      </c>
      <c r="W305" s="5">
        <v>46167</v>
      </c>
      <c r="X305" t="s">
        <v>202</v>
      </c>
      <c r="Y305">
        <v>58</v>
      </c>
      <c r="Z305" s="6">
        <v>174</v>
      </c>
      <c r="AA305" s="6">
        <v>0</v>
      </c>
      <c r="AB305" s="6">
        <v>0</v>
      </c>
      <c r="AC305" s="6">
        <v>0</v>
      </c>
      <c r="AD305" s="6">
        <v>174</v>
      </c>
      <c r="AH305" t="s">
        <v>203</v>
      </c>
      <c r="AI305" s="5">
        <v>46143</v>
      </c>
      <c r="AJ305" t="s">
        <v>113</v>
      </c>
      <c r="AK305">
        <v>345</v>
      </c>
      <c r="AL305" s="6">
        <v>1197.0999999999999</v>
      </c>
      <c r="AM305" s="6">
        <v>0</v>
      </c>
      <c r="AN305" s="6">
        <v>0</v>
      </c>
      <c r="AO305" s="6">
        <v>29.48</v>
      </c>
      <c r="AP305" s="6">
        <v>1226.58</v>
      </c>
    </row>
    <row r="306" spans="2:42" ht="18.75">
      <c r="B306">
        <v>35</v>
      </c>
      <c r="C306" s="5">
        <v>45894</v>
      </c>
      <c r="D306" t="s">
        <v>118</v>
      </c>
      <c r="E306">
        <v>91</v>
      </c>
      <c r="F306" s="6">
        <v>307.8</v>
      </c>
      <c r="G306" s="6">
        <v>0</v>
      </c>
      <c r="H306" s="6">
        <v>3.56</v>
      </c>
      <c r="I306" s="6">
        <v>0</v>
      </c>
      <c r="J306" s="6">
        <v>307.8</v>
      </c>
      <c r="L306">
        <v>8</v>
      </c>
      <c r="M306" s="5">
        <v>46069</v>
      </c>
      <c r="N306" t="s">
        <v>171</v>
      </c>
      <c r="O306">
        <v>152</v>
      </c>
      <c r="P306" s="6">
        <v>903.96000000000197</v>
      </c>
      <c r="Q306" s="6">
        <v>0</v>
      </c>
      <c r="R306" s="6">
        <v>46.95</v>
      </c>
      <c r="S306" s="6">
        <v>107.05</v>
      </c>
      <c r="T306" s="6">
        <v>1011.01</v>
      </c>
      <c r="V306">
        <v>22</v>
      </c>
      <c r="W306" s="5">
        <v>46167</v>
      </c>
      <c r="X306" t="s">
        <v>227</v>
      </c>
      <c r="Y306">
        <v>1</v>
      </c>
      <c r="Z306" s="6">
        <v>2.4</v>
      </c>
      <c r="AA306" s="6">
        <v>0</v>
      </c>
      <c r="AB306" s="6">
        <v>0</v>
      </c>
      <c r="AC306" s="6">
        <v>0.8</v>
      </c>
      <c r="AD306" s="6">
        <v>3.2</v>
      </c>
      <c r="AH306" t="s">
        <v>203</v>
      </c>
      <c r="AI306" s="5">
        <v>46143</v>
      </c>
      <c r="AJ306" t="s">
        <v>144</v>
      </c>
      <c r="AK306">
        <v>732</v>
      </c>
      <c r="AL306" s="6">
        <v>3095.5799999999899</v>
      </c>
      <c r="AM306" s="6">
        <v>4</v>
      </c>
      <c r="AN306" s="6">
        <v>0</v>
      </c>
      <c r="AO306" s="6">
        <v>114.5</v>
      </c>
      <c r="AP306" s="6">
        <v>3206.0799999999899</v>
      </c>
    </row>
    <row r="307" spans="2:42" ht="18.75">
      <c r="B307">
        <v>35</v>
      </c>
      <c r="C307" s="5">
        <v>45894</v>
      </c>
      <c r="D307" t="s">
        <v>139</v>
      </c>
      <c r="E307">
        <v>101</v>
      </c>
      <c r="F307" s="6">
        <v>415.27</v>
      </c>
      <c r="G307" s="6">
        <v>0</v>
      </c>
      <c r="H307" s="6">
        <v>4.88</v>
      </c>
      <c r="I307" s="6">
        <v>0</v>
      </c>
      <c r="J307" s="6">
        <v>415.27</v>
      </c>
      <c r="L307">
        <v>8</v>
      </c>
      <c r="M307" s="5">
        <v>46069</v>
      </c>
      <c r="N307" t="s">
        <v>165</v>
      </c>
      <c r="O307">
        <v>40</v>
      </c>
      <c r="P307" s="6">
        <v>317.7</v>
      </c>
      <c r="Q307" s="6">
        <v>6.74</v>
      </c>
      <c r="R307" s="6">
        <v>12.43</v>
      </c>
      <c r="S307" s="6">
        <v>37.96</v>
      </c>
      <c r="T307" s="6">
        <v>348.92</v>
      </c>
      <c r="V307">
        <v>23</v>
      </c>
      <c r="W307" s="5">
        <v>46174</v>
      </c>
      <c r="X307" t="s">
        <v>185</v>
      </c>
      <c r="Y307">
        <v>276</v>
      </c>
      <c r="Z307" s="6">
        <v>1334.3300000000063</v>
      </c>
      <c r="AA307" s="6">
        <v>0</v>
      </c>
      <c r="AB307" s="6">
        <v>5</v>
      </c>
      <c r="AC307" s="6">
        <v>66.830000000000013</v>
      </c>
      <c r="AD307" s="6">
        <v>1401.1600000000062</v>
      </c>
      <c r="AH307" t="s">
        <v>203</v>
      </c>
      <c r="AI307" s="5">
        <v>46143</v>
      </c>
      <c r="AJ307" t="s">
        <v>126</v>
      </c>
      <c r="AK307">
        <v>184</v>
      </c>
      <c r="AL307" s="6">
        <v>696.66</v>
      </c>
      <c r="AM307" s="6">
        <v>7.92</v>
      </c>
      <c r="AN307" s="6">
        <v>0</v>
      </c>
      <c r="AO307" s="6">
        <v>33.14</v>
      </c>
      <c r="AP307" s="6">
        <v>721.88</v>
      </c>
    </row>
    <row r="308" spans="2:42" ht="18.75">
      <c r="B308">
        <v>35</v>
      </c>
      <c r="C308" s="5">
        <v>45894</v>
      </c>
      <c r="D308" t="s">
        <v>124</v>
      </c>
      <c r="E308">
        <v>174</v>
      </c>
      <c r="F308" s="6">
        <v>649.98000000000104</v>
      </c>
      <c r="G308" s="6">
        <v>0</v>
      </c>
      <c r="H308" s="6">
        <v>4.1900000000000004</v>
      </c>
      <c r="I308" s="6">
        <v>0</v>
      </c>
      <c r="J308" s="6">
        <v>649.98000000000104</v>
      </c>
      <c r="L308">
        <v>8</v>
      </c>
      <c r="M308" s="5">
        <v>46069</v>
      </c>
      <c r="N308" t="s">
        <v>201</v>
      </c>
      <c r="O308">
        <v>46</v>
      </c>
      <c r="P308" s="6">
        <v>136.69999999999999</v>
      </c>
      <c r="Q308" s="6">
        <v>0</v>
      </c>
      <c r="R308" s="6">
        <v>54.74</v>
      </c>
      <c r="S308" s="6">
        <v>27.06</v>
      </c>
      <c r="T308" s="6">
        <v>163.76</v>
      </c>
      <c r="V308">
        <v>23</v>
      </c>
      <c r="W308" s="5">
        <v>46174</v>
      </c>
      <c r="X308" t="s">
        <v>182</v>
      </c>
      <c r="Y308">
        <v>1126</v>
      </c>
      <c r="Z308" s="6">
        <v>2925.6499999999869</v>
      </c>
      <c r="AA308" s="6">
        <v>0</v>
      </c>
      <c r="AB308" s="6">
        <v>30.639999999999997</v>
      </c>
      <c r="AC308" s="6">
        <v>101.58000000000006</v>
      </c>
      <c r="AD308" s="6">
        <v>3027.2299999999868</v>
      </c>
      <c r="AH308" t="s">
        <v>203</v>
      </c>
      <c r="AI308" s="5">
        <v>46143</v>
      </c>
      <c r="AJ308" t="s">
        <v>139</v>
      </c>
      <c r="AK308">
        <v>239</v>
      </c>
      <c r="AL308" s="6">
        <v>1014.24</v>
      </c>
      <c r="AM308" s="6">
        <v>5.99</v>
      </c>
      <c r="AN308" s="6">
        <v>0</v>
      </c>
      <c r="AO308" s="6">
        <v>23.64</v>
      </c>
      <c r="AP308" s="6">
        <v>1031.8900000000001</v>
      </c>
    </row>
    <row r="309" spans="2:42" ht="18.75">
      <c r="B309">
        <v>35</v>
      </c>
      <c r="C309" s="5">
        <v>45894</v>
      </c>
      <c r="D309" t="s">
        <v>123</v>
      </c>
      <c r="E309">
        <v>172</v>
      </c>
      <c r="F309" s="6">
        <v>640.35000000000105</v>
      </c>
      <c r="G309" s="6">
        <v>0</v>
      </c>
      <c r="H309" s="6">
        <v>5.29</v>
      </c>
      <c r="I309" s="6">
        <v>4.6100000000000003</v>
      </c>
      <c r="J309" s="6">
        <v>644.96000000000095</v>
      </c>
      <c r="L309">
        <v>8</v>
      </c>
      <c r="M309" s="5">
        <v>46069</v>
      </c>
      <c r="N309" t="s">
        <v>172</v>
      </c>
      <c r="O309">
        <v>11</v>
      </c>
      <c r="P309" s="6">
        <v>32</v>
      </c>
      <c r="Q309" s="6">
        <v>0</v>
      </c>
      <c r="R309" s="6">
        <v>0</v>
      </c>
      <c r="S309" s="6">
        <v>3.2</v>
      </c>
      <c r="T309" s="6">
        <v>35.200000000000003</v>
      </c>
      <c r="V309">
        <v>23</v>
      </c>
      <c r="W309" s="5">
        <v>46174</v>
      </c>
      <c r="X309" t="s">
        <v>179</v>
      </c>
      <c r="Y309">
        <v>856</v>
      </c>
      <c r="Z309" s="6">
        <v>4899.7799999999579</v>
      </c>
      <c r="AA309" s="6">
        <v>11.29</v>
      </c>
      <c r="AB309" s="6">
        <v>93.74</v>
      </c>
      <c r="AC309" s="6">
        <v>144.59000000000003</v>
      </c>
      <c r="AD309" s="6">
        <v>5033.0799999999581</v>
      </c>
      <c r="AH309" t="s">
        <v>203</v>
      </c>
      <c r="AI309" s="5">
        <v>46143</v>
      </c>
      <c r="AJ309" t="s">
        <v>114</v>
      </c>
      <c r="AK309">
        <v>340</v>
      </c>
      <c r="AL309" s="6">
        <v>1368.39</v>
      </c>
      <c r="AM309" s="6">
        <v>0</v>
      </c>
      <c r="AN309" s="6">
        <v>0</v>
      </c>
      <c r="AO309" s="6">
        <v>530.23</v>
      </c>
      <c r="AP309" s="6">
        <v>1898.62</v>
      </c>
    </row>
    <row r="310" spans="2:42" ht="18.75">
      <c r="B310">
        <v>35</v>
      </c>
      <c r="C310" s="5">
        <v>45894</v>
      </c>
      <c r="D310" t="s">
        <v>150</v>
      </c>
      <c r="E310">
        <v>15</v>
      </c>
      <c r="F310" s="6">
        <v>80.31</v>
      </c>
      <c r="G310" s="6">
        <v>0</v>
      </c>
      <c r="H310" s="6">
        <v>0</v>
      </c>
      <c r="I310" s="6">
        <v>0</v>
      </c>
      <c r="J310" s="6">
        <v>80.31</v>
      </c>
      <c r="L310">
        <v>8</v>
      </c>
      <c r="M310" s="5">
        <v>46069</v>
      </c>
      <c r="N310" t="s">
        <v>164</v>
      </c>
      <c r="O310">
        <v>4</v>
      </c>
      <c r="P310" s="6">
        <v>13.5</v>
      </c>
      <c r="Q310" s="6">
        <v>0</v>
      </c>
      <c r="R310" s="6">
        <v>0</v>
      </c>
      <c r="S310" s="6">
        <v>1.5</v>
      </c>
      <c r="T310" s="6">
        <v>15</v>
      </c>
      <c r="V310">
        <v>23</v>
      </c>
      <c r="W310" s="5">
        <v>46174</v>
      </c>
      <c r="X310" t="s">
        <v>183</v>
      </c>
      <c r="Y310">
        <v>416</v>
      </c>
      <c r="Z310" s="6">
        <v>833.42000000000132</v>
      </c>
      <c r="AA310" s="6">
        <v>2.7</v>
      </c>
      <c r="AB310" s="6">
        <v>29.399999999999952</v>
      </c>
      <c r="AC310" s="6">
        <v>54.65</v>
      </c>
      <c r="AD310" s="6">
        <v>885.37000000000126</v>
      </c>
      <c r="AH310" t="s">
        <v>203</v>
      </c>
      <c r="AI310" s="5">
        <v>46143</v>
      </c>
      <c r="AJ310" t="s">
        <v>119</v>
      </c>
      <c r="AK310">
        <v>454</v>
      </c>
      <c r="AL310" s="6">
        <v>1779.91</v>
      </c>
      <c r="AM310" s="6">
        <v>6.1</v>
      </c>
      <c r="AN310" s="6">
        <v>0</v>
      </c>
      <c r="AO310" s="6">
        <v>63.98</v>
      </c>
      <c r="AP310" s="6">
        <v>1837.79</v>
      </c>
    </row>
    <row r="311" spans="2:42" ht="18.75">
      <c r="B311">
        <v>35</v>
      </c>
      <c r="C311" s="5">
        <v>45894</v>
      </c>
      <c r="D311" t="s">
        <v>141</v>
      </c>
      <c r="E311">
        <v>199</v>
      </c>
      <c r="F311" s="6">
        <v>651.50000000000102</v>
      </c>
      <c r="G311" s="6">
        <v>0</v>
      </c>
      <c r="H311" s="6">
        <v>10.45</v>
      </c>
      <c r="I311" s="6">
        <v>0</v>
      </c>
      <c r="J311" s="6">
        <v>651.50000000000102</v>
      </c>
      <c r="L311">
        <v>8</v>
      </c>
      <c r="M311" s="5">
        <v>46069</v>
      </c>
      <c r="N311" t="s">
        <v>170</v>
      </c>
      <c r="O311">
        <v>9</v>
      </c>
      <c r="P311" s="6">
        <v>31.86</v>
      </c>
      <c r="Q311" s="6">
        <v>0</v>
      </c>
      <c r="R311" s="6">
        <v>0</v>
      </c>
      <c r="S311" s="6">
        <v>1.44</v>
      </c>
      <c r="T311" s="6">
        <v>33.299999999999997</v>
      </c>
      <c r="V311">
        <v>23</v>
      </c>
      <c r="W311" s="5">
        <v>46174</v>
      </c>
      <c r="X311" t="s">
        <v>184</v>
      </c>
      <c r="Y311">
        <v>449</v>
      </c>
      <c r="Z311" s="6">
        <v>948.9199999999995</v>
      </c>
      <c r="AA311" s="6">
        <v>0</v>
      </c>
      <c r="AB311" s="6">
        <v>0</v>
      </c>
      <c r="AC311" s="6">
        <v>98.010000000000019</v>
      </c>
      <c r="AD311" s="6">
        <v>1046.9299999999996</v>
      </c>
      <c r="AH311" t="s">
        <v>203</v>
      </c>
      <c r="AI311" s="5">
        <v>46143</v>
      </c>
      <c r="AJ311" t="s">
        <v>151</v>
      </c>
      <c r="AK311">
        <v>740</v>
      </c>
      <c r="AL311" s="6">
        <v>3996.7799999999902</v>
      </c>
      <c r="AM311" s="6">
        <v>0</v>
      </c>
      <c r="AN311" s="6">
        <v>0</v>
      </c>
      <c r="AO311" s="6">
        <v>70.72</v>
      </c>
      <c r="AP311" s="6">
        <v>4067.49999999999</v>
      </c>
    </row>
    <row r="312" spans="2:42" ht="18.75">
      <c r="B312">
        <v>35</v>
      </c>
      <c r="C312" s="5">
        <v>45894</v>
      </c>
      <c r="D312" t="s">
        <v>129</v>
      </c>
      <c r="E312">
        <v>131</v>
      </c>
      <c r="F312" s="6">
        <v>10.54</v>
      </c>
      <c r="G312" s="6">
        <v>5.21</v>
      </c>
      <c r="H312" s="6">
        <v>0</v>
      </c>
      <c r="I312" s="6">
        <v>601.25</v>
      </c>
      <c r="J312" s="6">
        <v>606.58000000000004</v>
      </c>
      <c r="L312">
        <v>6</v>
      </c>
      <c r="M312" s="5">
        <v>46055</v>
      </c>
      <c r="N312" t="s">
        <v>169</v>
      </c>
      <c r="O312">
        <v>1281</v>
      </c>
      <c r="P312" s="6">
        <v>3476.8200000000402</v>
      </c>
      <c r="Q312" s="6">
        <v>0</v>
      </c>
      <c r="R312" s="6">
        <v>38.31</v>
      </c>
      <c r="S312" s="6">
        <v>106.56</v>
      </c>
      <c r="T312" s="6">
        <v>3583.3800000000401</v>
      </c>
      <c r="V312">
        <v>23</v>
      </c>
      <c r="W312" s="5">
        <v>46174</v>
      </c>
      <c r="X312" t="s">
        <v>178</v>
      </c>
      <c r="Y312">
        <v>347</v>
      </c>
      <c r="Z312" s="6">
        <v>3276.1900000000046</v>
      </c>
      <c r="AA312" s="6">
        <v>6.93</v>
      </c>
      <c r="AB312" s="6">
        <v>60.339999999999989</v>
      </c>
      <c r="AC312" s="6">
        <v>57.039999999999992</v>
      </c>
      <c r="AD312" s="6">
        <v>3326.3000000000047</v>
      </c>
      <c r="AH312" t="s">
        <v>203</v>
      </c>
      <c r="AI312" s="5">
        <v>46143</v>
      </c>
      <c r="AJ312" t="s">
        <v>138</v>
      </c>
      <c r="AK312">
        <v>399</v>
      </c>
      <c r="AL312" s="6">
        <v>2125.29</v>
      </c>
      <c r="AM312" s="6">
        <v>9.9</v>
      </c>
      <c r="AN312" s="6">
        <v>0</v>
      </c>
      <c r="AO312" s="6">
        <v>79.989999999999995</v>
      </c>
      <c r="AP312" s="6">
        <v>2195.38</v>
      </c>
    </row>
    <row r="313" spans="2:42" ht="18.75">
      <c r="B313">
        <v>35</v>
      </c>
      <c r="C313" s="5">
        <v>45894</v>
      </c>
      <c r="D313" t="s">
        <v>138</v>
      </c>
      <c r="E313">
        <v>100</v>
      </c>
      <c r="F313" s="6">
        <v>551.88</v>
      </c>
      <c r="G313" s="6">
        <v>0</v>
      </c>
      <c r="H313" s="6">
        <v>12.21</v>
      </c>
      <c r="I313" s="6">
        <v>4.6100000000000003</v>
      </c>
      <c r="J313" s="6">
        <v>556.49</v>
      </c>
      <c r="L313">
        <v>6</v>
      </c>
      <c r="M313" s="5">
        <v>46055</v>
      </c>
      <c r="N313" t="s">
        <v>171</v>
      </c>
      <c r="O313">
        <v>159</v>
      </c>
      <c r="P313" s="6">
        <v>1143.3499999999999</v>
      </c>
      <c r="Q313" s="6">
        <v>0</v>
      </c>
      <c r="R313" s="6">
        <v>16.510000000000002</v>
      </c>
      <c r="S313" s="6">
        <v>145.78</v>
      </c>
      <c r="T313" s="6">
        <v>1289.1300000000001</v>
      </c>
      <c r="V313">
        <v>23</v>
      </c>
      <c r="W313" s="5">
        <v>46174</v>
      </c>
      <c r="X313" t="s">
        <v>181</v>
      </c>
      <c r="Y313">
        <v>309</v>
      </c>
      <c r="Z313" s="6">
        <v>2158.7599999999984</v>
      </c>
      <c r="AA313" s="6">
        <v>0</v>
      </c>
      <c r="AB313" s="6">
        <v>148.03999999999994</v>
      </c>
      <c r="AC313" s="6">
        <v>194.17999999999989</v>
      </c>
      <c r="AD313" s="6">
        <v>2352.9399999999982</v>
      </c>
      <c r="AH313" t="s">
        <v>203</v>
      </c>
      <c r="AI313" s="5">
        <v>46143</v>
      </c>
      <c r="AJ313" t="s">
        <v>120</v>
      </c>
      <c r="AK313">
        <v>107</v>
      </c>
      <c r="AL313" s="6">
        <v>464.34</v>
      </c>
      <c r="AM313" s="6">
        <v>0</v>
      </c>
      <c r="AN313" s="6">
        <v>0</v>
      </c>
      <c r="AO313" s="6">
        <v>12.08</v>
      </c>
      <c r="AP313" s="6">
        <v>476.42</v>
      </c>
    </row>
    <row r="314" spans="2:42" ht="18.75">
      <c r="B314">
        <v>35</v>
      </c>
      <c r="C314" s="5">
        <v>45894</v>
      </c>
      <c r="D314" t="s">
        <v>132</v>
      </c>
      <c r="E314">
        <v>68</v>
      </c>
      <c r="F314" s="6">
        <v>256.36</v>
      </c>
      <c r="G314" s="6">
        <v>0</v>
      </c>
      <c r="H314" s="6">
        <v>5.81</v>
      </c>
      <c r="I314" s="6">
        <v>0</v>
      </c>
      <c r="J314" s="6">
        <v>256.36</v>
      </c>
      <c r="L314">
        <v>6</v>
      </c>
      <c r="M314" s="5">
        <v>46055</v>
      </c>
      <c r="N314" t="s">
        <v>160</v>
      </c>
      <c r="O314">
        <v>1122</v>
      </c>
      <c r="P314" s="6">
        <v>7484.5099999999202</v>
      </c>
      <c r="Q314" s="6">
        <v>25.4</v>
      </c>
      <c r="R314" s="6">
        <v>254.62</v>
      </c>
      <c r="S314" s="6">
        <v>210.77</v>
      </c>
      <c r="T314" s="6">
        <v>7669.8799999999301</v>
      </c>
      <c r="V314">
        <v>23</v>
      </c>
      <c r="W314" s="5">
        <v>46174</v>
      </c>
      <c r="X314" t="s">
        <v>180</v>
      </c>
      <c r="Y314">
        <v>35</v>
      </c>
      <c r="Z314" s="6">
        <v>302.41000000000014</v>
      </c>
      <c r="AA314" s="6">
        <v>8.9</v>
      </c>
      <c r="AB314" s="6">
        <v>0</v>
      </c>
      <c r="AC314" s="6">
        <v>17.34</v>
      </c>
      <c r="AD314" s="6">
        <v>310.85000000000014</v>
      </c>
      <c r="AH314" t="s">
        <v>203</v>
      </c>
      <c r="AI314" s="5">
        <v>46143</v>
      </c>
      <c r="AJ314" t="s">
        <v>130</v>
      </c>
      <c r="AK314">
        <v>346</v>
      </c>
      <c r="AL314" s="6">
        <v>1645.11</v>
      </c>
      <c r="AM314" s="6">
        <v>0</v>
      </c>
      <c r="AN314" s="6">
        <v>0</v>
      </c>
      <c r="AO314" s="6">
        <v>47.79</v>
      </c>
      <c r="AP314" s="6">
        <v>1692.9</v>
      </c>
    </row>
    <row r="315" spans="2:42" ht="18.75">
      <c r="B315">
        <v>35</v>
      </c>
      <c r="C315" s="5">
        <v>45894</v>
      </c>
      <c r="D315" t="s">
        <v>122</v>
      </c>
      <c r="E315">
        <v>57</v>
      </c>
      <c r="F315" s="6">
        <v>286.77999999999997</v>
      </c>
      <c r="G315" s="6">
        <v>2.2000000000000002</v>
      </c>
      <c r="H315" s="6">
        <v>6.93</v>
      </c>
      <c r="I315" s="6">
        <v>0</v>
      </c>
      <c r="J315" s="6">
        <v>284.58</v>
      </c>
      <c r="L315">
        <v>6</v>
      </c>
      <c r="M315" s="5">
        <v>46055</v>
      </c>
      <c r="N315" t="s">
        <v>168</v>
      </c>
      <c r="O315">
        <v>337</v>
      </c>
      <c r="P315" s="6">
        <v>670.07</v>
      </c>
      <c r="Q315" s="6">
        <v>0</v>
      </c>
      <c r="R315" s="6">
        <v>2.99</v>
      </c>
      <c r="S315" s="6">
        <v>42.65</v>
      </c>
      <c r="T315" s="6">
        <v>712.72</v>
      </c>
      <c r="V315">
        <v>23</v>
      </c>
      <c r="W315" s="5">
        <v>46174</v>
      </c>
      <c r="X315" t="s">
        <v>202</v>
      </c>
      <c r="Y315">
        <v>76</v>
      </c>
      <c r="Z315" s="6">
        <v>228</v>
      </c>
      <c r="AA315" s="6">
        <v>0</v>
      </c>
      <c r="AB315" s="6">
        <v>0</v>
      </c>
      <c r="AC315" s="6">
        <v>0</v>
      </c>
      <c r="AD315" s="6">
        <v>228</v>
      </c>
      <c r="AH315" t="s">
        <v>203</v>
      </c>
      <c r="AI315" s="5">
        <v>46143</v>
      </c>
      <c r="AJ315" t="s">
        <v>146</v>
      </c>
      <c r="AK315">
        <v>624</v>
      </c>
      <c r="AL315" s="6">
        <v>3562.5099999999902</v>
      </c>
      <c r="AM315" s="6">
        <v>18.89</v>
      </c>
      <c r="AN315" s="6">
        <v>0</v>
      </c>
      <c r="AO315" s="6">
        <v>74.2</v>
      </c>
      <c r="AP315" s="6">
        <v>3617.8199999999902</v>
      </c>
    </row>
    <row r="316" spans="2:42" ht="18.75">
      <c r="B316">
        <v>35</v>
      </c>
      <c r="C316" s="5">
        <v>45894</v>
      </c>
      <c r="D316" t="s">
        <v>149</v>
      </c>
      <c r="E316">
        <v>38</v>
      </c>
      <c r="F316" s="6">
        <v>127.46</v>
      </c>
      <c r="G316" s="6">
        <v>0</v>
      </c>
      <c r="H316" s="6">
        <v>2.97</v>
      </c>
      <c r="I316" s="6">
        <v>0</v>
      </c>
      <c r="J316" s="6">
        <v>127.46</v>
      </c>
      <c r="L316">
        <v>6</v>
      </c>
      <c r="M316" s="5">
        <v>46055</v>
      </c>
      <c r="N316" t="s">
        <v>163</v>
      </c>
      <c r="O316">
        <v>164</v>
      </c>
      <c r="P316" s="6">
        <v>327.3</v>
      </c>
      <c r="Q316" s="6">
        <v>0</v>
      </c>
      <c r="R316" s="6">
        <v>0</v>
      </c>
      <c r="S316" s="6">
        <v>4.7</v>
      </c>
      <c r="T316" s="6">
        <v>332</v>
      </c>
      <c r="V316">
        <v>23</v>
      </c>
      <c r="W316" s="5">
        <v>46174</v>
      </c>
      <c r="X316" t="s">
        <v>227</v>
      </c>
      <c r="Y316">
        <v>2</v>
      </c>
      <c r="Z316" s="6">
        <v>5.6</v>
      </c>
      <c r="AA316" s="6">
        <v>0</v>
      </c>
      <c r="AB316" s="6">
        <v>0</v>
      </c>
      <c r="AC316" s="6">
        <v>0.8</v>
      </c>
      <c r="AD316" s="6">
        <v>6.3999999999999995</v>
      </c>
      <c r="AH316" t="s">
        <v>203</v>
      </c>
      <c r="AI316" s="5">
        <v>46143</v>
      </c>
      <c r="AJ316" t="s">
        <v>141</v>
      </c>
      <c r="AK316">
        <v>768</v>
      </c>
      <c r="AL316" s="6">
        <v>2662.9099999999899</v>
      </c>
      <c r="AM316" s="6">
        <v>2.8</v>
      </c>
      <c r="AN316" s="6">
        <v>0</v>
      </c>
      <c r="AO316" s="6">
        <v>55.29</v>
      </c>
      <c r="AP316" s="6">
        <v>2715.3999999999901</v>
      </c>
    </row>
    <row r="317" spans="2:42" ht="18.75">
      <c r="B317">
        <v>35</v>
      </c>
      <c r="C317" s="5">
        <v>45894</v>
      </c>
      <c r="D317" t="s">
        <v>119</v>
      </c>
      <c r="E317">
        <v>158</v>
      </c>
      <c r="F317" s="6">
        <v>607.41000000000099</v>
      </c>
      <c r="G317" s="6">
        <v>0</v>
      </c>
      <c r="H317" s="6">
        <v>8.09</v>
      </c>
      <c r="I317" s="6">
        <v>1.77</v>
      </c>
      <c r="J317" s="6">
        <v>609.18000000000097</v>
      </c>
      <c r="L317">
        <v>6</v>
      </c>
      <c r="M317" s="5">
        <v>46055</v>
      </c>
      <c r="N317" t="s">
        <v>158</v>
      </c>
      <c r="O317">
        <v>106</v>
      </c>
      <c r="P317" s="6">
        <v>626.49</v>
      </c>
      <c r="Q317" s="6">
        <v>0</v>
      </c>
      <c r="R317" s="6">
        <v>8.85</v>
      </c>
      <c r="S317" s="6">
        <v>32.46</v>
      </c>
      <c r="T317" s="6">
        <v>658.95</v>
      </c>
      <c r="V317">
        <v>24</v>
      </c>
      <c r="W317" s="5">
        <v>46181</v>
      </c>
      <c r="X317" t="s">
        <v>182</v>
      </c>
      <c r="Y317">
        <v>1079</v>
      </c>
      <c r="Z317" s="6">
        <v>2766.679999999993</v>
      </c>
      <c r="AA317" s="6">
        <v>0</v>
      </c>
      <c r="AB317" s="6">
        <v>23.999999999999989</v>
      </c>
      <c r="AC317" s="6">
        <v>82.840000000000046</v>
      </c>
      <c r="AD317" s="6">
        <v>2849.5199999999932</v>
      </c>
      <c r="AH317" t="s">
        <v>203</v>
      </c>
      <c r="AI317" s="5">
        <v>46143</v>
      </c>
      <c r="AJ317" t="s">
        <v>112</v>
      </c>
      <c r="AK317">
        <v>118</v>
      </c>
      <c r="AL317" s="6">
        <v>396.91</v>
      </c>
      <c r="AM317" s="6">
        <v>0</v>
      </c>
      <c r="AN317" s="6">
        <v>0</v>
      </c>
      <c r="AO317" s="6">
        <v>7.14</v>
      </c>
      <c r="AP317" s="6">
        <v>404.05</v>
      </c>
    </row>
    <row r="318" spans="2:42" ht="18.75">
      <c r="B318">
        <v>35</v>
      </c>
      <c r="C318" s="5">
        <v>45894</v>
      </c>
      <c r="D318" t="s">
        <v>128</v>
      </c>
      <c r="E318">
        <v>41</v>
      </c>
      <c r="F318" s="6">
        <v>202.68</v>
      </c>
      <c r="G318" s="6">
        <v>0</v>
      </c>
      <c r="H318" s="6">
        <v>6.71</v>
      </c>
      <c r="I318" s="6">
        <v>4.16</v>
      </c>
      <c r="J318" s="6">
        <v>206.84</v>
      </c>
      <c r="L318">
        <v>6</v>
      </c>
      <c r="M318" s="5">
        <v>46055</v>
      </c>
      <c r="N318" t="s">
        <v>176</v>
      </c>
      <c r="O318">
        <v>84</v>
      </c>
      <c r="P318" s="6">
        <v>164.18</v>
      </c>
      <c r="Q318" s="6">
        <v>0</v>
      </c>
      <c r="R318" s="6">
        <v>0</v>
      </c>
      <c r="S318" s="6">
        <v>21.12</v>
      </c>
      <c r="T318" s="6">
        <v>185.3</v>
      </c>
      <c r="V318">
        <v>24</v>
      </c>
      <c r="W318" s="5">
        <v>46181</v>
      </c>
      <c r="X318" t="s">
        <v>179</v>
      </c>
      <c r="Y318">
        <v>840</v>
      </c>
      <c r="Z318" s="6">
        <v>4689.6699999999573</v>
      </c>
      <c r="AA318" s="6">
        <v>4.99</v>
      </c>
      <c r="AB318" s="6">
        <v>118.13000000000004</v>
      </c>
      <c r="AC318" s="6">
        <v>161.67000000000007</v>
      </c>
      <c r="AD318" s="6">
        <v>4846.3499999999576</v>
      </c>
      <c r="AH318" t="s">
        <v>203</v>
      </c>
      <c r="AI318" s="5">
        <v>46143</v>
      </c>
      <c r="AJ318" t="s">
        <v>129</v>
      </c>
      <c r="AK318">
        <v>557</v>
      </c>
      <c r="AL318" s="6">
        <v>83.56</v>
      </c>
      <c r="AM318" s="6">
        <v>0</v>
      </c>
      <c r="AN318" s="6">
        <v>0</v>
      </c>
      <c r="AO318" s="6">
        <v>2203.35</v>
      </c>
      <c r="AP318" s="6">
        <v>2286.91</v>
      </c>
    </row>
    <row r="319" spans="2:42" ht="18.75">
      <c r="B319">
        <v>35</v>
      </c>
      <c r="C319" s="5">
        <v>45894</v>
      </c>
      <c r="D319" t="s">
        <v>134</v>
      </c>
      <c r="E319">
        <v>66</v>
      </c>
      <c r="F319" s="6">
        <v>372.72</v>
      </c>
      <c r="G319" s="6">
        <v>0</v>
      </c>
      <c r="H319" s="6">
        <v>3.85</v>
      </c>
      <c r="I319" s="6">
        <v>4.6100000000000003</v>
      </c>
      <c r="J319" s="6">
        <v>377.33</v>
      </c>
      <c r="L319">
        <v>6</v>
      </c>
      <c r="M319" s="5">
        <v>46055</v>
      </c>
      <c r="N319" t="s">
        <v>174</v>
      </c>
      <c r="O319">
        <v>103</v>
      </c>
      <c r="P319" s="6">
        <v>672.27</v>
      </c>
      <c r="Q319" s="6">
        <v>0</v>
      </c>
      <c r="R319" s="6">
        <v>9.01</v>
      </c>
      <c r="S319" s="6">
        <v>92.28</v>
      </c>
      <c r="T319" s="6">
        <v>764.55</v>
      </c>
      <c r="V319">
        <v>24</v>
      </c>
      <c r="W319" s="5">
        <v>46181</v>
      </c>
      <c r="X319" t="s">
        <v>178</v>
      </c>
      <c r="Y319">
        <v>351</v>
      </c>
      <c r="Z319" s="6">
        <v>3403.310000000004</v>
      </c>
      <c r="AA319" s="6">
        <v>0</v>
      </c>
      <c r="AB319" s="6">
        <v>209.33999999999995</v>
      </c>
      <c r="AC319" s="6">
        <v>82.909999999999982</v>
      </c>
      <c r="AD319" s="6">
        <v>3486.2200000000039</v>
      </c>
      <c r="AH319" t="s">
        <v>203</v>
      </c>
      <c r="AI319" s="5">
        <v>46143</v>
      </c>
      <c r="AJ319" t="s">
        <v>111</v>
      </c>
      <c r="AK319">
        <v>228</v>
      </c>
      <c r="AL319" s="6">
        <v>856.01000000000101</v>
      </c>
      <c r="AM319" s="6">
        <v>9.9</v>
      </c>
      <c r="AN319" s="6">
        <v>0</v>
      </c>
      <c r="AO319" s="6">
        <v>28.72</v>
      </c>
      <c r="AP319" s="6">
        <v>874.83000000000095</v>
      </c>
    </row>
    <row r="320" spans="2:42" ht="18.75">
      <c r="B320">
        <v>35</v>
      </c>
      <c r="C320" s="5">
        <v>45894</v>
      </c>
      <c r="D320" t="s">
        <v>133</v>
      </c>
      <c r="E320">
        <v>77</v>
      </c>
      <c r="F320" s="6">
        <v>429.9</v>
      </c>
      <c r="G320" s="6">
        <v>0</v>
      </c>
      <c r="H320" s="6">
        <v>10.98</v>
      </c>
      <c r="I320" s="6">
        <v>1.49</v>
      </c>
      <c r="J320" s="6">
        <v>431.39</v>
      </c>
      <c r="L320">
        <v>6</v>
      </c>
      <c r="M320" s="5">
        <v>46055</v>
      </c>
      <c r="N320" t="s">
        <v>173</v>
      </c>
      <c r="O320">
        <v>192</v>
      </c>
      <c r="P320" s="6">
        <v>917.31000000000301</v>
      </c>
      <c r="Q320" s="6">
        <v>5.45</v>
      </c>
      <c r="R320" s="6">
        <v>0</v>
      </c>
      <c r="S320" s="6">
        <v>67.069999999999993</v>
      </c>
      <c r="T320" s="6">
        <v>978.93000000000302</v>
      </c>
      <c r="V320">
        <v>24</v>
      </c>
      <c r="W320" s="5">
        <v>46181</v>
      </c>
      <c r="X320" t="s">
        <v>183</v>
      </c>
      <c r="Y320">
        <v>422</v>
      </c>
      <c r="Z320" s="6">
        <v>850.78000000000168</v>
      </c>
      <c r="AA320" s="6">
        <v>0</v>
      </c>
      <c r="AB320" s="6">
        <v>29.639999999999951</v>
      </c>
      <c r="AC320" s="6">
        <v>49.080000000000005</v>
      </c>
      <c r="AD320" s="6">
        <v>899.86000000000172</v>
      </c>
      <c r="AH320" t="s">
        <v>203</v>
      </c>
      <c r="AI320" s="5">
        <v>46143</v>
      </c>
      <c r="AJ320" t="s">
        <v>122</v>
      </c>
      <c r="AK320">
        <v>231</v>
      </c>
      <c r="AL320" s="6">
        <v>1240.31</v>
      </c>
      <c r="AM320" s="6">
        <v>0</v>
      </c>
      <c r="AN320" s="6">
        <v>0</v>
      </c>
      <c r="AO320" s="6">
        <v>55.69</v>
      </c>
      <c r="AP320" s="6">
        <v>1296</v>
      </c>
    </row>
    <row r="321" spans="2:42" ht="18.75">
      <c r="B321">
        <v>35</v>
      </c>
      <c r="C321" s="5">
        <v>45894</v>
      </c>
      <c r="D321" t="s">
        <v>117</v>
      </c>
      <c r="E321">
        <v>70</v>
      </c>
      <c r="F321" s="6">
        <v>363.66</v>
      </c>
      <c r="G321" s="6">
        <v>0</v>
      </c>
      <c r="H321" s="6">
        <v>14.59</v>
      </c>
      <c r="I321" s="6">
        <v>4.6100000000000003</v>
      </c>
      <c r="J321" s="6">
        <v>368.27</v>
      </c>
      <c r="L321">
        <v>6</v>
      </c>
      <c r="M321" s="5">
        <v>46055</v>
      </c>
      <c r="N321" t="s">
        <v>164</v>
      </c>
      <c r="O321">
        <v>6</v>
      </c>
      <c r="P321" s="6">
        <v>18.75</v>
      </c>
      <c r="Q321" s="6">
        <v>0</v>
      </c>
      <c r="R321" s="6">
        <v>0</v>
      </c>
      <c r="S321" s="6">
        <v>3.75</v>
      </c>
      <c r="T321" s="6">
        <v>22.5</v>
      </c>
      <c r="V321">
        <v>24</v>
      </c>
      <c r="W321" s="5">
        <v>46181</v>
      </c>
      <c r="X321" t="s">
        <v>184</v>
      </c>
      <c r="Y321">
        <v>416</v>
      </c>
      <c r="Z321" s="6">
        <v>864.59999999999991</v>
      </c>
      <c r="AA321" s="6">
        <v>0</v>
      </c>
      <c r="AB321" s="6">
        <v>3.95</v>
      </c>
      <c r="AC321" s="6">
        <v>108.24000000000001</v>
      </c>
      <c r="AD321" s="6">
        <v>972.83999999999992</v>
      </c>
      <c r="AH321" t="s">
        <v>203</v>
      </c>
      <c r="AI321" s="5">
        <v>46143</v>
      </c>
      <c r="AJ321" t="s">
        <v>117</v>
      </c>
      <c r="AK321">
        <v>171</v>
      </c>
      <c r="AL321" s="6">
        <v>809.11000000000104</v>
      </c>
      <c r="AM321" s="6">
        <v>0</v>
      </c>
      <c r="AN321" s="6">
        <v>0</v>
      </c>
      <c r="AO321" s="6">
        <v>34.21</v>
      </c>
      <c r="AP321" s="6">
        <v>843.32000000000096</v>
      </c>
    </row>
    <row r="322" spans="2:42" ht="18.75">
      <c r="B322">
        <v>35</v>
      </c>
      <c r="C322" s="5">
        <v>45894</v>
      </c>
      <c r="D322" t="s">
        <v>114</v>
      </c>
      <c r="E322">
        <v>81</v>
      </c>
      <c r="F322" s="6">
        <v>334.33</v>
      </c>
      <c r="G322" s="6">
        <v>0</v>
      </c>
      <c r="H322" s="6">
        <v>4.8899999999999997</v>
      </c>
      <c r="I322" s="6">
        <v>113.37</v>
      </c>
      <c r="J322" s="6">
        <v>447.7</v>
      </c>
      <c r="L322">
        <v>6</v>
      </c>
      <c r="M322" s="5">
        <v>46055</v>
      </c>
      <c r="N322" t="s">
        <v>201</v>
      </c>
      <c r="O322">
        <v>43</v>
      </c>
      <c r="P322" s="6">
        <v>181.45</v>
      </c>
      <c r="Q322" s="6">
        <v>4.75</v>
      </c>
      <c r="R322" s="6">
        <v>0</v>
      </c>
      <c r="S322" s="6">
        <v>22.8</v>
      </c>
      <c r="T322" s="6">
        <v>199.5</v>
      </c>
      <c r="V322">
        <v>24</v>
      </c>
      <c r="W322" s="5">
        <v>46181</v>
      </c>
      <c r="X322" t="s">
        <v>181</v>
      </c>
      <c r="Y322">
        <v>305</v>
      </c>
      <c r="Z322" s="6">
        <v>1961.4800000000048</v>
      </c>
      <c r="AA322" s="6">
        <v>0</v>
      </c>
      <c r="AB322" s="6">
        <v>403.63000000000011</v>
      </c>
      <c r="AC322" s="6">
        <v>227.49000000000004</v>
      </c>
      <c r="AD322" s="6">
        <v>2188.9700000000048</v>
      </c>
      <c r="AH322" t="s">
        <v>203</v>
      </c>
      <c r="AI322" s="5">
        <v>46143</v>
      </c>
      <c r="AJ322" t="s">
        <v>133</v>
      </c>
      <c r="AK322">
        <v>292</v>
      </c>
      <c r="AL322" s="6">
        <v>1697.23</v>
      </c>
      <c r="AM322" s="6">
        <v>0</v>
      </c>
      <c r="AN322" s="6">
        <v>0</v>
      </c>
      <c r="AO322" s="6">
        <v>44.82</v>
      </c>
      <c r="AP322" s="6">
        <v>1742.05</v>
      </c>
    </row>
    <row r="323" spans="2:42" ht="18.75">
      <c r="B323">
        <v>35</v>
      </c>
      <c r="C323" s="5">
        <v>45894</v>
      </c>
      <c r="D323" t="s">
        <v>219</v>
      </c>
      <c r="E323">
        <v>109</v>
      </c>
      <c r="F323" s="6">
        <v>505.54</v>
      </c>
      <c r="G323" s="6">
        <v>0</v>
      </c>
      <c r="H323" s="6">
        <v>6.2</v>
      </c>
      <c r="I323" s="6">
        <v>1.77</v>
      </c>
      <c r="J323" s="6">
        <v>507.31</v>
      </c>
      <c r="L323">
        <v>6</v>
      </c>
      <c r="M323" s="5">
        <v>46055</v>
      </c>
      <c r="N323" t="s">
        <v>172</v>
      </c>
      <c r="O323">
        <v>28</v>
      </c>
      <c r="P323" s="6">
        <v>84</v>
      </c>
      <c r="Q323" s="6">
        <v>0</v>
      </c>
      <c r="R323" s="6">
        <v>0</v>
      </c>
      <c r="S323" s="6">
        <v>6.4</v>
      </c>
      <c r="T323" s="6">
        <v>90.4</v>
      </c>
      <c r="V323">
        <v>24</v>
      </c>
      <c r="W323" s="5">
        <v>46181</v>
      </c>
      <c r="X323" t="s">
        <v>185</v>
      </c>
      <c r="Y323">
        <v>257</v>
      </c>
      <c r="Z323" s="6">
        <v>1229.3000000000056</v>
      </c>
      <c r="AA323" s="6">
        <v>4.95</v>
      </c>
      <c r="AB323" s="6">
        <v>0</v>
      </c>
      <c r="AC323" s="6">
        <v>84.550000000000011</v>
      </c>
      <c r="AD323" s="6">
        <v>1308.9000000000055</v>
      </c>
      <c r="AH323" t="s">
        <v>203</v>
      </c>
      <c r="AI323" s="5">
        <v>46143</v>
      </c>
      <c r="AJ323" t="s">
        <v>131</v>
      </c>
      <c r="AK323">
        <v>276</v>
      </c>
      <c r="AL323" s="6">
        <v>1350.06</v>
      </c>
      <c r="AM323" s="6">
        <v>4.1900000000000004</v>
      </c>
      <c r="AN323" s="6">
        <v>0</v>
      </c>
      <c r="AO323" s="6">
        <v>40.32</v>
      </c>
      <c r="AP323" s="6">
        <v>1386.19</v>
      </c>
    </row>
    <row r="324" spans="2:42" ht="18.75">
      <c r="B324">
        <v>35</v>
      </c>
      <c r="C324" s="5">
        <v>45894</v>
      </c>
      <c r="D324" t="s">
        <v>127</v>
      </c>
      <c r="E324">
        <v>65</v>
      </c>
      <c r="F324" s="6">
        <v>338.77</v>
      </c>
      <c r="G324" s="6">
        <v>0</v>
      </c>
      <c r="H324" s="6">
        <v>3</v>
      </c>
      <c r="I324" s="6">
        <v>0</v>
      </c>
      <c r="J324" s="6">
        <v>338.77</v>
      </c>
      <c r="L324">
        <v>6</v>
      </c>
      <c r="M324" s="5">
        <v>46055</v>
      </c>
      <c r="N324" t="s">
        <v>198</v>
      </c>
      <c r="O324">
        <v>60</v>
      </c>
      <c r="P324" s="6">
        <v>498</v>
      </c>
      <c r="Q324" s="6">
        <v>0</v>
      </c>
      <c r="R324" s="6">
        <v>11.24</v>
      </c>
      <c r="S324" s="6">
        <v>51.76</v>
      </c>
      <c r="T324" s="6">
        <v>549.76</v>
      </c>
      <c r="V324">
        <v>24</v>
      </c>
      <c r="W324" s="5">
        <v>46181</v>
      </c>
      <c r="X324" t="s">
        <v>180</v>
      </c>
      <c r="Y324">
        <v>26</v>
      </c>
      <c r="Z324" s="6">
        <v>198.26000000000005</v>
      </c>
      <c r="AA324" s="6">
        <v>0</v>
      </c>
      <c r="AB324" s="6">
        <v>0</v>
      </c>
      <c r="AC324" s="6">
        <v>39.21</v>
      </c>
      <c r="AD324" s="6">
        <v>237.47000000000006</v>
      </c>
      <c r="AH324" t="s">
        <v>203</v>
      </c>
      <c r="AI324" s="5">
        <v>46143</v>
      </c>
      <c r="AJ324" t="s">
        <v>128</v>
      </c>
      <c r="AK324">
        <v>167</v>
      </c>
      <c r="AL324" s="6">
        <v>728.45000000000095</v>
      </c>
      <c r="AM324" s="6">
        <v>0</v>
      </c>
      <c r="AN324" s="6">
        <v>0</v>
      </c>
      <c r="AO324" s="6">
        <v>29.58</v>
      </c>
      <c r="AP324" s="6">
        <v>758.030000000001</v>
      </c>
    </row>
    <row r="325" spans="2:42" ht="18.75">
      <c r="B325">
        <v>35</v>
      </c>
      <c r="C325" s="5">
        <v>45894</v>
      </c>
      <c r="D325" t="s">
        <v>116</v>
      </c>
      <c r="E325">
        <v>33</v>
      </c>
      <c r="F325" s="6">
        <v>117.74</v>
      </c>
      <c r="G325" s="6">
        <v>0</v>
      </c>
      <c r="H325" s="6">
        <v>2.88</v>
      </c>
      <c r="I325" s="6">
        <v>0</v>
      </c>
      <c r="J325" s="6">
        <v>117.74</v>
      </c>
      <c r="L325">
        <v>6</v>
      </c>
      <c r="M325" s="5">
        <v>46055</v>
      </c>
      <c r="N325" t="s">
        <v>170</v>
      </c>
      <c r="O325">
        <v>23</v>
      </c>
      <c r="P325" s="6">
        <v>76.5</v>
      </c>
      <c r="Q325" s="6">
        <v>3.6</v>
      </c>
      <c r="R325" s="6">
        <v>0</v>
      </c>
      <c r="S325" s="6">
        <v>8.1</v>
      </c>
      <c r="T325" s="6">
        <v>81</v>
      </c>
      <c r="V325">
        <v>24</v>
      </c>
      <c r="W325" s="5">
        <v>46181</v>
      </c>
      <c r="X325" t="s">
        <v>202</v>
      </c>
      <c r="Y325">
        <v>90</v>
      </c>
      <c r="Z325" s="6">
        <v>270</v>
      </c>
      <c r="AA325" s="6">
        <v>0</v>
      </c>
      <c r="AB325" s="6">
        <v>0</v>
      </c>
      <c r="AC325" s="6">
        <v>0</v>
      </c>
      <c r="AD325" s="6">
        <v>270</v>
      </c>
      <c r="AH325" t="s">
        <v>203</v>
      </c>
      <c r="AI325" s="5">
        <v>46143</v>
      </c>
      <c r="AJ325" t="s">
        <v>135</v>
      </c>
      <c r="AK325">
        <v>48</v>
      </c>
      <c r="AL325" s="6">
        <v>154.5</v>
      </c>
      <c r="AM325" s="6">
        <v>0</v>
      </c>
      <c r="AN325" s="6">
        <v>0</v>
      </c>
      <c r="AO325" s="6">
        <v>36.17</v>
      </c>
      <c r="AP325" s="6">
        <v>190.67</v>
      </c>
    </row>
    <row r="326" spans="2:42" ht="18.75">
      <c r="B326">
        <v>35</v>
      </c>
      <c r="C326" s="5">
        <v>45894</v>
      </c>
      <c r="D326" t="s">
        <v>121</v>
      </c>
      <c r="E326">
        <v>21</v>
      </c>
      <c r="F326" s="6">
        <v>62.62</v>
      </c>
      <c r="G326" s="6">
        <v>0</v>
      </c>
      <c r="H326" s="6">
        <v>0</v>
      </c>
      <c r="I326" s="6">
        <v>0</v>
      </c>
      <c r="J326" s="6">
        <v>62.62</v>
      </c>
      <c r="L326">
        <v>6</v>
      </c>
      <c r="M326" s="5">
        <v>46055</v>
      </c>
      <c r="N326" t="s">
        <v>165</v>
      </c>
      <c r="O326">
        <v>32</v>
      </c>
      <c r="P326" s="6">
        <v>287.98</v>
      </c>
      <c r="Q326" s="6">
        <v>9.5</v>
      </c>
      <c r="R326" s="6">
        <v>0</v>
      </c>
      <c r="S326" s="6">
        <v>2.25</v>
      </c>
      <c r="T326" s="6">
        <v>280.73</v>
      </c>
      <c r="V326">
        <v>25</v>
      </c>
      <c r="W326" s="5">
        <v>46188</v>
      </c>
      <c r="X326" t="s">
        <v>179</v>
      </c>
      <c r="Y326">
        <v>818</v>
      </c>
      <c r="Z326" s="6">
        <v>4619.9399999999523</v>
      </c>
      <c r="AA326" s="6">
        <v>0</v>
      </c>
      <c r="AB326" s="6">
        <v>95.429999999999993</v>
      </c>
      <c r="AC326" s="6">
        <v>170.54000000000013</v>
      </c>
      <c r="AD326" s="6">
        <v>4790.4799999999523</v>
      </c>
      <c r="AH326" t="s">
        <v>203</v>
      </c>
      <c r="AI326" s="5">
        <v>46143</v>
      </c>
      <c r="AJ326" t="s">
        <v>134</v>
      </c>
      <c r="AK326">
        <v>287</v>
      </c>
      <c r="AL326" s="6">
        <v>1617.01</v>
      </c>
      <c r="AM326" s="6">
        <v>1.9</v>
      </c>
      <c r="AN326" s="6">
        <v>0</v>
      </c>
      <c r="AO326" s="6">
        <v>58.71</v>
      </c>
      <c r="AP326" s="6">
        <v>1673.82</v>
      </c>
    </row>
    <row r="327" spans="2:42" ht="18.75">
      <c r="B327">
        <v>35</v>
      </c>
      <c r="C327" s="5">
        <v>45894</v>
      </c>
      <c r="D327" t="s">
        <v>146</v>
      </c>
      <c r="E327">
        <v>137</v>
      </c>
      <c r="F327" s="6">
        <v>784.49000000000103</v>
      </c>
      <c r="G327" s="6">
        <v>0</v>
      </c>
      <c r="H327" s="6">
        <v>0</v>
      </c>
      <c r="I327" s="6">
        <v>0</v>
      </c>
      <c r="J327" s="6">
        <v>784.49000000000103</v>
      </c>
      <c r="L327">
        <v>6</v>
      </c>
      <c r="M327" s="5">
        <v>46055</v>
      </c>
      <c r="N327" t="s">
        <v>175</v>
      </c>
      <c r="O327">
        <v>68</v>
      </c>
      <c r="P327" s="6">
        <v>235.43</v>
      </c>
      <c r="Q327" s="6">
        <v>10.95</v>
      </c>
      <c r="R327" s="6">
        <v>0</v>
      </c>
      <c r="S327" s="6">
        <v>12.77</v>
      </c>
      <c r="T327" s="6">
        <v>237.25</v>
      </c>
      <c r="V327">
        <v>25</v>
      </c>
      <c r="W327" s="5">
        <v>46188</v>
      </c>
      <c r="X327" t="s">
        <v>185</v>
      </c>
      <c r="Y327">
        <v>246</v>
      </c>
      <c r="Z327" s="6">
        <v>1178.3700000000049</v>
      </c>
      <c r="AA327" s="6">
        <v>0</v>
      </c>
      <c r="AB327" s="6">
        <v>0</v>
      </c>
      <c r="AC327" s="6">
        <v>83.790000000000035</v>
      </c>
      <c r="AD327" s="6">
        <v>1262.1600000000049</v>
      </c>
      <c r="AH327" t="s">
        <v>203</v>
      </c>
      <c r="AI327" s="5">
        <v>46143</v>
      </c>
      <c r="AJ327" t="s">
        <v>142</v>
      </c>
      <c r="AK327">
        <v>177</v>
      </c>
      <c r="AL327" s="6">
        <v>815.99</v>
      </c>
      <c r="AM327" s="6">
        <v>17.05</v>
      </c>
      <c r="AN327" s="6">
        <v>0</v>
      </c>
      <c r="AO327" s="6">
        <v>26.18</v>
      </c>
      <c r="AP327" s="6">
        <v>825.12</v>
      </c>
    </row>
    <row r="328" spans="2:42" ht="18.75">
      <c r="B328">
        <v>35</v>
      </c>
      <c r="C328" s="5">
        <v>45894</v>
      </c>
      <c r="D328" t="s">
        <v>136</v>
      </c>
      <c r="E328">
        <v>21</v>
      </c>
      <c r="F328" s="6">
        <v>45.94</v>
      </c>
      <c r="G328" s="6">
        <v>0</v>
      </c>
      <c r="H328" s="6">
        <v>4.17</v>
      </c>
      <c r="I328" s="6">
        <v>29.36</v>
      </c>
      <c r="J328" s="6">
        <v>75.3</v>
      </c>
      <c r="L328">
        <v>6</v>
      </c>
      <c r="M328" s="5">
        <v>46055</v>
      </c>
      <c r="N328" t="s">
        <v>159</v>
      </c>
      <c r="O328">
        <v>6</v>
      </c>
      <c r="P328" s="6">
        <v>28.71</v>
      </c>
      <c r="Q328" s="6">
        <v>0</v>
      </c>
      <c r="R328" s="6">
        <v>0.99</v>
      </c>
      <c r="S328" s="6">
        <v>0</v>
      </c>
      <c r="T328" s="6">
        <v>28.71</v>
      </c>
      <c r="V328">
        <v>25</v>
      </c>
      <c r="W328" s="5">
        <v>46188</v>
      </c>
      <c r="X328" t="s">
        <v>182</v>
      </c>
      <c r="Y328">
        <v>999</v>
      </c>
      <c r="Z328" s="6">
        <v>2569.2599999999984</v>
      </c>
      <c r="AA328" s="6">
        <v>11.2</v>
      </c>
      <c r="AB328" s="6">
        <v>26.27999999999999</v>
      </c>
      <c r="AC328" s="6">
        <v>70.02000000000001</v>
      </c>
      <c r="AD328" s="6">
        <v>2628.0799999999986</v>
      </c>
      <c r="AH328" t="s">
        <v>203</v>
      </c>
      <c r="AI328" s="5">
        <v>46143</v>
      </c>
      <c r="AJ328" t="s">
        <v>132</v>
      </c>
      <c r="AK328">
        <v>238</v>
      </c>
      <c r="AL328" s="6">
        <v>917.69000000000096</v>
      </c>
      <c r="AM328" s="6">
        <v>0</v>
      </c>
      <c r="AN328" s="6">
        <v>0</v>
      </c>
      <c r="AO328" s="6">
        <v>26.71</v>
      </c>
      <c r="AP328" s="6">
        <v>944.400000000001</v>
      </c>
    </row>
    <row r="329" spans="2:42" ht="18.75">
      <c r="B329">
        <v>35</v>
      </c>
      <c r="C329" s="5">
        <v>45894</v>
      </c>
      <c r="D329" t="s">
        <v>135</v>
      </c>
      <c r="E329">
        <v>14</v>
      </c>
      <c r="F329" s="6">
        <v>37.479999999999997</v>
      </c>
      <c r="G329" s="6">
        <v>0</v>
      </c>
      <c r="H329" s="6">
        <v>2.4</v>
      </c>
      <c r="I329" s="6">
        <v>9.14</v>
      </c>
      <c r="J329" s="6">
        <v>46.62</v>
      </c>
      <c r="L329">
        <v>9</v>
      </c>
      <c r="M329" s="5">
        <v>46076</v>
      </c>
      <c r="N329" t="s">
        <v>160</v>
      </c>
      <c r="O329">
        <v>863</v>
      </c>
      <c r="P329" s="6">
        <v>5883.5999999999303</v>
      </c>
      <c r="Q329" s="6">
        <v>9.7799999999999994</v>
      </c>
      <c r="R329" s="6">
        <v>182.21</v>
      </c>
      <c r="S329" s="6">
        <v>217.03</v>
      </c>
      <c r="T329" s="6">
        <v>6090.8499999999303</v>
      </c>
      <c r="V329">
        <v>25</v>
      </c>
      <c r="W329" s="5">
        <v>46188</v>
      </c>
      <c r="X329" t="s">
        <v>184</v>
      </c>
      <c r="Y329">
        <v>414</v>
      </c>
      <c r="Z329" s="6">
        <v>875.28000000000088</v>
      </c>
      <c r="AA329" s="6">
        <v>14.7</v>
      </c>
      <c r="AB329" s="6">
        <v>1.1000000000000001</v>
      </c>
      <c r="AC329" s="6">
        <v>83.870000000000019</v>
      </c>
      <c r="AD329" s="6">
        <v>944.45000000000084</v>
      </c>
      <c r="AH329" t="s">
        <v>203</v>
      </c>
      <c r="AI329" s="5">
        <v>46143</v>
      </c>
      <c r="AJ329" t="s">
        <v>137</v>
      </c>
      <c r="AK329">
        <v>80</v>
      </c>
      <c r="AL329" s="6">
        <v>246.45</v>
      </c>
      <c r="AM329" s="6">
        <v>0</v>
      </c>
      <c r="AN329" s="6">
        <v>0</v>
      </c>
      <c r="AO329" s="6">
        <v>167.54</v>
      </c>
      <c r="AP329" s="6">
        <v>413.99</v>
      </c>
    </row>
    <row r="330" spans="2:42" ht="18.75">
      <c r="B330">
        <v>35</v>
      </c>
      <c r="C330" s="5">
        <v>45894</v>
      </c>
      <c r="D330" t="s">
        <v>145</v>
      </c>
      <c r="E330">
        <v>85</v>
      </c>
      <c r="F330" s="6">
        <v>472.77</v>
      </c>
      <c r="G330" s="6">
        <v>0</v>
      </c>
      <c r="H330" s="6">
        <v>4.8600000000000003</v>
      </c>
      <c r="I330" s="6">
        <v>1.26</v>
      </c>
      <c r="J330" s="6">
        <v>474.03</v>
      </c>
      <c r="L330">
        <v>9</v>
      </c>
      <c r="M330" s="5">
        <v>46076</v>
      </c>
      <c r="N330" t="s">
        <v>169</v>
      </c>
      <c r="O330">
        <v>1174</v>
      </c>
      <c r="P330" s="6">
        <v>3234.9500000000298</v>
      </c>
      <c r="Q330" s="6">
        <v>0</v>
      </c>
      <c r="R330" s="6">
        <v>33.76</v>
      </c>
      <c r="S330" s="6">
        <v>83.64</v>
      </c>
      <c r="T330" s="6">
        <v>3318.5900000000302</v>
      </c>
      <c r="V330">
        <v>25</v>
      </c>
      <c r="W330" s="5">
        <v>46188</v>
      </c>
      <c r="X330" t="s">
        <v>183</v>
      </c>
      <c r="Y330">
        <v>424</v>
      </c>
      <c r="Z330" s="6">
        <v>852.45000000000164</v>
      </c>
      <c r="AA330" s="6">
        <v>4.07</v>
      </c>
      <c r="AB330" s="6">
        <v>28.959999999999958</v>
      </c>
      <c r="AC330" s="6">
        <v>50.85</v>
      </c>
      <c r="AD330" s="6">
        <v>899.23000000000161</v>
      </c>
      <c r="AH330" t="s">
        <v>203</v>
      </c>
      <c r="AI330" s="5">
        <v>46143</v>
      </c>
      <c r="AJ330" t="s">
        <v>145</v>
      </c>
      <c r="AK330">
        <v>156</v>
      </c>
      <c r="AL330" s="6">
        <v>911.32000000000096</v>
      </c>
      <c r="AM330" s="6">
        <v>0</v>
      </c>
      <c r="AN330" s="6">
        <v>0</v>
      </c>
      <c r="AO330" s="6">
        <v>19.86</v>
      </c>
      <c r="AP330" s="6">
        <v>931.18000000000097</v>
      </c>
    </row>
    <row r="331" spans="2:42" ht="18.75">
      <c r="B331">
        <v>35</v>
      </c>
      <c r="C331" s="5">
        <v>45894</v>
      </c>
      <c r="D331" t="s">
        <v>137</v>
      </c>
      <c r="E331">
        <v>16</v>
      </c>
      <c r="F331" s="6">
        <v>50.63</v>
      </c>
      <c r="G331" s="6">
        <v>0</v>
      </c>
      <c r="H331" s="6">
        <v>1.29</v>
      </c>
      <c r="I331" s="6">
        <v>27.68</v>
      </c>
      <c r="J331" s="6">
        <v>78.31</v>
      </c>
      <c r="L331">
        <v>9</v>
      </c>
      <c r="M331" s="5">
        <v>46076</v>
      </c>
      <c r="N331" t="s">
        <v>165</v>
      </c>
      <c r="O331">
        <v>46</v>
      </c>
      <c r="P331" s="6">
        <v>368.27</v>
      </c>
      <c r="Q331" s="6">
        <v>0</v>
      </c>
      <c r="R331" s="6">
        <v>0</v>
      </c>
      <c r="S331" s="6">
        <v>55.47</v>
      </c>
      <c r="T331" s="6">
        <v>423.74</v>
      </c>
      <c r="V331">
        <v>25</v>
      </c>
      <c r="W331" s="5">
        <v>46188</v>
      </c>
      <c r="X331" t="s">
        <v>181</v>
      </c>
      <c r="Y331">
        <v>264</v>
      </c>
      <c r="Z331" s="6">
        <v>1921.1700000000033</v>
      </c>
      <c r="AA331" s="6">
        <v>6.95</v>
      </c>
      <c r="AB331" s="6">
        <v>81.410000000000011</v>
      </c>
      <c r="AC331" s="6">
        <v>184.89000000000019</v>
      </c>
      <c r="AD331" s="6">
        <v>2099.1100000000038</v>
      </c>
      <c r="AH331" t="s">
        <v>203</v>
      </c>
      <c r="AI331" s="5">
        <v>46143</v>
      </c>
      <c r="AJ331" t="s">
        <v>116</v>
      </c>
      <c r="AK331">
        <v>127</v>
      </c>
      <c r="AL331" s="6">
        <v>416.5</v>
      </c>
      <c r="AM331" s="6">
        <v>0</v>
      </c>
      <c r="AN331" s="6">
        <v>0</v>
      </c>
      <c r="AO331" s="6">
        <v>34.03</v>
      </c>
      <c r="AP331" s="6">
        <v>450.53</v>
      </c>
    </row>
    <row r="332" spans="2:42" ht="18.75">
      <c r="B332">
        <v>35</v>
      </c>
      <c r="C332" s="5">
        <v>45894</v>
      </c>
      <c r="D332" t="s">
        <v>142</v>
      </c>
      <c r="E332">
        <v>32</v>
      </c>
      <c r="F332" s="6">
        <v>149.75</v>
      </c>
      <c r="G332" s="6">
        <v>0</v>
      </c>
      <c r="H332" s="6">
        <v>1.44</v>
      </c>
      <c r="I332" s="6">
        <v>0</v>
      </c>
      <c r="J332" s="6">
        <v>149.75</v>
      </c>
      <c r="L332">
        <v>9</v>
      </c>
      <c r="M332" s="5">
        <v>46076</v>
      </c>
      <c r="N332" t="s">
        <v>171</v>
      </c>
      <c r="O332">
        <v>165</v>
      </c>
      <c r="P332" s="6">
        <v>952.08000000000095</v>
      </c>
      <c r="Q332" s="6">
        <v>0</v>
      </c>
      <c r="R332" s="6">
        <v>115.72</v>
      </c>
      <c r="S332" s="6">
        <v>134.24</v>
      </c>
      <c r="T332" s="6">
        <v>1086.32</v>
      </c>
      <c r="V332">
        <v>25</v>
      </c>
      <c r="W332" s="5">
        <v>46188</v>
      </c>
      <c r="X332" t="s">
        <v>178</v>
      </c>
      <c r="Y332">
        <v>319</v>
      </c>
      <c r="Z332" s="6">
        <v>2971.17</v>
      </c>
      <c r="AA332" s="6">
        <v>9.6</v>
      </c>
      <c r="AB332" s="6">
        <v>68.66</v>
      </c>
      <c r="AC332" s="6">
        <v>56.419999999999995</v>
      </c>
      <c r="AD332" s="6">
        <v>3017.9900000000002</v>
      </c>
      <c r="AH332" t="s">
        <v>203</v>
      </c>
      <c r="AI332" s="5">
        <v>46143</v>
      </c>
      <c r="AJ332" t="s">
        <v>150</v>
      </c>
      <c r="AK332">
        <v>55</v>
      </c>
      <c r="AL332" s="6">
        <v>317.56</v>
      </c>
      <c r="AM332" s="6">
        <v>0</v>
      </c>
      <c r="AN332" s="6">
        <v>0</v>
      </c>
      <c r="AO332" s="6">
        <v>14.59</v>
      </c>
      <c r="AP332" s="6">
        <v>332.15</v>
      </c>
    </row>
    <row r="333" spans="2:42" ht="18.75">
      <c r="B333">
        <v>35</v>
      </c>
      <c r="C333" s="5">
        <v>45894</v>
      </c>
      <c r="D333" t="s">
        <v>126</v>
      </c>
      <c r="E333">
        <v>30</v>
      </c>
      <c r="F333" s="6">
        <v>113.24</v>
      </c>
      <c r="G333" s="6">
        <v>0</v>
      </c>
      <c r="H333" s="6">
        <v>0</v>
      </c>
      <c r="I333" s="6">
        <v>1.98</v>
      </c>
      <c r="J333" s="6">
        <v>115.22</v>
      </c>
      <c r="L333">
        <v>9</v>
      </c>
      <c r="M333" s="5">
        <v>46076</v>
      </c>
      <c r="N333" t="s">
        <v>168</v>
      </c>
      <c r="O333">
        <v>284</v>
      </c>
      <c r="P333" s="6">
        <v>534.29999999999995</v>
      </c>
      <c r="Q333" s="6">
        <v>1.8</v>
      </c>
      <c r="R333" s="6">
        <v>0</v>
      </c>
      <c r="S333" s="6">
        <v>59.08</v>
      </c>
      <c r="T333" s="6">
        <v>591.58000000000004</v>
      </c>
      <c r="V333">
        <v>25</v>
      </c>
      <c r="W333" s="5">
        <v>46188</v>
      </c>
      <c r="X333" t="s">
        <v>180</v>
      </c>
      <c r="Y333">
        <v>44</v>
      </c>
      <c r="Z333" s="6">
        <v>371.2600000000001</v>
      </c>
      <c r="AA333" s="6">
        <v>15.73</v>
      </c>
      <c r="AB333" s="6">
        <v>0</v>
      </c>
      <c r="AC333" s="6">
        <v>29.04</v>
      </c>
      <c r="AD333" s="6">
        <v>384.57000000000011</v>
      </c>
      <c r="AH333" t="s">
        <v>203</v>
      </c>
      <c r="AI333" s="5">
        <v>46143</v>
      </c>
      <c r="AJ333" t="s">
        <v>136</v>
      </c>
      <c r="AK333">
        <v>154</v>
      </c>
      <c r="AL333" s="6">
        <v>447.45</v>
      </c>
      <c r="AM333" s="6">
        <v>0</v>
      </c>
      <c r="AN333" s="6">
        <v>0</v>
      </c>
      <c r="AO333" s="6">
        <v>231.15</v>
      </c>
      <c r="AP333" s="6">
        <v>678.6</v>
      </c>
    </row>
    <row r="334" spans="2:42" ht="18.75">
      <c r="B334">
        <v>35</v>
      </c>
      <c r="C334" s="5">
        <v>45894</v>
      </c>
      <c r="D334" t="s">
        <v>111</v>
      </c>
      <c r="E334">
        <v>78</v>
      </c>
      <c r="F334" s="6">
        <v>305.70999999999998</v>
      </c>
      <c r="G334" s="6">
        <v>0</v>
      </c>
      <c r="H334" s="6">
        <v>3.6</v>
      </c>
      <c r="I334" s="6">
        <v>0</v>
      </c>
      <c r="J334" s="6">
        <v>305.70999999999998</v>
      </c>
      <c r="L334">
        <v>9</v>
      </c>
      <c r="M334" s="5">
        <v>46076</v>
      </c>
      <c r="N334" t="s">
        <v>158</v>
      </c>
      <c r="O334">
        <v>131</v>
      </c>
      <c r="P334" s="6">
        <v>766.63999999999896</v>
      </c>
      <c r="Q334" s="6">
        <v>0</v>
      </c>
      <c r="R334" s="6">
        <v>19.260000000000002</v>
      </c>
      <c r="S334" s="6">
        <v>39.4</v>
      </c>
      <c r="T334" s="6">
        <v>806.03999999999905</v>
      </c>
      <c r="V334">
        <v>25</v>
      </c>
      <c r="W334" s="5">
        <v>46188</v>
      </c>
      <c r="X334" t="s">
        <v>202</v>
      </c>
      <c r="Y334">
        <v>69</v>
      </c>
      <c r="Z334" s="6">
        <v>222.69</v>
      </c>
      <c r="AA334" s="6">
        <v>0</v>
      </c>
      <c r="AB334" s="6">
        <v>0</v>
      </c>
      <c r="AC334" s="6">
        <v>0</v>
      </c>
      <c r="AD334" s="6">
        <v>222.69</v>
      </c>
      <c r="AH334" t="s">
        <v>203</v>
      </c>
      <c r="AI334" s="5">
        <v>46143</v>
      </c>
      <c r="AJ334" t="s">
        <v>125</v>
      </c>
      <c r="AK334">
        <v>88</v>
      </c>
      <c r="AL334" s="6">
        <v>408.67</v>
      </c>
      <c r="AM334" s="6">
        <v>0</v>
      </c>
      <c r="AN334" s="6">
        <v>0</v>
      </c>
      <c r="AO334" s="6">
        <v>7.8</v>
      </c>
      <c r="AP334" s="6">
        <v>416.47</v>
      </c>
    </row>
    <row r="335" spans="2:42" ht="18.75">
      <c r="B335">
        <v>35</v>
      </c>
      <c r="C335" s="5">
        <v>45894</v>
      </c>
      <c r="D335" t="s">
        <v>140</v>
      </c>
      <c r="E335">
        <v>20</v>
      </c>
      <c r="F335" s="6">
        <v>61.94</v>
      </c>
      <c r="G335" s="6">
        <v>0</v>
      </c>
      <c r="H335" s="6">
        <v>0</v>
      </c>
      <c r="I335" s="6">
        <v>0</v>
      </c>
      <c r="J335" s="6">
        <v>61.94</v>
      </c>
      <c r="L335">
        <v>9</v>
      </c>
      <c r="M335" s="5">
        <v>46076</v>
      </c>
      <c r="N335" t="s">
        <v>172</v>
      </c>
      <c r="O335">
        <v>19</v>
      </c>
      <c r="P335" s="6">
        <v>60.8</v>
      </c>
      <c r="Q335" s="6">
        <v>0</v>
      </c>
      <c r="R335" s="6">
        <v>0</v>
      </c>
      <c r="S335" s="6">
        <v>0</v>
      </c>
      <c r="T335" s="6">
        <v>60.8</v>
      </c>
      <c r="V335">
        <v>25</v>
      </c>
      <c r="W335" s="5">
        <v>46188</v>
      </c>
      <c r="X335" t="s">
        <v>227</v>
      </c>
      <c r="Y335">
        <v>1</v>
      </c>
      <c r="Z335" s="6">
        <v>3.2</v>
      </c>
      <c r="AA335" s="6">
        <v>0</v>
      </c>
      <c r="AB335" s="6">
        <v>0</v>
      </c>
      <c r="AC335" s="6">
        <v>0</v>
      </c>
      <c r="AD335" s="6">
        <v>3.2</v>
      </c>
      <c r="AH335" t="s">
        <v>203</v>
      </c>
      <c r="AI335" s="5">
        <v>46143</v>
      </c>
      <c r="AJ335" t="s">
        <v>216</v>
      </c>
      <c r="AK335">
        <v>371</v>
      </c>
      <c r="AL335" s="6">
        <v>1526.6</v>
      </c>
      <c r="AM335" s="6">
        <v>0</v>
      </c>
      <c r="AN335" s="6">
        <v>0</v>
      </c>
      <c r="AO335" s="6">
        <v>101.03</v>
      </c>
      <c r="AP335" s="6">
        <v>1627.63</v>
      </c>
    </row>
    <row r="336" spans="2:42" ht="18.75">
      <c r="B336">
        <v>35</v>
      </c>
      <c r="C336" s="5">
        <v>45894</v>
      </c>
      <c r="D336" t="s">
        <v>125</v>
      </c>
      <c r="E336">
        <v>15</v>
      </c>
      <c r="F336" s="6">
        <v>65.87</v>
      </c>
      <c r="G336" s="6">
        <v>0</v>
      </c>
      <c r="H336" s="6">
        <v>0</v>
      </c>
      <c r="I336" s="6">
        <v>0</v>
      </c>
      <c r="J336" s="6">
        <v>65.87</v>
      </c>
      <c r="L336">
        <v>9</v>
      </c>
      <c r="M336" s="5">
        <v>46076</v>
      </c>
      <c r="N336" t="s">
        <v>174</v>
      </c>
      <c r="O336">
        <v>63</v>
      </c>
      <c r="P336" s="6">
        <v>425.81</v>
      </c>
      <c r="Q336" s="6">
        <v>0</v>
      </c>
      <c r="R336" s="6">
        <v>46.77</v>
      </c>
      <c r="S336" s="6">
        <v>62.92</v>
      </c>
      <c r="T336" s="6">
        <v>488.73</v>
      </c>
      <c r="V336">
        <v>26</v>
      </c>
      <c r="W336" s="5">
        <v>46195</v>
      </c>
      <c r="X336" t="s">
        <v>184</v>
      </c>
      <c r="Y336">
        <v>508</v>
      </c>
      <c r="Z336" s="6">
        <v>1025.5300000000007</v>
      </c>
      <c r="AA336" s="6">
        <v>2</v>
      </c>
      <c r="AB336" s="6">
        <v>3.3000000000000003</v>
      </c>
      <c r="AC336" s="6">
        <v>132.42000000000004</v>
      </c>
      <c r="AD336" s="6">
        <v>1155.9500000000007</v>
      </c>
      <c r="AH336" s="242" t="s">
        <v>205</v>
      </c>
      <c r="AI336" s="243">
        <v>46174</v>
      </c>
      <c r="AJ336" s="242" t="s">
        <v>124</v>
      </c>
      <c r="AK336" s="242">
        <v>664</v>
      </c>
      <c r="AL336" s="244">
        <v>2506.2199999999939</v>
      </c>
      <c r="AM336" s="244">
        <v>0</v>
      </c>
      <c r="AN336" s="244">
        <v>0</v>
      </c>
      <c r="AO336" s="244">
        <v>64.409999999999968</v>
      </c>
      <c r="AP336" s="244">
        <v>2570.6299999999937</v>
      </c>
    </row>
    <row r="337" spans="2:42" ht="18.75">
      <c r="B337">
        <v>45</v>
      </c>
      <c r="C337" s="5">
        <v>45964</v>
      </c>
      <c r="D337" t="s">
        <v>118</v>
      </c>
      <c r="E337">
        <v>68</v>
      </c>
      <c r="F337" s="6">
        <v>219.34</v>
      </c>
      <c r="G337" s="6">
        <v>0</v>
      </c>
      <c r="H337" s="6">
        <v>4.8499999999999996</v>
      </c>
      <c r="I337" s="6">
        <v>0</v>
      </c>
      <c r="J337" s="6">
        <v>219.34</v>
      </c>
      <c r="L337">
        <v>9</v>
      </c>
      <c r="M337" s="5">
        <v>46076</v>
      </c>
      <c r="N337" t="s">
        <v>163</v>
      </c>
      <c r="O337">
        <v>193</v>
      </c>
      <c r="P337" s="6">
        <v>369.6</v>
      </c>
      <c r="Q337" s="6">
        <v>0</v>
      </c>
      <c r="R337" s="6">
        <v>0</v>
      </c>
      <c r="S337" s="6">
        <v>17.399999999999999</v>
      </c>
      <c r="T337" s="6">
        <v>387</v>
      </c>
      <c r="V337">
        <v>26</v>
      </c>
      <c r="W337" s="5">
        <v>46195</v>
      </c>
      <c r="X337" t="s">
        <v>179</v>
      </c>
      <c r="Y337">
        <v>937</v>
      </c>
      <c r="Z337" s="6">
        <v>5284.7699999999668</v>
      </c>
      <c r="AA337" s="6">
        <v>6.3</v>
      </c>
      <c r="AB337" s="6">
        <v>111.6</v>
      </c>
      <c r="AC337" s="6">
        <v>221.94000000000025</v>
      </c>
      <c r="AD337" s="6">
        <v>5500.4099999999671</v>
      </c>
      <c r="AH337" s="242" t="s">
        <v>205</v>
      </c>
      <c r="AI337" s="243">
        <v>46174</v>
      </c>
      <c r="AJ337" s="242" t="s">
        <v>121</v>
      </c>
      <c r="AK337" s="242">
        <v>156</v>
      </c>
      <c r="AL337" s="244">
        <v>480.05999999999983</v>
      </c>
      <c r="AM337" s="244">
        <v>8.9</v>
      </c>
      <c r="AN337" s="244">
        <v>0</v>
      </c>
      <c r="AO337" s="244">
        <v>16.310000000000002</v>
      </c>
      <c r="AP337" s="244">
        <v>487.46999999999986</v>
      </c>
    </row>
    <row r="338" spans="2:42" ht="18.75">
      <c r="B338">
        <v>45</v>
      </c>
      <c r="C338" s="5">
        <v>45964</v>
      </c>
      <c r="D338" t="s">
        <v>139</v>
      </c>
      <c r="E338">
        <v>71</v>
      </c>
      <c r="F338" s="6">
        <v>345.52</v>
      </c>
      <c r="G338" s="6">
        <v>0</v>
      </c>
      <c r="H338" s="6">
        <v>8.17</v>
      </c>
      <c r="I338" s="6">
        <v>0</v>
      </c>
      <c r="J338" s="6">
        <v>345.52</v>
      </c>
      <c r="L338">
        <v>9</v>
      </c>
      <c r="M338" s="5">
        <v>46076</v>
      </c>
      <c r="N338" t="s">
        <v>198</v>
      </c>
      <c r="O338">
        <v>56</v>
      </c>
      <c r="P338" s="6">
        <v>435.83</v>
      </c>
      <c r="Q338" s="6">
        <v>0</v>
      </c>
      <c r="R338" s="6">
        <v>59.39</v>
      </c>
      <c r="S338" s="6">
        <v>36.78</v>
      </c>
      <c r="T338" s="6">
        <v>472.61</v>
      </c>
      <c r="V338">
        <v>26</v>
      </c>
      <c r="W338" s="5">
        <v>46195</v>
      </c>
      <c r="X338" t="s">
        <v>182</v>
      </c>
      <c r="Y338">
        <v>1067</v>
      </c>
      <c r="Z338" s="6">
        <v>2725.7799999999966</v>
      </c>
      <c r="AA338" s="6">
        <v>0</v>
      </c>
      <c r="AB338" s="6">
        <v>23.799999999999986</v>
      </c>
      <c r="AC338" s="6">
        <v>76.08</v>
      </c>
      <c r="AD338" s="6">
        <v>2801.8599999999965</v>
      </c>
      <c r="AH338" s="242" t="s">
        <v>205</v>
      </c>
      <c r="AI338" s="243">
        <v>46174</v>
      </c>
      <c r="AJ338" s="242" t="s">
        <v>129</v>
      </c>
      <c r="AK338" s="242">
        <v>536</v>
      </c>
      <c r="AL338" s="244">
        <v>36.270000000000003</v>
      </c>
      <c r="AM338" s="244">
        <v>0</v>
      </c>
      <c r="AN338" s="244">
        <v>0</v>
      </c>
      <c r="AO338" s="244">
        <v>2147.7600000000025</v>
      </c>
      <c r="AP338" s="244">
        <v>2184.0300000000025</v>
      </c>
    </row>
    <row r="339" spans="2:42" ht="18.75">
      <c r="B339">
        <v>45</v>
      </c>
      <c r="C339" s="5">
        <v>45964</v>
      </c>
      <c r="D339" t="s">
        <v>143</v>
      </c>
      <c r="E339">
        <v>535</v>
      </c>
      <c r="F339" s="6">
        <v>2228.5099999999902</v>
      </c>
      <c r="G339" s="6">
        <v>0</v>
      </c>
      <c r="H339" s="6">
        <v>0</v>
      </c>
      <c r="I339" s="6">
        <v>0</v>
      </c>
      <c r="J339" s="6">
        <v>2228.5099999999902</v>
      </c>
      <c r="L339">
        <v>9</v>
      </c>
      <c r="M339" s="5">
        <v>46076</v>
      </c>
      <c r="N339" t="s">
        <v>173</v>
      </c>
      <c r="O339">
        <v>192</v>
      </c>
      <c r="P339" s="6">
        <v>894.300000000002</v>
      </c>
      <c r="Q339" s="6">
        <v>0</v>
      </c>
      <c r="R339" s="6">
        <v>4.95</v>
      </c>
      <c r="S339" s="6">
        <v>80.849999999999994</v>
      </c>
      <c r="T339" s="6">
        <v>975.15000000000202</v>
      </c>
      <c r="V339">
        <v>26</v>
      </c>
      <c r="W339" s="5">
        <v>46195</v>
      </c>
      <c r="X339" t="s">
        <v>181</v>
      </c>
      <c r="Y339">
        <v>261</v>
      </c>
      <c r="Z339" s="6">
        <v>1740.1700000000042</v>
      </c>
      <c r="AA339" s="6">
        <v>0</v>
      </c>
      <c r="AB339" s="6">
        <v>196.78</v>
      </c>
      <c r="AC339" s="6">
        <v>198.43</v>
      </c>
      <c r="AD339" s="6">
        <v>1938.6000000000042</v>
      </c>
      <c r="AH339" s="242" t="s">
        <v>205</v>
      </c>
      <c r="AI339" s="243">
        <v>46174</v>
      </c>
      <c r="AJ339" s="242" t="s">
        <v>131</v>
      </c>
      <c r="AK339" s="242">
        <v>301</v>
      </c>
      <c r="AL339" s="244">
        <v>1517.8100000000022</v>
      </c>
      <c r="AM339" s="244">
        <v>7.99</v>
      </c>
      <c r="AN339" s="244">
        <v>0</v>
      </c>
      <c r="AO339" s="244">
        <v>51.709999999999994</v>
      </c>
      <c r="AP339" s="244">
        <v>1561.5300000000022</v>
      </c>
    </row>
    <row r="340" spans="2:42" ht="18.75">
      <c r="B340">
        <v>45</v>
      </c>
      <c r="C340" s="5">
        <v>45964</v>
      </c>
      <c r="D340" t="s">
        <v>129</v>
      </c>
      <c r="E340">
        <v>157</v>
      </c>
      <c r="F340" s="6">
        <v>23.06</v>
      </c>
      <c r="G340" s="6">
        <v>12.95</v>
      </c>
      <c r="H340" s="6">
        <v>0</v>
      </c>
      <c r="I340" s="6">
        <v>618.23</v>
      </c>
      <c r="J340" s="6">
        <v>628.34</v>
      </c>
      <c r="L340">
        <v>9</v>
      </c>
      <c r="M340" s="5">
        <v>46076</v>
      </c>
      <c r="N340" t="s">
        <v>176</v>
      </c>
      <c r="O340">
        <v>117</v>
      </c>
      <c r="P340" s="6">
        <v>254.31</v>
      </c>
      <c r="Q340" s="6">
        <v>0</v>
      </c>
      <c r="R340" s="6">
        <v>0</v>
      </c>
      <c r="S340" s="6">
        <v>10.3</v>
      </c>
      <c r="T340" s="6">
        <v>264.61</v>
      </c>
      <c r="V340">
        <v>26</v>
      </c>
      <c r="W340" s="5">
        <v>46195</v>
      </c>
      <c r="X340" t="s">
        <v>178</v>
      </c>
      <c r="Y340">
        <v>368</v>
      </c>
      <c r="Z340" s="6">
        <v>3406.7799999999957</v>
      </c>
      <c r="AA340" s="6">
        <v>0</v>
      </c>
      <c r="AB340" s="6">
        <v>102.37</v>
      </c>
      <c r="AC340" s="6">
        <v>90.160000000000011</v>
      </c>
      <c r="AD340" s="6">
        <v>3496.9399999999955</v>
      </c>
      <c r="AH340" s="242" t="s">
        <v>205</v>
      </c>
      <c r="AI340" s="243">
        <v>46174</v>
      </c>
      <c r="AJ340" s="242" t="s">
        <v>151</v>
      </c>
      <c r="AK340" s="242">
        <v>890</v>
      </c>
      <c r="AL340" s="244">
        <v>4744.1899999999705</v>
      </c>
      <c r="AM340" s="244">
        <v>45.91</v>
      </c>
      <c r="AN340" s="244">
        <v>0</v>
      </c>
      <c r="AO340" s="244">
        <v>62.230000000000004</v>
      </c>
      <c r="AP340" s="244">
        <v>4760.5099999999702</v>
      </c>
    </row>
    <row r="341" spans="2:42" ht="18.75">
      <c r="B341">
        <v>45</v>
      </c>
      <c r="C341" s="5">
        <v>45964</v>
      </c>
      <c r="D341" t="s">
        <v>123</v>
      </c>
      <c r="E341">
        <v>174</v>
      </c>
      <c r="F341" s="6">
        <v>729.51000000000101</v>
      </c>
      <c r="G341" s="6">
        <v>0</v>
      </c>
      <c r="H341" s="6">
        <v>12.99</v>
      </c>
      <c r="I341" s="6">
        <v>0</v>
      </c>
      <c r="J341" s="6">
        <v>729.51000000000101</v>
      </c>
      <c r="L341">
        <v>9</v>
      </c>
      <c r="M341" s="5">
        <v>46076</v>
      </c>
      <c r="N341" t="s">
        <v>201</v>
      </c>
      <c r="O341">
        <v>50</v>
      </c>
      <c r="P341" s="6">
        <v>150.72999999999999</v>
      </c>
      <c r="Q341" s="6">
        <v>0</v>
      </c>
      <c r="R341" s="6">
        <v>46.41</v>
      </c>
      <c r="S341" s="6">
        <v>40.36</v>
      </c>
      <c r="T341" s="6">
        <v>191.09</v>
      </c>
      <c r="V341">
        <v>26</v>
      </c>
      <c r="W341" s="5">
        <v>46195</v>
      </c>
      <c r="X341" t="s">
        <v>185</v>
      </c>
      <c r="Y341">
        <v>291</v>
      </c>
      <c r="Z341" s="6">
        <v>1343.9400000000066</v>
      </c>
      <c r="AA341" s="6">
        <v>0</v>
      </c>
      <c r="AB341" s="6">
        <v>0</v>
      </c>
      <c r="AC341" s="6">
        <v>99.010000000000034</v>
      </c>
      <c r="AD341" s="6">
        <v>1442.9500000000066</v>
      </c>
      <c r="AH341" s="242" t="s">
        <v>205</v>
      </c>
      <c r="AI341" s="243">
        <v>46174</v>
      </c>
      <c r="AJ341" s="242" t="s">
        <v>123</v>
      </c>
      <c r="AK341" s="242">
        <v>615</v>
      </c>
      <c r="AL341" s="244">
        <v>2432.7599999999989</v>
      </c>
      <c r="AM341" s="244">
        <v>0</v>
      </c>
      <c r="AN341" s="244">
        <v>0</v>
      </c>
      <c r="AO341" s="244">
        <v>94.65999999999994</v>
      </c>
      <c r="AP341" s="244">
        <v>2527.4199999999987</v>
      </c>
    </row>
    <row r="342" spans="2:42" ht="18.75">
      <c r="B342">
        <v>45</v>
      </c>
      <c r="C342" s="5">
        <v>45964</v>
      </c>
      <c r="D342" t="s">
        <v>124</v>
      </c>
      <c r="E342">
        <v>161</v>
      </c>
      <c r="F342" s="6">
        <v>613.54</v>
      </c>
      <c r="G342" s="6">
        <v>12.6</v>
      </c>
      <c r="H342" s="6">
        <v>11.59</v>
      </c>
      <c r="I342" s="6">
        <v>0</v>
      </c>
      <c r="J342" s="6">
        <v>600.94000000000005</v>
      </c>
      <c r="L342">
        <v>9</v>
      </c>
      <c r="M342" s="5">
        <v>46076</v>
      </c>
      <c r="N342" t="s">
        <v>170</v>
      </c>
      <c r="O342">
        <v>10</v>
      </c>
      <c r="P342" s="6">
        <v>34.56</v>
      </c>
      <c r="Q342" s="6">
        <v>0</v>
      </c>
      <c r="R342" s="6">
        <v>0</v>
      </c>
      <c r="S342" s="6">
        <v>2.34</v>
      </c>
      <c r="T342" s="6">
        <v>36.9</v>
      </c>
      <c r="V342">
        <v>26</v>
      </c>
      <c r="W342" s="5">
        <v>46195</v>
      </c>
      <c r="X342" t="s">
        <v>180</v>
      </c>
      <c r="Y342">
        <v>41</v>
      </c>
      <c r="Z342" s="6">
        <v>336.65000000000015</v>
      </c>
      <c r="AA342" s="6">
        <v>0</v>
      </c>
      <c r="AB342" s="6">
        <v>0</v>
      </c>
      <c r="AC342" s="6">
        <v>36.22</v>
      </c>
      <c r="AD342" s="6">
        <v>372.87000000000012</v>
      </c>
      <c r="AH342" s="242" t="s">
        <v>205</v>
      </c>
      <c r="AI342" s="243">
        <v>46174</v>
      </c>
      <c r="AJ342" s="242" t="s">
        <v>118</v>
      </c>
      <c r="AK342" s="242">
        <v>214</v>
      </c>
      <c r="AL342" s="244">
        <v>797.23000000000081</v>
      </c>
      <c r="AM342" s="244">
        <v>25.19</v>
      </c>
      <c r="AN342" s="244">
        <v>0</v>
      </c>
      <c r="AO342" s="244">
        <v>39.06</v>
      </c>
      <c r="AP342" s="244">
        <v>811.10000000000082</v>
      </c>
    </row>
    <row r="343" spans="2:42" ht="18.75">
      <c r="B343">
        <v>45</v>
      </c>
      <c r="C343" s="5">
        <v>45964</v>
      </c>
      <c r="D343" t="s">
        <v>120</v>
      </c>
      <c r="E343">
        <v>44</v>
      </c>
      <c r="F343" s="6">
        <v>227.13</v>
      </c>
      <c r="G343" s="6">
        <v>0</v>
      </c>
      <c r="H343" s="6">
        <v>0</v>
      </c>
      <c r="I343" s="6">
        <v>0</v>
      </c>
      <c r="J343" s="6">
        <v>227.13</v>
      </c>
      <c r="L343">
        <v>9</v>
      </c>
      <c r="M343" s="5">
        <v>46076</v>
      </c>
      <c r="N343" t="s">
        <v>164</v>
      </c>
      <c r="O343">
        <v>1</v>
      </c>
      <c r="P343" s="6">
        <v>3.75</v>
      </c>
      <c r="Q343" s="6">
        <v>0</v>
      </c>
      <c r="R343" s="6">
        <v>0</v>
      </c>
      <c r="S343" s="6">
        <v>0</v>
      </c>
      <c r="T343" s="6">
        <v>3.75</v>
      </c>
      <c r="V343">
        <v>26</v>
      </c>
      <c r="W343" s="5">
        <v>46195</v>
      </c>
      <c r="X343" t="s">
        <v>183</v>
      </c>
      <c r="Y343">
        <v>436</v>
      </c>
      <c r="Z343" s="6">
        <v>880.18000000000211</v>
      </c>
      <c r="AA343" s="6">
        <v>0</v>
      </c>
      <c r="AB343" s="6">
        <v>33.919999999999916</v>
      </c>
      <c r="AC343" s="6">
        <v>40.909999999999982</v>
      </c>
      <c r="AD343" s="6">
        <v>921.09000000000208</v>
      </c>
      <c r="AH343" s="242" t="s">
        <v>205</v>
      </c>
      <c r="AI343" s="243">
        <v>46174</v>
      </c>
      <c r="AJ343" s="242" t="s">
        <v>117</v>
      </c>
      <c r="AK343" s="242">
        <v>301</v>
      </c>
      <c r="AL343" s="244">
        <v>1480.1400000000028</v>
      </c>
      <c r="AM343" s="244">
        <v>6.93</v>
      </c>
      <c r="AN343" s="244">
        <v>0</v>
      </c>
      <c r="AO343" s="244">
        <v>85.379999999999896</v>
      </c>
      <c r="AP343" s="244">
        <v>1558.5900000000026</v>
      </c>
    </row>
    <row r="344" spans="2:42" ht="18.75">
      <c r="B344">
        <v>45</v>
      </c>
      <c r="C344" s="5">
        <v>45964</v>
      </c>
      <c r="D344" t="s">
        <v>150</v>
      </c>
      <c r="E344">
        <v>12</v>
      </c>
      <c r="F344" s="6">
        <v>57.84</v>
      </c>
      <c r="G344" s="6">
        <v>0</v>
      </c>
      <c r="H344" s="6">
        <v>0</v>
      </c>
      <c r="I344" s="6">
        <v>0</v>
      </c>
      <c r="J344" s="6">
        <v>57.84</v>
      </c>
      <c r="L344">
        <v>10</v>
      </c>
      <c r="M344" s="5">
        <v>46083</v>
      </c>
      <c r="N344" t="s">
        <v>169</v>
      </c>
      <c r="O344">
        <v>1206</v>
      </c>
      <c r="P344" s="6">
        <v>3196.5100000000298</v>
      </c>
      <c r="Q344" s="6">
        <v>2.2999999999999998</v>
      </c>
      <c r="R344" s="6">
        <v>36.07</v>
      </c>
      <c r="S344" s="6">
        <v>78.66</v>
      </c>
      <c r="T344" s="6">
        <v>3272.8700000000299</v>
      </c>
      <c r="V344">
        <v>26</v>
      </c>
      <c r="W344" s="5">
        <v>46195</v>
      </c>
      <c r="X344" t="s">
        <v>227</v>
      </c>
      <c r="Y344">
        <v>1</v>
      </c>
      <c r="Z344" s="6">
        <v>2.4</v>
      </c>
      <c r="AA344" s="6">
        <v>0</v>
      </c>
      <c r="AB344" s="6">
        <v>0</v>
      </c>
      <c r="AC344" s="6">
        <v>0.8</v>
      </c>
      <c r="AD344" s="6">
        <v>3.2</v>
      </c>
      <c r="AH344" s="242" t="s">
        <v>205</v>
      </c>
      <c r="AI344" s="243">
        <v>46174</v>
      </c>
      <c r="AJ344" s="242" t="s">
        <v>144</v>
      </c>
      <c r="AK344" s="242">
        <v>1377</v>
      </c>
      <c r="AL344" s="244">
        <v>6204.9799999999368</v>
      </c>
      <c r="AM344" s="244">
        <v>0</v>
      </c>
      <c r="AN344" s="244">
        <v>0</v>
      </c>
      <c r="AO344" s="244">
        <v>97.349999999999966</v>
      </c>
      <c r="AP344" s="244">
        <v>6302.3299999999372</v>
      </c>
    </row>
    <row r="345" spans="2:42" ht="18.75">
      <c r="B345">
        <v>45</v>
      </c>
      <c r="C345" s="5">
        <v>45964</v>
      </c>
      <c r="D345" t="s">
        <v>119</v>
      </c>
      <c r="E345">
        <v>139</v>
      </c>
      <c r="F345" s="6">
        <v>609.07000000000005</v>
      </c>
      <c r="G345" s="6">
        <v>0</v>
      </c>
      <c r="H345" s="6">
        <v>6.98</v>
      </c>
      <c r="I345" s="6">
        <v>0</v>
      </c>
      <c r="J345" s="6">
        <v>609.07000000000005</v>
      </c>
      <c r="L345">
        <v>10</v>
      </c>
      <c r="M345" s="5">
        <v>46083</v>
      </c>
      <c r="N345" t="s">
        <v>174</v>
      </c>
      <c r="O345">
        <v>192</v>
      </c>
      <c r="P345" s="6">
        <v>1187.02</v>
      </c>
      <c r="Q345" s="6">
        <v>0</v>
      </c>
      <c r="R345" s="6">
        <v>112.26</v>
      </c>
      <c r="S345" s="6">
        <v>154.19</v>
      </c>
      <c r="T345" s="6">
        <v>1341.21</v>
      </c>
      <c r="V345">
        <v>26</v>
      </c>
      <c r="W345" s="5">
        <v>46195</v>
      </c>
      <c r="X345" t="s">
        <v>202</v>
      </c>
      <c r="Y345">
        <v>83</v>
      </c>
      <c r="Z345" s="6">
        <v>283.88</v>
      </c>
      <c r="AA345" s="6">
        <v>0</v>
      </c>
      <c r="AB345" s="6">
        <v>0</v>
      </c>
      <c r="AC345" s="6">
        <v>0</v>
      </c>
      <c r="AD345" s="6">
        <v>283.88</v>
      </c>
      <c r="AH345" s="242" t="s">
        <v>205</v>
      </c>
      <c r="AI345" s="243">
        <v>46174</v>
      </c>
      <c r="AJ345" s="242" t="s">
        <v>115</v>
      </c>
      <c r="AK345" s="242">
        <v>318</v>
      </c>
      <c r="AL345" s="244">
        <v>1004.5700000000002</v>
      </c>
      <c r="AM345" s="244">
        <v>0</v>
      </c>
      <c r="AN345" s="244">
        <v>0</v>
      </c>
      <c r="AO345" s="244">
        <v>0</v>
      </c>
      <c r="AP345" s="244">
        <v>1004.5700000000002</v>
      </c>
    </row>
    <row r="346" spans="2:42" ht="18.75">
      <c r="B346">
        <v>45</v>
      </c>
      <c r="C346" s="5">
        <v>45964</v>
      </c>
      <c r="D346" t="s">
        <v>117</v>
      </c>
      <c r="E346">
        <v>76</v>
      </c>
      <c r="F346" s="6">
        <v>358.42</v>
      </c>
      <c r="G346" s="6">
        <v>0</v>
      </c>
      <c r="H346" s="6">
        <v>17.59</v>
      </c>
      <c r="I346" s="6">
        <v>0</v>
      </c>
      <c r="J346" s="6">
        <v>358.42</v>
      </c>
      <c r="L346">
        <v>10</v>
      </c>
      <c r="M346" s="5">
        <v>46083</v>
      </c>
      <c r="N346" t="s">
        <v>160</v>
      </c>
      <c r="O346">
        <v>954</v>
      </c>
      <c r="P346" s="6">
        <v>6475.1799999999303</v>
      </c>
      <c r="Q346" s="6">
        <v>9.6</v>
      </c>
      <c r="R346" s="6">
        <v>176.64</v>
      </c>
      <c r="S346" s="6">
        <v>220.97</v>
      </c>
      <c r="T346" s="6">
        <v>6686.5499999999302</v>
      </c>
      <c r="AH346" s="242" t="s">
        <v>205</v>
      </c>
      <c r="AI346" s="243">
        <v>46174</v>
      </c>
      <c r="AJ346" s="242" t="s">
        <v>147</v>
      </c>
      <c r="AK346" s="242">
        <v>451</v>
      </c>
      <c r="AL346" s="244">
        <v>2134.6200000000049</v>
      </c>
      <c r="AM346" s="244">
        <v>4.95</v>
      </c>
      <c r="AN346" s="244">
        <v>0</v>
      </c>
      <c r="AO346" s="244">
        <v>81.939999999999984</v>
      </c>
      <c r="AP346" s="244">
        <v>2211.6100000000051</v>
      </c>
    </row>
    <row r="347" spans="2:42" ht="18.75">
      <c r="B347">
        <v>45</v>
      </c>
      <c r="C347" s="5">
        <v>45964</v>
      </c>
      <c r="D347" t="s">
        <v>146</v>
      </c>
      <c r="E347">
        <v>151</v>
      </c>
      <c r="F347" s="6">
        <v>820.09000000000106</v>
      </c>
      <c r="G347" s="6">
        <v>6.3</v>
      </c>
      <c r="H347" s="6">
        <v>19.920000000000002</v>
      </c>
      <c r="I347" s="6">
        <v>0</v>
      </c>
      <c r="J347" s="6">
        <v>813.79000000000099</v>
      </c>
      <c r="L347">
        <v>10</v>
      </c>
      <c r="M347" s="5">
        <v>46083</v>
      </c>
      <c r="N347" t="s">
        <v>204</v>
      </c>
      <c r="O347">
        <v>5</v>
      </c>
      <c r="P347" s="6">
        <v>4.75</v>
      </c>
      <c r="Q347" s="6">
        <v>0</v>
      </c>
      <c r="R347" s="6">
        <v>0</v>
      </c>
      <c r="S347" s="6">
        <v>0</v>
      </c>
      <c r="T347" s="6">
        <v>4.75</v>
      </c>
      <c r="AH347" s="242" t="s">
        <v>205</v>
      </c>
      <c r="AI347" s="243">
        <v>46174</v>
      </c>
      <c r="AJ347" s="242" t="s">
        <v>143</v>
      </c>
      <c r="AK347" s="242">
        <v>895</v>
      </c>
      <c r="AL347" s="244">
        <v>3825.5899999999847</v>
      </c>
      <c r="AM347" s="244">
        <v>15.899999999999999</v>
      </c>
      <c r="AN347" s="244">
        <v>0</v>
      </c>
      <c r="AO347" s="244">
        <v>109.83999999999992</v>
      </c>
      <c r="AP347" s="244">
        <v>3919.5299999999847</v>
      </c>
    </row>
    <row r="348" spans="2:42" ht="18.75">
      <c r="B348">
        <v>45</v>
      </c>
      <c r="C348" s="5">
        <v>45964</v>
      </c>
      <c r="D348" t="s">
        <v>116</v>
      </c>
      <c r="E348">
        <v>31</v>
      </c>
      <c r="F348" s="6">
        <v>124.79</v>
      </c>
      <c r="G348" s="6">
        <v>0</v>
      </c>
      <c r="H348" s="6">
        <v>0</v>
      </c>
      <c r="I348" s="6">
        <v>0</v>
      </c>
      <c r="J348" s="6">
        <v>124.79</v>
      </c>
      <c r="L348">
        <v>10</v>
      </c>
      <c r="M348" s="5">
        <v>46083</v>
      </c>
      <c r="N348" t="s">
        <v>158</v>
      </c>
      <c r="O348">
        <v>156</v>
      </c>
      <c r="P348" s="6">
        <v>934.83999999999799</v>
      </c>
      <c r="Q348" s="6">
        <v>0</v>
      </c>
      <c r="R348" s="6">
        <v>17.059999999999999</v>
      </c>
      <c r="S348" s="6">
        <v>30.9</v>
      </c>
      <c r="T348" s="6">
        <v>965.73999999999796</v>
      </c>
      <c r="AH348" s="242" t="s">
        <v>205</v>
      </c>
      <c r="AI348" s="243">
        <v>46174</v>
      </c>
      <c r="AJ348" s="242" t="s">
        <v>146</v>
      </c>
      <c r="AK348" s="242">
        <v>687</v>
      </c>
      <c r="AL348" s="244">
        <v>4174.0699999999815</v>
      </c>
      <c r="AM348" s="244">
        <v>17.59</v>
      </c>
      <c r="AN348" s="244">
        <v>0</v>
      </c>
      <c r="AO348" s="244">
        <v>77.400000000000006</v>
      </c>
      <c r="AP348" s="244">
        <v>4233.879999999981</v>
      </c>
    </row>
    <row r="349" spans="2:42" ht="18.75">
      <c r="B349">
        <v>45</v>
      </c>
      <c r="C349" s="5">
        <v>45964</v>
      </c>
      <c r="D349" t="s">
        <v>112</v>
      </c>
      <c r="E349">
        <v>19</v>
      </c>
      <c r="F349" s="6">
        <v>85.72</v>
      </c>
      <c r="G349" s="6">
        <v>0</v>
      </c>
      <c r="H349" s="6">
        <v>0</v>
      </c>
      <c r="I349" s="6">
        <v>1</v>
      </c>
      <c r="J349" s="6">
        <v>86.72</v>
      </c>
      <c r="L349">
        <v>10</v>
      </c>
      <c r="M349" s="5">
        <v>46083</v>
      </c>
      <c r="N349" t="s">
        <v>163</v>
      </c>
      <c r="O349">
        <v>255</v>
      </c>
      <c r="P349" s="6">
        <v>472.6</v>
      </c>
      <c r="Q349" s="6">
        <v>0</v>
      </c>
      <c r="R349" s="6">
        <v>0</v>
      </c>
      <c r="S349" s="6">
        <v>40.9</v>
      </c>
      <c r="T349" s="6">
        <v>513.5</v>
      </c>
      <c r="AH349" s="242" t="s">
        <v>205</v>
      </c>
      <c r="AI349" s="243">
        <v>46174</v>
      </c>
      <c r="AJ349" s="242" t="s">
        <v>136</v>
      </c>
      <c r="AK349" s="242">
        <v>194</v>
      </c>
      <c r="AL349" s="244">
        <v>608.63</v>
      </c>
      <c r="AM349" s="244">
        <v>0</v>
      </c>
      <c r="AN349" s="244">
        <v>0</v>
      </c>
      <c r="AO349" s="244">
        <v>290.7</v>
      </c>
      <c r="AP349" s="244">
        <v>899.32999999999993</v>
      </c>
    </row>
    <row r="350" spans="2:42" ht="18.75">
      <c r="B350">
        <v>45</v>
      </c>
      <c r="C350" s="5">
        <v>45964</v>
      </c>
      <c r="D350" t="s">
        <v>145</v>
      </c>
      <c r="E350">
        <v>99</v>
      </c>
      <c r="F350" s="6">
        <v>545.63</v>
      </c>
      <c r="G350" s="6">
        <v>0</v>
      </c>
      <c r="H350" s="6">
        <v>6.9</v>
      </c>
      <c r="I350" s="6">
        <v>13.6</v>
      </c>
      <c r="J350" s="6">
        <v>559.23</v>
      </c>
      <c r="L350">
        <v>10</v>
      </c>
      <c r="M350" s="5">
        <v>46083</v>
      </c>
      <c r="N350" t="s">
        <v>173</v>
      </c>
      <c r="O350">
        <v>248</v>
      </c>
      <c r="P350" s="6">
        <v>1171.29</v>
      </c>
      <c r="Q350" s="6">
        <v>4.95</v>
      </c>
      <c r="R350" s="6">
        <v>0</v>
      </c>
      <c r="S350" s="6">
        <v>91.79</v>
      </c>
      <c r="T350" s="6">
        <v>1258.1300000000001</v>
      </c>
      <c r="AH350" s="242" t="s">
        <v>205</v>
      </c>
      <c r="AI350" s="243">
        <v>46174</v>
      </c>
      <c r="AJ350" s="242" t="s">
        <v>133</v>
      </c>
      <c r="AK350" s="242">
        <v>393</v>
      </c>
      <c r="AL350" s="244">
        <v>2219.7500000000027</v>
      </c>
      <c r="AM350" s="244">
        <v>8.9</v>
      </c>
      <c r="AN350" s="244">
        <v>0</v>
      </c>
      <c r="AO350" s="244">
        <v>96.950000000000017</v>
      </c>
      <c r="AP350" s="244">
        <v>2307.8000000000025</v>
      </c>
    </row>
    <row r="351" spans="2:42" ht="18.75">
      <c r="B351">
        <v>45</v>
      </c>
      <c r="C351" s="5">
        <v>45964</v>
      </c>
      <c r="D351" t="s">
        <v>136</v>
      </c>
      <c r="E351">
        <v>34</v>
      </c>
      <c r="F351" s="6">
        <v>109.88</v>
      </c>
      <c r="G351" s="6">
        <v>0</v>
      </c>
      <c r="H351" s="6">
        <v>0.99</v>
      </c>
      <c r="I351" s="6">
        <v>21.04</v>
      </c>
      <c r="J351" s="6">
        <v>130.91999999999999</v>
      </c>
      <c r="L351">
        <v>10</v>
      </c>
      <c r="M351" s="5">
        <v>46083</v>
      </c>
      <c r="N351" t="s">
        <v>170</v>
      </c>
      <c r="O351">
        <v>54</v>
      </c>
      <c r="P351" s="6">
        <v>168.3</v>
      </c>
      <c r="Q351" s="6">
        <v>0</v>
      </c>
      <c r="R351" s="6">
        <v>0</v>
      </c>
      <c r="S351" s="6">
        <v>26.1</v>
      </c>
      <c r="T351" s="6">
        <v>194.4</v>
      </c>
      <c r="AH351" s="242" t="s">
        <v>205</v>
      </c>
      <c r="AI351" s="243">
        <v>46174</v>
      </c>
      <c r="AJ351" s="242" t="s">
        <v>134</v>
      </c>
      <c r="AK351" s="242">
        <v>407</v>
      </c>
      <c r="AL351" s="244">
        <v>2296.6500000000019</v>
      </c>
      <c r="AM351" s="244">
        <v>0</v>
      </c>
      <c r="AN351" s="244">
        <v>0</v>
      </c>
      <c r="AO351" s="244">
        <v>81.53000000000003</v>
      </c>
      <c r="AP351" s="244">
        <v>2378.1800000000021</v>
      </c>
    </row>
    <row r="352" spans="2:42" ht="18.75">
      <c r="B352">
        <v>45</v>
      </c>
      <c r="C352" s="5">
        <v>45964</v>
      </c>
      <c r="D352" t="s">
        <v>134</v>
      </c>
      <c r="E352">
        <v>88</v>
      </c>
      <c r="F352" s="6">
        <v>449.89</v>
      </c>
      <c r="G352" s="6">
        <v>0</v>
      </c>
      <c r="H352" s="6">
        <v>8.0500000000000007</v>
      </c>
      <c r="I352" s="6">
        <v>1.1200000000000001</v>
      </c>
      <c r="J352" s="6">
        <v>451.01</v>
      </c>
      <c r="L352">
        <v>10</v>
      </c>
      <c r="M352" s="5">
        <v>46083</v>
      </c>
      <c r="N352" t="s">
        <v>171</v>
      </c>
      <c r="O352">
        <v>92</v>
      </c>
      <c r="P352" s="6">
        <v>577.35</v>
      </c>
      <c r="Q352" s="6">
        <v>0</v>
      </c>
      <c r="R352" s="6">
        <v>78.400000000000006</v>
      </c>
      <c r="S352" s="6">
        <v>77.510000000000005</v>
      </c>
      <c r="T352" s="6">
        <v>654.86</v>
      </c>
      <c r="AH352" s="242" t="s">
        <v>205</v>
      </c>
      <c r="AI352" s="243">
        <v>46174</v>
      </c>
      <c r="AJ352" s="242" t="s">
        <v>132</v>
      </c>
      <c r="AK352" s="242">
        <v>323</v>
      </c>
      <c r="AL352" s="244">
        <v>1187.9300000000019</v>
      </c>
      <c r="AM352" s="244">
        <v>19.8</v>
      </c>
      <c r="AN352" s="244">
        <v>0</v>
      </c>
      <c r="AO352" s="244">
        <v>34.839999999999989</v>
      </c>
      <c r="AP352" s="244">
        <v>1202.9700000000018</v>
      </c>
    </row>
    <row r="353" spans="2:42" ht="18.75">
      <c r="B353">
        <v>45</v>
      </c>
      <c r="C353" s="5">
        <v>45964</v>
      </c>
      <c r="D353" t="s">
        <v>141</v>
      </c>
      <c r="E353">
        <v>235</v>
      </c>
      <c r="F353" s="6">
        <v>787.94000000000096</v>
      </c>
      <c r="G353" s="6">
        <v>0</v>
      </c>
      <c r="H353" s="6">
        <v>10.17</v>
      </c>
      <c r="I353" s="6">
        <v>0</v>
      </c>
      <c r="J353" s="6">
        <v>787.94000000000096</v>
      </c>
      <c r="L353">
        <v>10</v>
      </c>
      <c r="M353" s="5">
        <v>46083</v>
      </c>
      <c r="N353" t="s">
        <v>176</v>
      </c>
      <c r="O353">
        <v>82</v>
      </c>
      <c r="P353" s="6">
        <v>168.16</v>
      </c>
      <c r="Q353" s="6">
        <v>2.2000000000000002</v>
      </c>
      <c r="R353" s="6">
        <v>0</v>
      </c>
      <c r="S353" s="6">
        <v>13.89</v>
      </c>
      <c r="T353" s="6">
        <v>179.85</v>
      </c>
      <c r="AH353" s="242" t="s">
        <v>205</v>
      </c>
      <c r="AI353" s="243">
        <v>46174</v>
      </c>
      <c r="AJ353" s="242" t="s">
        <v>216</v>
      </c>
      <c r="AK353" s="242">
        <v>587</v>
      </c>
      <c r="AL353" s="244">
        <v>2396.5899999999974</v>
      </c>
      <c r="AM353" s="244">
        <v>0</v>
      </c>
      <c r="AN353" s="244">
        <v>0</v>
      </c>
      <c r="AO353" s="244">
        <v>43.039999999999971</v>
      </c>
      <c r="AP353" s="244">
        <v>2439.6299999999974</v>
      </c>
    </row>
    <row r="354" spans="2:42" ht="18.75">
      <c r="B354">
        <v>45</v>
      </c>
      <c r="C354" s="5">
        <v>45964</v>
      </c>
      <c r="D354" t="s">
        <v>219</v>
      </c>
      <c r="E354">
        <v>88</v>
      </c>
      <c r="F354" s="6">
        <v>468.2</v>
      </c>
      <c r="G354" s="6">
        <v>0</v>
      </c>
      <c r="H354" s="6">
        <v>5.62</v>
      </c>
      <c r="I354" s="6">
        <v>0</v>
      </c>
      <c r="J354" s="6">
        <v>468.2</v>
      </c>
      <c r="L354">
        <v>10</v>
      </c>
      <c r="M354" s="5">
        <v>46083</v>
      </c>
      <c r="N354" t="s">
        <v>198</v>
      </c>
      <c r="O354">
        <v>32</v>
      </c>
      <c r="P354" s="6">
        <v>239.98</v>
      </c>
      <c r="Q354" s="6">
        <v>0</v>
      </c>
      <c r="R354" s="6">
        <v>39.6</v>
      </c>
      <c r="S354" s="6">
        <v>8.1</v>
      </c>
      <c r="T354" s="6">
        <v>248.08</v>
      </c>
      <c r="AH354" s="242" t="s">
        <v>205</v>
      </c>
      <c r="AI354" s="243">
        <v>46174</v>
      </c>
      <c r="AJ354" s="242" t="s">
        <v>114</v>
      </c>
      <c r="AK354" s="242">
        <v>372</v>
      </c>
      <c r="AL354" s="244">
        <v>1573.1300000000006</v>
      </c>
      <c r="AM354" s="244">
        <v>6.74</v>
      </c>
      <c r="AN354" s="244">
        <v>0</v>
      </c>
      <c r="AO354" s="244">
        <v>637.18000000000109</v>
      </c>
      <c r="AP354" s="244">
        <v>2203.570000000002</v>
      </c>
    </row>
    <row r="355" spans="2:42" ht="18.75">
      <c r="B355">
        <v>45</v>
      </c>
      <c r="C355" s="5">
        <v>45964</v>
      </c>
      <c r="D355" t="s">
        <v>122</v>
      </c>
      <c r="E355">
        <v>83</v>
      </c>
      <c r="F355" s="6">
        <v>461.85</v>
      </c>
      <c r="G355" s="6">
        <v>0</v>
      </c>
      <c r="H355" s="6">
        <v>9.42</v>
      </c>
      <c r="I355" s="6">
        <v>0</v>
      </c>
      <c r="J355" s="6">
        <v>461.85</v>
      </c>
      <c r="L355">
        <v>10</v>
      </c>
      <c r="M355" s="5">
        <v>46083</v>
      </c>
      <c r="N355" t="s">
        <v>168</v>
      </c>
      <c r="O355">
        <v>366</v>
      </c>
      <c r="P355" s="6">
        <v>727.29</v>
      </c>
      <c r="Q355" s="6">
        <v>0</v>
      </c>
      <c r="R355" s="6">
        <v>0</v>
      </c>
      <c r="S355" s="6">
        <v>52.52</v>
      </c>
      <c r="T355" s="6">
        <v>779.81</v>
      </c>
      <c r="AH355" s="242" t="s">
        <v>205</v>
      </c>
      <c r="AI355" s="243">
        <v>46174</v>
      </c>
      <c r="AJ355" s="242" t="s">
        <v>119</v>
      </c>
      <c r="AK355" s="242">
        <v>494</v>
      </c>
      <c r="AL355" s="244">
        <v>1864.2800000000047</v>
      </c>
      <c r="AM355" s="244">
        <v>1.5</v>
      </c>
      <c r="AN355" s="244">
        <v>0</v>
      </c>
      <c r="AO355" s="244">
        <v>46.609999999999978</v>
      </c>
      <c r="AP355" s="244">
        <v>1909.3900000000046</v>
      </c>
    </row>
    <row r="356" spans="2:42" ht="18.75">
      <c r="B356">
        <v>45</v>
      </c>
      <c r="C356" s="5">
        <v>45964</v>
      </c>
      <c r="D356" t="s">
        <v>113</v>
      </c>
      <c r="E356">
        <v>94</v>
      </c>
      <c r="F356" s="6">
        <v>317.75</v>
      </c>
      <c r="G356" s="6">
        <v>0</v>
      </c>
      <c r="H356" s="6">
        <v>1.49</v>
      </c>
      <c r="I356" s="6">
        <v>2.64</v>
      </c>
      <c r="J356" s="6">
        <v>320.39</v>
      </c>
      <c r="L356">
        <v>10</v>
      </c>
      <c r="M356" s="5">
        <v>46083</v>
      </c>
      <c r="N356" t="s">
        <v>201</v>
      </c>
      <c r="O356">
        <v>51</v>
      </c>
      <c r="P356" s="6">
        <v>149.75</v>
      </c>
      <c r="Q356" s="6">
        <v>0</v>
      </c>
      <c r="R356" s="6">
        <v>62.35</v>
      </c>
      <c r="S356" s="6">
        <v>30.15</v>
      </c>
      <c r="T356" s="6">
        <v>179.9</v>
      </c>
      <c r="AH356" s="242" t="s">
        <v>205</v>
      </c>
      <c r="AI356" s="243">
        <v>46174</v>
      </c>
      <c r="AJ356" s="242" t="s">
        <v>138</v>
      </c>
      <c r="AK356" s="242">
        <v>562</v>
      </c>
      <c r="AL356" s="244">
        <v>3006.7599999999925</v>
      </c>
      <c r="AM356" s="244">
        <v>4.99</v>
      </c>
      <c r="AN356" s="244">
        <v>0</v>
      </c>
      <c r="AO356" s="244">
        <v>148.63000000000005</v>
      </c>
      <c r="AP356" s="244">
        <v>3150.3999999999928</v>
      </c>
    </row>
    <row r="357" spans="2:42" ht="18.75">
      <c r="B357">
        <v>45</v>
      </c>
      <c r="C357" s="5">
        <v>45964</v>
      </c>
      <c r="D357" t="s">
        <v>135</v>
      </c>
      <c r="E357">
        <v>22</v>
      </c>
      <c r="F357" s="6">
        <v>70.72</v>
      </c>
      <c r="G357" s="6">
        <v>0</v>
      </c>
      <c r="H357" s="6">
        <v>7.29</v>
      </c>
      <c r="I357" s="6">
        <v>13.88</v>
      </c>
      <c r="J357" s="6">
        <v>84.6</v>
      </c>
      <c r="L357">
        <v>10</v>
      </c>
      <c r="M357" s="5">
        <v>46083</v>
      </c>
      <c r="N357" t="s">
        <v>165</v>
      </c>
      <c r="O357">
        <v>29</v>
      </c>
      <c r="P357" s="6">
        <v>247.65</v>
      </c>
      <c r="Q357" s="6">
        <v>0</v>
      </c>
      <c r="R357" s="6">
        <v>0</v>
      </c>
      <c r="S357" s="6">
        <v>18.399999999999999</v>
      </c>
      <c r="T357" s="6">
        <v>266.05</v>
      </c>
      <c r="AH357" s="242" t="s">
        <v>205</v>
      </c>
      <c r="AI357" s="243">
        <v>46174</v>
      </c>
      <c r="AJ357" s="242" t="s">
        <v>130</v>
      </c>
      <c r="AK357" s="242">
        <v>449</v>
      </c>
      <c r="AL357" s="244">
        <v>2069.3500000000031</v>
      </c>
      <c r="AM357" s="244">
        <v>0</v>
      </c>
      <c r="AN357" s="244">
        <v>0</v>
      </c>
      <c r="AO357" s="244">
        <v>69.65000000000002</v>
      </c>
      <c r="AP357" s="244">
        <v>2139.0000000000032</v>
      </c>
    </row>
    <row r="358" spans="2:42" ht="18.75">
      <c r="B358">
        <v>45</v>
      </c>
      <c r="C358" s="5">
        <v>45964</v>
      </c>
      <c r="D358" t="s">
        <v>149</v>
      </c>
      <c r="E358">
        <v>68</v>
      </c>
      <c r="F358" s="6">
        <v>228.51</v>
      </c>
      <c r="G358" s="6">
        <v>0</v>
      </c>
      <c r="H358" s="6">
        <v>3.71</v>
      </c>
      <c r="I358" s="6">
        <v>0</v>
      </c>
      <c r="J358" s="6">
        <v>228.51</v>
      </c>
      <c r="L358">
        <v>10</v>
      </c>
      <c r="M358" s="5">
        <v>46083</v>
      </c>
      <c r="N358" t="s">
        <v>172</v>
      </c>
      <c r="O358">
        <v>15</v>
      </c>
      <c r="P358" s="6">
        <v>48</v>
      </c>
      <c r="Q358" s="6">
        <v>0</v>
      </c>
      <c r="R358" s="6">
        <v>0</v>
      </c>
      <c r="S358" s="6">
        <v>0</v>
      </c>
      <c r="T358" s="6">
        <v>48</v>
      </c>
      <c r="AH358" s="242" t="s">
        <v>205</v>
      </c>
      <c r="AI358" s="243">
        <v>46174</v>
      </c>
      <c r="AJ358" s="242" t="s">
        <v>139</v>
      </c>
      <c r="AK358" s="242">
        <v>304</v>
      </c>
      <c r="AL358" s="244">
        <v>1320.2300000000009</v>
      </c>
      <c r="AM358" s="244">
        <v>0</v>
      </c>
      <c r="AN358" s="244">
        <v>0</v>
      </c>
      <c r="AO358" s="244">
        <v>44.639999999999972</v>
      </c>
      <c r="AP358" s="244">
        <v>1364.8700000000008</v>
      </c>
    </row>
    <row r="359" spans="2:42" ht="18.75">
      <c r="B359">
        <v>45</v>
      </c>
      <c r="C359" s="5">
        <v>45964</v>
      </c>
      <c r="D359" t="s">
        <v>133</v>
      </c>
      <c r="E359">
        <v>84</v>
      </c>
      <c r="F359" s="6">
        <v>461.96</v>
      </c>
      <c r="G359" s="6">
        <v>0</v>
      </c>
      <c r="H359" s="6">
        <v>7.5</v>
      </c>
      <c r="I359" s="6">
        <v>0</v>
      </c>
      <c r="J359" s="6">
        <v>461.96</v>
      </c>
      <c r="L359">
        <v>10</v>
      </c>
      <c r="M359" s="5">
        <v>46083</v>
      </c>
      <c r="N359" t="s">
        <v>164</v>
      </c>
      <c r="O359">
        <v>2</v>
      </c>
      <c r="P359" s="6">
        <v>6</v>
      </c>
      <c r="Q359" s="6">
        <v>0</v>
      </c>
      <c r="R359" s="6">
        <v>0</v>
      </c>
      <c r="S359" s="6">
        <v>1.5</v>
      </c>
      <c r="T359" s="6">
        <v>7.5</v>
      </c>
      <c r="AH359" s="242" t="s">
        <v>205</v>
      </c>
      <c r="AI359" s="243">
        <v>46174</v>
      </c>
      <c r="AJ359" s="242" t="s">
        <v>122</v>
      </c>
      <c r="AK359" s="242">
        <v>321</v>
      </c>
      <c r="AL359" s="244">
        <v>1688.3000000000031</v>
      </c>
      <c r="AM359" s="244">
        <v>0</v>
      </c>
      <c r="AN359" s="244">
        <v>0</v>
      </c>
      <c r="AO359" s="244">
        <v>47.269999999999989</v>
      </c>
      <c r="AP359" s="244">
        <v>1735.5700000000031</v>
      </c>
    </row>
    <row r="360" spans="2:42" ht="18.75">
      <c r="B360">
        <v>45</v>
      </c>
      <c r="C360" s="5">
        <v>45964</v>
      </c>
      <c r="D360" t="s">
        <v>140</v>
      </c>
      <c r="E360">
        <v>35</v>
      </c>
      <c r="F360" s="6">
        <v>122.7</v>
      </c>
      <c r="G360" s="6">
        <v>6.3</v>
      </c>
      <c r="H360" s="6">
        <v>1.89</v>
      </c>
      <c r="I360" s="6">
        <v>0</v>
      </c>
      <c r="J360" s="6">
        <v>116.4</v>
      </c>
      <c r="L360">
        <v>11</v>
      </c>
      <c r="M360" s="5">
        <v>46090</v>
      </c>
      <c r="N360" t="s">
        <v>169</v>
      </c>
      <c r="O360">
        <v>1287</v>
      </c>
      <c r="P360" s="6">
        <v>3268.8700000000099</v>
      </c>
      <c r="Q360" s="6">
        <v>0</v>
      </c>
      <c r="R360" s="6">
        <v>34.74</v>
      </c>
      <c r="S360" s="6">
        <v>70.67</v>
      </c>
      <c r="T360" s="6">
        <v>3339.54000000001</v>
      </c>
      <c r="AH360" s="242" t="s">
        <v>205</v>
      </c>
      <c r="AI360" s="243">
        <v>46174</v>
      </c>
      <c r="AJ360" s="242" t="s">
        <v>142</v>
      </c>
      <c r="AK360" s="242">
        <v>171</v>
      </c>
      <c r="AL360" s="244">
        <v>822.89000000000021</v>
      </c>
      <c r="AM360" s="244">
        <v>0</v>
      </c>
      <c r="AN360" s="244">
        <v>0</v>
      </c>
      <c r="AO360" s="244">
        <v>38.65</v>
      </c>
      <c r="AP360" s="244">
        <v>861.54000000000019</v>
      </c>
    </row>
    <row r="361" spans="2:42" ht="18.75">
      <c r="B361">
        <v>45</v>
      </c>
      <c r="C361" s="5">
        <v>45964</v>
      </c>
      <c r="D361" t="s">
        <v>138</v>
      </c>
      <c r="E361">
        <v>90</v>
      </c>
      <c r="F361" s="6">
        <v>489.3</v>
      </c>
      <c r="G361" s="6">
        <v>4.99</v>
      </c>
      <c r="H361" s="6">
        <v>15.15</v>
      </c>
      <c r="I361" s="6">
        <v>0</v>
      </c>
      <c r="J361" s="6">
        <v>484.31</v>
      </c>
      <c r="L361">
        <v>11</v>
      </c>
      <c r="M361" s="5">
        <v>46090</v>
      </c>
      <c r="N361" t="s">
        <v>174</v>
      </c>
      <c r="O361">
        <v>169</v>
      </c>
      <c r="P361" s="6">
        <v>1046.03</v>
      </c>
      <c r="Q361" s="6">
        <v>0</v>
      </c>
      <c r="R361" s="6">
        <v>178.42</v>
      </c>
      <c r="S361" s="6">
        <v>121.04</v>
      </c>
      <c r="T361" s="6">
        <v>1167.07</v>
      </c>
      <c r="AH361" s="242" t="s">
        <v>205</v>
      </c>
      <c r="AI361" s="243">
        <v>46174</v>
      </c>
      <c r="AJ361" s="242" t="s">
        <v>113</v>
      </c>
      <c r="AK361" s="242">
        <v>455</v>
      </c>
      <c r="AL361" s="244">
        <v>1564.5300000000029</v>
      </c>
      <c r="AM361" s="244">
        <v>0</v>
      </c>
      <c r="AN361" s="244">
        <v>0</v>
      </c>
      <c r="AO361" s="244">
        <v>38.899999999999991</v>
      </c>
      <c r="AP361" s="244">
        <v>1603.430000000003</v>
      </c>
    </row>
    <row r="362" spans="2:42" ht="18.75">
      <c r="B362">
        <v>45</v>
      </c>
      <c r="C362" s="5">
        <v>45964</v>
      </c>
      <c r="D362" t="s">
        <v>127</v>
      </c>
      <c r="E362">
        <v>70</v>
      </c>
      <c r="F362" s="6">
        <v>368.05</v>
      </c>
      <c r="G362" s="6">
        <v>0</v>
      </c>
      <c r="H362" s="6">
        <v>7.8</v>
      </c>
      <c r="I362" s="6">
        <v>0</v>
      </c>
      <c r="J362" s="6">
        <v>368.05</v>
      </c>
      <c r="L362">
        <v>11</v>
      </c>
      <c r="M362" s="5">
        <v>46090</v>
      </c>
      <c r="N362" t="s">
        <v>173</v>
      </c>
      <c r="O362">
        <v>254</v>
      </c>
      <c r="P362" s="6">
        <v>1242.71000000001</v>
      </c>
      <c r="Q362" s="6">
        <v>0</v>
      </c>
      <c r="R362" s="6">
        <v>0</v>
      </c>
      <c r="S362" s="6">
        <v>56.57</v>
      </c>
      <c r="T362" s="6">
        <v>1299.28000000001</v>
      </c>
      <c r="AH362" s="242" t="s">
        <v>205</v>
      </c>
      <c r="AI362" s="243">
        <v>46174</v>
      </c>
      <c r="AJ362" s="242" t="s">
        <v>120</v>
      </c>
      <c r="AK362" s="242">
        <v>97</v>
      </c>
      <c r="AL362" s="244">
        <v>405.11999999999995</v>
      </c>
      <c r="AM362" s="244">
        <v>0</v>
      </c>
      <c r="AN362" s="244">
        <v>0</v>
      </c>
      <c r="AO362" s="244">
        <v>6.41</v>
      </c>
      <c r="AP362" s="244">
        <v>411.53</v>
      </c>
    </row>
    <row r="363" spans="2:42" ht="18.75">
      <c r="B363">
        <v>45</v>
      </c>
      <c r="C363" s="5">
        <v>45964</v>
      </c>
      <c r="D363" t="s">
        <v>126</v>
      </c>
      <c r="E363">
        <v>28</v>
      </c>
      <c r="F363" s="6">
        <v>110.34</v>
      </c>
      <c r="G363" s="6">
        <v>0</v>
      </c>
      <c r="H363" s="6">
        <v>0</v>
      </c>
      <c r="I363" s="6">
        <v>0</v>
      </c>
      <c r="J363" s="6">
        <v>110.34</v>
      </c>
      <c r="L363">
        <v>11</v>
      </c>
      <c r="M363" s="5">
        <v>46090</v>
      </c>
      <c r="N363" t="s">
        <v>168</v>
      </c>
      <c r="O363">
        <v>331</v>
      </c>
      <c r="P363" s="6">
        <v>670.88000000000102</v>
      </c>
      <c r="Q363" s="6">
        <v>1.5</v>
      </c>
      <c r="R363" s="6">
        <v>3.72</v>
      </c>
      <c r="S363" s="6">
        <v>55.43</v>
      </c>
      <c r="T363" s="6">
        <v>724.81000000000097</v>
      </c>
      <c r="AH363" s="242" t="s">
        <v>205</v>
      </c>
      <c r="AI363" s="243">
        <v>46174</v>
      </c>
      <c r="AJ363" s="242" t="s">
        <v>111</v>
      </c>
      <c r="AK363" s="242">
        <v>246</v>
      </c>
      <c r="AL363" s="244">
        <v>861.66000000000156</v>
      </c>
      <c r="AM363" s="244">
        <v>0</v>
      </c>
      <c r="AN363" s="244">
        <v>0</v>
      </c>
      <c r="AO363" s="244">
        <v>21.989999999999991</v>
      </c>
      <c r="AP363" s="244">
        <v>883.65000000000157</v>
      </c>
    </row>
    <row r="364" spans="2:42" ht="18.75">
      <c r="B364">
        <v>45</v>
      </c>
      <c r="C364" s="5">
        <v>45964</v>
      </c>
      <c r="D364" t="s">
        <v>114</v>
      </c>
      <c r="E364">
        <v>64</v>
      </c>
      <c r="F364" s="6">
        <v>286.7</v>
      </c>
      <c r="G364" s="6">
        <v>0</v>
      </c>
      <c r="H364" s="6">
        <v>8.02</v>
      </c>
      <c r="I364" s="6">
        <v>98.51</v>
      </c>
      <c r="J364" s="6">
        <v>385.21</v>
      </c>
      <c r="L364">
        <v>11</v>
      </c>
      <c r="M364" s="5">
        <v>46090</v>
      </c>
      <c r="N364" t="s">
        <v>167</v>
      </c>
      <c r="O364">
        <v>6</v>
      </c>
      <c r="P364" s="6">
        <v>59.4</v>
      </c>
      <c r="Q364" s="6">
        <v>0</v>
      </c>
      <c r="R364" s="6">
        <v>0</v>
      </c>
      <c r="S364" s="6">
        <v>0</v>
      </c>
      <c r="T364" s="6">
        <v>59.4</v>
      </c>
      <c r="AH364" s="242" t="s">
        <v>205</v>
      </c>
      <c r="AI364" s="243">
        <v>46174</v>
      </c>
      <c r="AJ364" s="242" t="s">
        <v>135</v>
      </c>
      <c r="AK364" s="242">
        <v>68</v>
      </c>
      <c r="AL364" s="244">
        <v>220.69999999999993</v>
      </c>
      <c r="AM364" s="244">
        <v>0</v>
      </c>
      <c r="AN364" s="244">
        <v>0</v>
      </c>
      <c r="AO364" s="244">
        <v>60.67</v>
      </c>
      <c r="AP364" s="244">
        <v>281.36999999999995</v>
      </c>
    </row>
    <row r="365" spans="2:42" ht="18.75">
      <c r="B365">
        <v>45</v>
      </c>
      <c r="C365" s="5">
        <v>45964</v>
      </c>
      <c r="D365" t="s">
        <v>111</v>
      </c>
      <c r="E365">
        <v>83</v>
      </c>
      <c r="F365" s="6">
        <v>332.68</v>
      </c>
      <c r="G365" s="6">
        <v>0</v>
      </c>
      <c r="H365" s="6">
        <v>2.83</v>
      </c>
      <c r="I365" s="6">
        <v>0</v>
      </c>
      <c r="J365" s="6">
        <v>332.68</v>
      </c>
      <c r="L365">
        <v>11</v>
      </c>
      <c r="M365" s="5">
        <v>46090</v>
      </c>
      <c r="N365" t="s">
        <v>160</v>
      </c>
      <c r="O365">
        <v>916</v>
      </c>
      <c r="P365" s="6">
        <v>6140.16999999993</v>
      </c>
      <c r="Q365" s="6">
        <v>0</v>
      </c>
      <c r="R365" s="6">
        <v>206.74</v>
      </c>
      <c r="S365" s="6">
        <v>208.59</v>
      </c>
      <c r="T365" s="6">
        <v>6348.7599999999302</v>
      </c>
      <c r="AH365" s="242" t="s">
        <v>205</v>
      </c>
      <c r="AI365" s="243">
        <v>46174</v>
      </c>
      <c r="AJ365" s="242" t="s">
        <v>126</v>
      </c>
      <c r="AK365" s="242">
        <v>250</v>
      </c>
      <c r="AL365" s="244">
        <v>920.31000000000063</v>
      </c>
      <c r="AM365" s="244">
        <v>0</v>
      </c>
      <c r="AN365" s="244">
        <v>0</v>
      </c>
      <c r="AO365" s="244">
        <v>34.629999999999988</v>
      </c>
      <c r="AP365" s="244">
        <v>954.94000000000062</v>
      </c>
    </row>
    <row r="366" spans="2:42" ht="18.75">
      <c r="B366">
        <v>45</v>
      </c>
      <c r="C366" s="5">
        <v>45964</v>
      </c>
      <c r="D366" t="s">
        <v>128</v>
      </c>
      <c r="E366">
        <v>55</v>
      </c>
      <c r="F366" s="6">
        <v>294.19</v>
      </c>
      <c r="G366" s="6">
        <v>0</v>
      </c>
      <c r="H366" s="6">
        <v>3.21</v>
      </c>
      <c r="I366" s="6">
        <v>0</v>
      </c>
      <c r="J366" s="6">
        <v>294.19</v>
      </c>
      <c r="L366">
        <v>11</v>
      </c>
      <c r="M366" s="5">
        <v>46090</v>
      </c>
      <c r="N366" t="s">
        <v>163</v>
      </c>
      <c r="O366">
        <v>192</v>
      </c>
      <c r="P366" s="6">
        <v>374.2</v>
      </c>
      <c r="Q366" s="6">
        <v>0</v>
      </c>
      <c r="R366" s="6">
        <v>0</v>
      </c>
      <c r="S366" s="6">
        <v>12.8</v>
      </c>
      <c r="T366" s="6">
        <v>387</v>
      </c>
      <c r="AH366" s="242" t="s">
        <v>205</v>
      </c>
      <c r="AI366" s="243">
        <v>46174</v>
      </c>
      <c r="AJ366" s="242" t="s">
        <v>141</v>
      </c>
      <c r="AK366" s="242">
        <v>806</v>
      </c>
      <c r="AL366" s="244">
        <v>2898.7599999999875</v>
      </c>
      <c r="AM366" s="244">
        <v>6.3</v>
      </c>
      <c r="AN366" s="244">
        <v>0</v>
      </c>
      <c r="AO366" s="244">
        <v>54.139999999999972</v>
      </c>
      <c r="AP366" s="244">
        <v>2946.5999999999872</v>
      </c>
    </row>
    <row r="367" spans="2:42" ht="18.75">
      <c r="B367">
        <v>45</v>
      </c>
      <c r="C367" s="5">
        <v>45964</v>
      </c>
      <c r="D367" t="s">
        <v>137</v>
      </c>
      <c r="E367">
        <v>26</v>
      </c>
      <c r="F367" s="6">
        <v>69.92</v>
      </c>
      <c r="G367" s="6">
        <v>0</v>
      </c>
      <c r="H367" s="6">
        <v>1.41</v>
      </c>
      <c r="I367" s="6">
        <v>42.06</v>
      </c>
      <c r="J367" s="6">
        <v>111.98</v>
      </c>
      <c r="L367">
        <v>11</v>
      </c>
      <c r="M367" s="5">
        <v>46090</v>
      </c>
      <c r="N367" t="s">
        <v>176</v>
      </c>
      <c r="O367">
        <v>115</v>
      </c>
      <c r="P367" s="6">
        <v>242.87</v>
      </c>
      <c r="Q367" s="6">
        <v>0</v>
      </c>
      <c r="R367" s="6">
        <v>2.2000000000000002</v>
      </c>
      <c r="S367" s="6">
        <v>14.58</v>
      </c>
      <c r="T367" s="6">
        <v>257.45</v>
      </c>
      <c r="AH367" s="242" t="s">
        <v>205</v>
      </c>
      <c r="AI367" s="243">
        <v>46174</v>
      </c>
      <c r="AJ367" s="242" t="s">
        <v>127</v>
      </c>
      <c r="AK367" s="242">
        <v>312</v>
      </c>
      <c r="AL367" s="244">
        <v>1632.9500000000007</v>
      </c>
      <c r="AM367" s="244">
        <v>0</v>
      </c>
      <c r="AN367" s="244">
        <v>0</v>
      </c>
      <c r="AO367" s="244">
        <v>23.179999999999993</v>
      </c>
      <c r="AP367" s="244">
        <v>1656.1300000000008</v>
      </c>
    </row>
    <row r="368" spans="2:42" ht="18.75">
      <c r="B368">
        <v>45</v>
      </c>
      <c r="C368" s="5">
        <v>45964</v>
      </c>
      <c r="D368" t="s">
        <v>132</v>
      </c>
      <c r="E368">
        <v>69</v>
      </c>
      <c r="F368" s="6">
        <v>244.6</v>
      </c>
      <c r="G368" s="6">
        <v>1.5</v>
      </c>
      <c r="H368" s="6">
        <v>5.67</v>
      </c>
      <c r="I368" s="6">
        <v>0</v>
      </c>
      <c r="J368" s="6">
        <v>243.1</v>
      </c>
      <c r="L368">
        <v>11</v>
      </c>
      <c r="M368" s="5">
        <v>46090</v>
      </c>
      <c r="N368" t="s">
        <v>158</v>
      </c>
      <c r="O368">
        <v>140</v>
      </c>
      <c r="P368" s="6">
        <v>827.73999999999899</v>
      </c>
      <c r="Q368" s="6">
        <v>0</v>
      </c>
      <c r="R368" s="6">
        <v>24.94</v>
      </c>
      <c r="S368" s="6">
        <v>29.32</v>
      </c>
      <c r="T368" s="6">
        <v>857.05999999999904</v>
      </c>
      <c r="AH368" s="242" t="s">
        <v>205</v>
      </c>
      <c r="AI368" s="243">
        <v>46174</v>
      </c>
      <c r="AJ368" s="242" t="s">
        <v>112</v>
      </c>
      <c r="AK368" s="242">
        <v>93</v>
      </c>
      <c r="AL368" s="244">
        <v>328.74999999999989</v>
      </c>
      <c r="AM368" s="244">
        <v>0</v>
      </c>
      <c r="AN368" s="244">
        <v>0</v>
      </c>
      <c r="AO368" s="244">
        <v>0.33</v>
      </c>
      <c r="AP368" s="244">
        <v>329.07999999999987</v>
      </c>
    </row>
    <row r="369" spans="2:42" ht="18.75">
      <c r="B369">
        <v>45</v>
      </c>
      <c r="C369" s="5">
        <v>45964</v>
      </c>
      <c r="D369" t="s">
        <v>142</v>
      </c>
      <c r="E369">
        <v>72</v>
      </c>
      <c r="F369" s="6">
        <v>342.19</v>
      </c>
      <c r="G369" s="6">
        <v>0</v>
      </c>
      <c r="H369" s="6">
        <v>14.71</v>
      </c>
      <c r="I369" s="6">
        <v>0</v>
      </c>
      <c r="J369" s="6">
        <v>342.19</v>
      </c>
      <c r="L369">
        <v>11</v>
      </c>
      <c r="M369" s="5">
        <v>46090</v>
      </c>
      <c r="N369" t="s">
        <v>171</v>
      </c>
      <c r="O369">
        <v>95</v>
      </c>
      <c r="P369" s="6">
        <v>550.84</v>
      </c>
      <c r="Q369" s="6">
        <v>0</v>
      </c>
      <c r="R369" s="6">
        <v>73.73</v>
      </c>
      <c r="S369" s="6">
        <v>36.85</v>
      </c>
      <c r="T369" s="6">
        <v>587.69000000000005</v>
      </c>
      <c r="AH369" s="242" t="s">
        <v>205</v>
      </c>
      <c r="AI369" s="243">
        <v>46174</v>
      </c>
      <c r="AJ369" s="242" t="s">
        <v>150</v>
      </c>
      <c r="AK369" s="242">
        <v>88</v>
      </c>
      <c r="AL369" s="244">
        <v>500.83999999999992</v>
      </c>
      <c r="AM369" s="244">
        <v>0</v>
      </c>
      <c r="AN369" s="244">
        <v>0</v>
      </c>
      <c r="AO369" s="244">
        <v>18.16</v>
      </c>
      <c r="AP369" s="244">
        <v>518.99999999999989</v>
      </c>
    </row>
    <row r="370" spans="2:42" ht="18.75">
      <c r="B370">
        <v>45</v>
      </c>
      <c r="C370" s="5">
        <v>45964</v>
      </c>
      <c r="D370" t="s">
        <v>125</v>
      </c>
      <c r="E370">
        <v>15</v>
      </c>
      <c r="F370" s="6">
        <v>56.24</v>
      </c>
      <c r="G370" s="6">
        <v>0</v>
      </c>
      <c r="H370" s="6">
        <v>3.24</v>
      </c>
      <c r="I370" s="6">
        <v>0</v>
      </c>
      <c r="J370" s="6">
        <v>56.24</v>
      </c>
      <c r="L370">
        <v>11</v>
      </c>
      <c r="M370" s="5">
        <v>46090</v>
      </c>
      <c r="N370" t="s">
        <v>170</v>
      </c>
      <c r="O370">
        <v>41</v>
      </c>
      <c r="P370" s="6">
        <v>136.80000000000001</v>
      </c>
      <c r="Q370" s="6">
        <v>0</v>
      </c>
      <c r="R370" s="6">
        <v>0</v>
      </c>
      <c r="S370" s="6">
        <v>10.8</v>
      </c>
      <c r="T370" s="6">
        <v>147.6</v>
      </c>
      <c r="AH370" s="242" t="s">
        <v>205</v>
      </c>
      <c r="AI370" s="243">
        <v>46174</v>
      </c>
      <c r="AJ370" s="242" t="s">
        <v>148</v>
      </c>
      <c r="AK370" s="242">
        <v>80</v>
      </c>
      <c r="AL370" s="244">
        <v>443.86999999999995</v>
      </c>
      <c r="AM370" s="244">
        <v>0</v>
      </c>
      <c r="AN370" s="244">
        <v>0</v>
      </c>
      <c r="AO370" s="244">
        <v>26.67</v>
      </c>
      <c r="AP370" s="244">
        <v>470.53999999999996</v>
      </c>
    </row>
    <row r="371" spans="2:42" ht="18.75">
      <c r="B371">
        <v>45</v>
      </c>
      <c r="C371" s="5">
        <v>45964</v>
      </c>
      <c r="D371" t="s">
        <v>121</v>
      </c>
      <c r="E371">
        <v>28</v>
      </c>
      <c r="F371" s="6">
        <v>91.09</v>
      </c>
      <c r="G371" s="6">
        <v>0</v>
      </c>
      <c r="H371" s="6">
        <v>0</v>
      </c>
      <c r="I371" s="6">
        <v>0</v>
      </c>
      <c r="J371" s="6">
        <v>91.09</v>
      </c>
      <c r="L371">
        <v>11</v>
      </c>
      <c r="M371" s="5">
        <v>46090</v>
      </c>
      <c r="N371" t="s">
        <v>204</v>
      </c>
      <c r="O371">
        <v>7</v>
      </c>
      <c r="P371" s="6">
        <v>6.65</v>
      </c>
      <c r="Q371" s="6">
        <v>0</v>
      </c>
      <c r="R371" s="6">
        <v>0</v>
      </c>
      <c r="S371" s="6">
        <v>0</v>
      </c>
      <c r="T371" s="6">
        <v>6.65</v>
      </c>
      <c r="AH371" s="242" t="s">
        <v>205</v>
      </c>
      <c r="AI371" s="243">
        <v>46174</v>
      </c>
      <c r="AJ371" s="242" t="s">
        <v>128</v>
      </c>
      <c r="AK371" s="242">
        <v>246</v>
      </c>
      <c r="AL371" s="244">
        <v>1126.0900000000013</v>
      </c>
      <c r="AM371" s="244">
        <v>0</v>
      </c>
      <c r="AN371" s="244">
        <v>0</v>
      </c>
      <c r="AO371" s="244">
        <v>30.119999999999994</v>
      </c>
      <c r="AP371" s="244">
        <v>1156.2100000000012</v>
      </c>
    </row>
    <row r="372" spans="2:42" ht="18.75">
      <c r="B372">
        <v>34</v>
      </c>
      <c r="C372" s="5">
        <v>45887</v>
      </c>
      <c r="D372" t="s">
        <v>114</v>
      </c>
      <c r="E372">
        <v>63</v>
      </c>
      <c r="F372" s="6">
        <v>266.94</v>
      </c>
      <c r="G372" s="6">
        <v>0</v>
      </c>
      <c r="H372" s="6">
        <v>3.29</v>
      </c>
      <c r="I372" s="6">
        <v>90.31</v>
      </c>
      <c r="J372" s="6">
        <v>357.25</v>
      </c>
      <c r="L372">
        <v>11</v>
      </c>
      <c r="M372" s="5">
        <v>46090</v>
      </c>
      <c r="N372" t="s">
        <v>198</v>
      </c>
      <c r="O372">
        <v>53</v>
      </c>
      <c r="P372" s="6">
        <v>415.57</v>
      </c>
      <c r="Q372" s="6">
        <v>0</v>
      </c>
      <c r="R372" s="6">
        <v>24.73</v>
      </c>
      <c r="S372" s="6">
        <v>63.2</v>
      </c>
      <c r="T372" s="6">
        <v>478.77</v>
      </c>
      <c r="AH372" s="242" t="s">
        <v>205</v>
      </c>
      <c r="AI372" s="243">
        <v>46174</v>
      </c>
      <c r="AJ372" s="242" t="s">
        <v>145</v>
      </c>
      <c r="AK372" s="242">
        <v>142</v>
      </c>
      <c r="AL372" s="244">
        <v>792.57000000000062</v>
      </c>
      <c r="AM372" s="244">
        <v>0</v>
      </c>
      <c r="AN372" s="244">
        <v>0</v>
      </c>
      <c r="AO372" s="244">
        <v>24.49</v>
      </c>
      <c r="AP372" s="244">
        <v>817.06000000000063</v>
      </c>
    </row>
    <row r="373" spans="2:42" ht="18.75">
      <c r="B373">
        <v>34</v>
      </c>
      <c r="C373" s="5">
        <v>45887</v>
      </c>
      <c r="D373" t="s">
        <v>118</v>
      </c>
      <c r="E373">
        <v>84</v>
      </c>
      <c r="F373" s="6">
        <v>296.47000000000003</v>
      </c>
      <c r="G373" s="6">
        <v>0</v>
      </c>
      <c r="H373" s="6">
        <v>8.91</v>
      </c>
      <c r="I373" s="6">
        <v>0</v>
      </c>
      <c r="J373" s="6">
        <v>296.47000000000003</v>
      </c>
      <c r="L373">
        <v>11</v>
      </c>
      <c r="M373" s="5">
        <v>46090</v>
      </c>
      <c r="N373" t="s">
        <v>201</v>
      </c>
      <c r="O373">
        <v>44</v>
      </c>
      <c r="P373" s="6">
        <v>129.38</v>
      </c>
      <c r="Q373" s="6">
        <v>0</v>
      </c>
      <c r="R373" s="6">
        <v>52.56</v>
      </c>
      <c r="S373" s="6">
        <v>27.06</v>
      </c>
      <c r="T373" s="6">
        <v>156.44</v>
      </c>
      <c r="AH373" s="242" t="s">
        <v>205</v>
      </c>
      <c r="AI373" s="243">
        <v>46174</v>
      </c>
      <c r="AJ373" s="242" t="s">
        <v>116</v>
      </c>
      <c r="AK373" s="242">
        <v>160</v>
      </c>
      <c r="AL373" s="244">
        <v>562.99</v>
      </c>
      <c r="AM373" s="244">
        <v>2.7</v>
      </c>
      <c r="AN373" s="244">
        <v>0</v>
      </c>
      <c r="AO373" s="244">
        <v>16.899999999999999</v>
      </c>
      <c r="AP373" s="244">
        <v>577.18999999999994</v>
      </c>
    </row>
    <row r="374" spans="2:42" ht="18.75">
      <c r="B374">
        <v>34</v>
      </c>
      <c r="C374" s="5">
        <v>45887</v>
      </c>
      <c r="D374" t="s">
        <v>139</v>
      </c>
      <c r="E374">
        <v>81</v>
      </c>
      <c r="F374" s="6">
        <v>327.19</v>
      </c>
      <c r="G374" s="6">
        <v>0</v>
      </c>
      <c r="H374" s="6">
        <v>8.81</v>
      </c>
      <c r="I374" s="6">
        <v>0</v>
      </c>
      <c r="J374" s="6">
        <v>327.19</v>
      </c>
      <c r="L374">
        <v>11</v>
      </c>
      <c r="M374" s="5">
        <v>46090</v>
      </c>
      <c r="N374" t="s">
        <v>165</v>
      </c>
      <c r="O374">
        <v>26</v>
      </c>
      <c r="P374" s="6">
        <v>206.49</v>
      </c>
      <c r="Q374" s="6">
        <v>0</v>
      </c>
      <c r="R374" s="6">
        <v>0</v>
      </c>
      <c r="S374" s="6">
        <v>32.26</v>
      </c>
      <c r="T374" s="6">
        <v>238.75</v>
      </c>
      <c r="AH374" s="242" t="s">
        <v>205</v>
      </c>
      <c r="AI374" s="243">
        <v>46174</v>
      </c>
      <c r="AJ374" s="242" t="s">
        <v>125</v>
      </c>
      <c r="AK374" s="242">
        <v>87</v>
      </c>
      <c r="AL374" s="244">
        <v>469.41</v>
      </c>
      <c r="AM374" s="244">
        <v>0</v>
      </c>
      <c r="AN374" s="244">
        <v>0</v>
      </c>
      <c r="AO374" s="244">
        <v>10.290000000000001</v>
      </c>
      <c r="AP374" s="244">
        <v>479.70000000000005</v>
      </c>
    </row>
    <row r="375" spans="2:42" ht="18.75">
      <c r="B375">
        <v>34</v>
      </c>
      <c r="C375" s="5">
        <v>45887</v>
      </c>
      <c r="D375" t="s">
        <v>123</v>
      </c>
      <c r="E375">
        <v>147</v>
      </c>
      <c r="F375" s="6">
        <v>598.11000000000104</v>
      </c>
      <c r="G375" s="6">
        <v>0</v>
      </c>
      <c r="H375" s="6">
        <v>9.76</v>
      </c>
      <c r="I375" s="6">
        <v>0</v>
      </c>
      <c r="J375" s="6">
        <v>598.11000000000104</v>
      </c>
      <c r="L375">
        <v>11</v>
      </c>
      <c r="M375" s="5">
        <v>46090</v>
      </c>
      <c r="N375" t="s">
        <v>172</v>
      </c>
      <c r="O375">
        <v>17</v>
      </c>
      <c r="P375" s="6">
        <v>54.4</v>
      </c>
      <c r="Q375" s="6">
        <v>0</v>
      </c>
      <c r="R375" s="6">
        <v>0</v>
      </c>
      <c r="S375" s="6">
        <v>0</v>
      </c>
      <c r="T375" s="6">
        <v>54.4</v>
      </c>
      <c r="AH375" s="242" t="s">
        <v>205</v>
      </c>
      <c r="AI375" s="243">
        <v>46174</v>
      </c>
      <c r="AJ375" s="242" t="s">
        <v>137</v>
      </c>
      <c r="AK375" s="242">
        <v>102</v>
      </c>
      <c r="AL375" s="244">
        <v>323.96999999999991</v>
      </c>
      <c r="AM375" s="244">
        <v>0</v>
      </c>
      <c r="AN375" s="244">
        <v>0</v>
      </c>
      <c r="AO375" s="244">
        <v>230.73000000000008</v>
      </c>
      <c r="AP375" s="244">
        <v>554.70000000000005</v>
      </c>
    </row>
    <row r="376" spans="2:42" ht="18.75">
      <c r="B376">
        <v>34</v>
      </c>
      <c r="C376" s="5">
        <v>45887</v>
      </c>
      <c r="D376" t="s">
        <v>124</v>
      </c>
      <c r="E376">
        <v>152</v>
      </c>
      <c r="F376" s="6">
        <v>577.95000000000095</v>
      </c>
      <c r="G376" s="6">
        <v>0</v>
      </c>
      <c r="H376" s="6">
        <v>8.44</v>
      </c>
      <c r="I376" s="6">
        <v>0</v>
      </c>
      <c r="J376" s="6">
        <v>577.95000000000095</v>
      </c>
      <c r="L376">
        <v>11</v>
      </c>
      <c r="M376" s="5">
        <v>46090</v>
      </c>
      <c r="N376" t="s">
        <v>164</v>
      </c>
      <c r="O376">
        <v>2</v>
      </c>
      <c r="P376" s="6">
        <v>6</v>
      </c>
      <c r="Q376" s="6">
        <v>0</v>
      </c>
      <c r="R376" s="6">
        <v>0</v>
      </c>
      <c r="S376" s="6">
        <v>1.5</v>
      </c>
      <c r="T376" s="6">
        <v>7.5</v>
      </c>
      <c r="AH376" s="242" t="s">
        <v>205</v>
      </c>
      <c r="AI376" s="243">
        <v>46174</v>
      </c>
      <c r="AJ376" s="242" t="s">
        <v>218</v>
      </c>
      <c r="AK376" s="242">
        <v>55</v>
      </c>
      <c r="AL376" s="244">
        <v>316.48999999999995</v>
      </c>
      <c r="AM376" s="244">
        <v>0</v>
      </c>
      <c r="AN376" s="244">
        <v>0</v>
      </c>
      <c r="AO376" s="244">
        <v>20.51</v>
      </c>
      <c r="AP376" s="244">
        <v>336.99999999999994</v>
      </c>
    </row>
    <row r="377" spans="2:42" ht="18.75">
      <c r="B377">
        <v>34</v>
      </c>
      <c r="C377" s="5">
        <v>45887</v>
      </c>
      <c r="D377" t="s">
        <v>121</v>
      </c>
      <c r="E377">
        <v>57</v>
      </c>
      <c r="F377" s="6">
        <v>144.86000000000001</v>
      </c>
      <c r="G377" s="6">
        <v>0</v>
      </c>
      <c r="H377" s="6">
        <v>1.24</v>
      </c>
      <c r="I377" s="6">
        <v>0</v>
      </c>
      <c r="J377" s="6">
        <v>144.86000000000001</v>
      </c>
      <c r="L377">
        <v>12</v>
      </c>
      <c r="M377" s="5">
        <v>46097</v>
      </c>
      <c r="N377" t="s">
        <v>160</v>
      </c>
      <c r="O377">
        <v>976</v>
      </c>
      <c r="P377" s="6">
        <v>6637.8999999999196</v>
      </c>
      <c r="Q377" s="6">
        <v>4.99</v>
      </c>
      <c r="R377" s="6">
        <v>138.99</v>
      </c>
      <c r="S377" s="6">
        <v>195.77</v>
      </c>
      <c r="T377" s="6">
        <v>6828.6799999999203</v>
      </c>
    </row>
    <row r="378" spans="2:42" ht="18.75">
      <c r="B378">
        <v>34</v>
      </c>
      <c r="C378" s="5">
        <v>45887</v>
      </c>
      <c r="D378" t="s">
        <v>129</v>
      </c>
      <c r="E378">
        <v>143</v>
      </c>
      <c r="F378" s="6">
        <v>28.04</v>
      </c>
      <c r="G378" s="6">
        <v>8.5</v>
      </c>
      <c r="H378" s="6">
        <v>0</v>
      </c>
      <c r="I378" s="6">
        <v>600.98</v>
      </c>
      <c r="J378" s="6">
        <v>620.52</v>
      </c>
      <c r="L378">
        <v>12</v>
      </c>
      <c r="M378" s="5">
        <v>46097</v>
      </c>
      <c r="N378" t="s">
        <v>169</v>
      </c>
      <c r="O378">
        <v>1318</v>
      </c>
      <c r="P378" s="6">
        <v>3353.8000000000402</v>
      </c>
      <c r="Q378" s="6">
        <v>0</v>
      </c>
      <c r="R378" s="6">
        <v>28.58</v>
      </c>
      <c r="S378" s="6">
        <v>90.45</v>
      </c>
      <c r="T378" s="6">
        <v>3444.25000000004</v>
      </c>
    </row>
    <row r="379" spans="2:42" ht="18.75">
      <c r="B379">
        <v>34</v>
      </c>
      <c r="C379" s="5">
        <v>45887</v>
      </c>
      <c r="D379" t="s">
        <v>119</v>
      </c>
      <c r="E379">
        <v>171</v>
      </c>
      <c r="F379" s="6">
        <v>640.87000000000103</v>
      </c>
      <c r="G379" s="6">
        <v>0</v>
      </c>
      <c r="H379" s="6">
        <v>12.27</v>
      </c>
      <c r="I379" s="6">
        <v>0</v>
      </c>
      <c r="J379" s="6">
        <v>640.87000000000103</v>
      </c>
      <c r="L379">
        <v>12</v>
      </c>
      <c r="M379" s="5">
        <v>46097</v>
      </c>
      <c r="N379" t="s">
        <v>174</v>
      </c>
      <c r="O379">
        <v>185</v>
      </c>
      <c r="P379" s="6">
        <v>1088.52</v>
      </c>
      <c r="Q379" s="6">
        <v>0</v>
      </c>
      <c r="R379" s="6">
        <v>115.59</v>
      </c>
      <c r="S379" s="6">
        <v>125.3</v>
      </c>
      <c r="T379" s="6">
        <v>1213.82</v>
      </c>
    </row>
    <row r="380" spans="2:42" ht="18.75">
      <c r="B380">
        <v>34</v>
      </c>
      <c r="C380" s="5">
        <v>45887</v>
      </c>
      <c r="D380" t="s">
        <v>138</v>
      </c>
      <c r="E380">
        <v>100</v>
      </c>
      <c r="F380" s="6">
        <v>539.25</v>
      </c>
      <c r="G380" s="6">
        <v>0</v>
      </c>
      <c r="H380" s="6">
        <v>7.58</v>
      </c>
      <c r="I380" s="6">
        <v>0</v>
      </c>
      <c r="J380" s="6">
        <v>539.25</v>
      </c>
      <c r="L380">
        <v>12</v>
      </c>
      <c r="M380" s="5">
        <v>46097</v>
      </c>
      <c r="N380" t="s">
        <v>168</v>
      </c>
      <c r="O380">
        <v>375</v>
      </c>
      <c r="P380" s="6">
        <v>779.57000000000096</v>
      </c>
      <c r="Q380" s="6">
        <v>1.5</v>
      </c>
      <c r="R380" s="6">
        <v>0</v>
      </c>
      <c r="S380" s="6">
        <v>83.74</v>
      </c>
      <c r="T380" s="6">
        <v>861.81000000000097</v>
      </c>
    </row>
    <row r="381" spans="2:42" ht="18.75">
      <c r="B381">
        <v>34</v>
      </c>
      <c r="C381" s="5">
        <v>45887</v>
      </c>
      <c r="D381" t="s">
        <v>133</v>
      </c>
      <c r="E381">
        <v>70</v>
      </c>
      <c r="F381" s="6">
        <v>366.26</v>
      </c>
      <c r="G381" s="6">
        <v>0</v>
      </c>
      <c r="H381" s="6">
        <v>3.78</v>
      </c>
      <c r="I381" s="6">
        <v>0</v>
      </c>
      <c r="J381" s="6">
        <v>366.26</v>
      </c>
      <c r="L381">
        <v>12</v>
      </c>
      <c r="M381" s="5">
        <v>46097</v>
      </c>
      <c r="N381" t="s">
        <v>163</v>
      </c>
      <c r="O381">
        <v>208</v>
      </c>
      <c r="P381" s="6">
        <v>403.5</v>
      </c>
      <c r="Q381" s="6">
        <v>0</v>
      </c>
      <c r="R381" s="6">
        <v>0</v>
      </c>
      <c r="S381" s="6">
        <v>14</v>
      </c>
      <c r="T381" s="6">
        <v>417.5</v>
      </c>
    </row>
    <row r="382" spans="2:42" ht="18.75">
      <c r="B382">
        <v>34</v>
      </c>
      <c r="C382" s="5">
        <v>45887</v>
      </c>
      <c r="D382" t="s">
        <v>117</v>
      </c>
      <c r="E382">
        <v>65</v>
      </c>
      <c r="F382" s="6">
        <v>345.7</v>
      </c>
      <c r="G382" s="6">
        <v>0</v>
      </c>
      <c r="H382" s="6">
        <v>12.29</v>
      </c>
      <c r="I382" s="6">
        <v>0</v>
      </c>
      <c r="J382" s="6">
        <v>345.7</v>
      </c>
      <c r="L382">
        <v>12</v>
      </c>
      <c r="M382" s="5">
        <v>46097</v>
      </c>
      <c r="N382" t="s">
        <v>173</v>
      </c>
      <c r="O382">
        <v>247</v>
      </c>
      <c r="P382" s="6">
        <v>1190.98000000001</v>
      </c>
      <c r="Q382" s="6">
        <v>0</v>
      </c>
      <c r="R382" s="6">
        <v>0</v>
      </c>
      <c r="S382" s="6">
        <v>73.63</v>
      </c>
      <c r="T382" s="6">
        <v>1264.6100000000099</v>
      </c>
    </row>
    <row r="383" spans="2:42" ht="18.75">
      <c r="B383">
        <v>34</v>
      </c>
      <c r="C383" s="5">
        <v>45887</v>
      </c>
      <c r="D383" t="s">
        <v>122</v>
      </c>
      <c r="E383">
        <v>52</v>
      </c>
      <c r="F383" s="6">
        <v>275.13</v>
      </c>
      <c r="G383" s="6">
        <v>0</v>
      </c>
      <c r="H383" s="6">
        <v>9.18</v>
      </c>
      <c r="I383" s="6">
        <v>0</v>
      </c>
      <c r="J383" s="6">
        <v>275.13</v>
      </c>
      <c r="L383">
        <v>12</v>
      </c>
      <c r="M383" s="5">
        <v>46097</v>
      </c>
      <c r="N383" t="s">
        <v>158</v>
      </c>
      <c r="O383">
        <v>152</v>
      </c>
      <c r="P383" s="6">
        <v>906.48999999999796</v>
      </c>
      <c r="Q383" s="6">
        <v>0</v>
      </c>
      <c r="R383" s="6">
        <v>24.95</v>
      </c>
      <c r="S383" s="6">
        <v>26.16</v>
      </c>
      <c r="T383" s="6">
        <v>932.64999999999804</v>
      </c>
    </row>
    <row r="384" spans="2:42" ht="18.75">
      <c r="B384">
        <v>34</v>
      </c>
      <c r="C384" s="5">
        <v>45887</v>
      </c>
      <c r="D384" t="s">
        <v>149</v>
      </c>
      <c r="E384">
        <v>51</v>
      </c>
      <c r="F384" s="6">
        <v>183.59</v>
      </c>
      <c r="G384" s="6">
        <v>0</v>
      </c>
      <c r="H384" s="6">
        <v>7.35</v>
      </c>
      <c r="I384" s="6">
        <v>0</v>
      </c>
      <c r="J384" s="6">
        <v>183.59</v>
      </c>
      <c r="L384">
        <v>12</v>
      </c>
      <c r="M384" s="5">
        <v>46097</v>
      </c>
      <c r="N384" t="s">
        <v>176</v>
      </c>
      <c r="O384">
        <v>120</v>
      </c>
      <c r="P384" s="6">
        <v>265.42</v>
      </c>
      <c r="Q384" s="6">
        <v>0</v>
      </c>
      <c r="R384" s="6">
        <v>0</v>
      </c>
      <c r="S384" s="6">
        <v>4.68</v>
      </c>
      <c r="T384" s="6">
        <v>270.10000000000002</v>
      </c>
    </row>
    <row r="385" spans="2:20" ht="18.75">
      <c r="B385">
        <v>34</v>
      </c>
      <c r="C385" s="5">
        <v>45887</v>
      </c>
      <c r="D385" t="s">
        <v>134</v>
      </c>
      <c r="E385">
        <v>78</v>
      </c>
      <c r="F385" s="6">
        <v>429.68</v>
      </c>
      <c r="G385" s="6">
        <v>0</v>
      </c>
      <c r="H385" s="6">
        <v>10.18</v>
      </c>
      <c r="I385" s="6">
        <v>0</v>
      </c>
      <c r="J385" s="6">
        <v>429.68</v>
      </c>
      <c r="L385">
        <v>12</v>
      </c>
      <c r="M385" s="5">
        <v>46097</v>
      </c>
      <c r="N385" t="s">
        <v>198</v>
      </c>
      <c r="O385">
        <v>53</v>
      </c>
      <c r="P385" s="6">
        <v>368.81</v>
      </c>
      <c r="Q385" s="6">
        <v>0</v>
      </c>
      <c r="R385" s="6">
        <v>58.94</v>
      </c>
      <c r="S385" s="6">
        <v>67.8</v>
      </c>
      <c r="T385" s="6">
        <v>436.61</v>
      </c>
    </row>
    <row r="386" spans="2:20" ht="18.75">
      <c r="B386">
        <v>34</v>
      </c>
      <c r="C386" s="5">
        <v>45887</v>
      </c>
      <c r="D386" t="s">
        <v>141</v>
      </c>
      <c r="E386">
        <v>195</v>
      </c>
      <c r="F386" s="6">
        <v>626.650000000001</v>
      </c>
      <c r="G386" s="6">
        <v>0</v>
      </c>
      <c r="H386" s="6">
        <v>9.18</v>
      </c>
      <c r="I386" s="6">
        <v>0</v>
      </c>
      <c r="J386" s="6">
        <v>626.650000000001</v>
      </c>
      <c r="L386">
        <v>12</v>
      </c>
      <c r="M386" s="5">
        <v>46097</v>
      </c>
      <c r="N386" t="s">
        <v>204</v>
      </c>
      <c r="O386">
        <v>6</v>
      </c>
      <c r="P386" s="6">
        <v>5.7</v>
      </c>
      <c r="Q386" s="6">
        <v>0</v>
      </c>
      <c r="R386" s="6">
        <v>0</v>
      </c>
      <c r="S386" s="6">
        <v>0</v>
      </c>
      <c r="T386" s="6">
        <v>5.7</v>
      </c>
    </row>
    <row r="387" spans="2:20" ht="18.75">
      <c r="B387">
        <v>34</v>
      </c>
      <c r="C387" s="5">
        <v>45887</v>
      </c>
      <c r="D387" t="s">
        <v>128</v>
      </c>
      <c r="E387">
        <v>60</v>
      </c>
      <c r="F387" s="6">
        <v>326.22000000000003</v>
      </c>
      <c r="G387" s="6">
        <v>0</v>
      </c>
      <c r="H387" s="6">
        <v>7.48</v>
      </c>
      <c r="I387" s="6">
        <v>0</v>
      </c>
      <c r="J387" s="6">
        <v>326.22000000000003</v>
      </c>
      <c r="L387">
        <v>12</v>
      </c>
      <c r="M387" s="5">
        <v>46097</v>
      </c>
      <c r="N387" t="s">
        <v>170</v>
      </c>
      <c r="O387">
        <v>41</v>
      </c>
      <c r="P387" s="6">
        <v>127.19</v>
      </c>
      <c r="Q387" s="6">
        <v>0</v>
      </c>
      <c r="R387" s="6">
        <v>0</v>
      </c>
      <c r="S387" s="6">
        <v>21.31</v>
      </c>
      <c r="T387" s="6">
        <v>148.5</v>
      </c>
    </row>
    <row r="388" spans="2:20" ht="18.75">
      <c r="B388">
        <v>34</v>
      </c>
      <c r="C388" s="5">
        <v>45887</v>
      </c>
      <c r="D388" t="s">
        <v>219</v>
      </c>
      <c r="E388">
        <v>134</v>
      </c>
      <c r="F388" s="6">
        <v>651.45000000000095</v>
      </c>
      <c r="G388" s="6">
        <v>0</v>
      </c>
      <c r="H388" s="6">
        <v>6.17</v>
      </c>
      <c r="I388" s="6">
        <v>0</v>
      </c>
      <c r="J388" s="6">
        <v>651.45000000000095</v>
      </c>
      <c r="L388">
        <v>12</v>
      </c>
      <c r="M388" s="5">
        <v>46097</v>
      </c>
      <c r="N388" t="s">
        <v>165</v>
      </c>
      <c r="O388">
        <v>35</v>
      </c>
      <c r="P388" s="6">
        <v>285.88</v>
      </c>
      <c r="Q388" s="6">
        <v>0</v>
      </c>
      <c r="R388" s="6">
        <v>0</v>
      </c>
      <c r="S388" s="6">
        <v>30.48</v>
      </c>
      <c r="T388" s="6">
        <v>316.36</v>
      </c>
    </row>
    <row r="389" spans="2:20" ht="18.75">
      <c r="B389">
        <v>34</v>
      </c>
      <c r="C389" s="5">
        <v>45887</v>
      </c>
      <c r="D389" t="s">
        <v>132</v>
      </c>
      <c r="E389">
        <v>53</v>
      </c>
      <c r="F389" s="6">
        <v>215.64</v>
      </c>
      <c r="G389" s="6">
        <v>0</v>
      </c>
      <c r="H389" s="6">
        <v>1.8</v>
      </c>
      <c r="I389" s="6">
        <v>0</v>
      </c>
      <c r="J389" s="6">
        <v>215.64</v>
      </c>
      <c r="L389">
        <v>12</v>
      </c>
      <c r="M389" s="5">
        <v>46097</v>
      </c>
      <c r="N389" t="s">
        <v>207</v>
      </c>
      <c r="O389">
        <v>21</v>
      </c>
      <c r="P389" s="6">
        <v>208.83</v>
      </c>
      <c r="Q389" s="6">
        <v>0</v>
      </c>
      <c r="R389" s="6">
        <v>17.27</v>
      </c>
      <c r="S389" s="6">
        <v>23.8</v>
      </c>
      <c r="T389" s="6">
        <v>232.63</v>
      </c>
    </row>
    <row r="390" spans="2:20" ht="18.75">
      <c r="B390">
        <v>34</v>
      </c>
      <c r="C390" s="5">
        <v>45887</v>
      </c>
      <c r="D390" t="s">
        <v>126</v>
      </c>
      <c r="E390">
        <v>35</v>
      </c>
      <c r="F390" s="6">
        <v>124.66</v>
      </c>
      <c r="G390" s="6">
        <v>0</v>
      </c>
      <c r="H390" s="6">
        <v>2.58</v>
      </c>
      <c r="I390" s="6">
        <v>1.98</v>
      </c>
      <c r="J390" s="6">
        <v>126.64</v>
      </c>
      <c r="L390">
        <v>12</v>
      </c>
      <c r="M390" s="5">
        <v>46097</v>
      </c>
      <c r="N390" t="s">
        <v>167</v>
      </c>
      <c r="O390">
        <v>59</v>
      </c>
      <c r="P390" s="6">
        <v>522.70000000000005</v>
      </c>
      <c r="Q390" s="6">
        <v>0</v>
      </c>
      <c r="R390" s="6">
        <v>0</v>
      </c>
      <c r="S390" s="6">
        <v>61.4</v>
      </c>
      <c r="T390" s="6">
        <v>584.1</v>
      </c>
    </row>
    <row r="391" spans="2:20" ht="18.75">
      <c r="B391">
        <v>34</v>
      </c>
      <c r="C391" s="5">
        <v>45887</v>
      </c>
      <c r="D391" t="s">
        <v>127</v>
      </c>
      <c r="E391">
        <v>52</v>
      </c>
      <c r="F391" s="6">
        <v>263.31</v>
      </c>
      <c r="G391" s="6">
        <v>0</v>
      </c>
      <c r="H391" s="6">
        <v>4.5999999999999996</v>
      </c>
      <c r="I391" s="6">
        <v>0</v>
      </c>
      <c r="J391" s="6">
        <v>263.31</v>
      </c>
      <c r="L391">
        <v>12</v>
      </c>
      <c r="M391" s="5">
        <v>46097</v>
      </c>
      <c r="N391" t="s">
        <v>201</v>
      </c>
      <c r="O391">
        <v>18</v>
      </c>
      <c r="P391" s="6">
        <v>60.28</v>
      </c>
      <c r="Q391" s="6">
        <v>0</v>
      </c>
      <c r="R391" s="6">
        <v>21.42</v>
      </c>
      <c r="S391" s="6">
        <v>3.8</v>
      </c>
      <c r="T391" s="6">
        <v>64.08</v>
      </c>
    </row>
    <row r="392" spans="2:20" ht="18.75">
      <c r="B392">
        <v>34</v>
      </c>
      <c r="C392" s="5">
        <v>45887</v>
      </c>
      <c r="D392" t="s">
        <v>146</v>
      </c>
      <c r="E392">
        <v>132</v>
      </c>
      <c r="F392" s="6">
        <v>690.92</v>
      </c>
      <c r="G392" s="6">
        <v>0</v>
      </c>
      <c r="H392" s="6">
        <v>1.2</v>
      </c>
      <c r="I392" s="6">
        <v>0</v>
      </c>
      <c r="J392" s="6">
        <v>690.92</v>
      </c>
      <c r="L392">
        <v>12</v>
      </c>
      <c r="M392" s="5">
        <v>46097</v>
      </c>
      <c r="N392" t="s">
        <v>172</v>
      </c>
      <c r="O392">
        <v>38</v>
      </c>
      <c r="P392" s="6">
        <v>122.4</v>
      </c>
      <c r="Q392" s="6">
        <v>0</v>
      </c>
      <c r="R392" s="6">
        <v>0</v>
      </c>
      <c r="S392" s="6">
        <v>0</v>
      </c>
      <c r="T392" s="6">
        <v>122.4</v>
      </c>
    </row>
    <row r="393" spans="2:20" ht="18.75">
      <c r="B393">
        <v>34</v>
      </c>
      <c r="C393" s="5">
        <v>45887</v>
      </c>
      <c r="D393" t="s">
        <v>137</v>
      </c>
      <c r="E393">
        <v>6</v>
      </c>
      <c r="F393" s="6">
        <v>21.76</v>
      </c>
      <c r="G393" s="6">
        <v>0</v>
      </c>
      <c r="H393" s="6">
        <v>0</v>
      </c>
      <c r="I393" s="6">
        <v>10.54</v>
      </c>
      <c r="J393" s="6">
        <v>32.299999999999997</v>
      </c>
      <c r="L393">
        <v>12</v>
      </c>
      <c r="M393" s="5">
        <v>46097</v>
      </c>
      <c r="N393" t="s">
        <v>171</v>
      </c>
      <c r="O393">
        <v>6</v>
      </c>
      <c r="P393" s="6">
        <v>42.48</v>
      </c>
      <c r="Q393" s="6">
        <v>0</v>
      </c>
      <c r="R393" s="6">
        <v>0</v>
      </c>
      <c r="S393" s="6">
        <v>0</v>
      </c>
      <c r="T393" s="6">
        <v>42.48</v>
      </c>
    </row>
    <row r="394" spans="2:20" ht="18.75">
      <c r="B394">
        <v>34</v>
      </c>
      <c r="C394" s="5">
        <v>45887</v>
      </c>
      <c r="D394" t="s">
        <v>142</v>
      </c>
      <c r="E394">
        <v>24</v>
      </c>
      <c r="F394" s="6">
        <v>114.82</v>
      </c>
      <c r="G394" s="6">
        <v>0</v>
      </c>
      <c r="H394" s="6">
        <v>3.39</v>
      </c>
      <c r="I394" s="6">
        <v>0</v>
      </c>
      <c r="J394" s="6">
        <v>114.82</v>
      </c>
      <c r="L394">
        <v>12</v>
      </c>
      <c r="M394" s="5">
        <v>46097</v>
      </c>
      <c r="N394" t="s">
        <v>164</v>
      </c>
      <c r="O394">
        <v>1</v>
      </c>
      <c r="P394" s="6">
        <v>3.75</v>
      </c>
      <c r="Q394" s="6">
        <v>0</v>
      </c>
      <c r="R394" s="6">
        <v>0</v>
      </c>
      <c r="S394" s="6">
        <v>0</v>
      </c>
      <c r="T394" s="6">
        <v>3.75</v>
      </c>
    </row>
    <row r="395" spans="2:20" ht="18.75">
      <c r="B395">
        <v>34</v>
      </c>
      <c r="C395" s="5">
        <v>45887</v>
      </c>
      <c r="D395" t="s">
        <v>150</v>
      </c>
      <c r="E395">
        <v>16</v>
      </c>
      <c r="F395" s="6">
        <v>95.93</v>
      </c>
      <c r="G395" s="6">
        <v>0</v>
      </c>
      <c r="H395" s="6">
        <v>0.84</v>
      </c>
      <c r="I395" s="6">
        <v>0</v>
      </c>
      <c r="J395" s="6">
        <v>95.93</v>
      </c>
      <c r="L395">
        <v>14</v>
      </c>
      <c r="M395" s="5">
        <v>46111</v>
      </c>
      <c r="N395" t="s">
        <v>158</v>
      </c>
      <c r="O395">
        <v>171</v>
      </c>
      <c r="P395" s="6">
        <v>1035.98</v>
      </c>
      <c r="Q395" s="6">
        <v>0</v>
      </c>
      <c r="R395" s="6">
        <v>16.100000000000001</v>
      </c>
      <c r="S395" s="6">
        <v>25.22</v>
      </c>
      <c r="T395" s="6">
        <v>1061.2</v>
      </c>
    </row>
    <row r="396" spans="2:20" ht="18.75">
      <c r="B396">
        <v>34</v>
      </c>
      <c r="C396" s="5">
        <v>45887</v>
      </c>
      <c r="D396" t="s">
        <v>111</v>
      </c>
      <c r="E396">
        <v>70</v>
      </c>
      <c r="F396" s="6">
        <v>280.02</v>
      </c>
      <c r="G396" s="6">
        <v>0</v>
      </c>
      <c r="H396" s="6">
        <v>0</v>
      </c>
      <c r="I396" s="6">
        <v>0</v>
      </c>
      <c r="J396" s="6">
        <v>280.02</v>
      </c>
      <c r="L396">
        <v>14</v>
      </c>
      <c r="M396" s="5">
        <v>46111</v>
      </c>
      <c r="N396" t="s">
        <v>168</v>
      </c>
      <c r="O396">
        <v>397</v>
      </c>
      <c r="P396" s="6">
        <v>848.6</v>
      </c>
      <c r="Q396" s="6">
        <v>1.9</v>
      </c>
      <c r="R396" s="6">
        <v>0</v>
      </c>
      <c r="S396" s="6">
        <v>94.15</v>
      </c>
      <c r="T396" s="6">
        <v>940.85</v>
      </c>
    </row>
    <row r="397" spans="2:20" ht="18.75">
      <c r="B397">
        <v>34</v>
      </c>
      <c r="C397" s="5">
        <v>45887</v>
      </c>
      <c r="D397" t="s">
        <v>145</v>
      </c>
      <c r="E397">
        <v>85</v>
      </c>
      <c r="F397" s="6">
        <v>470.78</v>
      </c>
      <c r="G397" s="6">
        <v>0</v>
      </c>
      <c r="H397" s="6">
        <v>1.2</v>
      </c>
      <c r="I397" s="6">
        <v>0</v>
      </c>
      <c r="J397" s="6">
        <v>470.78</v>
      </c>
      <c r="L397">
        <v>14</v>
      </c>
      <c r="M397" s="5">
        <v>46111</v>
      </c>
      <c r="N397" t="s">
        <v>169</v>
      </c>
      <c r="O397">
        <v>1288</v>
      </c>
      <c r="P397" s="6">
        <v>3250.6000000000299</v>
      </c>
      <c r="Q397" s="6">
        <v>0</v>
      </c>
      <c r="R397" s="6">
        <v>33.39</v>
      </c>
      <c r="S397" s="6">
        <v>123.01</v>
      </c>
      <c r="T397" s="6">
        <v>3373.6100000000301</v>
      </c>
    </row>
    <row r="398" spans="2:20" ht="18.75">
      <c r="B398">
        <v>34</v>
      </c>
      <c r="C398" s="5">
        <v>45887</v>
      </c>
      <c r="D398" t="s">
        <v>125</v>
      </c>
      <c r="E398">
        <v>10</v>
      </c>
      <c r="F398" s="6">
        <v>41.37</v>
      </c>
      <c r="G398" s="6">
        <v>0</v>
      </c>
      <c r="H398" s="6">
        <v>0</v>
      </c>
      <c r="I398" s="6">
        <v>0</v>
      </c>
      <c r="J398" s="6">
        <v>41.37</v>
      </c>
      <c r="L398">
        <v>14</v>
      </c>
      <c r="M398" s="5">
        <v>46111</v>
      </c>
      <c r="N398" t="s">
        <v>163</v>
      </c>
      <c r="O398">
        <v>242</v>
      </c>
      <c r="P398" s="6">
        <v>471.01999999999902</v>
      </c>
      <c r="Q398" s="6">
        <v>0</v>
      </c>
      <c r="R398" s="6">
        <v>2</v>
      </c>
      <c r="S398" s="6">
        <v>27.88</v>
      </c>
      <c r="T398" s="6">
        <v>498.89999999999901</v>
      </c>
    </row>
    <row r="399" spans="2:20" ht="18.75">
      <c r="B399">
        <v>34</v>
      </c>
      <c r="C399" s="5">
        <v>45887</v>
      </c>
      <c r="D399" t="s">
        <v>140</v>
      </c>
      <c r="E399">
        <v>21</v>
      </c>
      <c r="F399" s="6">
        <v>60.68</v>
      </c>
      <c r="G399" s="6">
        <v>0</v>
      </c>
      <c r="H399" s="6">
        <v>0</v>
      </c>
      <c r="I399" s="6">
        <v>0</v>
      </c>
      <c r="J399" s="6">
        <v>60.68</v>
      </c>
      <c r="L399">
        <v>14</v>
      </c>
      <c r="M399" s="5">
        <v>46111</v>
      </c>
      <c r="N399" t="s">
        <v>160</v>
      </c>
      <c r="O399">
        <v>1048</v>
      </c>
      <c r="P399" s="6">
        <v>7450.8499999999003</v>
      </c>
      <c r="Q399" s="6">
        <v>0</v>
      </c>
      <c r="R399" s="6">
        <v>150.05000000000001</v>
      </c>
      <c r="S399" s="6">
        <v>248.89</v>
      </c>
      <c r="T399" s="6">
        <v>7699.7399999998997</v>
      </c>
    </row>
    <row r="400" spans="2:20" ht="18.75">
      <c r="B400">
        <v>34</v>
      </c>
      <c r="C400" s="5">
        <v>45887</v>
      </c>
      <c r="D400" t="s">
        <v>136</v>
      </c>
      <c r="E400">
        <v>9</v>
      </c>
      <c r="F400" s="6">
        <v>23.66</v>
      </c>
      <c r="G400" s="6">
        <v>0</v>
      </c>
      <c r="H400" s="6">
        <v>0</v>
      </c>
      <c r="I400" s="6">
        <v>13.2</v>
      </c>
      <c r="J400" s="6">
        <v>36.86</v>
      </c>
      <c r="L400">
        <v>14</v>
      </c>
      <c r="M400" s="5">
        <v>46111</v>
      </c>
      <c r="N400" t="s">
        <v>171</v>
      </c>
      <c r="O400">
        <v>172</v>
      </c>
      <c r="P400" s="6">
        <v>1297.0999999999999</v>
      </c>
      <c r="Q400" s="6">
        <v>5.99</v>
      </c>
      <c r="R400" s="6">
        <v>47.9</v>
      </c>
      <c r="S400" s="6">
        <v>150</v>
      </c>
      <c r="T400" s="6">
        <v>1441.11</v>
      </c>
    </row>
    <row r="401" spans="2:20" ht="18.75">
      <c r="B401">
        <v>34</v>
      </c>
      <c r="C401" s="5">
        <v>45887</v>
      </c>
      <c r="D401" t="s">
        <v>116</v>
      </c>
      <c r="E401">
        <v>29</v>
      </c>
      <c r="F401" s="6">
        <v>117.97</v>
      </c>
      <c r="G401" s="6">
        <v>0</v>
      </c>
      <c r="H401" s="6">
        <v>2.2799999999999998</v>
      </c>
      <c r="I401" s="6">
        <v>0</v>
      </c>
      <c r="J401" s="6">
        <v>117.97</v>
      </c>
      <c r="L401">
        <v>14</v>
      </c>
      <c r="M401" s="5">
        <v>46111</v>
      </c>
      <c r="N401" t="s">
        <v>176</v>
      </c>
      <c r="O401">
        <v>64</v>
      </c>
      <c r="P401" s="6">
        <v>138.15</v>
      </c>
      <c r="Q401" s="6">
        <v>0</v>
      </c>
      <c r="R401" s="6">
        <v>0</v>
      </c>
      <c r="S401" s="6">
        <v>6.9</v>
      </c>
      <c r="T401" s="6">
        <v>145.05000000000001</v>
      </c>
    </row>
    <row r="402" spans="2:20" ht="18.75">
      <c r="B402">
        <v>34</v>
      </c>
      <c r="C402" s="5">
        <v>45887</v>
      </c>
      <c r="D402" t="s">
        <v>135</v>
      </c>
      <c r="E402">
        <v>12</v>
      </c>
      <c r="F402" s="6">
        <v>25.93</v>
      </c>
      <c r="G402" s="6">
        <v>0</v>
      </c>
      <c r="H402" s="6">
        <v>0.42</v>
      </c>
      <c r="I402" s="6">
        <v>3.74</v>
      </c>
      <c r="J402" s="6">
        <v>29.67</v>
      </c>
      <c r="L402">
        <v>14</v>
      </c>
      <c r="M402" s="5">
        <v>46111</v>
      </c>
      <c r="N402" t="s">
        <v>173</v>
      </c>
      <c r="O402">
        <v>251</v>
      </c>
      <c r="P402" s="6">
        <v>1190.6200000000099</v>
      </c>
      <c r="Q402" s="6">
        <v>0</v>
      </c>
      <c r="R402" s="6">
        <v>5</v>
      </c>
      <c r="S402" s="6">
        <v>86.31</v>
      </c>
      <c r="T402" s="6">
        <v>1276.9300000000101</v>
      </c>
    </row>
    <row r="403" spans="2:20" ht="18.75">
      <c r="B403">
        <v>46</v>
      </c>
      <c r="C403" s="5">
        <v>45971</v>
      </c>
      <c r="D403" t="s">
        <v>118</v>
      </c>
      <c r="E403">
        <v>53</v>
      </c>
      <c r="F403" s="6">
        <v>208.56</v>
      </c>
      <c r="G403" s="6">
        <v>0</v>
      </c>
      <c r="H403" s="6">
        <v>1.93</v>
      </c>
      <c r="I403" s="6">
        <v>0</v>
      </c>
      <c r="J403" s="6">
        <v>208.56</v>
      </c>
      <c r="L403">
        <v>14</v>
      </c>
      <c r="M403" s="5">
        <v>46111</v>
      </c>
      <c r="N403" t="s">
        <v>174</v>
      </c>
      <c r="O403">
        <v>99</v>
      </c>
      <c r="P403" s="6">
        <v>611.57000000000005</v>
      </c>
      <c r="Q403" s="6">
        <v>0</v>
      </c>
      <c r="R403" s="6">
        <v>10.45</v>
      </c>
      <c r="S403" s="6">
        <v>68.819999999999993</v>
      </c>
      <c r="T403" s="6">
        <v>680.39</v>
      </c>
    </row>
    <row r="404" spans="2:20" ht="18.75">
      <c r="B404">
        <v>46</v>
      </c>
      <c r="C404" s="5">
        <v>45971</v>
      </c>
      <c r="D404" t="s">
        <v>113</v>
      </c>
      <c r="E404">
        <v>66</v>
      </c>
      <c r="F404" s="6">
        <v>229.94</v>
      </c>
      <c r="G404" s="6">
        <v>0</v>
      </c>
      <c r="H404" s="6">
        <v>0</v>
      </c>
      <c r="I404" s="6">
        <v>0</v>
      </c>
      <c r="J404" s="6">
        <v>229.94</v>
      </c>
      <c r="L404">
        <v>14</v>
      </c>
      <c r="M404" s="5">
        <v>46111</v>
      </c>
      <c r="N404" t="s">
        <v>170</v>
      </c>
      <c r="O404">
        <v>33</v>
      </c>
      <c r="P404" s="6">
        <v>103.5</v>
      </c>
      <c r="Q404" s="6">
        <v>0</v>
      </c>
      <c r="R404" s="6">
        <v>0</v>
      </c>
      <c r="S404" s="6">
        <v>15.3</v>
      </c>
      <c r="T404" s="6">
        <v>118.8</v>
      </c>
    </row>
    <row r="405" spans="2:20" ht="18.75">
      <c r="B405">
        <v>46</v>
      </c>
      <c r="C405" s="5">
        <v>45971</v>
      </c>
      <c r="D405" t="s">
        <v>123</v>
      </c>
      <c r="E405">
        <v>143</v>
      </c>
      <c r="F405" s="6">
        <v>603.150000000001</v>
      </c>
      <c r="G405" s="6">
        <v>0</v>
      </c>
      <c r="H405" s="6">
        <v>6.91</v>
      </c>
      <c r="I405" s="6">
        <v>0</v>
      </c>
      <c r="J405" s="6">
        <v>603.150000000001</v>
      </c>
      <c r="L405">
        <v>14</v>
      </c>
      <c r="M405" s="5">
        <v>46111</v>
      </c>
      <c r="N405" t="s">
        <v>198</v>
      </c>
      <c r="O405">
        <v>54</v>
      </c>
      <c r="P405" s="6">
        <v>454.24</v>
      </c>
      <c r="Q405" s="6">
        <v>0</v>
      </c>
      <c r="R405" s="6">
        <v>11.4</v>
      </c>
      <c r="S405" s="6">
        <v>48.96</v>
      </c>
      <c r="T405" s="6">
        <v>503.2</v>
      </c>
    </row>
    <row r="406" spans="2:20" ht="18.75">
      <c r="B406">
        <v>46</v>
      </c>
      <c r="C406" s="5">
        <v>45971</v>
      </c>
      <c r="D406" t="s">
        <v>143</v>
      </c>
      <c r="E406">
        <v>548</v>
      </c>
      <c r="F406" s="6">
        <v>2394.0999999999899</v>
      </c>
      <c r="G406" s="6">
        <v>0</v>
      </c>
      <c r="H406" s="6">
        <v>0</v>
      </c>
      <c r="I406" s="6">
        <v>3.68</v>
      </c>
      <c r="J406" s="6">
        <v>2397.7799999999902</v>
      </c>
      <c r="L406">
        <v>14</v>
      </c>
      <c r="M406" s="5">
        <v>46111</v>
      </c>
      <c r="N406" t="s">
        <v>172</v>
      </c>
      <c r="O406">
        <v>17</v>
      </c>
      <c r="P406" s="6">
        <v>54.2</v>
      </c>
      <c r="Q406" s="6">
        <v>0</v>
      </c>
      <c r="R406" s="6">
        <v>0</v>
      </c>
      <c r="S406" s="6">
        <v>3.35</v>
      </c>
      <c r="T406" s="6">
        <v>57.55</v>
      </c>
    </row>
    <row r="407" spans="2:20" ht="18.75">
      <c r="B407">
        <v>46</v>
      </c>
      <c r="C407" s="5">
        <v>45971</v>
      </c>
      <c r="D407" t="s">
        <v>121</v>
      </c>
      <c r="E407">
        <v>58</v>
      </c>
      <c r="F407" s="6">
        <v>206.6</v>
      </c>
      <c r="G407" s="6">
        <v>0</v>
      </c>
      <c r="H407" s="6">
        <v>3.59</v>
      </c>
      <c r="I407" s="6">
        <v>0.73</v>
      </c>
      <c r="J407" s="6">
        <v>207.33</v>
      </c>
      <c r="L407">
        <v>14</v>
      </c>
      <c r="M407" s="5">
        <v>46111</v>
      </c>
      <c r="N407" t="s">
        <v>165</v>
      </c>
      <c r="O407">
        <v>41</v>
      </c>
      <c r="P407" s="6">
        <v>343.32</v>
      </c>
      <c r="Q407" s="6">
        <v>0</v>
      </c>
      <c r="R407" s="6">
        <v>0</v>
      </c>
      <c r="S407" s="6">
        <v>26.08</v>
      </c>
      <c r="T407" s="6">
        <v>369.4</v>
      </c>
    </row>
    <row r="408" spans="2:20" ht="18.75">
      <c r="B408">
        <v>46</v>
      </c>
      <c r="C408" s="5">
        <v>45971</v>
      </c>
      <c r="D408" t="s">
        <v>133</v>
      </c>
      <c r="E408">
        <v>65</v>
      </c>
      <c r="F408" s="6">
        <v>380.58</v>
      </c>
      <c r="G408" s="6">
        <v>0</v>
      </c>
      <c r="H408" s="6">
        <v>7.5</v>
      </c>
      <c r="I408" s="6">
        <v>0</v>
      </c>
      <c r="J408" s="6">
        <v>380.58</v>
      </c>
      <c r="L408">
        <v>14</v>
      </c>
      <c r="M408" s="5">
        <v>46111</v>
      </c>
      <c r="N408" t="s">
        <v>204</v>
      </c>
      <c r="O408">
        <v>4</v>
      </c>
      <c r="P408" s="6">
        <v>3.8</v>
      </c>
      <c r="Q408" s="6">
        <v>0</v>
      </c>
      <c r="R408" s="6">
        <v>0</v>
      </c>
      <c r="S408" s="6">
        <v>0</v>
      </c>
      <c r="T408" s="6">
        <v>3.8</v>
      </c>
    </row>
    <row r="409" spans="2:20" ht="18.75">
      <c r="B409">
        <v>46</v>
      </c>
      <c r="C409" s="5">
        <v>45971</v>
      </c>
      <c r="D409" t="s">
        <v>124</v>
      </c>
      <c r="E409">
        <v>113</v>
      </c>
      <c r="F409" s="6">
        <v>449.23</v>
      </c>
      <c r="G409" s="6">
        <v>0</v>
      </c>
      <c r="H409" s="6">
        <v>4.5</v>
      </c>
      <c r="I409" s="6">
        <v>0.73</v>
      </c>
      <c r="J409" s="6">
        <v>449.96</v>
      </c>
      <c r="L409">
        <v>14</v>
      </c>
      <c r="M409" s="5">
        <v>46111</v>
      </c>
      <c r="N409" t="s">
        <v>206</v>
      </c>
      <c r="O409">
        <v>2</v>
      </c>
      <c r="P409" s="6">
        <v>6</v>
      </c>
      <c r="Q409" s="6">
        <v>0</v>
      </c>
      <c r="R409" s="6">
        <v>0</v>
      </c>
      <c r="S409" s="6">
        <v>0</v>
      </c>
      <c r="T409" s="6">
        <v>6</v>
      </c>
    </row>
    <row r="410" spans="2:20" ht="18.75">
      <c r="B410">
        <v>46</v>
      </c>
      <c r="C410" s="5">
        <v>45971</v>
      </c>
      <c r="D410" t="s">
        <v>134</v>
      </c>
      <c r="E410">
        <v>72</v>
      </c>
      <c r="F410" s="6">
        <v>408.69</v>
      </c>
      <c r="G410" s="6">
        <v>0</v>
      </c>
      <c r="H410" s="6">
        <v>5.27</v>
      </c>
      <c r="I410" s="6">
        <v>0</v>
      </c>
      <c r="J410" s="6">
        <v>408.69</v>
      </c>
      <c r="L410">
        <v>13</v>
      </c>
      <c r="M410" s="5">
        <v>46104</v>
      </c>
      <c r="N410" t="s">
        <v>169</v>
      </c>
      <c r="O410">
        <v>1360</v>
      </c>
      <c r="P410" s="6">
        <v>3525.1800000000298</v>
      </c>
      <c r="Q410" s="6">
        <v>0</v>
      </c>
      <c r="R410" s="6">
        <v>33.06</v>
      </c>
      <c r="S410" s="6">
        <v>95.38</v>
      </c>
      <c r="T410" s="6">
        <v>3620.56000000003</v>
      </c>
    </row>
    <row r="411" spans="2:20" ht="18.75">
      <c r="B411">
        <v>46</v>
      </c>
      <c r="C411" s="5">
        <v>45971</v>
      </c>
      <c r="D411" t="s">
        <v>129</v>
      </c>
      <c r="E411">
        <v>130</v>
      </c>
      <c r="F411" s="6">
        <v>9.99</v>
      </c>
      <c r="G411" s="6">
        <v>0</v>
      </c>
      <c r="H411" s="6">
        <v>0</v>
      </c>
      <c r="I411" s="6">
        <v>506.14</v>
      </c>
      <c r="J411" s="6">
        <v>516.13</v>
      </c>
      <c r="L411">
        <v>13</v>
      </c>
      <c r="M411" s="5">
        <v>46104</v>
      </c>
      <c r="N411" t="s">
        <v>168</v>
      </c>
      <c r="O411">
        <v>371</v>
      </c>
      <c r="P411" s="6">
        <v>789.73000000000104</v>
      </c>
      <c r="Q411" s="6">
        <v>0</v>
      </c>
      <c r="R411" s="6">
        <v>0</v>
      </c>
      <c r="S411" s="6">
        <v>88.43</v>
      </c>
      <c r="T411" s="6">
        <v>878.16000000000099</v>
      </c>
    </row>
    <row r="412" spans="2:20" ht="18.75">
      <c r="B412">
        <v>46</v>
      </c>
      <c r="C412" s="5">
        <v>45971</v>
      </c>
      <c r="D412" t="s">
        <v>146</v>
      </c>
      <c r="E412">
        <v>131</v>
      </c>
      <c r="F412" s="6">
        <v>732.270000000001</v>
      </c>
      <c r="G412" s="6">
        <v>0</v>
      </c>
      <c r="H412" s="6">
        <v>8.5399999999999991</v>
      </c>
      <c r="I412" s="6">
        <v>0</v>
      </c>
      <c r="J412" s="6">
        <v>732.270000000001</v>
      </c>
      <c r="L412">
        <v>13</v>
      </c>
      <c r="M412" s="5">
        <v>46104</v>
      </c>
      <c r="N412" t="s">
        <v>160</v>
      </c>
      <c r="O412">
        <v>1017</v>
      </c>
      <c r="P412" s="6">
        <v>6907.9399999999096</v>
      </c>
      <c r="Q412" s="6">
        <v>9.9</v>
      </c>
      <c r="R412" s="6">
        <v>144.81</v>
      </c>
      <c r="S412" s="6">
        <v>217.87</v>
      </c>
      <c r="T412" s="6">
        <v>7115.9099999999098</v>
      </c>
    </row>
    <row r="413" spans="2:20" ht="18.75">
      <c r="B413">
        <v>46</v>
      </c>
      <c r="C413" s="5">
        <v>45971</v>
      </c>
      <c r="D413" t="s">
        <v>141</v>
      </c>
      <c r="E413">
        <v>255</v>
      </c>
      <c r="F413" s="6">
        <v>800.79000000000201</v>
      </c>
      <c r="G413" s="6">
        <v>0</v>
      </c>
      <c r="H413" s="6">
        <v>19.940000000000001</v>
      </c>
      <c r="I413" s="6">
        <v>0</v>
      </c>
      <c r="J413" s="6">
        <v>800.79000000000201</v>
      </c>
      <c r="L413">
        <v>13</v>
      </c>
      <c r="M413" s="5">
        <v>46104</v>
      </c>
      <c r="N413" t="s">
        <v>171</v>
      </c>
      <c r="O413">
        <v>281</v>
      </c>
      <c r="P413" s="6">
        <v>1662.45</v>
      </c>
      <c r="Q413" s="6">
        <v>0</v>
      </c>
      <c r="R413" s="6">
        <v>126.4</v>
      </c>
      <c r="S413" s="6">
        <v>173.59</v>
      </c>
      <c r="T413" s="6">
        <v>1836.04</v>
      </c>
    </row>
    <row r="414" spans="2:20" ht="18.75">
      <c r="B414">
        <v>46</v>
      </c>
      <c r="C414" s="5">
        <v>45971</v>
      </c>
      <c r="D414" t="s">
        <v>117</v>
      </c>
      <c r="E414">
        <v>50</v>
      </c>
      <c r="F414" s="6">
        <v>216.37</v>
      </c>
      <c r="G414" s="6">
        <v>2.5</v>
      </c>
      <c r="H414" s="6">
        <v>13.28</v>
      </c>
      <c r="I414" s="6">
        <v>0</v>
      </c>
      <c r="J414" s="6">
        <v>213.87</v>
      </c>
      <c r="L414">
        <v>13</v>
      </c>
      <c r="M414" s="5">
        <v>46104</v>
      </c>
      <c r="N414" t="s">
        <v>163</v>
      </c>
      <c r="O414">
        <v>286</v>
      </c>
      <c r="P414" s="6">
        <v>538.9</v>
      </c>
      <c r="Q414" s="6">
        <v>0</v>
      </c>
      <c r="R414" s="6">
        <v>0</v>
      </c>
      <c r="S414" s="6">
        <v>36.6</v>
      </c>
      <c r="T414" s="6">
        <v>575.5</v>
      </c>
    </row>
    <row r="415" spans="2:20" ht="18.75">
      <c r="B415">
        <v>46</v>
      </c>
      <c r="C415" s="5">
        <v>45971</v>
      </c>
      <c r="D415" t="s">
        <v>138</v>
      </c>
      <c r="E415">
        <v>102</v>
      </c>
      <c r="F415" s="6">
        <v>547.58000000000004</v>
      </c>
      <c r="G415" s="6">
        <v>0</v>
      </c>
      <c r="H415" s="6">
        <v>17.61</v>
      </c>
      <c r="I415" s="6">
        <v>7.9</v>
      </c>
      <c r="J415" s="6">
        <v>555.48</v>
      </c>
      <c r="L415">
        <v>13</v>
      </c>
      <c r="M415" s="5">
        <v>46104</v>
      </c>
      <c r="N415" t="s">
        <v>158</v>
      </c>
      <c r="O415">
        <v>163</v>
      </c>
      <c r="P415" s="6">
        <v>997.54999999999802</v>
      </c>
      <c r="Q415" s="6">
        <v>6.3</v>
      </c>
      <c r="R415" s="6">
        <v>5.71</v>
      </c>
      <c r="S415" s="6">
        <v>23.64</v>
      </c>
      <c r="T415" s="6">
        <v>1014.89</v>
      </c>
    </row>
    <row r="416" spans="2:20" ht="18.75">
      <c r="B416">
        <v>46</v>
      </c>
      <c r="C416" s="5">
        <v>45971</v>
      </c>
      <c r="D416" t="s">
        <v>128</v>
      </c>
      <c r="E416">
        <v>29</v>
      </c>
      <c r="F416" s="6">
        <v>136.15</v>
      </c>
      <c r="G416" s="6">
        <v>0</v>
      </c>
      <c r="H416" s="6">
        <v>2.97</v>
      </c>
      <c r="I416" s="6">
        <v>0</v>
      </c>
      <c r="J416" s="6">
        <v>136.15</v>
      </c>
      <c r="L416">
        <v>13</v>
      </c>
      <c r="M416" s="5">
        <v>46104</v>
      </c>
      <c r="N416" t="s">
        <v>173</v>
      </c>
      <c r="O416">
        <v>275</v>
      </c>
      <c r="P416" s="6">
        <v>1317.1600000000101</v>
      </c>
      <c r="Q416" s="6">
        <v>5.45</v>
      </c>
      <c r="R416" s="6">
        <v>0</v>
      </c>
      <c r="S416" s="6">
        <v>83.55</v>
      </c>
      <c r="T416" s="6">
        <v>1395.26000000001</v>
      </c>
    </row>
    <row r="417" spans="2:20" ht="18.75">
      <c r="B417">
        <v>46</v>
      </c>
      <c r="C417" s="5">
        <v>45971</v>
      </c>
      <c r="D417" t="s">
        <v>219</v>
      </c>
      <c r="E417">
        <v>73</v>
      </c>
      <c r="F417" s="6">
        <v>369.37</v>
      </c>
      <c r="G417" s="6">
        <v>0</v>
      </c>
      <c r="H417" s="6">
        <v>7.42</v>
      </c>
      <c r="I417" s="6">
        <v>0</v>
      </c>
      <c r="J417" s="6">
        <v>369.37</v>
      </c>
      <c r="L417">
        <v>13</v>
      </c>
      <c r="M417" s="5">
        <v>46104</v>
      </c>
      <c r="N417" t="s">
        <v>176</v>
      </c>
      <c r="O417">
        <v>80</v>
      </c>
      <c r="P417" s="6">
        <v>166.87</v>
      </c>
      <c r="Q417" s="6">
        <v>0</v>
      </c>
      <c r="R417" s="6">
        <v>0</v>
      </c>
      <c r="S417" s="6">
        <v>13.31</v>
      </c>
      <c r="T417" s="6">
        <v>180.18</v>
      </c>
    </row>
    <row r="418" spans="2:20" ht="18.75">
      <c r="B418">
        <v>46</v>
      </c>
      <c r="C418" s="5">
        <v>45971</v>
      </c>
      <c r="D418" t="s">
        <v>122</v>
      </c>
      <c r="E418">
        <v>64</v>
      </c>
      <c r="F418" s="6">
        <v>321.27</v>
      </c>
      <c r="G418" s="6">
        <v>0</v>
      </c>
      <c r="H418" s="6">
        <v>1.28</v>
      </c>
      <c r="I418" s="6">
        <v>0</v>
      </c>
      <c r="J418" s="6">
        <v>321.27</v>
      </c>
      <c r="L418">
        <v>13</v>
      </c>
      <c r="M418" s="5">
        <v>46104</v>
      </c>
      <c r="N418" t="s">
        <v>170</v>
      </c>
      <c r="O418">
        <v>44</v>
      </c>
      <c r="P418" s="6">
        <v>148.86000000000001</v>
      </c>
      <c r="Q418" s="6">
        <v>0</v>
      </c>
      <c r="R418" s="6">
        <v>0</v>
      </c>
      <c r="S418" s="6">
        <v>9.5399999999999991</v>
      </c>
      <c r="T418" s="6">
        <v>158.4</v>
      </c>
    </row>
    <row r="419" spans="2:20" ht="18.75">
      <c r="B419">
        <v>46</v>
      </c>
      <c r="C419" s="5">
        <v>45971</v>
      </c>
      <c r="D419" t="s">
        <v>125</v>
      </c>
      <c r="E419">
        <v>11</v>
      </c>
      <c r="F419" s="6">
        <v>40.92</v>
      </c>
      <c r="G419" s="6">
        <v>0</v>
      </c>
      <c r="H419" s="6">
        <v>2.46</v>
      </c>
      <c r="I419" s="6">
        <v>0</v>
      </c>
      <c r="J419" s="6">
        <v>40.92</v>
      </c>
      <c r="L419">
        <v>13</v>
      </c>
      <c r="M419" s="5">
        <v>46104</v>
      </c>
      <c r="N419" t="s">
        <v>167</v>
      </c>
      <c r="O419">
        <v>16</v>
      </c>
      <c r="P419" s="6">
        <v>103.87</v>
      </c>
      <c r="Q419" s="6">
        <v>0</v>
      </c>
      <c r="R419" s="6">
        <v>54.53</v>
      </c>
      <c r="S419" s="6">
        <v>0</v>
      </c>
      <c r="T419" s="6">
        <v>103.87</v>
      </c>
    </row>
    <row r="420" spans="2:20" ht="18.75">
      <c r="B420">
        <v>46</v>
      </c>
      <c r="C420" s="5">
        <v>45971</v>
      </c>
      <c r="D420" t="s">
        <v>116</v>
      </c>
      <c r="E420">
        <v>25</v>
      </c>
      <c r="F420" s="6">
        <v>88.05</v>
      </c>
      <c r="G420" s="6">
        <v>0</v>
      </c>
      <c r="H420" s="6">
        <v>1.33</v>
      </c>
      <c r="I420" s="6">
        <v>0</v>
      </c>
      <c r="J420" s="6">
        <v>88.05</v>
      </c>
      <c r="L420">
        <v>13</v>
      </c>
      <c r="M420" s="5">
        <v>46104</v>
      </c>
      <c r="N420" t="s">
        <v>198</v>
      </c>
      <c r="O420">
        <v>51</v>
      </c>
      <c r="P420" s="6">
        <v>374.76</v>
      </c>
      <c r="Q420" s="6">
        <v>0</v>
      </c>
      <c r="R420" s="6">
        <v>49.79</v>
      </c>
      <c r="S420" s="6">
        <v>77.8</v>
      </c>
      <c r="T420" s="6">
        <v>452.56</v>
      </c>
    </row>
    <row r="421" spans="2:20" ht="18.75">
      <c r="B421">
        <v>46</v>
      </c>
      <c r="C421" s="5">
        <v>45971</v>
      </c>
      <c r="D421" t="s">
        <v>137</v>
      </c>
      <c r="E421">
        <v>21</v>
      </c>
      <c r="F421" s="6">
        <v>59.87</v>
      </c>
      <c r="G421" s="6">
        <v>0</v>
      </c>
      <c r="H421" s="6">
        <v>5.58</v>
      </c>
      <c r="I421" s="6">
        <v>46.25</v>
      </c>
      <c r="J421" s="6">
        <v>106.12</v>
      </c>
      <c r="L421">
        <v>13</v>
      </c>
      <c r="M421" s="5">
        <v>46104</v>
      </c>
      <c r="N421" t="s">
        <v>165</v>
      </c>
      <c r="O421">
        <v>44</v>
      </c>
      <c r="P421" s="6">
        <v>354.39</v>
      </c>
      <c r="Q421" s="6">
        <v>0</v>
      </c>
      <c r="R421" s="6">
        <v>0</v>
      </c>
      <c r="S421" s="6">
        <v>40.840000000000003</v>
      </c>
      <c r="T421" s="6">
        <v>395.23</v>
      </c>
    </row>
    <row r="422" spans="2:20" ht="18.75">
      <c r="B422">
        <v>46</v>
      </c>
      <c r="C422" s="5">
        <v>45971</v>
      </c>
      <c r="D422" t="s">
        <v>127</v>
      </c>
      <c r="E422">
        <v>50</v>
      </c>
      <c r="F422" s="6">
        <v>259.58999999999997</v>
      </c>
      <c r="G422" s="6">
        <v>0</v>
      </c>
      <c r="H422" s="6">
        <v>4.79</v>
      </c>
      <c r="I422" s="6">
        <v>2.0699999999999998</v>
      </c>
      <c r="J422" s="6">
        <v>261.66000000000003</v>
      </c>
      <c r="L422">
        <v>13</v>
      </c>
      <c r="M422" s="5">
        <v>46104</v>
      </c>
      <c r="N422" t="s">
        <v>174</v>
      </c>
      <c r="O422">
        <v>5</v>
      </c>
      <c r="P422" s="6">
        <v>35.270000000000003</v>
      </c>
      <c r="Q422" s="6">
        <v>0</v>
      </c>
      <c r="R422" s="6">
        <v>0</v>
      </c>
      <c r="S422" s="6">
        <v>0</v>
      </c>
      <c r="T422" s="6">
        <v>35.270000000000003</v>
      </c>
    </row>
    <row r="423" spans="2:20" ht="18.75">
      <c r="B423">
        <v>46</v>
      </c>
      <c r="C423" s="5">
        <v>45971</v>
      </c>
      <c r="D423" t="s">
        <v>135</v>
      </c>
      <c r="E423">
        <v>16</v>
      </c>
      <c r="F423" s="6">
        <v>46.78</v>
      </c>
      <c r="G423" s="6">
        <v>0</v>
      </c>
      <c r="H423" s="6">
        <v>3.54</v>
      </c>
      <c r="I423" s="6">
        <v>10.18</v>
      </c>
      <c r="J423" s="6">
        <v>56.96</v>
      </c>
      <c r="L423">
        <v>13</v>
      </c>
      <c r="M423" s="5">
        <v>46104</v>
      </c>
      <c r="N423" t="s">
        <v>201</v>
      </c>
      <c r="O423">
        <v>11</v>
      </c>
      <c r="P423" s="6">
        <v>30.16</v>
      </c>
      <c r="Q423" s="6">
        <v>0</v>
      </c>
      <c r="R423" s="6">
        <v>20.190000000000001</v>
      </c>
      <c r="S423" s="6">
        <v>1.9</v>
      </c>
      <c r="T423" s="6">
        <v>32.06</v>
      </c>
    </row>
    <row r="424" spans="2:20" ht="18.75">
      <c r="B424">
        <v>46</v>
      </c>
      <c r="C424" s="5">
        <v>45971</v>
      </c>
      <c r="D424" t="s">
        <v>112</v>
      </c>
      <c r="E424">
        <v>16</v>
      </c>
      <c r="F424" s="6">
        <v>64.03</v>
      </c>
      <c r="G424" s="6">
        <v>0</v>
      </c>
      <c r="H424" s="6">
        <v>0</v>
      </c>
      <c r="I424" s="6">
        <v>0</v>
      </c>
      <c r="J424" s="6">
        <v>64.03</v>
      </c>
      <c r="L424">
        <v>13</v>
      </c>
      <c r="M424" s="5">
        <v>46104</v>
      </c>
      <c r="N424" t="s">
        <v>204</v>
      </c>
      <c r="O424">
        <v>1</v>
      </c>
      <c r="P424" s="6">
        <v>0.95</v>
      </c>
      <c r="Q424" s="6">
        <v>0</v>
      </c>
      <c r="R424" s="6">
        <v>0</v>
      </c>
      <c r="S424" s="6">
        <v>0</v>
      </c>
      <c r="T424" s="6">
        <v>0.95</v>
      </c>
    </row>
    <row r="425" spans="2:20" ht="18.75">
      <c r="B425">
        <v>46</v>
      </c>
      <c r="C425" s="5">
        <v>45971</v>
      </c>
      <c r="D425" t="s">
        <v>126</v>
      </c>
      <c r="E425">
        <v>53</v>
      </c>
      <c r="F425" s="6">
        <v>220</v>
      </c>
      <c r="G425" s="6">
        <v>0</v>
      </c>
      <c r="H425" s="6">
        <v>1.28</v>
      </c>
      <c r="I425" s="6">
        <v>1.98</v>
      </c>
      <c r="J425" s="6">
        <v>221.98</v>
      </c>
      <c r="L425">
        <v>13</v>
      </c>
      <c r="M425" s="5">
        <v>46104</v>
      </c>
      <c r="N425" t="s">
        <v>172</v>
      </c>
      <c r="O425">
        <v>17</v>
      </c>
      <c r="P425" s="6">
        <v>44.8</v>
      </c>
      <c r="Q425" s="6">
        <v>0</v>
      </c>
      <c r="R425" s="6">
        <v>0</v>
      </c>
      <c r="S425" s="6">
        <v>9.6</v>
      </c>
      <c r="T425" s="6">
        <v>54.4</v>
      </c>
    </row>
    <row r="426" spans="2:20" ht="18.75">
      <c r="B426">
        <v>46</v>
      </c>
      <c r="C426" s="5">
        <v>45971</v>
      </c>
      <c r="D426" t="s">
        <v>145</v>
      </c>
      <c r="E426">
        <v>44</v>
      </c>
      <c r="F426" s="6">
        <v>250.49</v>
      </c>
      <c r="G426" s="6">
        <v>0</v>
      </c>
      <c r="H426" s="6">
        <v>8.35</v>
      </c>
      <c r="I426" s="6">
        <v>0</v>
      </c>
      <c r="J426" s="6">
        <v>250.49</v>
      </c>
      <c r="L426">
        <v>13</v>
      </c>
      <c r="M426" s="5">
        <v>46104</v>
      </c>
      <c r="N426" t="s">
        <v>164</v>
      </c>
      <c r="O426">
        <v>1</v>
      </c>
      <c r="P426" s="6">
        <v>3.75</v>
      </c>
      <c r="Q426" s="6">
        <v>0</v>
      </c>
      <c r="R426" s="6">
        <v>0</v>
      </c>
      <c r="S426" s="6">
        <v>0</v>
      </c>
      <c r="T426" s="6">
        <v>3.75</v>
      </c>
    </row>
    <row r="427" spans="2:20" ht="18.75">
      <c r="B427">
        <v>46</v>
      </c>
      <c r="C427" s="5">
        <v>45971</v>
      </c>
      <c r="D427" t="s">
        <v>142</v>
      </c>
      <c r="E427">
        <v>38</v>
      </c>
      <c r="F427" s="6">
        <v>190.35</v>
      </c>
      <c r="G427" s="6">
        <v>0</v>
      </c>
      <c r="H427" s="6">
        <v>12.73</v>
      </c>
      <c r="I427" s="6">
        <v>0</v>
      </c>
      <c r="J427" s="6">
        <v>190.35</v>
      </c>
      <c r="L427">
        <v>16</v>
      </c>
      <c r="M427" s="5">
        <v>46125</v>
      </c>
      <c r="N427" t="s">
        <v>169</v>
      </c>
      <c r="O427">
        <v>1171</v>
      </c>
      <c r="P427" s="6">
        <v>2997.79000000002</v>
      </c>
      <c r="Q427" s="6">
        <v>0</v>
      </c>
      <c r="R427" s="6">
        <v>18.97</v>
      </c>
      <c r="S427" s="6">
        <v>91.34</v>
      </c>
      <c r="T427" s="6">
        <v>3089.1300000000201</v>
      </c>
    </row>
    <row r="428" spans="2:20" ht="18.75">
      <c r="B428">
        <v>46</v>
      </c>
      <c r="C428" s="5">
        <v>45971</v>
      </c>
      <c r="D428" t="s">
        <v>111</v>
      </c>
      <c r="E428">
        <v>61</v>
      </c>
      <c r="F428" s="6">
        <v>259.42</v>
      </c>
      <c r="G428" s="6">
        <v>0</v>
      </c>
      <c r="H428" s="6">
        <v>7.87</v>
      </c>
      <c r="I428" s="6">
        <v>0</v>
      </c>
      <c r="J428" s="6">
        <v>259.42</v>
      </c>
      <c r="L428">
        <v>16</v>
      </c>
      <c r="M428" s="5">
        <v>46125</v>
      </c>
      <c r="N428" t="s">
        <v>163</v>
      </c>
      <c r="O428">
        <v>228</v>
      </c>
      <c r="P428" s="6">
        <v>461.349999999999</v>
      </c>
      <c r="Q428" s="6">
        <v>0</v>
      </c>
      <c r="R428" s="6">
        <v>6.7</v>
      </c>
      <c r="S428" s="6">
        <v>18.850000000000001</v>
      </c>
      <c r="T428" s="6">
        <v>480.19999999999902</v>
      </c>
    </row>
    <row r="429" spans="2:20" ht="18.75">
      <c r="B429">
        <v>46</v>
      </c>
      <c r="C429" s="5">
        <v>45971</v>
      </c>
      <c r="D429" t="s">
        <v>119</v>
      </c>
      <c r="E429">
        <v>115</v>
      </c>
      <c r="F429" s="6">
        <v>459.02</v>
      </c>
      <c r="G429" s="6">
        <v>3.65</v>
      </c>
      <c r="H429" s="6">
        <v>7.98</v>
      </c>
      <c r="I429" s="6">
        <v>0</v>
      </c>
      <c r="J429" s="6">
        <v>455.37</v>
      </c>
      <c r="L429">
        <v>16</v>
      </c>
      <c r="M429" s="5">
        <v>46125</v>
      </c>
      <c r="N429" t="s">
        <v>160</v>
      </c>
      <c r="O429">
        <v>784</v>
      </c>
      <c r="P429" s="6">
        <v>5198.9099999999498</v>
      </c>
      <c r="Q429" s="6">
        <v>5.99</v>
      </c>
      <c r="R429" s="6">
        <v>115.72</v>
      </c>
      <c r="S429" s="6">
        <v>163.82</v>
      </c>
      <c r="T429" s="6">
        <v>5356.7399999999498</v>
      </c>
    </row>
    <row r="430" spans="2:20" ht="18.75">
      <c r="B430">
        <v>46</v>
      </c>
      <c r="C430" s="5">
        <v>45971</v>
      </c>
      <c r="D430" t="s">
        <v>136</v>
      </c>
      <c r="E430">
        <v>18</v>
      </c>
      <c r="F430" s="6">
        <v>51.21</v>
      </c>
      <c r="G430" s="6">
        <v>0</v>
      </c>
      <c r="H430" s="6">
        <v>0</v>
      </c>
      <c r="I430" s="6">
        <v>17.16</v>
      </c>
      <c r="J430" s="6">
        <v>68.37</v>
      </c>
      <c r="L430">
        <v>16</v>
      </c>
      <c r="M430" s="5">
        <v>46125</v>
      </c>
      <c r="N430" t="s">
        <v>168</v>
      </c>
      <c r="O430">
        <v>349</v>
      </c>
      <c r="P430" s="6">
        <v>710.76</v>
      </c>
      <c r="Q430" s="6">
        <v>0</v>
      </c>
      <c r="R430" s="6">
        <v>5.26</v>
      </c>
      <c r="S430" s="6">
        <v>108.58</v>
      </c>
      <c r="T430" s="6">
        <v>819.34</v>
      </c>
    </row>
    <row r="431" spans="2:20" ht="18.75">
      <c r="B431">
        <v>46</v>
      </c>
      <c r="C431" s="5">
        <v>45971</v>
      </c>
      <c r="D431" t="s">
        <v>132</v>
      </c>
      <c r="E431">
        <v>58</v>
      </c>
      <c r="F431" s="6">
        <v>219</v>
      </c>
      <c r="G431" s="6">
        <v>0</v>
      </c>
      <c r="H431" s="6">
        <v>9.8000000000000007</v>
      </c>
      <c r="I431" s="6">
        <v>0</v>
      </c>
      <c r="J431" s="6">
        <v>219</v>
      </c>
      <c r="L431">
        <v>16</v>
      </c>
      <c r="M431" s="5">
        <v>46125</v>
      </c>
      <c r="N431" t="s">
        <v>174</v>
      </c>
      <c r="O431">
        <v>103</v>
      </c>
      <c r="P431" s="6">
        <v>591.08000000000004</v>
      </c>
      <c r="Q431" s="6">
        <v>0</v>
      </c>
      <c r="R431" s="6">
        <v>47.05</v>
      </c>
      <c r="S431" s="6">
        <v>69.540000000000006</v>
      </c>
      <c r="T431" s="6">
        <v>660.62</v>
      </c>
    </row>
    <row r="432" spans="2:20" ht="18.75">
      <c r="B432">
        <v>46</v>
      </c>
      <c r="C432" s="5">
        <v>45971</v>
      </c>
      <c r="D432" t="s">
        <v>114</v>
      </c>
      <c r="E432">
        <v>43</v>
      </c>
      <c r="F432" s="6">
        <v>170.39</v>
      </c>
      <c r="G432" s="6">
        <v>0</v>
      </c>
      <c r="H432" s="6">
        <v>4.25</v>
      </c>
      <c r="I432" s="6">
        <v>58.38</v>
      </c>
      <c r="J432" s="6">
        <v>228.77</v>
      </c>
      <c r="L432">
        <v>16</v>
      </c>
      <c r="M432" s="5">
        <v>46125</v>
      </c>
      <c r="N432" t="s">
        <v>158</v>
      </c>
      <c r="O432">
        <v>155</v>
      </c>
      <c r="P432" s="6">
        <v>917.51999999999805</v>
      </c>
      <c r="Q432" s="6">
        <v>12.6</v>
      </c>
      <c r="R432" s="6">
        <v>12.34</v>
      </c>
      <c r="S432" s="6">
        <v>46.64</v>
      </c>
      <c r="T432" s="6">
        <v>951.55999999999801</v>
      </c>
    </row>
    <row r="433" spans="2:20" ht="18.75">
      <c r="B433">
        <v>46</v>
      </c>
      <c r="C433" s="5">
        <v>45971</v>
      </c>
      <c r="D433" t="s">
        <v>150</v>
      </c>
      <c r="E433">
        <v>7</v>
      </c>
      <c r="F433" s="6">
        <v>45.18</v>
      </c>
      <c r="G433" s="6">
        <v>0</v>
      </c>
      <c r="H433" s="6">
        <v>2.97</v>
      </c>
      <c r="I433" s="6">
        <v>0</v>
      </c>
      <c r="J433" s="6">
        <v>45.18</v>
      </c>
      <c r="L433">
        <v>16</v>
      </c>
      <c r="M433" s="5">
        <v>46125</v>
      </c>
      <c r="N433" t="s">
        <v>173</v>
      </c>
      <c r="O433">
        <v>253</v>
      </c>
      <c r="P433" s="6">
        <v>1216.6700000000101</v>
      </c>
      <c r="Q433" s="6">
        <v>0</v>
      </c>
      <c r="R433" s="6">
        <v>7.74</v>
      </c>
      <c r="S433" s="6">
        <v>65.66</v>
      </c>
      <c r="T433" s="6">
        <v>1282.3300000000099</v>
      </c>
    </row>
    <row r="434" spans="2:20" ht="18.75">
      <c r="B434">
        <v>46</v>
      </c>
      <c r="C434" s="5">
        <v>45971</v>
      </c>
      <c r="D434" t="s">
        <v>149</v>
      </c>
      <c r="E434">
        <v>43</v>
      </c>
      <c r="F434" s="6">
        <v>144.62</v>
      </c>
      <c r="G434" s="6">
        <v>0</v>
      </c>
      <c r="H434" s="6">
        <v>4.8499999999999996</v>
      </c>
      <c r="I434" s="6">
        <v>0</v>
      </c>
      <c r="J434" s="6">
        <v>144.62</v>
      </c>
      <c r="L434">
        <v>16</v>
      </c>
      <c r="M434" s="5">
        <v>46125</v>
      </c>
      <c r="N434" t="s">
        <v>171</v>
      </c>
      <c r="O434">
        <v>187</v>
      </c>
      <c r="P434" s="6">
        <v>1074.28</v>
      </c>
      <c r="Q434" s="6">
        <v>0</v>
      </c>
      <c r="R434" s="6">
        <v>116.73</v>
      </c>
      <c r="S434" s="6">
        <v>113.32</v>
      </c>
      <c r="T434" s="6">
        <v>1187.5999999999999</v>
      </c>
    </row>
    <row r="435" spans="2:20" ht="18.75">
      <c r="B435">
        <v>46</v>
      </c>
      <c r="C435" s="5">
        <v>45971</v>
      </c>
      <c r="D435" t="s">
        <v>140</v>
      </c>
      <c r="E435">
        <v>17</v>
      </c>
      <c r="F435" s="6">
        <v>55.83</v>
      </c>
      <c r="G435" s="6">
        <v>0</v>
      </c>
      <c r="H435" s="6">
        <v>0</v>
      </c>
      <c r="I435" s="6">
        <v>0</v>
      </c>
      <c r="J435" s="6">
        <v>55.83</v>
      </c>
      <c r="L435">
        <v>16</v>
      </c>
      <c r="M435" s="5">
        <v>46125</v>
      </c>
      <c r="N435" t="s">
        <v>198</v>
      </c>
      <c r="O435">
        <v>63</v>
      </c>
      <c r="P435" s="6">
        <v>546.32000000000005</v>
      </c>
      <c r="Q435" s="6">
        <v>0</v>
      </c>
      <c r="R435" s="6">
        <v>22.57</v>
      </c>
      <c r="S435" s="6">
        <v>38.36</v>
      </c>
      <c r="T435" s="6">
        <v>584.67999999999995</v>
      </c>
    </row>
    <row r="436" spans="2:20" ht="18.75">
      <c r="B436">
        <v>46</v>
      </c>
      <c r="C436" s="5">
        <v>45971</v>
      </c>
      <c r="D436" t="s">
        <v>139</v>
      </c>
      <c r="E436">
        <v>60</v>
      </c>
      <c r="F436" s="6">
        <v>251.78</v>
      </c>
      <c r="G436" s="6">
        <v>0</v>
      </c>
      <c r="H436" s="6">
        <v>9.0299999999999994</v>
      </c>
      <c r="I436" s="6">
        <v>1.46</v>
      </c>
      <c r="J436" s="6">
        <v>253.24</v>
      </c>
      <c r="L436">
        <v>16</v>
      </c>
      <c r="M436" s="5">
        <v>46125</v>
      </c>
      <c r="N436" t="s">
        <v>176</v>
      </c>
      <c r="O436">
        <v>101</v>
      </c>
      <c r="P436" s="6">
        <v>205.68</v>
      </c>
      <c r="Q436" s="6">
        <v>0</v>
      </c>
      <c r="R436" s="6">
        <v>2.73</v>
      </c>
      <c r="S436" s="6">
        <v>22.4</v>
      </c>
      <c r="T436" s="6">
        <v>228.08</v>
      </c>
    </row>
    <row r="437" spans="2:20" ht="18.75">
      <c r="B437">
        <v>46</v>
      </c>
      <c r="C437" s="5">
        <v>45971</v>
      </c>
      <c r="D437" t="s">
        <v>120</v>
      </c>
      <c r="E437">
        <v>34</v>
      </c>
      <c r="F437" s="6">
        <v>147.30000000000001</v>
      </c>
      <c r="G437" s="6">
        <v>0</v>
      </c>
      <c r="H437" s="6">
        <v>0</v>
      </c>
      <c r="I437" s="6">
        <v>0</v>
      </c>
      <c r="J437" s="6">
        <v>147.30000000000001</v>
      </c>
      <c r="L437">
        <v>16</v>
      </c>
      <c r="M437" s="5">
        <v>46125</v>
      </c>
      <c r="N437" t="s">
        <v>172</v>
      </c>
      <c r="O437">
        <v>35</v>
      </c>
      <c r="P437" s="6">
        <v>107.85</v>
      </c>
      <c r="Q437" s="6">
        <v>0</v>
      </c>
      <c r="R437" s="6">
        <v>0</v>
      </c>
      <c r="S437" s="6">
        <v>10.050000000000001</v>
      </c>
      <c r="T437" s="6">
        <v>117.9</v>
      </c>
    </row>
    <row r="438" spans="2:20" ht="18.75">
      <c r="B438">
        <v>47</v>
      </c>
      <c r="C438" s="5">
        <v>45978</v>
      </c>
      <c r="D438" t="s">
        <v>118</v>
      </c>
      <c r="E438">
        <v>64</v>
      </c>
      <c r="F438" s="6">
        <v>246.18</v>
      </c>
      <c r="G438" s="6">
        <v>0</v>
      </c>
      <c r="H438" s="6">
        <v>4.92</v>
      </c>
      <c r="I438" s="6">
        <v>0</v>
      </c>
      <c r="J438" s="6">
        <v>246.18</v>
      </c>
      <c r="L438">
        <v>16</v>
      </c>
      <c r="M438" s="5">
        <v>46125</v>
      </c>
      <c r="N438" t="s">
        <v>165</v>
      </c>
      <c r="O438">
        <v>26</v>
      </c>
      <c r="P438" s="6">
        <v>221.15</v>
      </c>
      <c r="Q438" s="6">
        <v>0</v>
      </c>
      <c r="R438" s="6">
        <v>0</v>
      </c>
      <c r="S438" s="6">
        <v>12.59</v>
      </c>
      <c r="T438" s="6">
        <v>233.74</v>
      </c>
    </row>
    <row r="439" spans="2:20" ht="18.75">
      <c r="B439">
        <v>47</v>
      </c>
      <c r="C439" s="5">
        <v>45978</v>
      </c>
      <c r="D439" t="s">
        <v>139</v>
      </c>
      <c r="E439">
        <v>82</v>
      </c>
      <c r="F439" s="6">
        <v>376.12</v>
      </c>
      <c r="G439" s="6">
        <v>0</v>
      </c>
      <c r="H439" s="6">
        <v>1.67</v>
      </c>
      <c r="I439" s="6">
        <v>2</v>
      </c>
      <c r="J439" s="6">
        <v>378.12</v>
      </c>
      <c r="L439">
        <v>16</v>
      </c>
      <c r="M439" s="5">
        <v>46125</v>
      </c>
      <c r="N439" t="s">
        <v>170</v>
      </c>
      <c r="O439">
        <v>31</v>
      </c>
      <c r="P439" s="6">
        <v>98.46</v>
      </c>
      <c r="Q439" s="6">
        <v>0</v>
      </c>
      <c r="R439" s="6">
        <v>3.24</v>
      </c>
      <c r="S439" s="6">
        <v>10.8</v>
      </c>
      <c r="T439" s="6">
        <v>109.26</v>
      </c>
    </row>
    <row r="440" spans="2:20" ht="18.75">
      <c r="B440">
        <v>47</v>
      </c>
      <c r="C440" s="5">
        <v>45978</v>
      </c>
      <c r="D440" t="s">
        <v>143</v>
      </c>
      <c r="E440">
        <v>626</v>
      </c>
      <c r="F440" s="6">
        <v>2705.9699999999898</v>
      </c>
      <c r="G440" s="6">
        <v>12.38</v>
      </c>
      <c r="H440" s="6">
        <v>0</v>
      </c>
      <c r="I440" s="6">
        <v>7.4</v>
      </c>
      <c r="J440" s="6">
        <v>2700.9899999999898</v>
      </c>
      <c r="L440">
        <v>16</v>
      </c>
      <c r="M440" s="5">
        <v>46125</v>
      </c>
      <c r="N440" t="s">
        <v>164</v>
      </c>
      <c r="O440">
        <v>2</v>
      </c>
      <c r="P440" s="6">
        <v>7.5</v>
      </c>
      <c r="Q440" s="6">
        <v>0</v>
      </c>
      <c r="R440" s="6">
        <v>0</v>
      </c>
      <c r="S440" s="6">
        <v>0</v>
      </c>
      <c r="T440" s="6">
        <v>7.5</v>
      </c>
    </row>
    <row r="441" spans="2:20" ht="18.75">
      <c r="B441">
        <v>47</v>
      </c>
      <c r="C441" s="5">
        <v>45978</v>
      </c>
      <c r="D441" t="s">
        <v>141</v>
      </c>
      <c r="E441">
        <v>353</v>
      </c>
      <c r="F441" s="6">
        <v>1125.45</v>
      </c>
      <c r="G441" s="6">
        <v>0</v>
      </c>
      <c r="H441" s="6">
        <v>18.45</v>
      </c>
      <c r="I441" s="6">
        <v>0.73</v>
      </c>
      <c r="J441" s="6">
        <v>1126.18</v>
      </c>
      <c r="L441">
        <v>16</v>
      </c>
      <c r="M441" s="5">
        <v>46125</v>
      </c>
      <c r="N441" t="s">
        <v>184</v>
      </c>
      <c r="O441">
        <v>1</v>
      </c>
      <c r="P441" s="6">
        <v>1.75</v>
      </c>
      <c r="Q441" s="6">
        <v>0</v>
      </c>
      <c r="R441" s="6">
        <v>0</v>
      </c>
      <c r="S441" s="6">
        <v>0</v>
      </c>
      <c r="T441" s="6">
        <v>1.75</v>
      </c>
    </row>
    <row r="442" spans="2:20" ht="18.75">
      <c r="B442">
        <v>47</v>
      </c>
      <c r="C442" s="5">
        <v>45978</v>
      </c>
      <c r="D442" t="s">
        <v>124</v>
      </c>
      <c r="E442">
        <v>222</v>
      </c>
      <c r="F442" s="6">
        <v>865.08000000000095</v>
      </c>
      <c r="G442" s="6">
        <v>0</v>
      </c>
      <c r="H442" s="6">
        <v>21.85</v>
      </c>
      <c r="I442" s="6">
        <v>0</v>
      </c>
      <c r="J442" s="6">
        <v>865.08000000000095</v>
      </c>
      <c r="L442">
        <v>16</v>
      </c>
      <c r="M442" s="5">
        <v>46125</v>
      </c>
      <c r="N442" t="s">
        <v>206</v>
      </c>
      <c r="O442">
        <v>58</v>
      </c>
      <c r="P442" s="6">
        <v>174</v>
      </c>
      <c r="Q442" s="6">
        <v>0</v>
      </c>
      <c r="R442" s="6">
        <v>0</v>
      </c>
      <c r="S442" s="6">
        <v>0</v>
      </c>
      <c r="T442" s="6">
        <v>174</v>
      </c>
    </row>
    <row r="443" spans="2:20" ht="18.75">
      <c r="B443">
        <v>47</v>
      </c>
      <c r="C443" s="5">
        <v>45978</v>
      </c>
      <c r="D443" t="s">
        <v>119</v>
      </c>
      <c r="E443">
        <v>151</v>
      </c>
      <c r="F443" s="6">
        <v>603.13000000000102</v>
      </c>
      <c r="G443" s="6">
        <v>6.3</v>
      </c>
      <c r="H443" s="6">
        <v>7.77</v>
      </c>
      <c r="I443" s="6">
        <v>0</v>
      </c>
      <c r="J443" s="6">
        <v>596.83000000000095</v>
      </c>
      <c r="L443">
        <v>15</v>
      </c>
      <c r="M443" s="5">
        <v>46118</v>
      </c>
      <c r="N443" t="s">
        <v>206</v>
      </c>
      <c r="O443">
        <v>73</v>
      </c>
      <c r="P443" s="6">
        <v>390.76</v>
      </c>
      <c r="Q443" s="6">
        <v>0</v>
      </c>
      <c r="R443" s="6">
        <v>56.43</v>
      </c>
      <c r="S443" s="6">
        <v>48.31</v>
      </c>
      <c r="T443" s="6">
        <v>439.07</v>
      </c>
    </row>
    <row r="444" spans="2:20" ht="18.75">
      <c r="B444">
        <v>47</v>
      </c>
      <c r="C444" s="5">
        <v>45978</v>
      </c>
      <c r="D444" t="s">
        <v>117</v>
      </c>
      <c r="E444">
        <v>85</v>
      </c>
      <c r="F444" s="6">
        <v>404.36</v>
      </c>
      <c r="G444" s="6">
        <v>0</v>
      </c>
      <c r="H444" s="6">
        <v>11.44</v>
      </c>
      <c r="I444" s="6">
        <v>0</v>
      </c>
      <c r="J444" s="6">
        <v>404.36</v>
      </c>
      <c r="L444">
        <v>15</v>
      </c>
      <c r="M444" s="5">
        <v>46118</v>
      </c>
      <c r="N444" t="s">
        <v>204</v>
      </c>
      <c r="O444">
        <v>3</v>
      </c>
      <c r="P444" s="6">
        <v>2.85</v>
      </c>
      <c r="Q444" s="6">
        <v>0</v>
      </c>
      <c r="R444" s="6">
        <v>0</v>
      </c>
      <c r="S444" s="6">
        <v>0</v>
      </c>
      <c r="T444" s="6">
        <v>2.85</v>
      </c>
    </row>
    <row r="445" spans="2:20" ht="18.75">
      <c r="B445">
        <v>47</v>
      </c>
      <c r="C445" s="5">
        <v>45978</v>
      </c>
      <c r="D445" t="s">
        <v>146</v>
      </c>
      <c r="E445">
        <v>187</v>
      </c>
      <c r="F445" s="6">
        <v>1021.47</v>
      </c>
      <c r="G445" s="6">
        <v>5.99</v>
      </c>
      <c r="H445" s="6">
        <v>23.88</v>
      </c>
      <c r="I445" s="6">
        <v>0</v>
      </c>
      <c r="J445" s="6">
        <v>1015.48</v>
      </c>
      <c r="L445">
        <v>15</v>
      </c>
      <c r="M445" s="5">
        <v>46118</v>
      </c>
      <c r="N445" t="s">
        <v>158</v>
      </c>
      <c r="O445">
        <v>93</v>
      </c>
      <c r="P445" s="6">
        <v>548.04000000000099</v>
      </c>
      <c r="Q445" s="6">
        <v>0</v>
      </c>
      <c r="R445" s="6">
        <v>14.22</v>
      </c>
      <c r="S445" s="6">
        <v>23.64</v>
      </c>
      <c r="T445" s="6">
        <v>571.68000000000097</v>
      </c>
    </row>
    <row r="446" spans="2:20" ht="18.75">
      <c r="B446">
        <v>47</v>
      </c>
      <c r="C446" s="5">
        <v>45978</v>
      </c>
      <c r="D446" t="s">
        <v>113</v>
      </c>
      <c r="E446">
        <v>104</v>
      </c>
      <c r="F446" s="6">
        <v>361.06</v>
      </c>
      <c r="G446" s="6">
        <v>0</v>
      </c>
      <c r="H446" s="6">
        <v>2.93</v>
      </c>
      <c r="I446" s="6">
        <v>1.26</v>
      </c>
      <c r="J446" s="6">
        <v>362.32</v>
      </c>
      <c r="L446">
        <v>15</v>
      </c>
      <c r="M446" s="5">
        <v>46118</v>
      </c>
      <c r="N446" t="s">
        <v>160</v>
      </c>
      <c r="O446">
        <v>775</v>
      </c>
      <c r="P446" s="6">
        <v>5305.2199999999502</v>
      </c>
      <c r="Q446" s="6">
        <v>0</v>
      </c>
      <c r="R446" s="6">
        <v>152.05000000000001</v>
      </c>
      <c r="S446" s="6">
        <v>187.88</v>
      </c>
      <c r="T446" s="6">
        <v>5493.0999999999503</v>
      </c>
    </row>
    <row r="447" spans="2:20" ht="18.75">
      <c r="B447">
        <v>47</v>
      </c>
      <c r="C447" s="5">
        <v>45978</v>
      </c>
      <c r="D447" t="s">
        <v>121</v>
      </c>
      <c r="E447">
        <v>85</v>
      </c>
      <c r="F447" s="6">
        <v>286.55</v>
      </c>
      <c r="G447" s="6">
        <v>0</v>
      </c>
      <c r="H447" s="6">
        <v>0</v>
      </c>
      <c r="I447" s="6">
        <v>0</v>
      </c>
      <c r="J447" s="6">
        <v>286.55</v>
      </c>
      <c r="L447">
        <v>15</v>
      </c>
      <c r="M447" s="5">
        <v>46118</v>
      </c>
      <c r="N447" t="s">
        <v>169</v>
      </c>
      <c r="O447">
        <v>942</v>
      </c>
      <c r="P447" s="6">
        <v>2352.81</v>
      </c>
      <c r="Q447" s="6">
        <v>0</v>
      </c>
      <c r="R447" s="6">
        <v>25.9</v>
      </c>
      <c r="S447" s="6">
        <v>77.36</v>
      </c>
      <c r="T447" s="6">
        <v>2430.17</v>
      </c>
    </row>
    <row r="448" spans="2:20" ht="18.75">
      <c r="B448">
        <v>47</v>
      </c>
      <c r="C448" s="5">
        <v>45978</v>
      </c>
      <c r="D448" t="s">
        <v>111</v>
      </c>
      <c r="E448">
        <v>69</v>
      </c>
      <c r="F448" s="6">
        <v>291.11</v>
      </c>
      <c r="G448" s="6">
        <v>0</v>
      </c>
      <c r="H448" s="6">
        <v>2.96</v>
      </c>
      <c r="I448" s="6">
        <v>0</v>
      </c>
      <c r="J448" s="6">
        <v>291.11</v>
      </c>
      <c r="L448">
        <v>15</v>
      </c>
      <c r="M448" s="5">
        <v>46118</v>
      </c>
      <c r="N448" t="s">
        <v>168</v>
      </c>
      <c r="O448">
        <v>322</v>
      </c>
      <c r="P448" s="6">
        <v>673.12000000000103</v>
      </c>
      <c r="Q448" s="6">
        <v>0</v>
      </c>
      <c r="R448" s="6">
        <v>0</v>
      </c>
      <c r="S448" s="6">
        <v>86.43</v>
      </c>
      <c r="T448" s="6">
        <v>759.55000000000098</v>
      </c>
    </row>
    <row r="449" spans="2:20" ht="18.75">
      <c r="B449">
        <v>47</v>
      </c>
      <c r="C449" s="5">
        <v>45978</v>
      </c>
      <c r="D449" t="s">
        <v>129</v>
      </c>
      <c r="E449">
        <v>175</v>
      </c>
      <c r="F449" s="6">
        <v>14.9</v>
      </c>
      <c r="G449" s="6">
        <v>0</v>
      </c>
      <c r="H449" s="6">
        <v>0</v>
      </c>
      <c r="I449" s="6">
        <v>690.73</v>
      </c>
      <c r="J449" s="6">
        <v>705.63</v>
      </c>
      <c r="L449">
        <v>15</v>
      </c>
      <c r="M449" s="5">
        <v>46118</v>
      </c>
      <c r="N449" t="s">
        <v>173</v>
      </c>
      <c r="O449">
        <v>220</v>
      </c>
      <c r="P449" s="6">
        <v>1046.47</v>
      </c>
      <c r="Q449" s="6">
        <v>0</v>
      </c>
      <c r="R449" s="6">
        <v>5.45</v>
      </c>
      <c r="S449" s="6">
        <v>66.8</v>
      </c>
      <c r="T449" s="6">
        <v>1113.27</v>
      </c>
    </row>
    <row r="450" spans="2:20" ht="18.75">
      <c r="B450">
        <v>47</v>
      </c>
      <c r="C450" s="5">
        <v>45978</v>
      </c>
      <c r="D450" t="s">
        <v>122</v>
      </c>
      <c r="E450">
        <v>79</v>
      </c>
      <c r="F450" s="6">
        <v>403.67</v>
      </c>
      <c r="G450" s="6">
        <v>0</v>
      </c>
      <c r="H450" s="6">
        <v>4.53</v>
      </c>
      <c r="I450" s="6">
        <v>0</v>
      </c>
      <c r="J450" s="6">
        <v>403.67</v>
      </c>
      <c r="L450">
        <v>15</v>
      </c>
      <c r="M450" s="5">
        <v>46118</v>
      </c>
      <c r="N450" t="s">
        <v>171</v>
      </c>
      <c r="O450">
        <v>3</v>
      </c>
      <c r="P450" s="6">
        <v>23.66</v>
      </c>
      <c r="Q450" s="6">
        <v>0</v>
      </c>
      <c r="R450" s="6">
        <v>0</v>
      </c>
      <c r="S450" s="6">
        <v>0</v>
      </c>
      <c r="T450" s="6">
        <v>23.66</v>
      </c>
    </row>
    <row r="451" spans="2:20" ht="18.75">
      <c r="B451">
        <v>47</v>
      </c>
      <c r="C451" s="5">
        <v>45978</v>
      </c>
      <c r="D451" t="s">
        <v>134</v>
      </c>
      <c r="E451">
        <v>76</v>
      </c>
      <c r="F451" s="6">
        <v>415.8</v>
      </c>
      <c r="G451" s="6">
        <v>0</v>
      </c>
      <c r="H451" s="6">
        <v>3.88</v>
      </c>
      <c r="I451" s="6">
        <v>0</v>
      </c>
      <c r="J451" s="6">
        <v>415.8</v>
      </c>
      <c r="L451">
        <v>15</v>
      </c>
      <c r="M451" s="5">
        <v>46118</v>
      </c>
      <c r="N451" t="s">
        <v>174</v>
      </c>
      <c r="O451">
        <v>144</v>
      </c>
      <c r="P451" s="6">
        <v>843.45000000000095</v>
      </c>
      <c r="Q451" s="6">
        <v>0</v>
      </c>
      <c r="R451" s="6">
        <v>84.02</v>
      </c>
      <c r="S451" s="6">
        <v>104.66</v>
      </c>
      <c r="T451" s="6">
        <v>948.11000000000104</v>
      </c>
    </row>
    <row r="452" spans="2:20" ht="18.75">
      <c r="B452">
        <v>47</v>
      </c>
      <c r="C452" s="5">
        <v>45978</v>
      </c>
      <c r="D452" t="s">
        <v>219</v>
      </c>
      <c r="E452">
        <v>100</v>
      </c>
      <c r="F452" s="6">
        <v>483.99</v>
      </c>
      <c r="G452" s="6">
        <v>9.5</v>
      </c>
      <c r="H452" s="6">
        <v>7.28</v>
      </c>
      <c r="I452" s="6">
        <v>0</v>
      </c>
      <c r="J452" s="6">
        <v>474.49</v>
      </c>
      <c r="L452">
        <v>15</v>
      </c>
      <c r="M452" s="5">
        <v>46118</v>
      </c>
      <c r="N452" t="s">
        <v>165</v>
      </c>
      <c r="O452">
        <v>29</v>
      </c>
      <c r="P452" s="6">
        <v>245.63</v>
      </c>
      <c r="Q452" s="6">
        <v>0</v>
      </c>
      <c r="R452" s="6">
        <v>0</v>
      </c>
      <c r="S452" s="6">
        <v>15.74</v>
      </c>
      <c r="T452" s="6">
        <v>261.37</v>
      </c>
    </row>
    <row r="453" spans="2:20" ht="18.75">
      <c r="B453">
        <v>47</v>
      </c>
      <c r="C453" s="5">
        <v>45978</v>
      </c>
      <c r="D453" t="s">
        <v>133</v>
      </c>
      <c r="E453">
        <v>68</v>
      </c>
      <c r="F453" s="6">
        <v>370.71</v>
      </c>
      <c r="G453" s="6">
        <v>0</v>
      </c>
      <c r="H453" s="6">
        <v>7.44</v>
      </c>
      <c r="I453" s="6">
        <v>0</v>
      </c>
      <c r="J453" s="6">
        <v>370.71</v>
      </c>
      <c r="L453">
        <v>15</v>
      </c>
      <c r="M453" s="5">
        <v>46118</v>
      </c>
      <c r="N453" t="s">
        <v>176</v>
      </c>
      <c r="O453">
        <v>108</v>
      </c>
      <c r="P453" s="6">
        <v>219.2</v>
      </c>
      <c r="Q453" s="6">
        <v>0</v>
      </c>
      <c r="R453" s="6">
        <v>4.5</v>
      </c>
      <c r="S453" s="6">
        <v>20.079999999999998</v>
      </c>
      <c r="T453" s="6">
        <v>239.28</v>
      </c>
    </row>
    <row r="454" spans="2:20" ht="18.75">
      <c r="B454">
        <v>47</v>
      </c>
      <c r="C454" s="5">
        <v>45978</v>
      </c>
      <c r="D454" t="s">
        <v>138</v>
      </c>
      <c r="E454">
        <v>148</v>
      </c>
      <c r="F454" s="6">
        <v>788.24</v>
      </c>
      <c r="G454" s="6">
        <v>0</v>
      </c>
      <c r="H454" s="6">
        <v>1.36</v>
      </c>
      <c r="I454" s="6">
        <v>0</v>
      </c>
      <c r="J454" s="6">
        <v>788.24</v>
      </c>
      <c r="L454">
        <v>15</v>
      </c>
      <c r="M454" s="5">
        <v>46118</v>
      </c>
      <c r="N454" t="s">
        <v>198</v>
      </c>
      <c r="O454">
        <v>38</v>
      </c>
      <c r="P454" s="6">
        <v>242.68</v>
      </c>
      <c r="Q454" s="6">
        <v>0</v>
      </c>
      <c r="R454" s="6">
        <v>62.97</v>
      </c>
      <c r="S454" s="6">
        <v>35.97</v>
      </c>
      <c r="T454" s="6">
        <v>278.64999999999998</v>
      </c>
    </row>
    <row r="455" spans="2:20" ht="18.75">
      <c r="B455">
        <v>47</v>
      </c>
      <c r="C455" s="5">
        <v>45978</v>
      </c>
      <c r="D455" t="s">
        <v>145</v>
      </c>
      <c r="E455">
        <v>91</v>
      </c>
      <c r="F455" s="6">
        <v>503.54</v>
      </c>
      <c r="G455" s="6">
        <v>0</v>
      </c>
      <c r="H455" s="6">
        <v>0.8</v>
      </c>
      <c r="I455" s="6">
        <v>0</v>
      </c>
      <c r="J455" s="6">
        <v>503.54</v>
      </c>
      <c r="L455">
        <v>15</v>
      </c>
      <c r="M455" s="5">
        <v>46118</v>
      </c>
      <c r="N455" t="s">
        <v>163</v>
      </c>
      <c r="O455">
        <v>215</v>
      </c>
      <c r="P455" s="6">
        <v>432.36999999999898</v>
      </c>
      <c r="Q455" s="6">
        <v>0</v>
      </c>
      <c r="R455" s="6">
        <v>0</v>
      </c>
      <c r="S455" s="6">
        <v>25.43</v>
      </c>
      <c r="T455" s="6">
        <v>457.79999999999899</v>
      </c>
    </row>
    <row r="456" spans="2:20" ht="18.75">
      <c r="B456">
        <v>47</v>
      </c>
      <c r="C456" s="5">
        <v>45978</v>
      </c>
      <c r="D456" t="s">
        <v>135</v>
      </c>
      <c r="E456">
        <v>21</v>
      </c>
      <c r="F456" s="6">
        <v>72.53</v>
      </c>
      <c r="G456" s="6">
        <v>0</v>
      </c>
      <c r="H456" s="6">
        <v>0</v>
      </c>
      <c r="I456" s="6">
        <v>17.28</v>
      </c>
      <c r="J456" s="6">
        <v>89.81</v>
      </c>
      <c r="L456">
        <v>15</v>
      </c>
      <c r="M456" s="5">
        <v>46118</v>
      </c>
      <c r="N456" t="s">
        <v>170</v>
      </c>
      <c r="O456">
        <v>37</v>
      </c>
      <c r="P456" s="6">
        <v>128.69999999999999</v>
      </c>
      <c r="Q456" s="6">
        <v>0</v>
      </c>
      <c r="R456" s="6">
        <v>0</v>
      </c>
      <c r="S456" s="6">
        <v>4.5</v>
      </c>
      <c r="T456" s="6">
        <v>133.19999999999999</v>
      </c>
    </row>
    <row r="457" spans="2:20" ht="18.75">
      <c r="B457">
        <v>47</v>
      </c>
      <c r="C457" s="5">
        <v>45978</v>
      </c>
      <c r="D457" t="s">
        <v>136</v>
      </c>
      <c r="E457">
        <v>29</v>
      </c>
      <c r="F457" s="6">
        <v>70.28</v>
      </c>
      <c r="G457" s="6">
        <v>0</v>
      </c>
      <c r="H457" s="6">
        <v>3.83</v>
      </c>
      <c r="I457" s="6">
        <v>30.24</v>
      </c>
      <c r="J457" s="6">
        <v>100.52</v>
      </c>
      <c r="L457">
        <v>15</v>
      </c>
      <c r="M457" s="5">
        <v>46118</v>
      </c>
      <c r="N457" t="s">
        <v>172</v>
      </c>
      <c r="O457">
        <v>16</v>
      </c>
      <c r="P457" s="6">
        <v>44.18</v>
      </c>
      <c r="Q457" s="6">
        <v>0</v>
      </c>
      <c r="R457" s="6">
        <v>0</v>
      </c>
      <c r="S457" s="6">
        <v>9.42</v>
      </c>
      <c r="T457" s="6">
        <v>53.6</v>
      </c>
    </row>
    <row r="458" spans="2:20" ht="18.75">
      <c r="B458">
        <v>47</v>
      </c>
      <c r="C458" s="5">
        <v>45978</v>
      </c>
      <c r="D458" t="s">
        <v>114</v>
      </c>
      <c r="E458">
        <v>68</v>
      </c>
      <c r="F458" s="6">
        <v>271.24</v>
      </c>
      <c r="G458" s="6">
        <v>0</v>
      </c>
      <c r="H458" s="6">
        <v>5.52</v>
      </c>
      <c r="I458" s="6">
        <v>95.8</v>
      </c>
      <c r="J458" s="6">
        <v>367.04</v>
      </c>
      <c r="L458">
        <v>15</v>
      </c>
      <c r="M458" s="5">
        <v>46118</v>
      </c>
      <c r="N458" t="s">
        <v>184</v>
      </c>
      <c r="O458">
        <v>1</v>
      </c>
      <c r="P458" s="6">
        <v>1.75</v>
      </c>
      <c r="Q458" s="6">
        <v>0</v>
      </c>
      <c r="R458" s="6">
        <v>0</v>
      </c>
      <c r="S458" s="6">
        <v>0</v>
      </c>
      <c r="T458" s="6">
        <v>1.75</v>
      </c>
    </row>
    <row r="459" spans="2:20" ht="18.75">
      <c r="B459">
        <v>47</v>
      </c>
      <c r="C459" s="5">
        <v>45978</v>
      </c>
      <c r="D459" t="s">
        <v>128</v>
      </c>
      <c r="E459">
        <v>51</v>
      </c>
      <c r="F459" s="6">
        <v>278.45</v>
      </c>
      <c r="G459" s="6">
        <v>0</v>
      </c>
      <c r="H459" s="6">
        <v>0</v>
      </c>
      <c r="I459" s="6">
        <v>0</v>
      </c>
      <c r="J459" s="6">
        <v>278.45</v>
      </c>
      <c r="L459">
        <v>17</v>
      </c>
      <c r="M459" s="5">
        <v>46132</v>
      </c>
      <c r="N459" t="s">
        <v>160</v>
      </c>
      <c r="O459">
        <v>1011</v>
      </c>
      <c r="P459" s="6">
        <v>6729.6199999999099</v>
      </c>
      <c r="Q459" s="6">
        <v>10.57</v>
      </c>
      <c r="R459" s="6">
        <v>163.30000000000001</v>
      </c>
      <c r="S459" s="6">
        <v>227.12</v>
      </c>
      <c r="T459" s="6">
        <v>6946.16999999991</v>
      </c>
    </row>
    <row r="460" spans="2:20" ht="18.75">
      <c r="B460">
        <v>47</v>
      </c>
      <c r="C460" s="5">
        <v>45978</v>
      </c>
      <c r="D460" t="s">
        <v>123</v>
      </c>
      <c r="E460">
        <v>197</v>
      </c>
      <c r="F460" s="6">
        <v>846.50000000000102</v>
      </c>
      <c r="G460" s="6">
        <v>9.9</v>
      </c>
      <c r="H460" s="6">
        <v>8.58</v>
      </c>
      <c r="I460" s="6">
        <v>2.48</v>
      </c>
      <c r="J460" s="6">
        <v>839.08000000000095</v>
      </c>
      <c r="L460">
        <v>17</v>
      </c>
      <c r="M460" s="5">
        <v>46132</v>
      </c>
      <c r="N460" t="s">
        <v>169</v>
      </c>
      <c r="O460">
        <v>1229</v>
      </c>
      <c r="P460" s="6">
        <v>3024.8000000000102</v>
      </c>
      <c r="Q460" s="6">
        <v>0</v>
      </c>
      <c r="R460" s="6">
        <v>26.86</v>
      </c>
      <c r="S460" s="6">
        <v>111.09</v>
      </c>
      <c r="T460" s="6">
        <v>3135.8900000000099</v>
      </c>
    </row>
    <row r="461" spans="2:20" ht="18.75">
      <c r="B461">
        <v>47</v>
      </c>
      <c r="C461" s="5">
        <v>45978</v>
      </c>
      <c r="D461" t="s">
        <v>149</v>
      </c>
      <c r="E461">
        <v>70</v>
      </c>
      <c r="F461" s="6">
        <v>252.6</v>
      </c>
      <c r="G461" s="6">
        <v>0</v>
      </c>
      <c r="H461" s="6">
        <v>2.2000000000000002</v>
      </c>
      <c r="I461" s="6">
        <v>0</v>
      </c>
      <c r="J461" s="6">
        <v>252.6</v>
      </c>
      <c r="L461">
        <v>17</v>
      </c>
      <c r="M461" s="5">
        <v>46132</v>
      </c>
      <c r="N461" t="s">
        <v>174</v>
      </c>
      <c r="O461">
        <v>275</v>
      </c>
      <c r="P461" s="6">
        <v>1799.73</v>
      </c>
      <c r="Q461" s="6">
        <v>0</v>
      </c>
      <c r="R461" s="6">
        <v>264.35000000000002</v>
      </c>
      <c r="S461" s="6">
        <v>200.57</v>
      </c>
      <c r="T461" s="6">
        <v>2000.3</v>
      </c>
    </row>
    <row r="462" spans="2:20" ht="18.75">
      <c r="B462">
        <v>47</v>
      </c>
      <c r="C462" s="5">
        <v>45978</v>
      </c>
      <c r="D462" t="s">
        <v>126</v>
      </c>
      <c r="E462">
        <v>46</v>
      </c>
      <c r="F462" s="6">
        <v>185.97</v>
      </c>
      <c r="G462" s="6">
        <v>0</v>
      </c>
      <c r="H462" s="6">
        <v>0.56000000000000005</v>
      </c>
      <c r="I462" s="6">
        <v>0</v>
      </c>
      <c r="J462" s="6">
        <v>185.97</v>
      </c>
      <c r="L462">
        <v>17</v>
      </c>
      <c r="M462" s="5">
        <v>46132</v>
      </c>
      <c r="N462" t="s">
        <v>158</v>
      </c>
      <c r="O462">
        <v>180</v>
      </c>
      <c r="P462" s="6">
        <v>1060.52</v>
      </c>
      <c r="Q462" s="6">
        <v>0</v>
      </c>
      <c r="R462" s="6">
        <v>28.1</v>
      </c>
      <c r="S462" s="6">
        <v>45.38</v>
      </c>
      <c r="T462" s="6">
        <v>1105.9000000000001</v>
      </c>
    </row>
    <row r="463" spans="2:20" ht="18.75">
      <c r="B463">
        <v>47</v>
      </c>
      <c r="C463" s="5">
        <v>45978</v>
      </c>
      <c r="D463" t="s">
        <v>127</v>
      </c>
      <c r="E463">
        <v>77</v>
      </c>
      <c r="F463" s="6">
        <v>414.83</v>
      </c>
      <c r="G463" s="6">
        <v>0</v>
      </c>
      <c r="H463" s="6">
        <v>2.4900000000000002</v>
      </c>
      <c r="I463" s="6">
        <v>0</v>
      </c>
      <c r="J463" s="6">
        <v>414.83</v>
      </c>
      <c r="L463">
        <v>17</v>
      </c>
      <c r="M463" s="5">
        <v>46132</v>
      </c>
      <c r="N463" t="s">
        <v>198</v>
      </c>
      <c r="O463">
        <v>56</v>
      </c>
      <c r="P463" s="6">
        <v>446.94</v>
      </c>
      <c r="Q463" s="6">
        <v>0</v>
      </c>
      <c r="R463" s="6">
        <v>11.4</v>
      </c>
      <c r="S463" s="6">
        <v>73.66</v>
      </c>
      <c r="T463" s="6">
        <v>520.6</v>
      </c>
    </row>
    <row r="464" spans="2:20" ht="18.75">
      <c r="B464">
        <v>47</v>
      </c>
      <c r="C464" s="5">
        <v>45978</v>
      </c>
      <c r="D464" t="s">
        <v>142</v>
      </c>
      <c r="E464">
        <v>55</v>
      </c>
      <c r="F464" s="6">
        <v>278</v>
      </c>
      <c r="G464" s="6">
        <v>0</v>
      </c>
      <c r="H464" s="6">
        <v>14.75</v>
      </c>
      <c r="I464" s="6">
        <v>2.48</v>
      </c>
      <c r="J464" s="6">
        <v>280.48</v>
      </c>
      <c r="L464">
        <v>17</v>
      </c>
      <c r="M464" s="5">
        <v>46132</v>
      </c>
      <c r="N464" t="s">
        <v>173</v>
      </c>
      <c r="O464">
        <v>290</v>
      </c>
      <c r="P464" s="6">
        <v>1385.78000000001</v>
      </c>
      <c r="Q464" s="6">
        <v>0</v>
      </c>
      <c r="R464" s="6">
        <v>0</v>
      </c>
      <c r="S464" s="6">
        <v>92.42</v>
      </c>
      <c r="T464" s="6">
        <v>1478.20000000001</v>
      </c>
    </row>
    <row r="465" spans="2:20" ht="18.75">
      <c r="B465">
        <v>47</v>
      </c>
      <c r="C465" s="5">
        <v>45978</v>
      </c>
      <c r="D465" t="s">
        <v>120</v>
      </c>
      <c r="E465">
        <v>33</v>
      </c>
      <c r="F465" s="6">
        <v>157.22</v>
      </c>
      <c r="G465" s="6">
        <v>0</v>
      </c>
      <c r="H465" s="6">
        <v>0</v>
      </c>
      <c r="I465" s="6">
        <v>4.88</v>
      </c>
      <c r="J465" s="6">
        <v>162.1</v>
      </c>
      <c r="L465">
        <v>17</v>
      </c>
      <c r="M465" s="5">
        <v>46132</v>
      </c>
      <c r="N465" t="s">
        <v>168</v>
      </c>
      <c r="O465">
        <v>402</v>
      </c>
      <c r="P465" s="6">
        <v>867.23000000000104</v>
      </c>
      <c r="Q465" s="6">
        <v>0</v>
      </c>
      <c r="R465" s="6">
        <v>0</v>
      </c>
      <c r="S465" s="6">
        <v>85.5</v>
      </c>
      <c r="T465" s="6">
        <v>952.73000000000104</v>
      </c>
    </row>
    <row r="466" spans="2:20" ht="18.75">
      <c r="B466">
        <v>47</v>
      </c>
      <c r="C466" s="5">
        <v>45978</v>
      </c>
      <c r="D466" t="s">
        <v>132</v>
      </c>
      <c r="E466">
        <v>91</v>
      </c>
      <c r="F466" s="6">
        <v>351.71</v>
      </c>
      <c r="G466" s="6">
        <v>0</v>
      </c>
      <c r="H466" s="6">
        <v>5.45</v>
      </c>
      <c r="I466" s="6">
        <v>2.46</v>
      </c>
      <c r="J466" s="6">
        <v>354.17</v>
      </c>
      <c r="L466">
        <v>17</v>
      </c>
      <c r="M466" s="5">
        <v>46132</v>
      </c>
      <c r="N466" t="s">
        <v>163</v>
      </c>
      <c r="O466">
        <v>258</v>
      </c>
      <c r="P466" s="6">
        <v>515.719999999999</v>
      </c>
      <c r="Q466" s="6">
        <v>2.2000000000000002</v>
      </c>
      <c r="R466" s="6">
        <v>0</v>
      </c>
      <c r="S466" s="6">
        <v>34.380000000000003</v>
      </c>
      <c r="T466" s="6">
        <v>547.89999999999895</v>
      </c>
    </row>
    <row r="467" spans="2:20" ht="18.75">
      <c r="B467">
        <v>47</v>
      </c>
      <c r="C467" s="5">
        <v>45978</v>
      </c>
      <c r="D467" t="s">
        <v>150</v>
      </c>
      <c r="E467">
        <v>17</v>
      </c>
      <c r="F467" s="6">
        <v>95.81</v>
      </c>
      <c r="G467" s="6">
        <v>0</v>
      </c>
      <c r="H467" s="6">
        <v>0.72</v>
      </c>
      <c r="I467" s="6">
        <v>0</v>
      </c>
      <c r="J467" s="6">
        <v>95.81</v>
      </c>
      <c r="L467">
        <v>17</v>
      </c>
      <c r="M467" s="5">
        <v>46132</v>
      </c>
      <c r="N467" t="s">
        <v>176</v>
      </c>
      <c r="O467">
        <v>129</v>
      </c>
      <c r="P467" s="6">
        <v>278.23</v>
      </c>
      <c r="Q467" s="6">
        <v>0</v>
      </c>
      <c r="R467" s="6">
        <v>0</v>
      </c>
      <c r="S467" s="6">
        <v>15.18</v>
      </c>
      <c r="T467" s="6">
        <v>293.41000000000003</v>
      </c>
    </row>
    <row r="468" spans="2:20" ht="18.75">
      <c r="B468">
        <v>47</v>
      </c>
      <c r="C468" s="5">
        <v>45978</v>
      </c>
      <c r="D468" t="s">
        <v>125</v>
      </c>
      <c r="E468">
        <v>20</v>
      </c>
      <c r="F468" s="6">
        <v>86.34</v>
      </c>
      <c r="G468" s="6">
        <v>0</v>
      </c>
      <c r="H468" s="6">
        <v>2.0699999999999998</v>
      </c>
      <c r="I468" s="6">
        <v>0</v>
      </c>
      <c r="J468" s="6">
        <v>86.34</v>
      </c>
      <c r="L468">
        <v>17</v>
      </c>
      <c r="M468" s="5">
        <v>46132</v>
      </c>
      <c r="N468" t="s">
        <v>170</v>
      </c>
      <c r="O468">
        <v>24</v>
      </c>
      <c r="P468" s="6">
        <v>77.760000000000005</v>
      </c>
      <c r="Q468" s="6">
        <v>0</v>
      </c>
      <c r="R468" s="6">
        <v>0</v>
      </c>
      <c r="S468" s="6">
        <v>8.64</v>
      </c>
      <c r="T468" s="6">
        <v>86.4</v>
      </c>
    </row>
    <row r="469" spans="2:20" ht="18.75">
      <c r="B469">
        <v>47</v>
      </c>
      <c r="C469" s="5">
        <v>45978</v>
      </c>
      <c r="D469" t="s">
        <v>137</v>
      </c>
      <c r="E469">
        <v>26</v>
      </c>
      <c r="F469" s="6">
        <v>81.62</v>
      </c>
      <c r="G469" s="6">
        <v>0</v>
      </c>
      <c r="H469" s="6">
        <v>7.98</v>
      </c>
      <c r="I469" s="6">
        <v>46.56</v>
      </c>
      <c r="J469" s="6">
        <v>128.18</v>
      </c>
      <c r="L469">
        <v>17</v>
      </c>
      <c r="M469" s="5">
        <v>46132</v>
      </c>
      <c r="N469" t="s">
        <v>165</v>
      </c>
      <c r="O469">
        <v>27</v>
      </c>
      <c r="P469" s="6">
        <v>214.23</v>
      </c>
      <c r="Q469" s="6">
        <v>0</v>
      </c>
      <c r="R469" s="6">
        <v>0</v>
      </c>
      <c r="S469" s="6">
        <v>29.04</v>
      </c>
      <c r="T469" s="6">
        <v>243.27</v>
      </c>
    </row>
    <row r="470" spans="2:20" ht="18.75">
      <c r="B470">
        <v>47</v>
      </c>
      <c r="C470" s="5">
        <v>45978</v>
      </c>
      <c r="D470" t="s">
        <v>140</v>
      </c>
      <c r="E470">
        <v>35</v>
      </c>
      <c r="F470" s="6">
        <v>108.7</v>
      </c>
      <c r="G470" s="6">
        <v>0</v>
      </c>
      <c r="H470" s="6">
        <v>1.22</v>
      </c>
      <c r="I470" s="6">
        <v>0</v>
      </c>
      <c r="J470" s="6">
        <v>108.7</v>
      </c>
      <c r="L470">
        <v>17</v>
      </c>
      <c r="M470" s="5">
        <v>46132</v>
      </c>
      <c r="N470" t="s">
        <v>172</v>
      </c>
      <c r="O470">
        <v>9</v>
      </c>
      <c r="P470" s="6">
        <v>23.45</v>
      </c>
      <c r="Q470" s="6">
        <v>0</v>
      </c>
      <c r="R470" s="6">
        <v>0</v>
      </c>
      <c r="S470" s="6">
        <v>6.7</v>
      </c>
      <c r="T470" s="6">
        <v>30.15</v>
      </c>
    </row>
    <row r="471" spans="2:20" ht="18.75">
      <c r="B471">
        <v>47</v>
      </c>
      <c r="C471" s="5">
        <v>45978</v>
      </c>
      <c r="D471" t="s">
        <v>116</v>
      </c>
      <c r="E471">
        <v>32</v>
      </c>
      <c r="F471" s="6">
        <v>107.86</v>
      </c>
      <c r="G471" s="6">
        <v>0</v>
      </c>
      <c r="H471" s="6">
        <v>2.5</v>
      </c>
      <c r="I471" s="6">
        <v>0</v>
      </c>
      <c r="J471" s="6">
        <v>107.86</v>
      </c>
      <c r="L471">
        <v>17</v>
      </c>
      <c r="M471" s="5">
        <v>46132</v>
      </c>
      <c r="N471" t="s">
        <v>207</v>
      </c>
      <c r="O471">
        <v>23</v>
      </c>
      <c r="P471" s="6">
        <v>281.85000000000002</v>
      </c>
      <c r="Q471" s="6">
        <v>0</v>
      </c>
      <c r="R471" s="6">
        <v>8.39</v>
      </c>
      <c r="S471" s="6">
        <v>6.46</v>
      </c>
      <c r="T471" s="6">
        <v>288.31</v>
      </c>
    </row>
    <row r="472" spans="2:20" ht="18.75">
      <c r="B472">
        <v>47</v>
      </c>
      <c r="C472" s="5">
        <v>45978</v>
      </c>
      <c r="D472" t="s">
        <v>112</v>
      </c>
      <c r="E472">
        <v>6</v>
      </c>
      <c r="F472" s="6">
        <v>38.83</v>
      </c>
      <c r="G472" s="6">
        <v>0</v>
      </c>
      <c r="H472" s="6">
        <v>0</v>
      </c>
      <c r="I472" s="6">
        <v>0</v>
      </c>
      <c r="J472" s="6">
        <v>38.83</v>
      </c>
      <c r="L472">
        <v>17</v>
      </c>
      <c r="M472" s="5">
        <v>46132</v>
      </c>
      <c r="N472" t="s">
        <v>171</v>
      </c>
      <c r="O472">
        <v>5</v>
      </c>
      <c r="P472" s="6">
        <v>35.270000000000003</v>
      </c>
      <c r="Q472" s="6">
        <v>0</v>
      </c>
      <c r="R472" s="6">
        <v>0</v>
      </c>
      <c r="S472" s="6">
        <v>0</v>
      </c>
      <c r="T472" s="6">
        <v>35.270000000000003</v>
      </c>
    </row>
    <row r="473" spans="2:20" ht="18.75">
      <c r="B473">
        <v>48</v>
      </c>
      <c r="C473" s="5">
        <v>45985</v>
      </c>
      <c r="D473" t="s">
        <v>139</v>
      </c>
      <c r="E473">
        <v>96</v>
      </c>
      <c r="F473" s="6">
        <v>405.72</v>
      </c>
      <c r="G473" s="6">
        <v>0</v>
      </c>
      <c r="H473" s="6">
        <v>7.3</v>
      </c>
      <c r="I473" s="6">
        <v>0</v>
      </c>
      <c r="J473" s="6">
        <v>405.72</v>
      </c>
      <c r="L473">
        <v>17</v>
      </c>
      <c r="M473" s="5">
        <v>46132</v>
      </c>
      <c r="N473" t="s">
        <v>206</v>
      </c>
      <c r="O473">
        <v>74</v>
      </c>
      <c r="P473" s="6">
        <v>222</v>
      </c>
      <c r="Q473" s="6">
        <v>0</v>
      </c>
      <c r="R473" s="6">
        <v>0</v>
      </c>
      <c r="S473" s="6">
        <v>0</v>
      </c>
      <c r="T473" s="6">
        <v>222</v>
      </c>
    </row>
    <row r="474" spans="2:20" ht="18.75">
      <c r="B474">
        <v>48</v>
      </c>
      <c r="C474" s="5">
        <v>45985</v>
      </c>
      <c r="D474" t="s">
        <v>124</v>
      </c>
      <c r="E474">
        <v>198</v>
      </c>
      <c r="F474" s="6">
        <v>766.21</v>
      </c>
      <c r="G474" s="6">
        <v>1.5</v>
      </c>
      <c r="H474" s="6">
        <v>11.87</v>
      </c>
      <c r="I474" s="6">
        <v>0</v>
      </c>
      <c r="J474" s="6">
        <v>764.71</v>
      </c>
      <c r="L474">
        <v>18</v>
      </c>
      <c r="M474" s="5">
        <v>46139</v>
      </c>
      <c r="N474" t="s">
        <v>206</v>
      </c>
      <c r="O474">
        <v>87</v>
      </c>
      <c r="P474" s="6">
        <v>261</v>
      </c>
      <c r="Q474" s="6">
        <v>0</v>
      </c>
      <c r="R474" s="6">
        <v>0</v>
      </c>
      <c r="S474" s="6">
        <v>0</v>
      </c>
      <c r="T474" s="6">
        <v>261</v>
      </c>
    </row>
    <row r="475" spans="2:20" ht="18.75">
      <c r="B475">
        <v>48</v>
      </c>
      <c r="C475" s="5">
        <v>45985</v>
      </c>
      <c r="D475" t="s">
        <v>143</v>
      </c>
      <c r="E475">
        <v>641</v>
      </c>
      <c r="F475" s="6">
        <v>2886.99</v>
      </c>
      <c r="G475" s="6">
        <v>9.9</v>
      </c>
      <c r="H475" s="6">
        <v>1.25</v>
      </c>
      <c r="I475" s="6">
        <v>0</v>
      </c>
      <c r="J475" s="6">
        <v>2877.09</v>
      </c>
      <c r="L475">
        <v>18</v>
      </c>
      <c r="M475" s="5">
        <v>46139</v>
      </c>
      <c r="N475" t="s">
        <v>169</v>
      </c>
      <c r="O475">
        <v>939</v>
      </c>
      <c r="P475" s="6">
        <v>2274.6899999999901</v>
      </c>
      <c r="Q475" s="6">
        <v>6.8</v>
      </c>
      <c r="R475" s="6">
        <v>4.1500000000000004</v>
      </c>
      <c r="S475" s="6">
        <v>109.71</v>
      </c>
      <c r="T475" s="6">
        <v>2377.5999999999899</v>
      </c>
    </row>
    <row r="476" spans="2:20" ht="18.75">
      <c r="B476">
        <v>48</v>
      </c>
      <c r="C476" s="5">
        <v>45985</v>
      </c>
      <c r="D476" t="s">
        <v>121</v>
      </c>
      <c r="E476">
        <v>47</v>
      </c>
      <c r="F476" s="6">
        <v>140.66</v>
      </c>
      <c r="G476" s="6">
        <v>0</v>
      </c>
      <c r="H476" s="6">
        <v>11.62</v>
      </c>
      <c r="I476" s="6">
        <v>0</v>
      </c>
      <c r="J476" s="6">
        <v>140.66</v>
      </c>
      <c r="L476">
        <v>18</v>
      </c>
      <c r="M476" s="5">
        <v>46139</v>
      </c>
      <c r="N476" t="s">
        <v>173</v>
      </c>
      <c r="O476">
        <v>210</v>
      </c>
      <c r="P476" s="6">
        <v>979.41000000000304</v>
      </c>
      <c r="Q476" s="6">
        <v>0</v>
      </c>
      <c r="R476" s="6">
        <v>0</v>
      </c>
      <c r="S476" s="6">
        <v>62.33</v>
      </c>
      <c r="T476" s="6">
        <v>1041.74</v>
      </c>
    </row>
    <row r="477" spans="2:20" ht="18.75">
      <c r="B477">
        <v>48</v>
      </c>
      <c r="C477" s="5">
        <v>45985</v>
      </c>
      <c r="D477" t="s">
        <v>123</v>
      </c>
      <c r="E477">
        <v>161</v>
      </c>
      <c r="F477" s="6">
        <v>696.29</v>
      </c>
      <c r="G477" s="6">
        <v>0</v>
      </c>
      <c r="H477" s="6">
        <v>17.21</v>
      </c>
      <c r="I477" s="6">
        <v>0</v>
      </c>
      <c r="J477" s="6">
        <v>696.29</v>
      </c>
      <c r="L477">
        <v>18</v>
      </c>
      <c r="M477" s="5">
        <v>46139</v>
      </c>
      <c r="N477" t="s">
        <v>171</v>
      </c>
      <c r="O477">
        <v>160</v>
      </c>
      <c r="P477" s="6">
        <v>1001.9</v>
      </c>
      <c r="Q477" s="6">
        <v>0</v>
      </c>
      <c r="R477" s="6">
        <v>0</v>
      </c>
      <c r="S477" s="6">
        <v>129.36000000000001</v>
      </c>
      <c r="T477" s="6">
        <v>1131.26</v>
      </c>
    </row>
    <row r="478" spans="2:20" ht="18.75">
      <c r="B478">
        <v>48</v>
      </c>
      <c r="C478" s="5">
        <v>45985</v>
      </c>
      <c r="D478" t="s">
        <v>136</v>
      </c>
      <c r="E478">
        <v>34</v>
      </c>
      <c r="F478" s="6">
        <v>107.48</v>
      </c>
      <c r="G478" s="6">
        <v>0</v>
      </c>
      <c r="H478" s="6">
        <v>0</v>
      </c>
      <c r="I478" s="6">
        <v>24.86</v>
      </c>
      <c r="J478" s="6">
        <v>132.34</v>
      </c>
      <c r="L478">
        <v>18</v>
      </c>
      <c r="M478" s="5">
        <v>46139</v>
      </c>
      <c r="N478" t="s">
        <v>209</v>
      </c>
      <c r="O478">
        <v>76</v>
      </c>
      <c r="P478" s="6">
        <v>147.84</v>
      </c>
      <c r="Q478" s="6">
        <v>0</v>
      </c>
      <c r="R478" s="6">
        <v>0</v>
      </c>
      <c r="S478" s="6">
        <v>19.36</v>
      </c>
      <c r="T478" s="6">
        <v>167.2</v>
      </c>
    </row>
    <row r="479" spans="2:20" ht="18.75">
      <c r="B479">
        <v>48</v>
      </c>
      <c r="C479" s="5">
        <v>45985</v>
      </c>
      <c r="D479" t="s">
        <v>119</v>
      </c>
      <c r="E479">
        <v>154</v>
      </c>
      <c r="F479" s="6">
        <v>588.45000000000095</v>
      </c>
      <c r="G479" s="6">
        <v>0</v>
      </c>
      <c r="H479" s="6">
        <v>16.28</v>
      </c>
      <c r="I479" s="6">
        <v>0</v>
      </c>
      <c r="J479" s="6">
        <v>588.45000000000095</v>
      </c>
      <c r="L479">
        <v>18</v>
      </c>
      <c r="M479" s="5">
        <v>46139</v>
      </c>
      <c r="N479" t="s">
        <v>176</v>
      </c>
      <c r="O479">
        <v>104</v>
      </c>
      <c r="P479" s="6">
        <v>226.19</v>
      </c>
      <c r="Q479" s="6">
        <v>0</v>
      </c>
      <c r="R479" s="6">
        <v>0</v>
      </c>
      <c r="S479" s="6">
        <v>10.37</v>
      </c>
      <c r="T479" s="6">
        <v>236.56</v>
      </c>
    </row>
    <row r="480" spans="2:20" ht="18.75">
      <c r="B480">
        <v>48</v>
      </c>
      <c r="C480" s="5">
        <v>45985</v>
      </c>
      <c r="D480" t="s">
        <v>149</v>
      </c>
      <c r="E480">
        <v>61</v>
      </c>
      <c r="F480" s="6">
        <v>217.62</v>
      </c>
      <c r="G480" s="6">
        <v>0</v>
      </c>
      <c r="H480" s="6">
        <v>1.6</v>
      </c>
      <c r="I480" s="6">
        <v>0</v>
      </c>
      <c r="J480" s="6">
        <v>217.62</v>
      </c>
      <c r="L480">
        <v>18</v>
      </c>
      <c r="M480" s="5">
        <v>46139</v>
      </c>
      <c r="N480" t="s">
        <v>158</v>
      </c>
      <c r="O480">
        <v>123</v>
      </c>
      <c r="P480" s="6">
        <v>745.87999999999897</v>
      </c>
      <c r="Q480" s="6">
        <v>0</v>
      </c>
      <c r="R480" s="6">
        <v>5.7</v>
      </c>
      <c r="S480" s="6">
        <v>23.32</v>
      </c>
      <c r="T480" s="6">
        <v>769.19999999999902</v>
      </c>
    </row>
    <row r="481" spans="2:20" ht="18.75">
      <c r="B481">
        <v>48</v>
      </c>
      <c r="C481" s="5">
        <v>45985</v>
      </c>
      <c r="D481" t="s">
        <v>141</v>
      </c>
      <c r="E481">
        <v>293</v>
      </c>
      <c r="F481" s="6">
        <v>987.270000000001</v>
      </c>
      <c r="G481" s="6">
        <v>0</v>
      </c>
      <c r="H481" s="6">
        <v>22.56</v>
      </c>
      <c r="I481" s="6">
        <v>0</v>
      </c>
      <c r="J481" s="6">
        <v>987.270000000001</v>
      </c>
      <c r="L481">
        <v>18</v>
      </c>
      <c r="M481" s="5">
        <v>46139</v>
      </c>
      <c r="N481" t="s">
        <v>160</v>
      </c>
      <c r="O481">
        <v>818</v>
      </c>
      <c r="P481" s="6">
        <v>5651.95999999993</v>
      </c>
      <c r="Q481" s="6">
        <v>0</v>
      </c>
      <c r="R481" s="6">
        <v>50.75</v>
      </c>
      <c r="S481" s="6">
        <v>230.68</v>
      </c>
      <c r="T481" s="6">
        <v>5882.6399999999303</v>
      </c>
    </row>
    <row r="482" spans="2:20" ht="18.75">
      <c r="B482">
        <v>48</v>
      </c>
      <c r="C482" s="5">
        <v>45985</v>
      </c>
      <c r="D482" t="s">
        <v>146</v>
      </c>
      <c r="E482">
        <v>161</v>
      </c>
      <c r="F482" s="6">
        <v>927.35000000000105</v>
      </c>
      <c r="G482" s="6">
        <v>17.98</v>
      </c>
      <c r="H482" s="6">
        <v>2.97</v>
      </c>
      <c r="I482" s="6">
        <v>0</v>
      </c>
      <c r="J482" s="6">
        <v>909.37000000000103</v>
      </c>
      <c r="L482">
        <v>18</v>
      </c>
      <c r="M482" s="5">
        <v>46139</v>
      </c>
      <c r="N482" t="s">
        <v>204</v>
      </c>
      <c r="O482">
        <v>78</v>
      </c>
      <c r="P482" s="6">
        <v>156.93</v>
      </c>
      <c r="Q482" s="6">
        <v>0</v>
      </c>
      <c r="R482" s="6">
        <v>0</v>
      </c>
      <c r="S482" s="6">
        <v>10.119999999999999</v>
      </c>
      <c r="T482" s="6">
        <v>167.05</v>
      </c>
    </row>
    <row r="483" spans="2:20" ht="18.75">
      <c r="B483">
        <v>48</v>
      </c>
      <c r="C483" s="5">
        <v>45985</v>
      </c>
      <c r="D483" t="s">
        <v>117</v>
      </c>
      <c r="E483">
        <v>53</v>
      </c>
      <c r="F483" s="6">
        <v>220.5</v>
      </c>
      <c r="G483" s="6">
        <v>0</v>
      </c>
      <c r="H483" s="6">
        <v>7</v>
      </c>
      <c r="I483" s="6">
        <v>0</v>
      </c>
      <c r="J483" s="6">
        <v>220.5</v>
      </c>
      <c r="L483">
        <v>18</v>
      </c>
      <c r="M483" s="5">
        <v>46139</v>
      </c>
      <c r="N483" t="s">
        <v>163</v>
      </c>
      <c r="O483">
        <v>232</v>
      </c>
      <c r="P483" s="6">
        <v>471.219999999999</v>
      </c>
      <c r="Q483" s="6">
        <v>0</v>
      </c>
      <c r="R483" s="6">
        <v>0</v>
      </c>
      <c r="S483" s="6">
        <v>24.38</v>
      </c>
      <c r="T483" s="6">
        <v>495.599999999999</v>
      </c>
    </row>
    <row r="484" spans="2:20" ht="18.75">
      <c r="B484">
        <v>48</v>
      </c>
      <c r="C484" s="5">
        <v>45985</v>
      </c>
      <c r="D484" t="s">
        <v>138</v>
      </c>
      <c r="E484">
        <v>133</v>
      </c>
      <c r="F484" s="6">
        <v>705.04000000000099</v>
      </c>
      <c r="G484" s="6">
        <v>0</v>
      </c>
      <c r="H484" s="6">
        <v>27.96</v>
      </c>
      <c r="I484" s="6">
        <v>0</v>
      </c>
      <c r="J484" s="6">
        <v>705.04000000000099</v>
      </c>
      <c r="L484">
        <v>18</v>
      </c>
      <c r="M484" s="5">
        <v>46139</v>
      </c>
      <c r="N484" t="s">
        <v>170</v>
      </c>
      <c r="O484">
        <v>26</v>
      </c>
      <c r="P484" s="6">
        <v>86.4</v>
      </c>
      <c r="Q484" s="6">
        <v>0</v>
      </c>
      <c r="R484" s="6">
        <v>0</v>
      </c>
      <c r="S484" s="6">
        <v>7.2</v>
      </c>
      <c r="T484" s="6">
        <v>93.6</v>
      </c>
    </row>
    <row r="485" spans="2:20" ht="18.75">
      <c r="B485">
        <v>48</v>
      </c>
      <c r="C485" s="5">
        <v>45985</v>
      </c>
      <c r="D485" t="s">
        <v>147</v>
      </c>
      <c r="E485">
        <v>88</v>
      </c>
      <c r="F485" s="6">
        <v>473.77</v>
      </c>
      <c r="G485" s="6">
        <v>6.3</v>
      </c>
      <c r="H485" s="6">
        <v>3.65</v>
      </c>
      <c r="I485" s="6">
        <v>0</v>
      </c>
      <c r="J485" s="6">
        <v>467.47</v>
      </c>
      <c r="L485">
        <v>18</v>
      </c>
      <c r="M485" s="5">
        <v>46139</v>
      </c>
      <c r="N485" t="s">
        <v>168</v>
      </c>
      <c r="O485">
        <v>271</v>
      </c>
      <c r="P485" s="6">
        <v>556.04999999999995</v>
      </c>
      <c r="Q485" s="6">
        <v>0</v>
      </c>
      <c r="R485" s="6">
        <v>0</v>
      </c>
      <c r="S485" s="6">
        <v>85.1</v>
      </c>
      <c r="T485" s="6">
        <v>641.15</v>
      </c>
    </row>
    <row r="486" spans="2:20" ht="18.75">
      <c r="B486">
        <v>48</v>
      </c>
      <c r="C486" s="5">
        <v>45985</v>
      </c>
      <c r="D486" t="s">
        <v>133</v>
      </c>
      <c r="E486">
        <v>68</v>
      </c>
      <c r="F486" s="6">
        <v>376.74</v>
      </c>
      <c r="G486" s="6">
        <v>0</v>
      </c>
      <c r="H486" s="6">
        <v>12.6</v>
      </c>
      <c r="I486" s="6">
        <v>0</v>
      </c>
      <c r="J486" s="6">
        <v>376.74</v>
      </c>
      <c r="L486">
        <v>18</v>
      </c>
      <c r="M486" s="5">
        <v>46139</v>
      </c>
      <c r="N486" t="s">
        <v>198</v>
      </c>
      <c r="O486">
        <v>39</v>
      </c>
      <c r="P486" s="6">
        <v>311.82</v>
      </c>
      <c r="Q486" s="6">
        <v>0</v>
      </c>
      <c r="R486" s="6">
        <v>0</v>
      </c>
      <c r="S486" s="6">
        <v>74.28</v>
      </c>
      <c r="T486" s="6">
        <v>386.1</v>
      </c>
    </row>
    <row r="487" spans="2:20" ht="18.75">
      <c r="B487">
        <v>48</v>
      </c>
      <c r="C487" s="5">
        <v>45985</v>
      </c>
      <c r="D487" t="s">
        <v>118</v>
      </c>
      <c r="E487">
        <v>45</v>
      </c>
      <c r="F487" s="6">
        <v>150.27000000000001</v>
      </c>
      <c r="G487" s="6">
        <v>0</v>
      </c>
      <c r="H487" s="6">
        <v>2.0299999999999998</v>
      </c>
      <c r="I487" s="6">
        <v>0</v>
      </c>
      <c r="J487" s="6">
        <v>150.27000000000001</v>
      </c>
      <c r="L487">
        <v>18</v>
      </c>
      <c r="M487" s="5">
        <v>46139</v>
      </c>
      <c r="N487" t="s">
        <v>174</v>
      </c>
      <c r="O487">
        <v>41</v>
      </c>
      <c r="P487" s="6">
        <v>318.61</v>
      </c>
      <c r="Q487" s="6">
        <v>0</v>
      </c>
      <c r="R487" s="6">
        <v>0</v>
      </c>
      <c r="S487" s="6">
        <v>48.34</v>
      </c>
      <c r="T487" s="6">
        <v>366.95</v>
      </c>
    </row>
    <row r="488" spans="2:20" ht="18.75">
      <c r="B488">
        <v>48</v>
      </c>
      <c r="C488" s="5">
        <v>45985</v>
      </c>
      <c r="D488" t="s">
        <v>111</v>
      </c>
      <c r="E488">
        <v>83</v>
      </c>
      <c r="F488" s="6">
        <v>298.38</v>
      </c>
      <c r="G488" s="6">
        <v>0</v>
      </c>
      <c r="H488" s="6">
        <v>3.8</v>
      </c>
      <c r="I488" s="6">
        <v>0</v>
      </c>
      <c r="J488" s="6">
        <v>298.38</v>
      </c>
      <c r="L488">
        <v>18</v>
      </c>
      <c r="M488" s="5">
        <v>46139</v>
      </c>
      <c r="N488" t="s">
        <v>184</v>
      </c>
      <c r="O488">
        <v>13</v>
      </c>
      <c r="P488" s="6">
        <v>39.35</v>
      </c>
      <c r="Q488" s="6">
        <v>0</v>
      </c>
      <c r="R488" s="6">
        <v>0</v>
      </c>
      <c r="S488" s="6">
        <v>0.8</v>
      </c>
      <c r="T488" s="6">
        <v>40.15</v>
      </c>
    </row>
    <row r="489" spans="2:20" ht="18.75">
      <c r="B489">
        <v>48</v>
      </c>
      <c r="C489" s="5">
        <v>45985</v>
      </c>
      <c r="D489" t="s">
        <v>129</v>
      </c>
      <c r="E489">
        <v>151</v>
      </c>
      <c r="F489" s="6">
        <v>11.69</v>
      </c>
      <c r="G489" s="6">
        <v>0</v>
      </c>
      <c r="H489" s="6">
        <v>0</v>
      </c>
      <c r="I489" s="6">
        <v>658.11</v>
      </c>
      <c r="J489" s="6">
        <v>669.8</v>
      </c>
      <c r="L489">
        <v>18</v>
      </c>
      <c r="M489" s="5">
        <v>46139</v>
      </c>
      <c r="N489" t="s">
        <v>165</v>
      </c>
      <c r="O489">
        <v>30</v>
      </c>
      <c r="P489" s="6">
        <v>268.8</v>
      </c>
      <c r="Q489" s="6">
        <v>0</v>
      </c>
      <c r="R489" s="6">
        <v>0</v>
      </c>
      <c r="S489" s="6">
        <v>0</v>
      </c>
      <c r="T489" s="6">
        <v>268.8</v>
      </c>
    </row>
    <row r="490" spans="2:20" ht="18.75">
      <c r="B490">
        <v>48</v>
      </c>
      <c r="C490" s="5">
        <v>45985</v>
      </c>
      <c r="D490" t="s">
        <v>112</v>
      </c>
      <c r="E490">
        <v>15</v>
      </c>
      <c r="F490" s="6">
        <v>57.93</v>
      </c>
      <c r="G490" s="6">
        <v>0</v>
      </c>
      <c r="H490" s="6">
        <v>0</v>
      </c>
      <c r="I490" s="6">
        <v>0</v>
      </c>
      <c r="J490" s="6">
        <v>57.93</v>
      </c>
      <c r="L490">
        <v>18</v>
      </c>
      <c r="M490" s="5">
        <v>46139</v>
      </c>
      <c r="N490" t="s">
        <v>172</v>
      </c>
      <c r="O490">
        <v>1</v>
      </c>
      <c r="P490" s="6">
        <v>3.35</v>
      </c>
      <c r="Q490" s="6">
        <v>0</v>
      </c>
      <c r="R490" s="6">
        <v>0</v>
      </c>
      <c r="S490" s="6">
        <v>0</v>
      </c>
      <c r="T490" s="6">
        <v>3.35</v>
      </c>
    </row>
    <row r="491" spans="2:20" ht="18.75">
      <c r="B491">
        <v>48</v>
      </c>
      <c r="C491" s="5">
        <v>45985</v>
      </c>
      <c r="D491" t="s">
        <v>145</v>
      </c>
      <c r="E491">
        <v>91</v>
      </c>
      <c r="F491" s="6">
        <v>582.16999999999996</v>
      </c>
      <c r="G491" s="6">
        <v>0</v>
      </c>
      <c r="H491" s="6">
        <v>10.84</v>
      </c>
      <c r="I491" s="6">
        <v>1.4</v>
      </c>
      <c r="J491" s="6">
        <v>583.57000000000005</v>
      </c>
      <c r="L491">
        <v>20</v>
      </c>
      <c r="M491" s="5">
        <v>46153</v>
      </c>
      <c r="N491" t="s">
        <v>169</v>
      </c>
      <c r="O491">
        <v>946</v>
      </c>
      <c r="P491" s="6">
        <v>2273.73</v>
      </c>
      <c r="Q491" s="6">
        <v>0</v>
      </c>
      <c r="R491" s="6">
        <v>44.25</v>
      </c>
      <c r="S491" s="6">
        <v>102.35</v>
      </c>
      <c r="T491" s="6">
        <v>2376.08</v>
      </c>
    </row>
    <row r="492" spans="2:20" ht="18.75">
      <c r="B492">
        <v>48</v>
      </c>
      <c r="C492" s="5">
        <v>45985</v>
      </c>
      <c r="D492" t="s">
        <v>134</v>
      </c>
      <c r="E492">
        <v>74</v>
      </c>
      <c r="F492" s="6">
        <v>425.89</v>
      </c>
      <c r="G492" s="6">
        <v>0</v>
      </c>
      <c r="H492" s="6">
        <v>4.1900000000000004</v>
      </c>
      <c r="I492" s="6">
        <v>0</v>
      </c>
      <c r="J492" s="6">
        <v>425.89</v>
      </c>
      <c r="L492">
        <v>20</v>
      </c>
      <c r="M492" s="5">
        <v>46153</v>
      </c>
      <c r="N492" t="s">
        <v>160</v>
      </c>
      <c r="O492">
        <v>778</v>
      </c>
      <c r="P492" s="6">
        <v>5214.5499999999502</v>
      </c>
      <c r="Q492" s="6">
        <v>0</v>
      </c>
      <c r="R492" s="6">
        <v>191.03</v>
      </c>
      <c r="S492" s="6">
        <v>172.36</v>
      </c>
      <c r="T492" s="6">
        <v>5386.9099999999498</v>
      </c>
    </row>
    <row r="493" spans="2:20" ht="18.75">
      <c r="B493">
        <v>48</v>
      </c>
      <c r="C493" s="5">
        <v>45985</v>
      </c>
      <c r="D493" t="s">
        <v>113</v>
      </c>
      <c r="E493">
        <v>73</v>
      </c>
      <c r="F493" s="6">
        <v>230.99</v>
      </c>
      <c r="G493" s="6">
        <v>0</v>
      </c>
      <c r="H493" s="6">
        <v>1.44</v>
      </c>
      <c r="I493" s="6">
        <v>2.88</v>
      </c>
      <c r="J493" s="6">
        <v>233.87</v>
      </c>
      <c r="L493">
        <v>20</v>
      </c>
      <c r="M493" s="5">
        <v>46153</v>
      </c>
      <c r="N493" t="s">
        <v>204</v>
      </c>
      <c r="O493">
        <v>289</v>
      </c>
      <c r="P493" s="6">
        <v>542.48</v>
      </c>
      <c r="Q493" s="6">
        <v>0</v>
      </c>
      <c r="R493" s="6">
        <v>7.76</v>
      </c>
      <c r="S493" s="6">
        <v>104.26</v>
      </c>
      <c r="T493" s="6">
        <v>646.74</v>
      </c>
    </row>
    <row r="494" spans="2:20" ht="18.75">
      <c r="B494">
        <v>48</v>
      </c>
      <c r="C494" s="5">
        <v>45985</v>
      </c>
      <c r="D494" t="s">
        <v>142</v>
      </c>
      <c r="E494">
        <v>47</v>
      </c>
      <c r="F494" s="6">
        <v>190.29</v>
      </c>
      <c r="G494" s="6">
        <v>0</v>
      </c>
      <c r="H494" s="6">
        <v>10.7</v>
      </c>
      <c r="I494" s="6">
        <v>7.56</v>
      </c>
      <c r="J494" s="6">
        <v>197.85</v>
      </c>
      <c r="L494">
        <v>20</v>
      </c>
      <c r="M494" s="5">
        <v>46153</v>
      </c>
      <c r="N494" t="s">
        <v>173</v>
      </c>
      <c r="O494">
        <v>196</v>
      </c>
      <c r="P494" s="6">
        <v>901.17000000000201</v>
      </c>
      <c r="Q494" s="6">
        <v>0</v>
      </c>
      <c r="R494" s="6">
        <v>4.0599999999999996</v>
      </c>
      <c r="S494" s="6">
        <v>98.470000000000098</v>
      </c>
      <c r="T494" s="6">
        <v>999.64000000000203</v>
      </c>
    </row>
    <row r="495" spans="2:20" ht="18.75">
      <c r="B495">
        <v>48</v>
      </c>
      <c r="C495" s="5">
        <v>45985</v>
      </c>
      <c r="D495" t="s">
        <v>114</v>
      </c>
      <c r="E495">
        <v>73</v>
      </c>
      <c r="F495" s="6">
        <v>313.07</v>
      </c>
      <c r="G495" s="6">
        <v>0</v>
      </c>
      <c r="H495" s="6">
        <v>8.27</v>
      </c>
      <c r="I495" s="6">
        <v>107.31</v>
      </c>
      <c r="J495" s="6">
        <v>420.38</v>
      </c>
      <c r="L495">
        <v>20</v>
      </c>
      <c r="M495" s="5">
        <v>46153</v>
      </c>
      <c r="N495" t="s">
        <v>209</v>
      </c>
      <c r="O495">
        <v>55</v>
      </c>
      <c r="P495" s="6">
        <v>105.38</v>
      </c>
      <c r="Q495" s="6">
        <v>0</v>
      </c>
      <c r="R495" s="6">
        <v>0.44</v>
      </c>
      <c r="S495" s="6">
        <v>15.18</v>
      </c>
      <c r="T495" s="6">
        <v>120.56</v>
      </c>
    </row>
    <row r="496" spans="2:20" ht="18.75">
      <c r="B496">
        <v>48</v>
      </c>
      <c r="C496" s="5">
        <v>45985</v>
      </c>
      <c r="D496" t="s">
        <v>122</v>
      </c>
      <c r="E496">
        <v>61</v>
      </c>
      <c r="F496" s="6">
        <v>296.95</v>
      </c>
      <c r="G496" s="6">
        <v>0</v>
      </c>
      <c r="H496" s="6">
        <v>2.16</v>
      </c>
      <c r="I496" s="6">
        <v>0</v>
      </c>
      <c r="J496" s="6">
        <v>296.95</v>
      </c>
      <c r="L496">
        <v>20</v>
      </c>
      <c r="M496" s="5">
        <v>46153</v>
      </c>
      <c r="N496" t="s">
        <v>158</v>
      </c>
      <c r="O496">
        <v>131</v>
      </c>
      <c r="P496" s="6">
        <v>764.83999999999901</v>
      </c>
      <c r="Q496" s="6">
        <v>6.3</v>
      </c>
      <c r="R496" s="6">
        <v>20.85</v>
      </c>
      <c r="S496" s="6">
        <v>39.61</v>
      </c>
      <c r="T496" s="6">
        <v>798.14999999999895</v>
      </c>
    </row>
    <row r="497" spans="2:20" ht="18.75">
      <c r="B497">
        <v>48</v>
      </c>
      <c r="C497" s="5">
        <v>45985</v>
      </c>
      <c r="D497" t="s">
        <v>120</v>
      </c>
      <c r="E497">
        <v>33</v>
      </c>
      <c r="F497" s="6">
        <v>128.47999999999999</v>
      </c>
      <c r="G497" s="6">
        <v>2.2000000000000002</v>
      </c>
      <c r="H497" s="6">
        <v>0</v>
      </c>
      <c r="I497" s="6">
        <v>0</v>
      </c>
      <c r="J497" s="6">
        <v>126.28</v>
      </c>
      <c r="L497">
        <v>20</v>
      </c>
      <c r="M497" s="5">
        <v>46153</v>
      </c>
      <c r="N497" t="s">
        <v>171</v>
      </c>
      <c r="O497">
        <v>141</v>
      </c>
      <c r="P497" s="6">
        <v>1031.45</v>
      </c>
      <c r="Q497" s="6">
        <v>0</v>
      </c>
      <c r="R497" s="6">
        <v>13.92</v>
      </c>
      <c r="S497" s="6">
        <v>104.58</v>
      </c>
      <c r="T497" s="6">
        <v>1136.03</v>
      </c>
    </row>
    <row r="498" spans="2:20" ht="18.75">
      <c r="B498">
        <v>48</v>
      </c>
      <c r="C498" s="5">
        <v>45985</v>
      </c>
      <c r="D498" t="s">
        <v>128</v>
      </c>
      <c r="E498">
        <v>36</v>
      </c>
      <c r="F498" s="6">
        <v>172.56</v>
      </c>
      <c r="G498" s="6">
        <v>0</v>
      </c>
      <c r="H498" s="6">
        <v>0.8</v>
      </c>
      <c r="I498" s="6">
        <v>0</v>
      </c>
      <c r="J498" s="6">
        <v>172.56</v>
      </c>
      <c r="L498">
        <v>20</v>
      </c>
      <c r="M498" s="5">
        <v>46153</v>
      </c>
      <c r="N498" t="s">
        <v>163</v>
      </c>
      <c r="O498">
        <v>182</v>
      </c>
      <c r="P498" s="6">
        <v>352.81999999999903</v>
      </c>
      <c r="Q498" s="6">
        <v>0</v>
      </c>
      <c r="R498" s="6">
        <v>1.78</v>
      </c>
      <c r="S498" s="6">
        <v>32.700000000000003</v>
      </c>
      <c r="T498" s="6">
        <v>385.51999999999902</v>
      </c>
    </row>
    <row r="499" spans="2:20" ht="18.75">
      <c r="B499">
        <v>48</v>
      </c>
      <c r="C499" s="5">
        <v>45985</v>
      </c>
      <c r="D499" t="s">
        <v>135</v>
      </c>
      <c r="E499">
        <v>20</v>
      </c>
      <c r="F499" s="6">
        <v>55.97</v>
      </c>
      <c r="G499" s="6">
        <v>0</v>
      </c>
      <c r="H499" s="6">
        <v>2.4</v>
      </c>
      <c r="I499" s="6">
        <v>22.9</v>
      </c>
      <c r="J499" s="6">
        <v>78.87</v>
      </c>
      <c r="L499">
        <v>20</v>
      </c>
      <c r="M499" s="5">
        <v>46153</v>
      </c>
      <c r="N499" t="s">
        <v>198</v>
      </c>
      <c r="O499">
        <v>51</v>
      </c>
      <c r="P499" s="6">
        <v>407.26</v>
      </c>
      <c r="Q499" s="6">
        <v>0</v>
      </c>
      <c r="R499" s="6">
        <v>9.36</v>
      </c>
      <c r="S499" s="6">
        <v>60.83</v>
      </c>
      <c r="T499" s="6">
        <v>468.09</v>
      </c>
    </row>
    <row r="500" spans="2:20" ht="18.75">
      <c r="B500">
        <v>48</v>
      </c>
      <c r="C500" s="5">
        <v>45985</v>
      </c>
      <c r="D500" t="s">
        <v>150</v>
      </c>
      <c r="E500">
        <v>15</v>
      </c>
      <c r="F500" s="6">
        <v>96.94</v>
      </c>
      <c r="G500" s="6">
        <v>0</v>
      </c>
      <c r="H500" s="6">
        <v>0</v>
      </c>
      <c r="I500" s="6">
        <v>0</v>
      </c>
      <c r="J500" s="6">
        <v>96.94</v>
      </c>
      <c r="L500">
        <v>20</v>
      </c>
      <c r="M500" s="5">
        <v>46153</v>
      </c>
      <c r="N500" t="s">
        <v>184</v>
      </c>
      <c r="O500">
        <v>7</v>
      </c>
      <c r="P500" s="6">
        <v>17.25</v>
      </c>
      <c r="Q500" s="6">
        <v>0</v>
      </c>
      <c r="R500" s="6">
        <v>0</v>
      </c>
      <c r="S500" s="6">
        <v>0.8</v>
      </c>
      <c r="T500" s="6">
        <v>18.05</v>
      </c>
    </row>
    <row r="501" spans="2:20" ht="18.75">
      <c r="B501">
        <v>48</v>
      </c>
      <c r="C501" s="5">
        <v>45985</v>
      </c>
      <c r="D501" t="s">
        <v>125</v>
      </c>
      <c r="E501">
        <v>10</v>
      </c>
      <c r="F501" s="6">
        <v>49.39</v>
      </c>
      <c r="G501" s="6">
        <v>0</v>
      </c>
      <c r="H501" s="6">
        <v>0.88</v>
      </c>
      <c r="I501" s="6">
        <v>0</v>
      </c>
      <c r="J501" s="6">
        <v>49.39</v>
      </c>
      <c r="L501">
        <v>20</v>
      </c>
      <c r="M501" s="5">
        <v>46153</v>
      </c>
      <c r="N501" t="s">
        <v>176</v>
      </c>
      <c r="O501">
        <v>51</v>
      </c>
      <c r="P501" s="6">
        <v>110.92</v>
      </c>
      <c r="Q501" s="6">
        <v>0</v>
      </c>
      <c r="R501" s="6">
        <v>0.44</v>
      </c>
      <c r="S501" s="6">
        <v>3.12</v>
      </c>
      <c r="T501" s="6">
        <v>114.04</v>
      </c>
    </row>
    <row r="502" spans="2:20" ht="18.75">
      <c r="B502">
        <v>48</v>
      </c>
      <c r="C502" s="5">
        <v>45985</v>
      </c>
      <c r="D502" t="s">
        <v>127</v>
      </c>
      <c r="E502">
        <v>63</v>
      </c>
      <c r="F502" s="6">
        <v>331.18</v>
      </c>
      <c r="G502" s="6">
        <v>0</v>
      </c>
      <c r="H502" s="6">
        <v>1.2</v>
      </c>
      <c r="I502" s="6">
        <v>0</v>
      </c>
      <c r="J502" s="6">
        <v>331.18</v>
      </c>
      <c r="L502">
        <v>20</v>
      </c>
      <c r="M502" s="5">
        <v>46153</v>
      </c>
      <c r="N502" t="s">
        <v>165</v>
      </c>
      <c r="O502">
        <v>30</v>
      </c>
      <c r="P502" s="6">
        <v>238.47</v>
      </c>
      <c r="Q502" s="6">
        <v>0</v>
      </c>
      <c r="R502" s="6">
        <v>1.8</v>
      </c>
      <c r="S502" s="6">
        <v>29.13</v>
      </c>
      <c r="T502" s="6">
        <v>267.60000000000002</v>
      </c>
    </row>
    <row r="503" spans="2:20" ht="18.75">
      <c r="B503">
        <v>48</v>
      </c>
      <c r="C503" s="5">
        <v>45985</v>
      </c>
      <c r="D503" t="s">
        <v>132</v>
      </c>
      <c r="E503">
        <v>70</v>
      </c>
      <c r="F503" s="6">
        <v>268.8</v>
      </c>
      <c r="G503" s="6">
        <v>0</v>
      </c>
      <c r="H503" s="6">
        <v>2.72</v>
      </c>
      <c r="I503" s="6">
        <v>0</v>
      </c>
      <c r="J503" s="6">
        <v>268.8</v>
      </c>
      <c r="L503">
        <v>20</v>
      </c>
      <c r="M503" s="5">
        <v>46153</v>
      </c>
      <c r="N503" t="s">
        <v>164</v>
      </c>
      <c r="O503">
        <v>2</v>
      </c>
      <c r="P503" s="6">
        <v>7.5</v>
      </c>
      <c r="Q503" s="6">
        <v>0</v>
      </c>
      <c r="R503" s="6">
        <v>0</v>
      </c>
      <c r="S503" s="6">
        <v>0</v>
      </c>
      <c r="T503" s="6">
        <v>7.5</v>
      </c>
    </row>
    <row r="504" spans="2:20" ht="18.75">
      <c r="B504">
        <v>48</v>
      </c>
      <c r="C504" s="5">
        <v>45985</v>
      </c>
      <c r="D504" t="s">
        <v>140</v>
      </c>
      <c r="E504">
        <v>37</v>
      </c>
      <c r="F504" s="6">
        <v>126.19</v>
      </c>
      <c r="G504" s="6">
        <v>0</v>
      </c>
      <c r="H504" s="6">
        <v>0</v>
      </c>
      <c r="I504" s="6">
        <v>0</v>
      </c>
      <c r="J504" s="6">
        <v>126.19</v>
      </c>
      <c r="L504">
        <v>20</v>
      </c>
      <c r="M504" s="5">
        <v>46153</v>
      </c>
      <c r="N504" t="s">
        <v>181</v>
      </c>
      <c r="O504">
        <v>18</v>
      </c>
      <c r="P504" s="6">
        <v>104.25</v>
      </c>
      <c r="Q504" s="6">
        <v>0</v>
      </c>
      <c r="R504" s="6">
        <v>0</v>
      </c>
      <c r="S504" s="6">
        <v>20.85</v>
      </c>
      <c r="T504" s="6">
        <v>125.1</v>
      </c>
    </row>
    <row r="505" spans="2:20" ht="18.75">
      <c r="B505">
        <v>48</v>
      </c>
      <c r="C505" s="5">
        <v>45985</v>
      </c>
      <c r="D505" t="s">
        <v>151</v>
      </c>
      <c r="E505">
        <v>4</v>
      </c>
      <c r="F505" s="6">
        <v>8.89</v>
      </c>
      <c r="G505" s="6">
        <v>0</v>
      </c>
      <c r="H505" s="6">
        <v>0</v>
      </c>
      <c r="I505" s="6">
        <v>0</v>
      </c>
      <c r="J505" s="6">
        <v>8.89</v>
      </c>
      <c r="L505">
        <v>20</v>
      </c>
      <c r="M505" s="5">
        <v>46153</v>
      </c>
      <c r="N505" t="s">
        <v>172</v>
      </c>
      <c r="O505">
        <v>4</v>
      </c>
      <c r="P505" s="6">
        <v>13.4</v>
      </c>
      <c r="Q505" s="6">
        <v>0</v>
      </c>
      <c r="R505" s="6">
        <v>0</v>
      </c>
      <c r="S505" s="6">
        <v>0</v>
      </c>
      <c r="T505" s="6">
        <v>13.4</v>
      </c>
    </row>
    <row r="506" spans="2:20" ht="18.75">
      <c r="B506">
        <v>48</v>
      </c>
      <c r="C506" s="5">
        <v>45985</v>
      </c>
      <c r="D506" t="s">
        <v>116</v>
      </c>
      <c r="E506">
        <v>48</v>
      </c>
      <c r="F506" s="6">
        <v>178.66</v>
      </c>
      <c r="G506" s="6">
        <v>0</v>
      </c>
      <c r="H506" s="6">
        <v>3.76</v>
      </c>
      <c r="I506" s="6">
        <v>0</v>
      </c>
      <c r="J506" s="6">
        <v>178.66</v>
      </c>
      <c r="L506">
        <v>20</v>
      </c>
      <c r="M506" s="5">
        <v>46153</v>
      </c>
      <c r="N506" t="s">
        <v>168</v>
      </c>
      <c r="O506">
        <v>13</v>
      </c>
      <c r="P506" s="6">
        <v>25.5</v>
      </c>
      <c r="Q506" s="6">
        <v>0</v>
      </c>
      <c r="R506" s="6">
        <v>2.38</v>
      </c>
      <c r="S506" s="6">
        <v>1</v>
      </c>
      <c r="T506" s="6">
        <v>26.5</v>
      </c>
    </row>
    <row r="507" spans="2:20" ht="18.75">
      <c r="B507">
        <v>48</v>
      </c>
      <c r="C507" s="5">
        <v>45985</v>
      </c>
      <c r="D507" t="s">
        <v>137</v>
      </c>
      <c r="E507">
        <v>22</v>
      </c>
      <c r="F507" s="6">
        <v>68.05</v>
      </c>
      <c r="G507" s="6">
        <v>0</v>
      </c>
      <c r="H507" s="6">
        <v>5.92</v>
      </c>
      <c r="I507" s="6">
        <v>34.520000000000003</v>
      </c>
      <c r="J507" s="6">
        <v>102.57</v>
      </c>
      <c r="L507">
        <v>20</v>
      </c>
      <c r="M507" s="5">
        <v>46153</v>
      </c>
      <c r="N507" t="s">
        <v>170</v>
      </c>
      <c r="O507">
        <v>5</v>
      </c>
      <c r="P507" s="6">
        <v>18</v>
      </c>
      <c r="Q507" s="6">
        <v>0</v>
      </c>
      <c r="R507" s="6">
        <v>0</v>
      </c>
      <c r="S507" s="6">
        <v>0</v>
      </c>
      <c r="T507" s="6">
        <v>18</v>
      </c>
    </row>
    <row r="508" spans="2:20" ht="18.75">
      <c r="B508">
        <v>48</v>
      </c>
      <c r="C508" s="5">
        <v>45985</v>
      </c>
      <c r="D508" t="s">
        <v>126</v>
      </c>
      <c r="E508">
        <v>37</v>
      </c>
      <c r="F508" s="6">
        <v>158.69</v>
      </c>
      <c r="G508" s="6">
        <v>0</v>
      </c>
      <c r="H508" s="6">
        <v>2.6</v>
      </c>
      <c r="I508" s="6">
        <v>0</v>
      </c>
      <c r="J508" s="6">
        <v>158.69</v>
      </c>
      <c r="L508">
        <v>20</v>
      </c>
      <c r="M508" s="5">
        <v>46153</v>
      </c>
      <c r="N508" t="s">
        <v>206</v>
      </c>
      <c r="O508">
        <v>78</v>
      </c>
      <c r="P508" s="6">
        <v>234</v>
      </c>
      <c r="Q508" s="6">
        <v>0</v>
      </c>
      <c r="R508" s="6">
        <v>0</v>
      </c>
      <c r="S508" s="6">
        <v>0</v>
      </c>
      <c r="T508" s="6">
        <v>234</v>
      </c>
    </row>
    <row r="509" spans="2:20" ht="18.75">
      <c r="B509">
        <v>48</v>
      </c>
      <c r="C509" s="5">
        <v>45985</v>
      </c>
      <c r="D509" t="s">
        <v>148</v>
      </c>
      <c r="E509">
        <v>5</v>
      </c>
      <c r="F509" s="6">
        <v>11</v>
      </c>
      <c r="G509" s="6">
        <v>0</v>
      </c>
      <c r="H509" s="6">
        <v>0</v>
      </c>
      <c r="I509" s="6">
        <v>0</v>
      </c>
      <c r="J509" s="6">
        <v>11</v>
      </c>
      <c r="L509">
        <v>19</v>
      </c>
      <c r="M509" s="5">
        <v>46146</v>
      </c>
      <c r="N509" t="s">
        <v>163</v>
      </c>
      <c r="O509">
        <v>189</v>
      </c>
      <c r="P509" s="6">
        <v>370.099999999999</v>
      </c>
      <c r="Q509" s="6">
        <v>0</v>
      </c>
      <c r="R509" s="6">
        <v>0</v>
      </c>
      <c r="S509" s="6">
        <v>36.9</v>
      </c>
      <c r="T509" s="6">
        <v>406.99999999999898</v>
      </c>
    </row>
    <row r="510" spans="2:20" ht="18.75">
      <c r="B510">
        <v>49</v>
      </c>
      <c r="C510" s="5">
        <v>45992</v>
      </c>
      <c r="D510" t="s">
        <v>118</v>
      </c>
      <c r="E510">
        <v>52</v>
      </c>
      <c r="F510" s="6">
        <v>180.02</v>
      </c>
      <c r="G510" s="6">
        <v>0</v>
      </c>
      <c r="H510" s="6">
        <v>2.38</v>
      </c>
      <c r="I510" s="6">
        <v>0</v>
      </c>
      <c r="J510" s="6">
        <v>180.02</v>
      </c>
      <c r="L510">
        <v>19</v>
      </c>
      <c r="M510" s="5">
        <v>46146</v>
      </c>
      <c r="N510" t="s">
        <v>160</v>
      </c>
      <c r="O510">
        <v>916</v>
      </c>
      <c r="P510" s="6">
        <v>6185.24999999996</v>
      </c>
      <c r="Q510" s="6">
        <v>15.65</v>
      </c>
      <c r="R510" s="6">
        <v>173.93</v>
      </c>
      <c r="S510" s="6">
        <v>206.26</v>
      </c>
      <c r="T510" s="6">
        <v>6375.8599999999597</v>
      </c>
    </row>
    <row r="511" spans="2:20" ht="18.75">
      <c r="B511">
        <v>49</v>
      </c>
      <c r="C511" s="5">
        <v>45992</v>
      </c>
      <c r="D511" t="s">
        <v>139</v>
      </c>
      <c r="E511">
        <v>88</v>
      </c>
      <c r="F511" s="6">
        <v>414.41</v>
      </c>
      <c r="G511" s="6">
        <v>0</v>
      </c>
      <c r="H511" s="6">
        <v>11.33</v>
      </c>
      <c r="I511" s="6">
        <v>0</v>
      </c>
      <c r="J511" s="6">
        <v>414.41</v>
      </c>
      <c r="L511">
        <v>19</v>
      </c>
      <c r="M511" s="5">
        <v>46146</v>
      </c>
      <c r="N511" t="s">
        <v>173</v>
      </c>
      <c r="O511">
        <v>214</v>
      </c>
      <c r="P511" s="6">
        <v>990.24000000000399</v>
      </c>
      <c r="Q511" s="6">
        <v>0</v>
      </c>
      <c r="R511" s="6">
        <v>0</v>
      </c>
      <c r="S511" s="6">
        <v>72.78</v>
      </c>
      <c r="T511" s="6">
        <v>1063.02</v>
      </c>
    </row>
    <row r="512" spans="2:20" ht="18.75">
      <c r="B512">
        <v>49</v>
      </c>
      <c r="C512" s="5">
        <v>45992</v>
      </c>
      <c r="D512" t="s">
        <v>123</v>
      </c>
      <c r="E512">
        <v>156</v>
      </c>
      <c r="F512" s="6">
        <v>674.67</v>
      </c>
      <c r="G512" s="6">
        <v>0</v>
      </c>
      <c r="H512" s="6">
        <v>15.47</v>
      </c>
      <c r="I512" s="6">
        <v>0</v>
      </c>
      <c r="J512" s="6">
        <v>674.67</v>
      </c>
      <c r="L512">
        <v>19</v>
      </c>
      <c r="M512" s="5">
        <v>46146</v>
      </c>
      <c r="N512" t="s">
        <v>169</v>
      </c>
      <c r="O512">
        <v>1109</v>
      </c>
      <c r="P512" s="6">
        <v>2765.9000000000101</v>
      </c>
      <c r="Q512" s="6">
        <v>9.4499999999999993</v>
      </c>
      <c r="R512" s="6">
        <v>38.58</v>
      </c>
      <c r="S512" s="6">
        <v>86.9</v>
      </c>
      <c r="T512" s="6">
        <v>2843.3500000000099</v>
      </c>
    </row>
    <row r="513" spans="2:20" ht="18.75">
      <c r="B513">
        <v>49</v>
      </c>
      <c r="C513" s="5">
        <v>45992</v>
      </c>
      <c r="D513" t="s">
        <v>143</v>
      </c>
      <c r="E513">
        <v>533</v>
      </c>
      <c r="F513" s="6">
        <v>2429.36</v>
      </c>
      <c r="G513" s="6">
        <v>0</v>
      </c>
      <c r="H513" s="6">
        <v>12.28</v>
      </c>
      <c r="I513" s="6">
        <v>22.8</v>
      </c>
      <c r="J513" s="6">
        <v>2452.16</v>
      </c>
      <c r="L513">
        <v>19</v>
      </c>
      <c r="M513" s="5">
        <v>46146</v>
      </c>
      <c r="N513" t="s">
        <v>170</v>
      </c>
      <c r="O513">
        <v>12</v>
      </c>
      <c r="P513" s="6">
        <v>33.659999999999997</v>
      </c>
      <c r="Q513" s="6">
        <v>0</v>
      </c>
      <c r="R513" s="6">
        <v>0</v>
      </c>
      <c r="S513" s="6">
        <v>9.5399999999999991</v>
      </c>
      <c r="T513" s="6">
        <v>43.2</v>
      </c>
    </row>
    <row r="514" spans="2:20" ht="18.75">
      <c r="B514">
        <v>49</v>
      </c>
      <c r="C514" s="5">
        <v>45992</v>
      </c>
      <c r="D514" t="s">
        <v>117</v>
      </c>
      <c r="E514">
        <v>72</v>
      </c>
      <c r="F514" s="6">
        <v>342.39</v>
      </c>
      <c r="G514" s="6">
        <v>0</v>
      </c>
      <c r="H514" s="6">
        <v>17.3</v>
      </c>
      <c r="I514" s="6">
        <v>0</v>
      </c>
      <c r="J514" s="6">
        <v>342.39</v>
      </c>
      <c r="L514">
        <v>19</v>
      </c>
      <c r="M514" s="5">
        <v>46146</v>
      </c>
      <c r="N514" t="s">
        <v>209</v>
      </c>
      <c r="O514">
        <v>53</v>
      </c>
      <c r="P514" s="6">
        <v>109.96</v>
      </c>
      <c r="Q514" s="6">
        <v>0</v>
      </c>
      <c r="R514" s="6">
        <v>0</v>
      </c>
      <c r="S514" s="6">
        <v>6.93</v>
      </c>
      <c r="T514" s="6">
        <v>116.89</v>
      </c>
    </row>
    <row r="515" spans="2:20" ht="18.75">
      <c r="B515">
        <v>49</v>
      </c>
      <c r="C515" s="5">
        <v>45992</v>
      </c>
      <c r="D515" t="s">
        <v>129</v>
      </c>
      <c r="E515">
        <v>149</v>
      </c>
      <c r="F515" s="6">
        <v>62.31</v>
      </c>
      <c r="G515" s="6">
        <v>0</v>
      </c>
      <c r="H515" s="6">
        <v>0</v>
      </c>
      <c r="I515" s="6">
        <v>679.38</v>
      </c>
      <c r="J515" s="6">
        <v>741.69</v>
      </c>
      <c r="L515">
        <v>19</v>
      </c>
      <c r="M515" s="5">
        <v>46146</v>
      </c>
      <c r="N515" t="s">
        <v>158</v>
      </c>
      <c r="O515">
        <v>161</v>
      </c>
      <c r="P515" s="6">
        <v>956.51999999999805</v>
      </c>
      <c r="Q515" s="6">
        <v>0</v>
      </c>
      <c r="R515" s="6">
        <v>16.12</v>
      </c>
      <c r="S515" s="6">
        <v>41.66</v>
      </c>
      <c r="T515" s="6">
        <v>998.17999999999802</v>
      </c>
    </row>
    <row r="516" spans="2:20" ht="18.75">
      <c r="B516">
        <v>49</v>
      </c>
      <c r="C516" s="5">
        <v>45992</v>
      </c>
      <c r="D516" t="s">
        <v>141</v>
      </c>
      <c r="E516">
        <v>288</v>
      </c>
      <c r="F516" s="6">
        <v>988.17</v>
      </c>
      <c r="G516" s="6">
        <v>0</v>
      </c>
      <c r="H516" s="6">
        <v>14.36</v>
      </c>
      <c r="I516" s="6">
        <v>23.94</v>
      </c>
      <c r="J516" s="6">
        <v>1012.11</v>
      </c>
      <c r="L516">
        <v>19</v>
      </c>
      <c r="M516" s="5">
        <v>46146</v>
      </c>
      <c r="N516" t="s">
        <v>171</v>
      </c>
      <c r="O516">
        <v>70</v>
      </c>
      <c r="P516" s="6">
        <v>415.18</v>
      </c>
      <c r="Q516" s="6">
        <v>0</v>
      </c>
      <c r="R516" s="6">
        <v>28.79</v>
      </c>
      <c r="S516" s="6">
        <v>54.22</v>
      </c>
      <c r="T516" s="6">
        <v>469.4</v>
      </c>
    </row>
    <row r="517" spans="2:20" ht="18.75">
      <c r="B517">
        <v>49</v>
      </c>
      <c r="C517" s="5">
        <v>45992</v>
      </c>
      <c r="D517" t="s">
        <v>124</v>
      </c>
      <c r="E517">
        <v>131</v>
      </c>
      <c r="F517" s="6">
        <v>558.47</v>
      </c>
      <c r="G517" s="6">
        <v>0</v>
      </c>
      <c r="H517" s="6">
        <v>7.46</v>
      </c>
      <c r="I517" s="6">
        <v>0</v>
      </c>
      <c r="J517" s="6">
        <v>558.47</v>
      </c>
      <c r="L517">
        <v>19</v>
      </c>
      <c r="M517" s="5">
        <v>46146</v>
      </c>
      <c r="N517" t="s">
        <v>198</v>
      </c>
      <c r="O517">
        <v>194</v>
      </c>
      <c r="P517" s="6">
        <v>1471.12</v>
      </c>
      <c r="Q517" s="6">
        <v>0</v>
      </c>
      <c r="R517" s="6">
        <v>178.33</v>
      </c>
      <c r="S517" s="6">
        <v>197.95</v>
      </c>
      <c r="T517" s="6">
        <v>1669.07</v>
      </c>
    </row>
    <row r="518" spans="2:20" ht="18.75">
      <c r="B518">
        <v>49</v>
      </c>
      <c r="C518" s="5">
        <v>45992</v>
      </c>
      <c r="D518" t="s">
        <v>133</v>
      </c>
      <c r="E518">
        <v>71</v>
      </c>
      <c r="F518" s="6">
        <v>435.44</v>
      </c>
      <c r="G518" s="6">
        <v>0</v>
      </c>
      <c r="H518" s="6">
        <v>5.8</v>
      </c>
      <c r="I518" s="6">
        <v>0</v>
      </c>
      <c r="J518" s="6">
        <v>435.44</v>
      </c>
      <c r="L518">
        <v>19</v>
      </c>
      <c r="M518" s="5">
        <v>46146</v>
      </c>
      <c r="N518" t="s">
        <v>167</v>
      </c>
      <c r="O518">
        <v>7</v>
      </c>
      <c r="P518" s="6">
        <v>66.5</v>
      </c>
      <c r="Q518" s="6">
        <v>0</v>
      </c>
      <c r="R518" s="6">
        <v>0</v>
      </c>
      <c r="S518" s="6">
        <v>0</v>
      </c>
      <c r="T518" s="6">
        <v>66.5</v>
      </c>
    </row>
    <row r="519" spans="2:20" ht="18.75">
      <c r="B519">
        <v>49</v>
      </c>
      <c r="C519" s="5">
        <v>45992</v>
      </c>
      <c r="D519" t="s">
        <v>138</v>
      </c>
      <c r="E519">
        <v>143</v>
      </c>
      <c r="F519" s="6">
        <v>796.57000000000096</v>
      </c>
      <c r="G519" s="6">
        <v>0</v>
      </c>
      <c r="H519" s="6">
        <v>33.07</v>
      </c>
      <c r="I519" s="6">
        <v>0</v>
      </c>
      <c r="J519" s="6">
        <v>796.57000000000096</v>
      </c>
      <c r="L519">
        <v>19</v>
      </c>
      <c r="M519" s="5">
        <v>46146</v>
      </c>
      <c r="N519" t="s">
        <v>176</v>
      </c>
      <c r="O519">
        <v>107</v>
      </c>
      <c r="P519" s="6">
        <v>226.69</v>
      </c>
      <c r="Q519" s="6">
        <v>0</v>
      </c>
      <c r="R519" s="6">
        <v>0</v>
      </c>
      <c r="S519" s="6">
        <v>12.66</v>
      </c>
      <c r="T519" s="6">
        <v>239.35</v>
      </c>
    </row>
    <row r="520" spans="2:20" ht="18.75">
      <c r="B520">
        <v>49</v>
      </c>
      <c r="C520" s="5">
        <v>45992</v>
      </c>
      <c r="D520" t="s">
        <v>147</v>
      </c>
      <c r="E520">
        <v>84</v>
      </c>
      <c r="F520" s="6">
        <v>444.08</v>
      </c>
      <c r="G520" s="6">
        <v>0</v>
      </c>
      <c r="H520" s="6">
        <v>11.65</v>
      </c>
      <c r="I520" s="6">
        <v>0</v>
      </c>
      <c r="J520" s="6">
        <v>444.08</v>
      </c>
      <c r="L520">
        <v>19</v>
      </c>
      <c r="M520" s="5">
        <v>46146</v>
      </c>
      <c r="N520" t="s">
        <v>184</v>
      </c>
      <c r="O520">
        <v>22</v>
      </c>
      <c r="P520" s="6">
        <v>65.75</v>
      </c>
      <c r="Q520" s="6">
        <v>0</v>
      </c>
      <c r="R520" s="6">
        <v>0</v>
      </c>
      <c r="S520" s="6">
        <v>3.2</v>
      </c>
      <c r="T520" s="6">
        <v>68.95</v>
      </c>
    </row>
    <row r="521" spans="2:20" ht="18.75">
      <c r="B521">
        <v>49</v>
      </c>
      <c r="C521" s="5">
        <v>45992</v>
      </c>
      <c r="D521" t="s">
        <v>121</v>
      </c>
      <c r="E521">
        <v>26</v>
      </c>
      <c r="F521" s="6">
        <v>84.22</v>
      </c>
      <c r="G521" s="6">
        <v>0</v>
      </c>
      <c r="H521" s="6">
        <v>5.32</v>
      </c>
      <c r="I521" s="6">
        <v>0</v>
      </c>
      <c r="J521" s="6">
        <v>84.22</v>
      </c>
      <c r="L521">
        <v>19</v>
      </c>
      <c r="M521" s="5">
        <v>46146</v>
      </c>
      <c r="N521" t="s">
        <v>181</v>
      </c>
      <c r="O521">
        <v>7</v>
      </c>
      <c r="P521" s="6">
        <v>50.65</v>
      </c>
      <c r="Q521" s="6">
        <v>0</v>
      </c>
      <c r="R521" s="6">
        <v>0</v>
      </c>
      <c r="S521" s="6">
        <v>0</v>
      </c>
      <c r="T521" s="6">
        <v>50.65</v>
      </c>
    </row>
    <row r="522" spans="2:20" ht="18.75">
      <c r="B522">
        <v>49</v>
      </c>
      <c r="C522" s="5">
        <v>45992</v>
      </c>
      <c r="D522" t="s">
        <v>146</v>
      </c>
      <c r="E522">
        <v>157</v>
      </c>
      <c r="F522" s="6">
        <v>971.92</v>
      </c>
      <c r="G522" s="6">
        <v>5.99</v>
      </c>
      <c r="H522" s="6">
        <v>12.69</v>
      </c>
      <c r="I522" s="6">
        <v>0</v>
      </c>
      <c r="J522" s="6">
        <v>965.93</v>
      </c>
      <c r="L522">
        <v>19</v>
      </c>
      <c r="M522" s="5">
        <v>46146</v>
      </c>
      <c r="N522" t="s">
        <v>204</v>
      </c>
      <c r="O522">
        <v>284</v>
      </c>
      <c r="P522" s="6">
        <v>540.20000000000005</v>
      </c>
      <c r="Q522" s="6">
        <v>0</v>
      </c>
      <c r="R522" s="6">
        <v>0</v>
      </c>
      <c r="S522" s="6">
        <v>86.53</v>
      </c>
      <c r="T522" s="6">
        <v>626.73</v>
      </c>
    </row>
    <row r="523" spans="2:20" ht="18.75">
      <c r="B523">
        <v>49</v>
      </c>
      <c r="C523" s="5">
        <v>45992</v>
      </c>
      <c r="D523" t="s">
        <v>149</v>
      </c>
      <c r="E523">
        <v>60</v>
      </c>
      <c r="F523" s="6">
        <v>216.47</v>
      </c>
      <c r="G523" s="6">
        <v>0</v>
      </c>
      <c r="H523" s="6">
        <v>5.1100000000000003</v>
      </c>
      <c r="I523" s="6">
        <v>0</v>
      </c>
      <c r="J523" s="6">
        <v>216.47</v>
      </c>
      <c r="L523">
        <v>19</v>
      </c>
      <c r="M523" s="5">
        <v>46146</v>
      </c>
      <c r="N523" t="s">
        <v>168</v>
      </c>
      <c r="O523">
        <v>22</v>
      </c>
      <c r="P523" s="6">
        <v>43.85</v>
      </c>
      <c r="Q523" s="6">
        <v>4</v>
      </c>
      <c r="R523" s="6">
        <v>0</v>
      </c>
      <c r="S523" s="6">
        <v>4.5999999999999996</v>
      </c>
      <c r="T523" s="6">
        <v>44.45</v>
      </c>
    </row>
    <row r="524" spans="2:20" ht="18.75">
      <c r="B524">
        <v>49</v>
      </c>
      <c r="C524" s="5">
        <v>45992</v>
      </c>
      <c r="D524" t="s">
        <v>113</v>
      </c>
      <c r="E524">
        <v>99</v>
      </c>
      <c r="F524" s="6">
        <v>353.38</v>
      </c>
      <c r="G524" s="6">
        <v>0</v>
      </c>
      <c r="H524" s="6">
        <v>0</v>
      </c>
      <c r="I524" s="6">
        <v>1.19</v>
      </c>
      <c r="J524" s="6">
        <v>354.57</v>
      </c>
      <c r="L524">
        <v>19</v>
      </c>
      <c r="M524" s="5">
        <v>46146</v>
      </c>
      <c r="N524" t="s">
        <v>165</v>
      </c>
      <c r="O524">
        <v>33</v>
      </c>
      <c r="P524" s="6">
        <v>280.23</v>
      </c>
      <c r="Q524" s="6">
        <v>0</v>
      </c>
      <c r="R524" s="6">
        <v>0</v>
      </c>
      <c r="S524" s="6">
        <v>15.72</v>
      </c>
      <c r="T524" s="6">
        <v>295.95</v>
      </c>
    </row>
    <row r="525" spans="2:20" ht="18.75">
      <c r="B525">
        <v>49</v>
      </c>
      <c r="C525" s="5">
        <v>45992</v>
      </c>
      <c r="D525" t="s">
        <v>120</v>
      </c>
      <c r="E525">
        <v>49</v>
      </c>
      <c r="F525" s="6">
        <v>234.7</v>
      </c>
      <c r="G525" s="6">
        <v>0</v>
      </c>
      <c r="H525" s="6">
        <v>7.2</v>
      </c>
      <c r="I525" s="6">
        <v>4.8600000000000003</v>
      </c>
      <c r="J525" s="6">
        <v>239.56</v>
      </c>
      <c r="L525">
        <v>19</v>
      </c>
      <c r="M525" s="5">
        <v>46146</v>
      </c>
      <c r="N525" t="s">
        <v>172</v>
      </c>
      <c r="O525">
        <v>5</v>
      </c>
      <c r="P525" s="6">
        <v>16.75</v>
      </c>
      <c r="Q525" s="6">
        <v>0</v>
      </c>
      <c r="R525" s="6">
        <v>0</v>
      </c>
      <c r="S525" s="6">
        <v>0</v>
      </c>
      <c r="T525" s="6">
        <v>16.75</v>
      </c>
    </row>
    <row r="526" spans="2:20" ht="18.75">
      <c r="B526">
        <v>49</v>
      </c>
      <c r="C526" s="5">
        <v>45992</v>
      </c>
      <c r="D526" t="s">
        <v>134</v>
      </c>
      <c r="E526">
        <v>84</v>
      </c>
      <c r="F526" s="6">
        <v>470.63</v>
      </c>
      <c r="G526" s="6">
        <v>0</v>
      </c>
      <c r="H526" s="6">
        <v>5.21</v>
      </c>
      <c r="I526" s="6">
        <v>0</v>
      </c>
      <c r="J526" s="6">
        <v>470.63</v>
      </c>
      <c r="L526">
        <v>19</v>
      </c>
      <c r="M526" s="5">
        <v>46146</v>
      </c>
      <c r="N526" t="s">
        <v>164</v>
      </c>
      <c r="O526">
        <v>2</v>
      </c>
      <c r="P526" s="6">
        <v>7.5</v>
      </c>
      <c r="Q526" s="6">
        <v>0</v>
      </c>
      <c r="R526" s="6">
        <v>0</v>
      </c>
      <c r="S526" s="6">
        <v>0</v>
      </c>
      <c r="T526" s="6">
        <v>7.5</v>
      </c>
    </row>
    <row r="527" spans="2:20" ht="18.75">
      <c r="B527">
        <v>49</v>
      </c>
      <c r="C527" s="5">
        <v>45992</v>
      </c>
      <c r="D527" t="s">
        <v>125</v>
      </c>
      <c r="E527">
        <v>23</v>
      </c>
      <c r="F527" s="6">
        <v>97.05</v>
      </c>
      <c r="G527" s="6">
        <v>0</v>
      </c>
      <c r="H527" s="6">
        <v>0</v>
      </c>
      <c r="I527" s="6">
        <v>0</v>
      </c>
      <c r="J527" s="6">
        <v>97.05</v>
      </c>
      <c r="L527">
        <v>19</v>
      </c>
      <c r="M527" s="5">
        <v>46146</v>
      </c>
      <c r="N527" t="s">
        <v>206</v>
      </c>
      <c r="O527">
        <v>67</v>
      </c>
      <c r="P527" s="6">
        <v>201</v>
      </c>
      <c r="Q527" s="6">
        <v>0</v>
      </c>
      <c r="R527" s="6">
        <v>0</v>
      </c>
      <c r="S527" s="6">
        <v>0</v>
      </c>
      <c r="T527" s="6">
        <v>201</v>
      </c>
    </row>
    <row r="528" spans="2:20" ht="18.75">
      <c r="B528">
        <v>49</v>
      </c>
      <c r="C528" s="5">
        <v>45992</v>
      </c>
      <c r="D528" t="s">
        <v>128</v>
      </c>
      <c r="E528">
        <v>50</v>
      </c>
      <c r="F528" s="6">
        <v>254.9</v>
      </c>
      <c r="G528" s="6">
        <v>18.239999999999998</v>
      </c>
      <c r="H528" s="6">
        <v>4.21</v>
      </c>
      <c r="I528" s="6">
        <v>2.48</v>
      </c>
      <c r="J528" s="6">
        <v>239.14</v>
      </c>
      <c r="L528">
        <v>19</v>
      </c>
      <c r="M528" s="5">
        <v>46146</v>
      </c>
      <c r="N528" t="s">
        <v>174</v>
      </c>
      <c r="O528">
        <v>1</v>
      </c>
      <c r="P528" s="6">
        <v>8.9499999999999993</v>
      </c>
      <c r="Q528" s="6">
        <v>0</v>
      </c>
      <c r="R528" s="6">
        <v>0</v>
      </c>
      <c r="S528" s="6">
        <v>0</v>
      </c>
      <c r="T528" s="6">
        <v>8.9499999999999993</v>
      </c>
    </row>
    <row r="529" spans="2:20" ht="18.75">
      <c r="B529">
        <v>49</v>
      </c>
      <c r="C529" s="5">
        <v>45992</v>
      </c>
      <c r="D529" t="s">
        <v>127</v>
      </c>
      <c r="E529">
        <v>96</v>
      </c>
      <c r="F529" s="6">
        <v>397.42</v>
      </c>
      <c r="G529" s="6">
        <v>0</v>
      </c>
      <c r="H529" s="6">
        <v>17.989999999999998</v>
      </c>
      <c r="I529" s="6">
        <v>1</v>
      </c>
      <c r="J529" s="6">
        <v>398.42</v>
      </c>
      <c r="L529">
        <v>22</v>
      </c>
      <c r="M529" s="5">
        <v>46167</v>
      </c>
      <c r="N529" t="s">
        <v>169</v>
      </c>
      <c r="O529">
        <v>930</v>
      </c>
      <c r="P529" s="6">
        <v>2344.28999999999</v>
      </c>
      <c r="Q529" s="6">
        <v>0</v>
      </c>
      <c r="R529" s="6">
        <v>39.39</v>
      </c>
      <c r="S529" s="6">
        <v>78.77</v>
      </c>
      <c r="T529" s="6">
        <v>2423.0599999999899</v>
      </c>
    </row>
    <row r="530" spans="2:20" ht="18.75">
      <c r="B530">
        <v>49</v>
      </c>
      <c r="C530" s="5">
        <v>45992</v>
      </c>
      <c r="D530" t="s">
        <v>145</v>
      </c>
      <c r="E530">
        <v>85</v>
      </c>
      <c r="F530" s="6">
        <v>531.49</v>
      </c>
      <c r="G530" s="6">
        <v>0</v>
      </c>
      <c r="H530" s="6">
        <v>1.2</v>
      </c>
      <c r="I530" s="6">
        <v>0</v>
      </c>
      <c r="J530" s="6">
        <v>531.49</v>
      </c>
      <c r="L530">
        <v>22</v>
      </c>
      <c r="M530" s="5">
        <v>46167</v>
      </c>
      <c r="N530" t="s">
        <v>160</v>
      </c>
      <c r="O530">
        <v>963</v>
      </c>
      <c r="P530" s="6">
        <v>6519.6099999999597</v>
      </c>
      <c r="Q530" s="6">
        <v>5.99</v>
      </c>
      <c r="R530" s="6">
        <v>224.03</v>
      </c>
      <c r="S530" s="6">
        <v>231.29</v>
      </c>
      <c r="T530" s="6">
        <v>6744.9099999999598</v>
      </c>
    </row>
    <row r="531" spans="2:20" ht="18.75">
      <c r="B531">
        <v>49</v>
      </c>
      <c r="C531" s="5">
        <v>45992</v>
      </c>
      <c r="D531" t="s">
        <v>142</v>
      </c>
      <c r="E531">
        <v>48</v>
      </c>
      <c r="F531" s="6">
        <v>235</v>
      </c>
      <c r="G531" s="6">
        <v>0</v>
      </c>
      <c r="H531" s="6">
        <v>16.28</v>
      </c>
      <c r="I531" s="6">
        <v>2.48</v>
      </c>
      <c r="J531" s="6">
        <v>237.48</v>
      </c>
      <c r="L531">
        <v>22</v>
      </c>
      <c r="M531" s="5">
        <v>46167</v>
      </c>
      <c r="N531" t="s">
        <v>204</v>
      </c>
      <c r="O531">
        <v>473</v>
      </c>
      <c r="P531" s="6">
        <v>969.58</v>
      </c>
      <c r="Q531" s="6">
        <v>3.05</v>
      </c>
      <c r="R531" s="6">
        <v>1.1000000000000001</v>
      </c>
      <c r="S531" s="6">
        <v>107.88</v>
      </c>
      <c r="T531" s="6">
        <v>1074.4100000000001</v>
      </c>
    </row>
    <row r="532" spans="2:20" ht="18.75">
      <c r="B532">
        <v>49</v>
      </c>
      <c r="C532" s="5">
        <v>45992</v>
      </c>
      <c r="D532" t="s">
        <v>114</v>
      </c>
      <c r="E532">
        <v>80</v>
      </c>
      <c r="F532" s="6">
        <v>347.08</v>
      </c>
      <c r="G532" s="6">
        <v>0</v>
      </c>
      <c r="H532" s="6">
        <v>3.64</v>
      </c>
      <c r="I532" s="6">
        <v>117.09</v>
      </c>
      <c r="J532" s="6">
        <v>464.17</v>
      </c>
      <c r="L532">
        <v>22</v>
      </c>
      <c r="M532" s="5">
        <v>46167</v>
      </c>
      <c r="N532" t="s">
        <v>209</v>
      </c>
      <c r="O532">
        <v>64</v>
      </c>
      <c r="P532" s="6">
        <v>113.52</v>
      </c>
      <c r="Q532" s="6">
        <v>0</v>
      </c>
      <c r="R532" s="6">
        <v>21.12</v>
      </c>
      <c r="S532" s="6">
        <v>6.16</v>
      </c>
      <c r="T532" s="6">
        <v>119.68</v>
      </c>
    </row>
    <row r="533" spans="2:20" ht="18.75">
      <c r="B533">
        <v>49</v>
      </c>
      <c r="C533" s="5">
        <v>45992</v>
      </c>
      <c r="D533" t="s">
        <v>151</v>
      </c>
      <c r="E533">
        <v>155</v>
      </c>
      <c r="F533" s="6">
        <v>785.52</v>
      </c>
      <c r="G533" s="6">
        <v>0</v>
      </c>
      <c r="H533" s="6">
        <v>1.46</v>
      </c>
      <c r="I533" s="6">
        <v>91.05</v>
      </c>
      <c r="J533" s="6">
        <v>876.57</v>
      </c>
      <c r="L533">
        <v>22</v>
      </c>
      <c r="M533" s="5">
        <v>46167</v>
      </c>
      <c r="N533" t="s">
        <v>163</v>
      </c>
      <c r="O533">
        <v>233</v>
      </c>
      <c r="P533" s="6">
        <v>454.06999999999903</v>
      </c>
      <c r="Q533" s="6">
        <v>0</v>
      </c>
      <c r="R533" s="6">
        <v>0</v>
      </c>
      <c r="S533" s="6">
        <v>42.73</v>
      </c>
      <c r="T533" s="6">
        <v>496.79999999999899</v>
      </c>
    </row>
    <row r="534" spans="2:20" ht="18.75">
      <c r="B534">
        <v>49</v>
      </c>
      <c r="C534" s="5">
        <v>45992</v>
      </c>
      <c r="D534" t="s">
        <v>132</v>
      </c>
      <c r="E534">
        <v>87</v>
      </c>
      <c r="F534" s="6">
        <v>356.81</v>
      </c>
      <c r="G534" s="6">
        <v>0</v>
      </c>
      <c r="H534" s="6">
        <v>2.36</v>
      </c>
      <c r="I534" s="6">
        <v>4.96</v>
      </c>
      <c r="J534" s="6">
        <v>361.77</v>
      </c>
      <c r="L534">
        <v>22</v>
      </c>
      <c r="M534" s="5">
        <v>46167</v>
      </c>
      <c r="N534" t="s">
        <v>165</v>
      </c>
      <c r="O534">
        <v>37</v>
      </c>
      <c r="P534" s="6">
        <v>324.87</v>
      </c>
      <c r="Q534" s="6">
        <v>0</v>
      </c>
      <c r="R534" s="6">
        <v>0</v>
      </c>
      <c r="S534" s="6">
        <v>11.4</v>
      </c>
      <c r="T534" s="6">
        <v>336.27</v>
      </c>
    </row>
    <row r="535" spans="2:20" ht="18.75">
      <c r="B535">
        <v>49</v>
      </c>
      <c r="C535" s="5">
        <v>45992</v>
      </c>
      <c r="D535" t="s">
        <v>116</v>
      </c>
      <c r="E535">
        <v>34</v>
      </c>
      <c r="F535" s="6">
        <v>135.87</v>
      </c>
      <c r="G535" s="6">
        <v>0</v>
      </c>
      <c r="H535" s="6">
        <v>3.87</v>
      </c>
      <c r="I535" s="6">
        <v>0</v>
      </c>
      <c r="J535" s="6">
        <v>135.87</v>
      </c>
      <c r="L535">
        <v>22</v>
      </c>
      <c r="M535" s="5">
        <v>46167</v>
      </c>
      <c r="N535" t="s">
        <v>173</v>
      </c>
      <c r="O535">
        <v>126</v>
      </c>
      <c r="P535" s="6">
        <v>605.32000000000005</v>
      </c>
      <c r="Q535" s="6">
        <v>0</v>
      </c>
      <c r="R535" s="6">
        <v>0</v>
      </c>
      <c r="S535" s="6">
        <v>28.34</v>
      </c>
      <c r="T535" s="6">
        <v>633.66</v>
      </c>
    </row>
    <row r="536" spans="2:20" ht="18.75">
      <c r="B536">
        <v>49</v>
      </c>
      <c r="C536" s="5">
        <v>45992</v>
      </c>
      <c r="D536" t="s">
        <v>111</v>
      </c>
      <c r="E536">
        <v>53</v>
      </c>
      <c r="F536" s="6">
        <v>263.19</v>
      </c>
      <c r="G536" s="6">
        <v>0</v>
      </c>
      <c r="H536" s="6">
        <v>4.4800000000000004</v>
      </c>
      <c r="I536" s="6">
        <v>0</v>
      </c>
      <c r="J536" s="6">
        <v>263.19</v>
      </c>
      <c r="L536">
        <v>22</v>
      </c>
      <c r="M536" s="5">
        <v>46167</v>
      </c>
      <c r="N536" t="s">
        <v>176</v>
      </c>
      <c r="O536">
        <v>96</v>
      </c>
      <c r="P536" s="6">
        <v>202.96</v>
      </c>
      <c r="Q536" s="6">
        <v>0</v>
      </c>
      <c r="R536" s="6">
        <v>0</v>
      </c>
      <c r="S536" s="6">
        <v>14.9</v>
      </c>
      <c r="T536" s="6">
        <v>217.86</v>
      </c>
    </row>
    <row r="537" spans="2:20" ht="18.75">
      <c r="B537">
        <v>49</v>
      </c>
      <c r="C537" s="5">
        <v>45992</v>
      </c>
      <c r="D537" t="s">
        <v>148</v>
      </c>
      <c r="E537">
        <v>29</v>
      </c>
      <c r="F537" s="6">
        <v>177.02</v>
      </c>
      <c r="G537" s="6">
        <v>0</v>
      </c>
      <c r="H537" s="6">
        <v>0</v>
      </c>
      <c r="I537" s="6">
        <v>10.1</v>
      </c>
      <c r="J537" s="6">
        <v>187.12</v>
      </c>
      <c r="L537">
        <v>22</v>
      </c>
      <c r="M537" s="5">
        <v>46167</v>
      </c>
      <c r="N537" t="s">
        <v>171</v>
      </c>
      <c r="O537">
        <v>55</v>
      </c>
      <c r="P537" s="6">
        <v>356.47</v>
      </c>
      <c r="Q537" s="6">
        <v>0</v>
      </c>
      <c r="R537" s="6">
        <v>34</v>
      </c>
      <c r="S537" s="6">
        <v>47.94</v>
      </c>
      <c r="T537" s="6">
        <v>404.41</v>
      </c>
    </row>
    <row r="538" spans="2:20" ht="18.75">
      <c r="B538">
        <v>49</v>
      </c>
      <c r="C538" s="5">
        <v>45992</v>
      </c>
      <c r="D538" t="s">
        <v>119</v>
      </c>
      <c r="E538">
        <v>149</v>
      </c>
      <c r="F538" s="6">
        <v>596.79999999999995</v>
      </c>
      <c r="G538" s="6">
        <v>0</v>
      </c>
      <c r="H538" s="6">
        <v>16.88</v>
      </c>
      <c r="I538" s="6">
        <v>0</v>
      </c>
      <c r="J538" s="6">
        <v>596.79999999999995</v>
      </c>
      <c r="L538">
        <v>22</v>
      </c>
      <c r="M538" s="5">
        <v>46167</v>
      </c>
      <c r="N538" t="s">
        <v>174</v>
      </c>
      <c r="O538">
        <v>82</v>
      </c>
      <c r="P538" s="6">
        <v>569.1</v>
      </c>
      <c r="Q538" s="6">
        <v>0</v>
      </c>
      <c r="R538" s="6">
        <v>32.04</v>
      </c>
      <c r="S538" s="6">
        <v>20.3</v>
      </c>
      <c r="T538" s="6">
        <v>589.4</v>
      </c>
    </row>
    <row r="539" spans="2:20" ht="18.75">
      <c r="B539">
        <v>49</v>
      </c>
      <c r="C539" s="5">
        <v>45992</v>
      </c>
      <c r="D539" t="s">
        <v>112</v>
      </c>
      <c r="E539">
        <v>19</v>
      </c>
      <c r="F539" s="6">
        <v>61.92</v>
      </c>
      <c r="G539" s="6">
        <v>0</v>
      </c>
      <c r="H539" s="6">
        <v>0</v>
      </c>
      <c r="I539" s="6">
        <v>0</v>
      </c>
      <c r="J539" s="6">
        <v>61.92</v>
      </c>
      <c r="L539">
        <v>22</v>
      </c>
      <c r="M539" s="5">
        <v>46167</v>
      </c>
      <c r="N539" t="s">
        <v>198</v>
      </c>
      <c r="O539">
        <v>61</v>
      </c>
      <c r="P539" s="6">
        <v>492.5</v>
      </c>
      <c r="Q539" s="6">
        <v>0</v>
      </c>
      <c r="R539" s="6">
        <v>26.18</v>
      </c>
      <c r="S539" s="6">
        <v>60.82</v>
      </c>
      <c r="T539" s="6">
        <v>553.32000000000005</v>
      </c>
    </row>
    <row r="540" spans="2:20" ht="18.75">
      <c r="B540">
        <v>49</v>
      </c>
      <c r="C540" s="5">
        <v>45992</v>
      </c>
      <c r="D540" t="s">
        <v>122</v>
      </c>
      <c r="E540">
        <v>87</v>
      </c>
      <c r="F540" s="6">
        <v>439.71</v>
      </c>
      <c r="G540" s="6">
        <v>0</v>
      </c>
      <c r="H540" s="6">
        <v>16.39</v>
      </c>
      <c r="I540" s="6">
        <v>0</v>
      </c>
      <c r="J540" s="6">
        <v>439.71</v>
      </c>
      <c r="L540">
        <v>22</v>
      </c>
      <c r="M540" s="5">
        <v>46167</v>
      </c>
      <c r="N540" t="s">
        <v>167</v>
      </c>
      <c r="O540">
        <v>7</v>
      </c>
      <c r="P540" s="6">
        <v>69.3</v>
      </c>
      <c r="Q540" s="6">
        <v>0</v>
      </c>
      <c r="R540" s="6">
        <v>0</v>
      </c>
      <c r="S540" s="6">
        <v>0</v>
      </c>
      <c r="T540" s="6">
        <v>69.3</v>
      </c>
    </row>
    <row r="541" spans="2:20" ht="18.75">
      <c r="B541">
        <v>49</v>
      </c>
      <c r="C541" s="5">
        <v>45992</v>
      </c>
      <c r="D541" t="s">
        <v>137</v>
      </c>
      <c r="E541">
        <v>12</v>
      </c>
      <c r="F541" s="6">
        <v>43.49</v>
      </c>
      <c r="G541" s="6">
        <v>0</v>
      </c>
      <c r="H541" s="6">
        <v>1.64</v>
      </c>
      <c r="I541" s="6">
        <v>17.899999999999999</v>
      </c>
      <c r="J541" s="6">
        <v>61.39</v>
      </c>
      <c r="L541">
        <v>22</v>
      </c>
      <c r="M541" s="5">
        <v>46167</v>
      </c>
      <c r="N541" t="s">
        <v>170</v>
      </c>
      <c r="O541">
        <v>3</v>
      </c>
      <c r="P541" s="6">
        <v>9</v>
      </c>
      <c r="Q541" s="6">
        <v>0</v>
      </c>
      <c r="R541" s="6">
        <v>1.8</v>
      </c>
      <c r="S541" s="6">
        <v>0</v>
      </c>
      <c r="T541" s="6">
        <v>9</v>
      </c>
    </row>
    <row r="542" spans="2:20" ht="18.75">
      <c r="B542">
        <v>49</v>
      </c>
      <c r="C542" s="5">
        <v>45992</v>
      </c>
      <c r="D542" t="s">
        <v>136</v>
      </c>
      <c r="E542">
        <v>25</v>
      </c>
      <c r="F542" s="6">
        <v>71.36</v>
      </c>
      <c r="G542" s="6">
        <v>0</v>
      </c>
      <c r="H542" s="6">
        <v>0</v>
      </c>
      <c r="I542" s="6">
        <v>18.96</v>
      </c>
      <c r="J542" s="6">
        <v>90.32</v>
      </c>
      <c r="L542">
        <v>22</v>
      </c>
      <c r="M542" s="5">
        <v>46167</v>
      </c>
      <c r="N542" t="s">
        <v>206</v>
      </c>
      <c r="O542">
        <v>58</v>
      </c>
      <c r="P542" s="6">
        <v>174</v>
      </c>
      <c r="Q542" s="6">
        <v>0</v>
      </c>
      <c r="R542" s="6">
        <v>0</v>
      </c>
      <c r="S542" s="6">
        <v>0</v>
      </c>
      <c r="T542" s="6">
        <v>174</v>
      </c>
    </row>
    <row r="543" spans="2:20" ht="18.75">
      <c r="B543">
        <v>49</v>
      </c>
      <c r="C543" s="5">
        <v>45992</v>
      </c>
      <c r="D543" t="s">
        <v>135</v>
      </c>
      <c r="E543">
        <v>20</v>
      </c>
      <c r="F543" s="6">
        <v>61.26</v>
      </c>
      <c r="G543" s="6">
        <v>0</v>
      </c>
      <c r="H543" s="6">
        <v>0.56000000000000005</v>
      </c>
      <c r="I543" s="6">
        <v>19.64</v>
      </c>
      <c r="J543" s="6">
        <v>80.900000000000006</v>
      </c>
      <c r="L543">
        <v>22</v>
      </c>
      <c r="M543" s="5">
        <v>46167</v>
      </c>
      <c r="N543" t="s">
        <v>168</v>
      </c>
      <c r="O543">
        <v>5</v>
      </c>
      <c r="P543" s="6">
        <v>8.8000000000000007</v>
      </c>
      <c r="Q543" s="6">
        <v>0</v>
      </c>
      <c r="R543" s="6">
        <v>0</v>
      </c>
      <c r="S543" s="6">
        <v>0</v>
      </c>
      <c r="T543" s="6">
        <v>8.8000000000000007</v>
      </c>
    </row>
    <row r="544" spans="2:20" ht="18.75">
      <c r="B544">
        <v>49</v>
      </c>
      <c r="C544" s="5">
        <v>45992</v>
      </c>
      <c r="D544" t="s">
        <v>140</v>
      </c>
      <c r="E544">
        <v>35</v>
      </c>
      <c r="F544" s="6">
        <v>122.59</v>
      </c>
      <c r="G544" s="6">
        <v>0</v>
      </c>
      <c r="H544" s="6">
        <v>1.44</v>
      </c>
      <c r="I544" s="6">
        <v>0</v>
      </c>
      <c r="J544" s="6">
        <v>122.59</v>
      </c>
      <c r="L544">
        <v>22</v>
      </c>
      <c r="M544" s="5">
        <v>46167</v>
      </c>
      <c r="N544" t="s">
        <v>184</v>
      </c>
      <c r="O544">
        <v>1</v>
      </c>
      <c r="P544" s="6">
        <v>2.4</v>
      </c>
      <c r="Q544" s="6">
        <v>0</v>
      </c>
      <c r="R544" s="6">
        <v>0</v>
      </c>
      <c r="S544" s="6">
        <v>0.8</v>
      </c>
      <c r="T544" s="6">
        <v>3.2</v>
      </c>
    </row>
    <row r="545" spans="2:20" ht="18.75">
      <c r="B545">
        <v>49</v>
      </c>
      <c r="C545" s="5">
        <v>45992</v>
      </c>
      <c r="D545" t="s">
        <v>126</v>
      </c>
      <c r="E545">
        <v>14</v>
      </c>
      <c r="F545" s="6">
        <v>76.36</v>
      </c>
      <c r="G545" s="6">
        <v>0</v>
      </c>
      <c r="H545" s="6">
        <v>0</v>
      </c>
      <c r="I545" s="6">
        <v>0</v>
      </c>
      <c r="J545" s="6">
        <v>76.36</v>
      </c>
      <c r="L545">
        <v>23</v>
      </c>
      <c r="M545" s="5">
        <v>46174</v>
      </c>
      <c r="N545" t="s">
        <v>173</v>
      </c>
      <c r="O545">
        <v>276</v>
      </c>
      <c r="P545" s="6">
        <v>1334.3300000000063</v>
      </c>
      <c r="Q545" s="6">
        <v>0</v>
      </c>
      <c r="R545" s="6">
        <v>5</v>
      </c>
      <c r="S545" s="6">
        <v>66.830000000000013</v>
      </c>
      <c r="T545" s="6">
        <v>1401.1600000000062</v>
      </c>
    </row>
    <row r="546" spans="2:20" ht="18.75">
      <c r="B546">
        <v>49</v>
      </c>
      <c r="C546" s="5">
        <v>45992</v>
      </c>
      <c r="D546" t="s">
        <v>150</v>
      </c>
      <c r="E546">
        <v>16</v>
      </c>
      <c r="F546" s="6">
        <v>91.94</v>
      </c>
      <c r="G546" s="6">
        <v>0</v>
      </c>
      <c r="H546" s="6">
        <v>3.53</v>
      </c>
      <c r="I546" s="6">
        <v>0</v>
      </c>
      <c r="J546" s="6">
        <v>91.94</v>
      </c>
      <c r="L546">
        <v>23</v>
      </c>
      <c r="M546" s="5">
        <v>46174</v>
      </c>
      <c r="N546" t="s">
        <v>169</v>
      </c>
      <c r="O546">
        <v>1126</v>
      </c>
      <c r="P546" s="6">
        <v>2925.6499999999869</v>
      </c>
      <c r="Q546" s="6">
        <v>0</v>
      </c>
      <c r="R546" s="6">
        <v>30.639999999999997</v>
      </c>
      <c r="S546" s="6">
        <v>101.58000000000006</v>
      </c>
      <c r="T546" s="6">
        <v>3027.2299999999868</v>
      </c>
    </row>
    <row r="547" spans="2:20" ht="18.75">
      <c r="B547">
        <v>50</v>
      </c>
      <c r="C547" s="5">
        <v>45999</v>
      </c>
      <c r="D547" t="s">
        <v>119</v>
      </c>
      <c r="E547">
        <v>145</v>
      </c>
      <c r="F547" s="6">
        <v>604.04</v>
      </c>
      <c r="G547" s="6">
        <v>0</v>
      </c>
      <c r="H547" s="6">
        <v>11.96</v>
      </c>
      <c r="I547" s="6">
        <v>0</v>
      </c>
      <c r="J547" s="6">
        <v>604.04</v>
      </c>
      <c r="L547">
        <v>23</v>
      </c>
      <c r="M547" s="5">
        <v>46174</v>
      </c>
      <c r="N547" t="s">
        <v>160</v>
      </c>
      <c r="O547">
        <v>1203</v>
      </c>
      <c r="P547" s="6">
        <v>8175.9699999999439</v>
      </c>
      <c r="Q547" s="6">
        <v>18.22</v>
      </c>
      <c r="R547" s="6">
        <v>154.07999999999998</v>
      </c>
      <c r="S547" s="6">
        <v>201.63000000000011</v>
      </c>
      <c r="T547" s="6">
        <v>8359.3799999999446</v>
      </c>
    </row>
    <row r="548" spans="2:20" ht="18.75">
      <c r="B548">
        <v>50</v>
      </c>
      <c r="C548" s="5">
        <v>45999</v>
      </c>
      <c r="D548" t="s">
        <v>123</v>
      </c>
      <c r="E548">
        <v>195</v>
      </c>
      <c r="F548" s="6">
        <v>796.29</v>
      </c>
      <c r="G548" s="6">
        <v>3.65</v>
      </c>
      <c r="H548" s="6">
        <v>22.05</v>
      </c>
      <c r="I548" s="6">
        <v>0</v>
      </c>
      <c r="J548" s="6">
        <v>792.64</v>
      </c>
      <c r="L548">
        <v>23</v>
      </c>
      <c r="M548" s="5">
        <v>46174</v>
      </c>
      <c r="N548" t="s">
        <v>163</v>
      </c>
      <c r="O548">
        <v>198</v>
      </c>
      <c r="P548" s="6">
        <v>402.6199999999991</v>
      </c>
      <c r="Q548" s="6">
        <v>0</v>
      </c>
      <c r="R548" s="6">
        <v>0</v>
      </c>
      <c r="S548" s="6">
        <v>20.98</v>
      </c>
      <c r="T548" s="6">
        <v>423.59999999999911</v>
      </c>
    </row>
    <row r="549" spans="2:20" ht="18.75">
      <c r="B549">
        <v>50</v>
      </c>
      <c r="C549" s="5">
        <v>45999</v>
      </c>
      <c r="D549" t="s">
        <v>143</v>
      </c>
      <c r="E549">
        <v>549</v>
      </c>
      <c r="F549" s="6">
        <v>2542.87</v>
      </c>
      <c r="G549" s="6">
        <v>0</v>
      </c>
      <c r="H549" s="6">
        <v>39.19</v>
      </c>
      <c r="I549" s="6">
        <v>0</v>
      </c>
      <c r="J549" s="6">
        <v>2542.87</v>
      </c>
      <c r="L549">
        <v>23</v>
      </c>
      <c r="M549" s="5">
        <v>46174</v>
      </c>
      <c r="N549" t="s">
        <v>204</v>
      </c>
      <c r="O549">
        <v>448</v>
      </c>
      <c r="P549" s="6">
        <v>946.4199999999995</v>
      </c>
      <c r="Q549" s="6">
        <v>0</v>
      </c>
      <c r="R549" s="6">
        <v>0</v>
      </c>
      <c r="S549" s="6">
        <v>98.010000000000019</v>
      </c>
      <c r="T549" s="6">
        <v>1044.4299999999996</v>
      </c>
    </row>
    <row r="550" spans="2:20" ht="18.75">
      <c r="B550">
        <v>50</v>
      </c>
      <c r="C550" s="5">
        <v>45999</v>
      </c>
      <c r="D550" t="s">
        <v>124</v>
      </c>
      <c r="E550">
        <v>130</v>
      </c>
      <c r="F550" s="6">
        <v>510.23</v>
      </c>
      <c r="G550" s="6">
        <v>4.95</v>
      </c>
      <c r="H550" s="6">
        <v>12.93</v>
      </c>
      <c r="I550" s="6">
        <v>0</v>
      </c>
      <c r="J550" s="6">
        <v>505.28</v>
      </c>
      <c r="L550">
        <v>23</v>
      </c>
      <c r="M550" s="5">
        <v>46174</v>
      </c>
      <c r="N550" t="s">
        <v>174</v>
      </c>
      <c r="O550">
        <v>168</v>
      </c>
      <c r="P550" s="6">
        <v>1017.9799999999992</v>
      </c>
      <c r="Q550" s="6">
        <v>0</v>
      </c>
      <c r="R550" s="6">
        <v>45.44</v>
      </c>
      <c r="S550" s="6">
        <v>130.69999999999996</v>
      </c>
      <c r="T550" s="6">
        <v>1148.6799999999992</v>
      </c>
    </row>
    <row r="551" spans="2:20" ht="18.75">
      <c r="B551">
        <v>50</v>
      </c>
      <c r="C551" s="5">
        <v>45999</v>
      </c>
      <c r="D551" t="s">
        <v>117</v>
      </c>
      <c r="E551">
        <v>64</v>
      </c>
      <c r="F551" s="6">
        <v>343.41</v>
      </c>
      <c r="G551" s="6">
        <v>0</v>
      </c>
      <c r="H551" s="6">
        <v>14.82</v>
      </c>
      <c r="I551" s="6">
        <v>2.38</v>
      </c>
      <c r="J551" s="6">
        <v>345.79</v>
      </c>
      <c r="L551">
        <v>23</v>
      </c>
      <c r="M551" s="5">
        <v>46174</v>
      </c>
      <c r="N551" t="s">
        <v>209</v>
      </c>
      <c r="O551">
        <v>80</v>
      </c>
      <c r="P551" s="6">
        <v>134.40000000000012</v>
      </c>
      <c r="Q551" s="6">
        <v>0</v>
      </c>
      <c r="R551" s="6">
        <v>26.519999999999957</v>
      </c>
      <c r="S551" s="6">
        <v>15.950000000000006</v>
      </c>
      <c r="T551" s="6">
        <v>150.35000000000014</v>
      </c>
    </row>
    <row r="552" spans="2:20" ht="18.75">
      <c r="B552">
        <v>50</v>
      </c>
      <c r="C552" s="5">
        <v>45999</v>
      </c>
      <c r="D552" t="s">
        <v>149</v>
      </c>
      <c r="E552">
        <v>49</v>
      </c>
      <c r="F552" s="6">
        <v>158.97999999999999</v>
      </c>
      <c r="G552" s="6">
        <v>0</v>
      </c>
      <c r="H552" s="6">
        <v>4.18</v>
      </c>
      <c r="I552" s="6">
        <v>0</v>
      </c>
      <c r="J552" s="6">
        <v>158.97999999999999</v>
      </c>
      <c r="L552">
        <v>23</v>
      </c>
      <c r="M552" s="5">
        <v>46174</v>
      </c>
      <c r="N552" t="s">
        <v>176</v>
      </c>
      <c r="O552">
        <v>134</v>
      </c>
      <c r="P552" s="6">
        <v>284.88000000000017</v>
      </c>
      <c r="Q552" s="6">
        <v>0</v>
      </c>
      <c r="R552" s="6">
        <v>0</v>
      </c>
      <c r="S552" s="6">
        <v>17.72</v>
      </c>
      <c r="T552" s="6">
        <v>302.60000000000014</v>
      </c>
    </row>
    <row r="553" spans="2:20" ht="18.75">
      <c r="B553">
        <v>50</v>
      </c>
      <c r="C553" s="5">
        <v>45999</v>
      </c>
      <c r="D553" t="s">
        <v>139</v>
      </c>
      <c r="E553">
        <v>77</v>
      </c>
      <c r="F553" s="6">
        <v>332.68</v>
      </c>
      <c r="G553" s="6">
        <v>0</v>
      </c>
      <c r="H553" s="6">
        <v>14.18</v>
      </c>
      <c r="I553" s="6">
        <v>0</v>
      </c>
      <c r="J553" s="6">
        <v>332.68</v>
      </c>
      <c r="L553">
        <v>23</v>
      </c>
      <c r="M553" s="5">
        <v>46174</v>
      </c>
      <c r="N553" t="s">
        <v>167</v>
      </c>
      <c r="O553">
        <v>72</v>
      </c>
      <c r="P553" s="6">
        <v>615.1</v>
      </c>
      <c r="Q553" s="6">
        <v>0</v>
      </c>
      <c r="R553" s="6">
        <v>34.20000000000001</v>
      </c>
      <c r="S553" s="6">
        <v>34.699999999999996</v>
      </c>
      <c r="T553" s="6">
        <v>649.80000000000007</v>
      </c>
    </row>
    <row r="554" spans="2:20" ht="18.75">
      <c r="B554">
        <v>50</v>
      </c>
      <c r="C554" s="5">
        <v>45999</v>
      </c>
      <c r="D554" t="s">
        <v>111</v>
      </c>
      <c r="E554">
        <v>64</v>
      </c>
      <c r="F554" s="6">
        <v>263.33999999999997</v>
      </c>
      <c r="G554" s="6">
        <v>0</v>
      </c>
      <c r="H554" s="6">
        <v>2.08</v>
      </c>
      <c r="I554" s="6">
        <v>0</v>
      </c>
      <c r="J554" s="6">
        <v>263.33999999999997</v>
      </c>
      <c r="L554">
        <v>23</v>
      </c>
      <c r="M554" s="5">
        <v>46174</v>
      </c>
      <c r="N554" t="s">
        <v>198</v>
      </c>
      <c r="O554">
        <v>69</v>
      </c>
      <c r="P554" s="6">
        <v>525.68000000000018</v>
      </c>
      <c r="Q554" s="6">
        <v>0</v>
      </c>
      <c r="R554" s="6">
        <v>68.400000000000006</v>
      </c>
      <c r="S554" s="6">
        <v>28.78</v>
      </c>
      <c r="T554" s="6">
        <v>554.46000000000015</v>
      </c>
    </row>
    <row r="555" spans="2:20" ht="18.75">
      <c r="B555">
        <v>50</v>
      </c>
      <c r="C555" s="5">
        <v>45999</v>
      </c>
      <c r="D555" t="s">
        <v>141</v>
      </c>
      <c r="E555">
        <v>303</v>
      </c>
      <c r="F555" s="6">
        <v>1032.1600000000001</v>
      </c>
      <c r="G555" s="6">
        <v>7.65</v>
      </c>
      <c r="H555" s="6">
        <v>10.92</v>
      </c>
      <c r="I555" s="6">
        <v>1.28</v>
      </c>
      <c r="J555" s="6">
        <v>1025.79</v>
      </c>
      <c r="L555">
        <v>23</v>
      </c>
      <c r="M555" s="5">
        <v>46174</v>
      </c>
      <c r="N555" t="s">
        <v>165</v>
      </c>
      <c r="O555">
        <v>35</v>
      </c>
      <c r="P555" s="6">
        <v>302.41000000000014</v>
      </c>
      <c r="Q555" s="6">
        <v>8.9</v>
      </c>
      <c r="R555" s="6">
        <v>0</v>
      </c>
      <c r="S555" s="6">
        <v>17.34</v>
      </c>
      <c r="T555" s="6">
        <v>310.85000000000014</v>
      </c>
    </row>
    <row r="556" spans="2:20" ht="18.75">
      <c r="B556">
        <v>50</v>
      </c>
      <c r="C556" s="5">
        <v>45999</v>
      </c>
      <c r="D556" t="s">
        <v>138</v>
      </c>
      <c r="E556">
        <v>141</v>
      </c>
      <c r="F556" s="6">
        <v>729.98</v>
      </c>
      <c r="G556" s="6">
        <v>0</v>
      </c>
      <c r="H556" s="6">
        <v>12.79</v>
      </c>
      <c r="I556" s="6">
        <v>16.25</v>
      </c>
      <c r="J556" s="6">
        <v>746.23</v>
      </c>
      <c r="L556">
        <v>23</v>
      </c>
      <c r="M556" s="5">
        <v>46174</v>
      </c>
      <c r="N556" t="s">
        <v>206</v>
      </c>
      <c r="O556">
        <v>76</v>
      </c>
      <c r="P556" s="6">
        <v>228</v>
      </c>
      <c r="Q556" s="6">
        <v>0</v>
      </c>
      <c r="R556" s="6">
        <v>0</v>
      </c>
      <c r="S556" s="6">
        <v>0</v>
      </c>
      <c r="T556" s="6">
        <v>228</v>
      </c>
    </row>
    <row r="557" spans="2:20" ht="18.75">
      <c r="B557">
        <v>50</v>
      </c>
      <c r="C557" s="5">
        <v>45999</v>
      </c>
      <c r="D557" t="s">
        <v>122</v>
      </c>
      <c r="E557">
        <v>65</v>
      </c>
      <c r="F557" s="6">
        <v>332.34</v>
      </c>
      <c r="G557" s="6">
        <v>8.99</v>
      </c>
      <c r="H557" s="6">
        <v>8.27</v>
      </c>
      <c r="I557" s="6">
        <v>0</v>
      </c>
      <c r="J557" s="6">
        <v>323.35000000000002</v>
      </c>
      <c r="L557">
        <v>23</v>
      </c>
      <c r="M557" s="5">
        <v>46174</v>
      </c>
      <c r="N557" t="s">
        <v>168</v>
      </c>
      <c r="O557">
        <v>1</v>
      </c>
      <c r="P557" s="6">
        <v>2.5</v>
      </c>
      <c r="Q557" s="6">
        <v>0</v>
      </c>
      <c r="R557" s="6">
        <v>0</v>
      </c>
      <c r="S557" s="6">
        <v>0</v>
      </c>
      <c r="T557" s="6">
        <v>2.5</v>
      </c>
    </row>
    <row r="558" spans="2:20" ht="18.75">
      <c r="B558">
        <v>50</v>
      </c>
      <c r="C558" s="5">
        <v>45999</v>
      </c>
      <c r="D558" t="s">
        <v>146</v>
      </c>
      <c r="E558">
        <v>168</v>
      </c>
      <c r="F558" s="6">
        <v>1028.3599999999999</v>
      </c>
      <c r="G558" s="6">
        <v>30.22</v>
      </c>
      <c r="H558" s="6">
        <v>25.53</v>
      </c>
      <c r="I558" s="6">
        <v>1.28</v>
      </c>
      <c r="J558" s="6">
        <v>999.42</v>
      </c>
      <c r="L558">
        <v>23</v>
      </c>
      <c r="M558" s="5">
        <v>46174</v>
      </c>
      <c r="N558" t="s">
        <v>184</v>
      </c>
      <c r="O558">
        <v>2</v>
      </c>
      <c r="P558" s="6">
        <v>5.6</v>
      </c>
      <c r="Q558" s="6">
        <v>0</v>
      </c>
      <c r="R558" s="6">
        <v>0</v>
      </c>
      <c r="S558" s="6">
        <v>0.8</v>
      </c>
      <c r="T558" s="6">
        <v>6.3999999999999995</v>
      </c>
    </row>
    <row r="559" spans="2:20" ht="18.75">
      <c r="B559">
        <v>50</v>
      </c>
      <c r="C559" s="5">
        <v>45999</v>
      </c>
      <c r="D559" t="s">
        <v>114</v>
      </c>
      <c r="E559">
        <v>79</v>
      </c>
      <c r="F559" s="6">
        <v>361.92</v>
      </c>
      <c r="G559" s="6">
        <v>0</v>
      </c>
      <c r="H559" s="6">
        <v>9.89</v>
      </c>
      <c r="I559" s="6">
        <v>124.1</v>
      </c>
      <c r="J559" s="6">
        <v>486.02</v>
      </c>
      <c r="L559">
        <v>23</v>
      </c>
      <c r="M559" s="5">
        <v>46174</v>
      </c>
      <c r="N559" t="s">
        <v>170</v>
      </c>
      <c r="O559">
        <v>4</v>
      </c>
      <c r="P559" s="6">
        <v>11.52</v>
      </c>
      <c r="Q559" s="6">
        <v>2.7</v>
      </c>
      <c r="R559" s="6">
        <v>2.88</v>
      </c>
      <c r="S559" s="6">
        <v>0</v>
      </c>
      <c r="T559" s="6">
        <v>8.82</v>
      </c>
    </row>
    <row r="560" spans="2:20" ht="18.75">
      <c r="B560">
        <v>50</v>
      </c>
      <c r="C560" s="5">
        <v>45999</v>
      </c>
      <c r="D560" t="s">
        <v>129</v>
      </c>
      <c r="E560">
        <v>146</v>
      </c>
      <c r="F560" s="6">
        <v>13.33</v>
      </c>
      <c r="G560" s="6">
        <v>0</v>
      </c>
      <c r="H560" s="6">
        <v>6.42</v>
      </c>
      <c r="I560" s="6">
        <v>634.84</v>
      </c>
      <c r="J560" s="6">
        <v>648.16999999999996</v>
      </c>
      <c r="L560">
        <v>24</v>
      </c>
      <c r="M560" s="5">
        <v>46181</v>
      </c>
      <c r="N560" t="s">
        <v>169</v>
      </c>
      <c r="O560">
        <v>1079</v>
      </c>
      <c r="P560" s="6">
        <v>2766.679999999993</v>
      </c>
      <c r="Q560" s="6">
        <v>0</v>
      </c>
      <c r="R560" s="6">
        <v>23.999999999999989</v>
      </c>
      <c r="S560" s="6">
        <v>82.840000000000046</v>
      </c>
      <c r="T560" s="6">
        <v>2849.5199999999932</v>
      </c>
    </row>
    <row r="561" spans="2:20" ht="18.75">
      <c r="B561">
        <v>50</v>
      </c>
      <c r="C561" s="5">
        <v>45999</v>
      </c>
      <c r="D561" t="s">
        <v>150</v>
      </c>
      <c r="E561">
        <v>13</v>
      </c>
      <c r="F561" s="6">
        <v>81.87</v>
      </c>
      <c r="G561" s="6">
        <v>0</v>
      </c>
      <c r="H561" s="6">
        <v>0.44</v>
      </c>
      <c r="I561" s="6">
        <v>0</v>
      </c>
      <c r="J561" s="6">
        <v>81.87</v>
      </c>
      <c r="L561">
        <v>24</v>
      </c>
      <c r="M561" s="5">
        <v>46181</v>
      </c>
      <c r="N561" t="s">
        <v>160</v>
      </c>
      <c r="O561">
        <v>1191</v>
      </c>
      <c r="P561" s="6">
        <v>8092.9799999999286</v>
      </c>
      <c r="Q561" s="6">
        <v>4.99</v>
      </c>
      <c r="R561" s="6">
        <v>327.46999999999974</v>
      </c>
      <c r="S561" s="6">
        <v>244.5800000000001</v>
      </c>
      <c r="T561" s="6">
        <v>8332.5699999999288</v>
      </c>
    </row>
    <row r="562" spans="2:20" ht="18.75">
      <c r="B562">
        <v>50</v>
      </c>
      <c r="C562" s="5">
        <v>45999</v>
      </c>
      <c r="D562" t="s">
        <v>136</v>
      </c>
      <c r="E562">
        <v>37</v>
      </c>
      <c r="F562" s="6">
        <v>119.32</v>
      </c>
      <c r="G562" s="6">
        <v>0</v>
      </c>
      <c r="H562" s="6">
        <v>3.94</v>
      </c>
      <c r="I562" s="6">
        <v>27.42</v>
      </c>
      <c r="J562" s="6">
        <v>146.74</v>
      </c>
      <c r="L562">
        <v>24</v>
      </c>
      <c r="M562" s="5">
        <v>46181</v>
      </c>
      <c r="N562" t="s">
        <v>176</v>
      </c>
      <c r="O562">
        <v>118</v>
      </c>
      <c r="P562" s="6">
        <v>257.18000000000006</v>
      </c>
      <c r="Q562" s="6">
        <v>0</v>
      </c>
      <c r="R562" s="6">
        <v>0</v>
      </c>
      <c r="S562" s="6">
        <v>9.620000000000001</v>
      </c>
      <c r="T562" s="6">
        <v>266.80000000000007</v>
      </c>
    </row>
    <row r="563" spans="2:20" ht="18.75">
      <c r="B563">
        <v>50</v>
      </c>
      <c r="C563" s="5">
        <v>45999</v>
      </c>
      <c r="D563" t="s">
        <v>134</v>
      </c>
      <c r="E563">
        <v>94</v>
      </c>
      <c r="F563" s="6">
        <v>499.55</v>
      </c>
      <c r="G563" s="6">
        <v>0</v>
      </c>
      <c r="H563" s="6">
        <v>11.62</v>
      </c>
      <c r="I563" s="6">
        <v>0</v>
      </c>
      <c r="J563" s="6">
        <v>499.55</v>
      </c>
      <c r="L563">
        <v>24</v>
      </c>
      <c r="M563" s="5">
        <v>46181</v>
      </c>
      <c r="N563" t="s">
        <v>204</v>
      </c>
      <c r="O563">
        <v>411</v>
      </c>
      <c r="P563" s="6">
        <v>855.6</v>
      </c>
      <c r="Q563" s="6">
        <v>0</v>
      </c>
      <c r="R563" s="6">
        <v>3.95</v>
      </c>
      <c r="S563" s="6">
        <v>108.24000000000001</v>
      </c>
      <c r="T563" s="6">
        <v>963.84</v>
      </c>
    </row>
    <row r="564" spans="2:20" ht="18.75">
      <c r="B564">
        <v>50</v>
      </c>
      <c r="C564" s="5">
        <v>45999</v>
      </c>
      <c r="D564" t="s">
        <v>132</v>
      </c>
      <c r="E564">
        <v>83</v>
      </c>
      <c r="F564" s="6">
        <v>341.77</v>
      </c>
      <c r="G564" s="6">
        <v>8.99</v>
      </c>
      <c r="H564" s="6">
        <v>9.92</v>
      </c>
      <c r="I564" s="6">
        <v>6.16</v>
      </c>
      <c r="J564" s="6">
        <v>338.94</v>
      </c>
      <c r="L564">
        <v>24</v>
      </c>
      <c r="M564" s="5">
        <v>46181</v>
      </c>
      <c r="N564" t="s">
        <v>163</v>
      </c>
      <c r="O564">
        <v>225</v>
      </c>
      <c r="P564" s="6">
        <v>453.13999999999891</v>
      </c>
      <c r="Q564" s="6">
        <v>0</v>
      </c>
      <c r="R564" s="6">
        <v>0</v>
      </c>
      <c r="S564" s="6">
        <v>28.76</v>
      </c>
      <c r="T564" s="6">
        <v>481.8999999999989</v>
      </c>
    </row>
    <row r="565" spans="2:20" ht="18.75">
      <c r="B565">
        <v>50</v>
      </c>
      <c r="C565" s="5">
        <v>45999</v>
      </c>
      <c r="D565" t="s">
        <v>145</v>
      </c>
      <c r="E565">
        <v>49</v>
      </c>
      <c r="F565" s="6">
        <v>278.99</v>
      </c>
      <c r="G565" s="6">
        <v>0</v>
      </c>
      <c r="H565" s="6">
        <v>1.31</v>
      </c>
      <c r="I565" s="6">
        <v>1.28</v>
      </c>
      <c r="J565" s="6">
        <v>280.27</v>
      </c>
      <c r="L565">
        <v>24</v>
      </c>
      <c r="M565" s="5">
        <v>46181</v>
      </c>
      <c r="N565" t="s">
        <v>198</v>
      </c>
      <c r="O565">
        <v>71</v>
      </c>
      <c r="P565" s="6">
        <v>515.40999999999963</v>
      </c>
      <c r="Q565" s="6">
        <v>0</v>
      </c>
      <c r="R565" s="6">
        <v>117.85999999999993</v>
      </c>
      <c r="S565" s="6">
        <v>68.83</v>
      </c>
      <c r="T565" s="6">
        <v>584.23999999999967</v>
      </c>
    </row>
    <row r="566" spans="2:20" ht="18.75">
      <c r="B566">
        <v>50</v>
      </c>
      <c r="C566" s="5">
        <v>45999</v>
      </c>
      <c r="D566" t="s">
        <v>118</v>
      </c>
      <c r="E566">
        <v>27</v>
      </c>
      <c r="F566" s="6">
        <v>114.49</v>
      </c>
      <c r="G566" s="6">
        <v>0</v>
      </c>
      <c r="H566" s="6">
        <v>0</v>
      </c>
      <c r="I566" s="6">
        <v>0</v>
      </c>
      <c r="J566" s="6">
        <v>114.49</v>
      </c>
      <c r="L566">
        <v>24</v>
      </c>
      <c r="M566" s="5">
        <v>46181</v>
      </c>
      <c r="N566" t="s">
        <v>173</v>
      </c>
      <c r="O566">
        <v>257</v>
      </c>
      <c r="P566" s="6">
        <v>1229.3000000000056</v>
      </c>
      <c r="Q566" s="6">
        <v>4.95</v>
      </c>
      <c r="R566" s="6">
        <v>0</v>
      </c>
      <c r="S566" s="6">
        <v>84.550000000000011</v>
      </c>
      <c r="T566" s="6">
        <v>1308.9000000000055</v>
      </c>
    </row>
    <row r="567" spans="2:20" ht="18.75">
      <c r="B567">
        <v>50</v>
      </c>
      <c r="C567" s="5">
        <v>45999</v>
      </c>
      <c r="D567" t="s">
        <v>133</v>
      </c>
      <c r="E567">
        <v>84</v>
      </c>
      <c r="F567" s="6">
        <v>483.67</v>
      </c>
      <c r="G567" s="6">
        <v>0</v>
      </c>
      <c r="H567" s="6">
        <v>19.34</v>
      </c>
      <c r="I567" s="6">
        <v>2.38</v>
      </c>
      <c r="J567" s="6">
        <v>486.05</v>
      </c>
      <c r="L567">
        <v>24</v>
      </c>
      <c r="M567" s="5">
        <v>46181</v>
      </c>
      <c r="N567" t="s">
        <v>167</v>
      </c>
      <c r="O567">
        <v>56</v>
      </c>
      <c r="P567" s="6">
        <v>287.02999999999997</v>
      </c>
      <c r="Q567" s="6">
        <v>0</v>
      </c>
      <c r="R567" s="6">
        <v>223.88999999999996</v>
      </c>
      <c r="S567" s="6">
        <v>46.28</v>
      </c>
      <c r="T567" s="6">
        <v>333.30999999999995</v>
      </c>
    </row>
    <row r="568" spans="2:20" ht="18.75">
      <c r="B568">
        <v>50</v>
      </c>
      <c r="C568" s="5">
        <v>45999</v>
      </c>
      <c r="D568" t="s">
        <v>147</v>
      </c>
      <c r="E568">
        <v>84</v>
      </c>
      <c r="F568" s="6">
        <v>430.93</v>
      </c>
      <c r="G568" s="6">
        <v>0</v>
      </c>
      <c r="H568" s="6">
        <v>9.7799999999999994</v>
      </c>
      <c r="I568" s="6">
        <v>2.31</v>
      </c>
      <c r="J568" s="6">
        <v>433.24</v>
      </c>
      <c r="L568">
        <v>24</v>
      </c>
      <c r="M568" s="5">
        <v>46181</v>
      </c>
      <c r="N568" t="s">
        <v>171</v>
      </c>
      <c r="O568">
        <v>178</v>
      </c>
      <c r="P568" s="6">
        <v>1159.0400000000009</v>
      </c>
      <c r="Q568" s="6">
        <v>0</v>
      </c>
      <c r="R568" s="6">
        <v>61.880000000000017</v>
      </c>
      <c r="S568" s="6">
        <v>112.37999999999995</v>
      </c>
      <c r="T568" s="6">
        <v>1271.4200000000008</v>
      </c>
    </row>
    <row r="569" spans="2:20" ht="18.75">
      <c r="B569">
        <v>50</v>
      </c>
      <c r="C569" s="5">
        <v>45999</v>
      </c>
      <c r="D569" t="s">
        <v>120</v>
      </c>
      <c r="E569">
        <v>32</v>
      </c>
      <c r="F569" s="6">
        <v>167.71</v>
      </c>
      <c r="G569" s="6">
        <v>0</v>
      </c>
      <c r="H569" s="6">
        <v>2.66</v>
      </c>
      <c r="I569" s="6">
        <v>0</v>
      </c>
      <c r="J569" s="6">
        <v>167.71</v>
      </c>
      <c r="L569">
        <v>24</v>
      </c>
      <c r="M569" s="5">
        <v>46181</v>
      </c>
      <c r="N569" t="s">
        <v>209</v>
      </c>
      <c r="O569">
        <v>74</v>
      </c>
      <c r="P569" s="6">
        <v>130.02000000000012</v>
      </c>
      <c r="Q569" s="6">
        <v>0</v>
      </c>
      <c r="R569" s="6">
        <v>24.419999999999959</v>
      </c>
      <c r="S569" s="6">
        <v>8.3600000000000012</v>
      </c>
      <c r="T569" s="6">
        <v>138.38000000000014</v>
      </c>
    </row>
    <row r="570" spans="2:20" ht="18.75">
      <c r="B570">
        <v>50</v>
      </c>
      <c r="C570" s="5">
        <v>45999</v>
      </c>
      <c r="D570" t="s">
        <v>112</v>
      </c>
      <c r="E570">
        <v>19</v>
      </c>
      <c r="F570" s="6">
        <v>100.86</v>
      </c>
      <c r="G570" s="6">
        <v>0</v>
      </c>
      <c r="H570" s="6">
        <v>0</v>
      </c>
      <c r="I570" s="6">
        <v>0</v>
      </c>
      <c r="J570" s="6">
        <v>100.86</v>
      </c>
      <c r="L570">
        <v>24</v>
      </c>
      <c r="M570" s="5">
        <v>46181</v>
      </c>
      <c r="N570" t="s">
        <v>168</v>
      </c>
      <c r="O570">
        <v>5</v>
      </c>
      <c r="P570" s="6">
        <v>9</v>
      </c>
      <c r="Q570" s="6">
        <v>0</v>
      </c>
      <c r="R570" s="6">
        <v>0</v>
      </c>
      <c r="S570" s="6">
        <v>0</v>
      </c>
      <c r="T570" s="6">
        <v>9</v>
      </c>
    </row>
    <row r="571" spans="2:20" ht="18.75">
      <c r="B571">
        <v>50</v>
      </c>
      <c r="C571" s="5">
        <v>45999</v>
      </c>
      <c r="D571" t="s">
        <v>142</v>
      </c>
      <c r="E571">
        <v>42</v>
      </c>
      <c r="F571" s="6">
        <v>217.01</v>
      </c>
      <c r="G571" s="6">
        <v>0</v>
      </c>
      <c r="H571" s="6">
        <v>9.4700000000000006</v>
      </c>
      <c r="I571" s="6">
        <v>0</v>
      </c>
      <c r="J571" s="6">
        <v>217.01</v>
      </c>
      <c r="L571">
        <v>24</v>
      </c>
      <c r="M571" s="5">
        <v>46181</v>
      </c>
      <c r="N571" t="s">
        <v>165</v>
      </c>
      <c r="O571">
        <v>26</v>
      </c>
      <c r="P571" s="6">
        <v>198.26000000000005</v>
      </c>
      <c r="Q571" s="6">
        <v>0</v>
      </c>
      <c r="R571" s="6">
        <v>0</v>
      </c>
      <c r="S571" s="6">
        <v>39.21</v>
      </c>
      <c r="T571" s="6">
        <v>237.47000000000006</v>
      </c>
    </row>
    <row r="572" spans="2:20" ht="18.75">
      <c r="B572">
        <v>50</v>
      </c>
      <c r="C572" s="5">
        <v>45999</v>
      </c>
      <c r="D572" t="s">
        <v>121</v>
      </c>
      <c r="E572">
        <v>43</v>
      </c>
      <c r="F572" s="6">
        <v>121.09</v>
      </c>
      <c r="G572" s="6">
        <v>0</v>
      </c>
      <c r="H572" s="6">
        <v>1.62</v>
      </c>
      <c r="I572" s="6">
        <v>0</v>
      </c>
      <c r="J572" s="6">
        <v>121.09</v>
      </c>
      <c r="L572">
        <v>24</v>
      </c>
      <c r="M572" s="5">
        <v>46181</v>
      </c>
      <c r="N572" t="s">
        <v>206</v>
      </c>
      <c r="O572">
        <v>90</v>
      </c>
      <c r="P572" s="6">
        <v>270</v>
      </c>
      <c r="Q572" s="6">
        <v>0</v>
      </c>
      <c r="R572" s="6">
        <v>0</v>
      </c>
      <c r="S572" s="6">
        <v>0</v>
      </c>
      <c r="T572" s="6">
        <v>270</v>
      </c>
    </row>
    <row r="573" spans="2:20" ht="18.75">
      <c r="B573">
        <v>50</v>
      </c>
      <c r="C573" s="5">
        <v>45999</v>
      </c>
      <c r="D573" t="s">
        <v>135</v>
      </c>
      <c r="E573">
        <v>17</v>
      </c>
      <c r="F573" s="6">
        <v>57.16</v>
      </c>
      <c r="G573" s="6">
        <v>0</v>
      </c>
      <c r="H573" s="6">
        <v>0.8</v>
      </c>
      <c r="I573" s="6">
        <v>19.440000000000001</v>
      </c>
      <c r="J573" s="6">
        <v>76.599999999999994</v>
      </c>
      <c r="L573">
        <v>24</v>
      </c>
      <c r="M573" s="5">
        <v>46181</v>
      </c>
      <c r="N573" t="s">
        <v>170</v>
      </c>
      <c r="O573">
        <v>5</v>
      </c>
      <c r="P573" s="6">
        <v>10.44</v>
      </c>
      <c r="Q573" s="6">
        <v>0</v>
      </c>
      <c r="R573" s="6">
        <v>5.2200000000000006</v>
      </c>
      <c r="S573" s="6">
        <v>2.34</v>
      </c>
      <c r="T573" s="6">
        <v>12.78</v>
      </c>
    </row>
    <row r="574" spans="2:20" ht="18.75">
      <c r="B574">
        <v>50</v>
      </c>
      <c r="C574" s="5">
        <v>45999</v>
      </c>
      <c r="D574" t="s">
        <v>125</v>
      </c>
      <c r="E574">
        <v>13</v>
      </c>
      <c r="F574" s="6">
        <v>61.32</v>
      </c>
      <c r="G574" s="6">
        <v>0</v>
      </c>
      <c r="H574" s="6">
        <v>1.2</v>
      </c>
      <c r="I574" s="6">
        <v>0</v>
      </c>
      <c r="J574" s="6">
        <v>61.32</v>
      </c>
      <c r="L574">
        <v>25</v>
      </c>
      <c r="M574" s="5">
        <v>46188</v>
      </c>
      <c r="N574" t="s">
        <v>160</v>
      </c>
      <c r="O574">
        <v>1137</v>
      </c>
      <c r="P574" s="6">
        <v>7591.1099999999296</v>
      </c>
      <c r="Q574" s="6">
        <v>9.6</v>
      </c>
      <c r="R574" s="6">
        <v>164.08999999999995</v>
      </c>
      <c r="S574" s="6">
        <v>226.96000000000012</v>
      </c>
      <c r="T574" s="6">
        <v>7808.4699999999293</v>
      </c>
    </row>
    <row r="575" spans="2:20" ht="18.75">
      <c r="B575">
        <v>50</v>
      </c>
      <c r="C575" s="5">
        <v>45999</v>
      </c>
      <c r="D575" t="s">
        <v>127</v>
      </c>
      <c r="E575">
        <v>92</v>
      </c>
      <c r="F575" s="6">
        <v>432.94</v>
      </c>
      <c r="G575" s="6">
        <v>0</v>
      </c>
      <c r="H575" s="6">
        <v>7.56</v>
      </c>
      <c r="I575" s="6">
        <v>0</v>
      </c>
      <c r="J575" s="6">
        <v>432.94</v>
      </c>
      <c r="L575">
        <v>25</v>
      </c>
      <c r="M575" s="5">
        <v>46188</v>
      </c>
      <c r="N575" t="s">
        <v>173</v>
      </c>
      <c r="O575">
        <v>246</v>
      </c>
      <c r="P575" s="6">
        <v>1178.3700000000049</v>
      </c>
      <c r="Q575" s="6">
        <v>0</v>
      </c>
      <c r="R575" s="6">
        <v>0</v>
      </c>
      <c r="S575" s="6">
        <v>83.790000000000035</v>
      </c>
      <c r="T575" s="6">
        <v>1262.1600000000049</v>
      </c>
    </row>
    <row r="576" spans="2:20" ht="18.75">
      <c r="B576">
        <v>50</v>
      </c>
      <c r="C576" s="5">
        <v>45999</v>
      </c>
      <c r="D576" t="s">
        <v>148</v>
      </c>
      <c r="E576">
        <v>15</v>
      </c>
      <c r="F576" s="6">
        <v>70.06</v>
      </c>
      <c r="G576" s="6">
        <v>0</v>
      </c>
      <c r="H576" s="6">
        <v>0</v>
      </c>
      <c r="I576" s="6">
        <v>0</v>
      </c>
      <c r="J576" s="6">
        <v>70.06</v>
      </c>
      <c r="L576">
        <v>25</v>
      </c>
      <c r="M576" s="5">
        <v>46188</v>
      </c>
      <c r="N576" t="s">
        <v>169</v>
      </c>
      <c r="O576">
        <v>999</v>
      </c>
      <c r="P576" s="6">
        <v>2569.2599999999984</v>
      </c>
      <c r="Q576" s="6">
        <v>11.2</v>
      </c>
      <c r="R576" s="6">
        <v>26.27999999999999</v>
      </c>
      <c r="S576" s="6">
        <v>70.02000000000001</v>
      </c>
      <c r="T576" s="6">
        <v>2628.0799999999986</v>
      </c>
    </row>
    <row r="577" spans="2:20" ht="18.75">
      <c r="B577">
        <v>50</v>
      </c>
      <c r="C577" s="5">
        <v>45999</v>
      </c>
      <c r="D577" t="s">
        <v>151</v>
      </c>
      <c r="E577">
        <v>163</v>
      </c>
      <c r="F577" s="6">
        <v>937.11</v>
      </c>
      <c r="G577" s="6">
        <v>0</v>
      </c>
      <c r="H577" s="6">
        <v>14.19</v>
      </c>
      <c r="I577" s="6">
        <v>0</v>
      </c>
      <c r="J577" s="6">
        <v>937.11</v>
      </c>
      <c r="L577">
        <v>25</v>
      </c>
      <c r="M577" s="5">
        <v>46188</v>
      </c>
      <c r="N577" t="s">
        <v>204</v>
      </c>
      <c r="O577">
        <v>413</v>
      </c>
      <c r="P577" s="6">
        <v>873.78000000000088</v>
      </c>
      <c r="Q577" s="6">
        <v>14.7</v>
      </c>
      <c r="R577" s="6">
        <v>1.1000000000000001</v>
      </c>
      <c r="S577" s="6">
        <v>83.870000000000019</v>
      </c>
      <c r="T577" s="6">
        <v>942.95000000000084</v>
      </c>
    </row>
    <row r="578" spans="2:20" ht="18.75">
      <c r="B578">
        <v>50</v>
      </c>
      <c r="C578" s="5">
        <v>45999</v>
      </c>
      <c r="D578" t="s">
        <v>116</v>
      </c>
      <c r="E578">
        <v>24</v>
      </c>
      <c r="F578" s="6">
        <v>81.849999999999994</v>
      </c>
      <c r="G578" s="6">
        <v>0</v>
      </c>
      <c r="H578" s="6">
        <v>4.88</v>
      </c>
      <c r="I578" s="6">
        <v>0</v>
      </c>
      <c r="J578" s="6">
        <v>81.849999999999994</v>
      </c>
      <c r="L578">
        <v>25</v>
      </c>
      <c r="M578" s="5">
        <v>46188</v>
      </c>
      <c r="N578" t="s">
        <v>163</v>
      </c>
      <c r="O578">
        <v>222</v>
      </c>
      <c r="P578" s="6">
        <v>446.3599999999991</v>
      </c>
      <c r="Q578" s="6">
        <v>2.2000000000000002</v>
      </c>
      <c r="R578" s="6">
        <v>0</v>
      </c>
      <c r="S578" s="6">
        <v>26.54</v>
      </c>
      <c r="T578" s="6">
        <v>470.69999999999914</v>
      </c>
    </row>
    <row r="579" spans="2:20" ht="18.75">
      <c r="B579">
        <v>50</v>
      </c>
      <c r="C579" s="5">
        <v>45999</v>
      </c>
      <c r="D579" t="s">
        <v>113</v>
      </c>
      <c r="E579">
        <v>87</v>
      </c>
      <c r="F579" s="6">
        <v>282.14999999999998</v>
      </c>
      <c r="G579" s="6">
        <v>0</v>
      </c>
      <c r="H579" s="6">
        <v>1.03</v>
      </c>
      <c r="I579" s="6">
        <v>1.26</v>
      </c>
      <c r="J579" s="6">
        <v>283.41000000000003</v>
      </c>
      <c r="L579">
        <v>25</v>
      </c>
      <c r="M579" s="5">
        <v>46188</v>
      </c>
      <c r="N579" t="s">
        <v>171</v>
      </c>
      <c r="O579">
        <v>155</v>
      </c>
      <c r="P579" s="6">
        <v>974.69000000000142</v>
      </c>
      <c r="Q579" s="6">
        <v>6.95</v>
      </c>
      <c r="R579" s="6">
        <v>32.240000000000009</v>
      </c>
      <c r="S579" s="6">
        <v>74.739999999999981</v>
      </c>
      <c r="T579" s="6">
        <v>1042.4800000000014</v>
      </c>
    </row>
    <row r="580" spans="2:20" ht="18.75">
      <c r="B580">
        <v>50</v>
      </c>
      <c r="C580" s="5">
        <v>45999</v>
      </c>
      <c r="D580" t="s">
        <v>126</v>
      </c>
      <c r="E580">
        <v>24</v>
      </c>
      <c r="F580" s="6">
        <v>128.13</v>
      </c>
      <c r="G580" s="6">
        <v>0</v>
      </c>
      <c r="H580" s="6">
        <v>2.11</v>
      </c>
      <c r="I580" s="6">
        <v>0</v>
      </c>
      <c r="J580" s="6">
        <v>128.13</v>
      </c>
      <c r="L580">
        <v>25</v>
      </c>
      <c r="M580" s="5">
        <v>46188</v>
      </c>
      <c r="N580" t="s">
        <v>167</v>
      </c>
      <c r="O580">
        <v>62</v>
      </c>
      <c r="P580" s="6">
        <v>562.86000000000024</v>
      </c>
      <c r="Q580" s="6">
        <v>0</v>
      </c>
      <c r="R580" s="6">
        <v>12.36</v>
      </c>
      <c r="S580" s="6">
        <v>63.379999999999988</v>
      </c>
      <c r="T580" s="6">
        <v>626.24000000000024</v>
      </c>
    </row>
    <row r="581" spans="2:20" ht="18.75">
      <c r="B581">
        <v>50</v>
      </c>
      <c r="C581" s="5">
        <v>45999</v>
      </c>
      <c r="D581" t="s">
        <v>137</v>
      </c>
      <c r="E581">
        <v>11</v>
      </c>
      <c r="F581" s="6">
        <v>39.9</v>
      </c>
      <c r="G581" s="6">
        <v>0</v>
      </c>
      <c r="H581" s="6">
        <v>0</v>
      </c>
      <c r="I581" s="6">
        <v>18.64</v>
      </c>
      <c r="J581" s="6">
        <v>58.54</v>
      </c>
      <c r="L581">
        <v>25</v>
      </c>
      <c r="M581" s="5">
        <v>46188</v>
      </c>
      <c r="N581" t="s">
        <v>198</v>
      </c>
      <c r="O581">
        <v>47</v>
      </c>
      <c r="P581" s="6">
        <v>383.61999999999989</v>
      </c>
      <c r="Q581" s="6">
        <v>0</v>
      </c>
      <c r="R581" s="6">
        <v>36.809999999999995</v>
      </c>
      <c r="S581" s="6">
        <v>46.769999999999989</v>
      </c>
      <c r="T581" s="6">
        <v>430.38999999999987</v>
      </c>
    </row>
    <row r="582" spans="2:20" ht="18.75">
      <c r="B582">
        <v>50</v>
      </c>
      <c r="C582" s="5">
        <v>45999</v>
      </c>
      <c r="D582" t="s">
        <v>140</v>
      </c>
      <c r="E582">
        <v>24</v>
      </c>
      <c r="F582" s="6">
        <v>91.69</v>
      </c>
      <c r="G582" s="6">
        <v>0</v>
      </c>
      <c r="H582" s="6">
        <v>5.0199999999999996</v>
      </c>
      <c r="I582" s="6">
        <v>0</v>
      </c>
      <c r="J582" s="6">
        <v>91.69</v>
      </c>
      <c r="L582">
        <v>25</v>
      </c>
      <c r="M582" s="5">
        <v>46188</v>
      </c>
      <c r="N582" t="s">
        <v>165</v>
      </c>
      <c r="O582">
        <v>44</v>
      </c>
      <c r="P582" s="6">
        <v>371.2600000000001</v>
      </c>
      <c r="Q582" s="6">
        <v>15.73</v>
      </c>
      <c r="R582" s="6">
        <v>0</v>
      </c>
      <c r="S582" s="6">
        <v>29.04</v>
      </c>
      <c r="T582" s="6">
        <v>384.57000000000011</v>
      </c>
    </row>
    <row r="583" spans="2:20" ht="18.75">
      <c r="B583">
        <v>51</v>
      </c>
      <c r="C583" s="5">
        <v>46006</v>
      </c>
      <c r="D583" t="s">
        <v>139</v>
      </c>
      <c r="E583">
        <v>84</v>
      </c>
      <c r="F583" s="6">
        <v>375.2</v>
      </c>
      <c r="G583" s="6">
        <v>0</v>
      </c>
      <c r="H583" s="6">
        <v>6.4</v>
      </c>
      <c r="I583" s="6">
        <v>0</v>
      </c>
      <c r="J583" s="6">
        <v>375.2</v>
      </c>
      <c r="L583">
        <v>25</v>
      </c>
      <c r="M583" s="5">
        <v>46188</v>
      </c>
      <c r="N583" t="s">
        <v>176</v>
      </c>
      <c r="O583">
        <v>119</v>
      </c>
      <c r="P583" s="6">
        <v>256.64000000000016</v>
      </c>
      <c r="Q583" s="6">
        <v>0</v>
      </c>
      <c r="R583" s="6">
        <v>0</v>
      </c>
      <c r="S583" s="6">
        <v>11.660000000000002</v>
      </c>
      <c r="T583" s="6">
        <v>268.30000000000018</v>
      </c>
    </row>
    <row r="584" spans="2:20" ht="18.75">
      <c r="B584">
        <v>51</v>
      </c>
      <c r="C584" s="5">
        <v>46006</v>
      </c>
      <c r="D584" t="s">
        <v>151</v>
      </c>
      <c r="E584">
        <v>162</v>
      </c>
      <c r="F584" s="6">
        <v>899.20000000000095</v>
      </c>
      <c r="G584" s="6">
        <v>0</v>
      </c>
      <c r="H584" s="6">
        <v>0</v>
      </c>
      <c r="I584" s="6">
        <v>0</v>
      </c>
      <c r="J584" s="6">
        <v>899.20000000000095</v>
      </c>
      <c r="L584">
        <v>25</v>
      </c>
      <c r="M584" s="5">
        <v>46188</v>
      </c>
      <c r="N584" t="s">
        <v>209</v>
      </c>
      <c r="O584">
        <v>78</v>
      </c>
      <c r="P584" s="6">
        <v>134.21000000000012</v>
      </c>
      <c r="Q584" s="6">
        <v>1.87</v>
      </c>
      <c r="R584" s="6">
        <v>25.899999999999963</v>
      </c>
      <c r="S584" s="6">
        <v>12.650000000000004</v>
      </c>
      <c r="T584" s="6">
        <v>144.99000000000012</v>
      </c>
    </row>
    <row r="585" spans="2:20" ht="18.75">
      <c r="B585">
        <v>51</v>
      </c>
      <c r="C585" s="5">
        <v>46006</v>
      </c>
      <c r="D585" t="s">
        <v>124</v>
      </c>
      <c r="E585">
        <v>141</v>
      </c>
      <c r="F585" s="6">
        <v>589.91999999999996</v>
      </c>
      <c r="G585" s="6">
        <v>0</v>
      </c>
      <c r="H585" s="6">
        <v>11.97</v>
      </c>
      <c r="I585" s="6">
        <v>0</v>
      </c>
      <c r="J585" s="6">
        <v>589.91999999999996</v>
      </c>
      <c r="L585">
        <v>25</v>
      </c>
      <c r="M585" s="5">
        <v>46188</v>
      </c>
      <c r="N585" t="s">
        <v>206</v>
      </c>
      <c r="O585">
        <v>69</v>
      </c>
      <c r="P585" s="6">
        <v>222.69</v>
      </c>
      <c r="Q585" s="6">
        <v>0</v>
      </c>
      <c r="R585" s="6">
        <v>0</v>
      </c>
      <c r="S585" s="6">
        <v>0</v>
      </c>
      <c r="T585" s="6">
        <v>222.69</v>
      </c>
    </row>
    <row r="586" spans="2:20" ht="18.75">
      <c r="B586">
        <v>51</v>
      </c>
      <c r="C586" s="5">
        <v>46006</v>
      </c>
      <c r="D586" t="s">
        <v>143</v>
      </c>
      <c r="E586">
        <v>588</v>
      </c>
      <c r="F586" s="6">
        <v>2633.12</v>
      </c>
      <c r="G586" s="6">
        <v>0</v>
      </c>
      <c r="H586" s="6">
        <v>14.09</v>
      </c>
      <c r="I586" s="6">
        <v>0</v>
      </c>
      <c r="J586" s="6">
        <v>2633.12</v>
      </c>
      <c r="L586">
        <v>25</v>
      </c>
      <c r="M586" s="5">
        <v>46188</v>
      </c>
      <c r="N586" t="s">
        <v>170</v>
      </c>
      <c r="O586">
        <v>3</v>
      </c>
      <c r="P586" s="6">
        <v>7.74</v>
      </c>
      <c r="Q586" s="6">
        <v>0</v>
      </c>
      <c r="R586" s="6">
        <v>3.06</v>
      </c>
      <c r="S586" s="6">
        <v>0</v>
      </c>
      <c r="T586" s="6">
        <v>7.74</v>
      </c>
    </row>
    <row r="587" spans="2:20" ht="18.75">
      <c r="B587">
        <v>51</v>
      </c>
      <c r="C587" s="5">
        <v>46006</v>
      </c>
      <c r="D587" t="s">
        <v>123</v>
      </c>
      <c r="E587">
        <v>198</v>
      </c>
      <c r="F587" s="6">
        <v>790.91</v>
      </c>
      <c r="G587" s="6">
        <v>0</v>
      </c>
      <c r="H587" s="6">
        <v>16.600000000000001</v>
      </c>
      <c r="I587" s="6">
        <v>0</v>
      </c>
      <c r="J587" s="6">
        <v>790.91</v>
      </c>
      <c r="L587">
        <v>25</v>
      </c>
      <c r="M587" s="5">
        <v>46188</v>
      </c>
      <c r="N587" t="s">
        <v>168</v>
      </c>
      <c r="O587">
        <v>1</v>
      </c>
      <c r="P587" s="6">
        <v>1.5</v>
      </c>
      <c r="Q587" s="6">
        <v>0</v>
      </c>
      <c r="R587" s="6">
        <v>0</v>
      </c>
      <c r="S587" s="6">
        <v>0</v>
      </c>
      <c r="T587" s="6">
        <v>1.5</v>
      </c>
    </row>
    <row r="588" spans="2:20" ht="18.75">
      <c r="B588">
        <v>51</v>
      </c>
      <c r="C588" s="5">
        <v>46006</v>
      </c>
      <c r="D588" t="s">
        <v>147</v>
      </c>
      <c r="E588">
        <v>90</v>
      </c>
      <c r="F588" s="6">
        <v>430.88</v>
      </c>
      <c r="G588" s="6">
        <v>0</v>
      </c>
      <c r="H588" s="6">
        <v>10.96</v>
      </c>
      <c r="I588" s="6">
        <v>0</v>
      </c>
      <c r="J588" s="6">
        <v>430.88</v>
      </c>
      <c r="L588">
        <v>25</v>
      </c>
      <c r="M588" s="5">
        <v>46188</v>
      </c>
      <c r="N588" t="s">
        <v>184</v>
      </c>
      <c r="O588">
        <v>1</v>
      </c>
      <c r="P588" s="6">
        <v>3.2</v>
      </c>
      <c r="Q588" s="6">
        <v>0</v>
      </c>
      <c r="R588" s="6">
        <v>0</v>
      </c>
      <c r="S588" s="6">
        <v>0</v>
      </c>
      <c r="T588" s="6">
        <v>3.2</v>
      </c>
    </row>
    <row r="589" spans="2:20" ht="18.75">
      <c r="B589">
        <v>51</v>
      </c>
      <c r="C589" s="5">
        <v>46006</v>
      </c>
      <c r="D589" t="s">
        <v>117</v>
      </c>
      <c r="E589">
        <v>66</v>
      </c>
      <c r="F589" s="6">
        <v>336.26</v>
      </c>
      <c r="G589" s="6">
        <v>0</v>
      </c>
      <c r="H589" s="6">
        <v>25.51</v>
      </c>
      <c r="I589" s="6">
        <v>0</v>
      </c>
      <c r="J589" s="6">
        <v>336.26</v>
      </c>
      <c r="L589">
        <v>25</v>
      </c>
      <c r="M589" s="5">
        <v>46188</v>
      </c>
      <c r="N589" t="s">
        <v>164</v>
      </c>
      <c r="O589">
        <v>2</v>
      </c>
      <c r="P589" s="6">
        <v>7.5</v>
      </c>
      <c r="Q589" s="6">
        <v>0</v>
      </c>
      <c r="R589" s="6">
        <v>0</v>
      </c>
      <c r="S589" s="6">
        <v>0</v>
      </c>
      <c r="T589" s="6">
        <v>7.5</v>
      </c>
    </row>
    <row r="590" spans="2:20" ht="18.75">
      <c r="B590">
        <v>51</v>
      </c>
      <c r="C590" s="5">
        <v>46006</v>
      </c>
      <c r="D590" t="s">
        <v>129</v>
      </c>
      <c r="E590">
        <v>159</v>
      </c>
      <c r="F590" s="6">
        <v>7.27</v>
      </c>
      <c r="G590" s="6">
        <v>0</v>
      </c>
      <c r="H590" s="6">
        <v>8.39</v>
      </c>
      <c r="I590" s="6">
        <v>660.14</v>
      </c>
      <c r="J590" s="6">
        <v>667.41</v>
      </c>
      <c r="L590">
        <v>26</v>
      </c>
      <c r="M590" s="5">
        <v>46195</v>
      </c>
      <c r="N590" t="s">
        <v>204</v>
      </c>
      <c r="O590">
        <v>507</v>
      </c>
      <c r="P590" s="6">
        <v>1024.0300000000007</v>
      </c>
      <c r="Q590" s="6">
        <v>2</v>
      </c>
      <c r="R590" s="6">
        <v>3.3000000000000003</v>
      </c>
      <c r="S590" s="6">
        <v>132.42000000000004</v>
      </c>
      <c r="T590" s="6">
        <v>1154.4500000000007</v>
      </c>
    </row>
    <row r="591" spans="2:20" ht="18.75">
      <c r="B591">
        <v>51</v>
      </c>
      <c r="C591" s="5">
        <v>46006</v>
      </c>
      <c r="D591" t="s">
        <v>146</v>
      </c>
      <c r="E591">
        <v>158</v>
      </c>
      <c r="F591" s="6">
        <v>898.64</v>
      </c>
      <c r="G591" s="6">
        <v>9.9</v>
      </c>
      <c r="H591" s="6">
        <v>27.76</v>
      </c>
      <c r="I591" s="6">
        <v>0</v>
      </c>
      <c r="J591" s="6">
        <v>888.74</v>
      </c>
      <c r="L591">
        <v>26</v>
      </c>
      <c r="M591" s="5">
        <v>46195</v>
      </c>
      <c r="N591" t="s">
        <v>160</v>
      </c>
      <c r="O591">
        <v>1173</v>
      </c>
      <c r="P591" s="6">
        <v>7691.0299999999643</v>
      </c>
      <c r="Q591" s="6">
        <v>6.3</v>
      </c>
      <c r="R591" s="6">
        <v>173.97999999999988</v>
      </c>
      <c r="S591" s="6">
        <v>258.56000000000023</v>
      </c>
      <c r="T591" s="6">
        <v>7943.2899999999645</v>
      </c>
    </row>
    <row r="592" spans="2:20" ht="18.75">
      <c r="B592">
        <v>51</v>
      </c>
      <c r="C592" s="5">
        <v>46006</v>
      </c>
      <c r="D592" t="s">
        <v>149</v>
      </c>
      <c r="E592">
        <v>43</v>
      </c>
      <c r="F592" s="6">
        <v>154.47999999999999</v>
      </c>
      <c r="G592" s="6">
        <v>0</v>
      </c>
      <c r="H592" s="6">
        <v>4.46</v>
      </c>
      <c r="I592" s="6">
        <v>0</v>
      </c>
      <c r="J592" s="6">
        <v>154.47999999999999</v>
      </c>
      <c r="L592">
        <v>26</v>
      </c>
      <c r="M592" s="5">
        <v>46195</v>
      </c>
      <c r="N592" t="s">
        <v>169</v>
      </c>
      <c r="O592">
        <v>1060</v>
      </c>
      <c r="P592" s="6">
        <v>2692.8799999999969</v>
      </c>
      <c r="Q592" s="6">
        <v>0</v>
      </c>
      <c r="R592" s="6">
        <v>23.799999999999986</v>
      </c>
      <c r="S592" s="6">
        <v>76.08</v>
      </c>
      <c r="T592" s="6">
        <v>2768.9599999999969</v>
      </c>
    </row>
    <row r="593" spans="2:20" ht="18.75">
      <c r="B593">
        <v>51</v>
      </c>
      <c r="C593" s="5">
        <v>46006</v>
      </c>
      <c r="D593" t="s">
        <v>113</v>
      </c>
      <c r="E593">
        <v>74</v>
      </c>
      <c r="F593" s="6">
        <v>241.9</v>
      </c>
      <c r="G593" s="6">
        <v>0</v>
      </c>
      <c r="H593" s="6">
        <v>1.6</v>
      </c>
      <c r="I593" s="6">
        <v>0</v>
      </c>
      <c r="J593" s="6">
        <v>241.9</v>
      </c>
      <c r="L593">
        <v>26</v>
      </c>
      <c r="M593" s="5">
        <v>46195</v>
      </c>
      <c r="N593" t="s">
        <v>174</v>
      </c>
      <c r="O593">
        <v>132</v>
      </c>
      <c r="P593" s="6">
        <v>878.47000000000162</v>
      </c>
      <c r="Q593" s="6">
        <v>0</v>
      </c>
      <c r="R593" s="6">
        <v>53.760000000000034</v>
      </c>
      <c r="S593" s="6">
        <v>95.689999999999955</v>
      </c>
      <c r="T593" s="6">
        <v>974.16000000000156</v>
      </c>
    </row>
    <row r="594" spans="2:20" ht="18.75">
      <c r="B594">
        <v>51</v>
      </c>
      <c r="C594" s="5">
        <v>46006</v>
      </c>
      <c r="D594" t="s">
        <v>122</v>
      </c>
      <c r="E594">
        <v>64</v>
      </c>
      <c r="F594" s="6">
        <v>370.71</v>
      </c>
      <c r="G594" s="6">
        <v>0</v>
      </c>
      <c r="H594" s="6">
        <v>5.93</v>
      </c>
      <c r="I594" s="6">
        <v>0</v>
      </c>
      <c r="J594" s="6">
        <v>370.71</v>
      </c>
      <c r="L594">
        <v>26</v>
      </c>
      <c r="M594" s="5">
        <v>46195</v>
      </c>
      <c r="N594" t="s">
        <v>158</v>
      </c>
      <c r="O594">
        <v>139</v>
      </c>
      <c r="P594" s="6">
        <v>1033.4199999999994</v>
      </c>
      <c r="Q594" s="6">
        <v>0</v>
      </c>
      <c r="R594" s="6">
        <v>39.989999999999995</v>
      </c>
      <c r="S594" s="6">
        <v>53.54</v>
      </c>
      <c r="T594" s="6">
        <v>1086.9599999999994</v>
      </c>
    </row>
    <row r="595" spans="2:20" ht="18.75">
      <c r="B595">
        <v>51</v>
      </c>
      <c r="C595" s="5">
        <v>46006</v>
      </c>
      <c r="D595" t="s">
        <v>138</v>
      </c>
      <c r="E595">
        <v>157</v>
      </c>
      <c r="F595" s="6">
        <v>808.74000000000103</v>
      </c>
      <c r="G595" s="6">
        <v>0</v>
      </c>
      <c r="H595" s="6">
        <v>20.149999999999999</v>
      </c>
      <c r="I595" s="6">
        <v>0</v>
      </c>
      <c r="J595" s="6">
        <v>808.74000000000103</v>
      </c>
      <c r="L595">
        <v>26</v>
      </c>
      <c r="M595" s="5">
        <v>46195</v>
      </c>
      <c r="N595" t="s">
        <v>173</v>
      </c>
      <c r="O595">
        <v>291</v>
      </c>
      <c r="P595" s="6">
        <v>1343.9400000000066</v>
      </c>
      <c r="Q595" s="6">
        <v>0</v>
      </c>
      <c r="R595" s="6">
        <v>0</v>
      </c>
      <c r="S595" s="6">
        <v>99.010000000000034</v>
      </c>
      <c r="T595" s="6">
        <v>1442.9500000000066</v>
      </c>
    </row>
    <row r="596" spans="2:20" ht="18.75">
      <c r="B596">
        <v>51</v>
      </c>
      <c r="C596" s="5">
        <v>46006</v>
      </c>
      <c r="D596" t="s">
        <v>145</v>
      </c>
      <c r="E596">
        <v>90</v>
      </c>
      <c r="F596" s="6">
        <v>539.30999999999995</v>
      </c>
      <c r="G596" s="6">
        <v>0</v>
      </c>
      <c r="H596" s="6">
        <v>13.09</v>
      </c>
      <c r="I596" s="6">
        <v>0</v>
      </c>
      <c r="J596" s="6">
        <v>539.30999999999995</v>
      </c>
      <c r="L596">
        <v>26</v>
      </c>
      <c r="M596" s="5">
        <v>46195</v>
      </c>
      <c r="N596" t="s">
        <v>165</v>
      </c>
      <c r="O596">
        <v>41</v>
      </c>
      <c r="P596" s="6">
        <v>336.65000000000015</v>
      </c>
      <c r="Q596" s="6">
        <v>0</v>
      </c>
      <c r="R596" s="6">
        <v>0</v>
      </c>
      <c r="S596" s="6">
        <v>36.22</v>
      </c>
      <c r="T596" s="6">
        <v>372.87000000000012</v>
      </c>
    </row>
    <row r="597" spans="2:20" ht="18.75">
      <c r="B597">
        <v>51</v>
      </c>
      <c r="C597" s="5">
        <v>46006</v>
      </c>
      <c r="D597" t="s">
        <v>134</v>
      </c>
      <c r="E597">
        <v>82</v>
      </c>
      <c r="F597" s="6">
        <v>437.41</v>
      </c>
      <c r="G597" s="6">
        <v>0</v>
      </c>
      <c r="H597" s="6">
        <v>2.2200000000000002</v>
      </c>
      <c r="I597" s="6">
        <v>0</v>
      </c>
      <c r="J597" s="6">
        <v>437.41</v>
      </c>
      <c r="L597">
        <v>26</v>
      </c>
      <c r="M597" s="5">
        <v>46195</v>
      </c>
      <c r="N597" t="s">
        <v>176</v>
      </c>
      <c r="O597">
        <v>108</v>
      </c>
      <c r="P597" s="6">
        <v>232.23999999999987</v>
      </c>
      <c r="Q597" s="6">
        <v>0</v>
      </c>
      <c r="R597" s="6">
        <v>0</v>
      </c>
      <c r="S597" s="6">
        <v>11.52</v>
      </c>
      <c r="T597" s="6">
        <v>243.75999999999988</v>
      </c>
    </row>
    <row r="598" spans="2:20" ht="18.75">
      <c r="B598">
        <v>51</v>
      </c>
      <c r="C598" s="5">
        <v>46006</v>
      </c>
      <c r="D598" t="s">
        <v>141</v>
      </c>
      <c r="E598">
        <v>287</v>
      </c>
      <c r="F598" s="6">
        <v>1022.95</v>
      </c>
      <c r="G598" s="6">
        <v>0</v>
      </c>
      <c r="H598" s="6">
        <v>8.01</v>
      </c>
      <c r="I598" s="6">
        <v>0</v>
      </c>
      <c r="J598" s="6">
        <v>1022.95</v>
      </c>
      <c r="L598">
        <v>26</v>
      </c>
      <c r="M598" s="5">
        <v>46195</v>
      </c>
      <c r="N598" t="s">
        <v>163</v>
      </c>
      <c r="O598">
        <v>235</v>
      </c>
      <c r="P598" s="6">
        <v>476.19999999999885</v>
      </c>
      <c r="Q598" s="6">
        <v>0</v>
      </c>
      <c r="R598" s="6">
        <v>0</v>
      </c>
      <c r="S598" s="6">
        <v>22.000000000000007</v>
      </c>
      <c r="T598" s="6">
        <v>498.19999999999885</v>
      </c>
    </row>
    <row r="599" spans="2:20" ht="18.75">
      <c r="B599">
        <v>51</v>
      </c>
      <c r="C599" s="5">
        <v>46006</v>
      </c>
      <c r="D599" t="s">
        <v>114</v>
      </c>
      <c r="E599">
        <v>67</v>
      </c>
      <c r="F599" s="6">
        <v>293.12</v>
      </c>
      <c r="G599" s="6">
        <v>0</v>
      </c>
      <c r="H599" s="6">
        <v>11.91</v>
      </c>
      <c r="I599" s="6">
        <v>101.88</v>
      </c>
      <c r="J599" s="6">
        <v>395</v>
      </c>
      <c r="L599">
        <v>26</v>
      </c>
      <c r="M599" s="5">
        <v>46195</v>
      </c>
      <c r="N599" t="s">
        <v>171</v>
      </c>
      <c r="O599">
        <v>70</v>
      </c>
      <c r="P599" s="6">
        <v>413.58000000000004</v>
      </c>
      <c r="Q599" s="6">
        <v>0</v>
      </c>
      <c r="R599" s="6">
        <v>53.92</v>
      </c>
      <c r="S599" s="6">
        <v>56.660000000000018</v>
      </c>
      <c r="T599" s="6">
        <v>470.24000000000007</v>
      </c>
    </row>
    <row r="600" spans="2:20" ht="18.75">
      <c r="B600">
        <v>51</v>
      </c>
      <c r="C600" s="5">
        <v>46006</v>
      </c>
      <c r="D600" t="s">
        <v>136</v>
      </c>
      <c r="E600">
        <v>35</v>
      </c>
      <c r="F600" s="6">
        <v>127.46</v>
      </c>
      <c r="G600" s="6">
        <v>0</v>
      </c>
      <c r="H600" s="6">
        <v>1.43</v>
      </c>
      <c r="I600" s="6">
        <v>27</v>
      </c>
      <c r="J600" s="6">
        <v>154.46</v>
      </c>
      <c r="L600">
        <v>26</v>
      </c>
      <c r="M600" s="5">
        <v>46195</v>
      </c>
      <c r="N600" t="s">
        <v>198</v>
      </c>
      <c r="O600">
        <v>59</v>
      </c>
      <c r="P600" s="6">
        <v>448.12000000000018</v>
      </c>
      <c r="Q600" s="6">
        <v>0</v>
      </c>
      <c r="R600" s="6">
        <v>89.09999999999998</v>
      </c>
      <c r="S600" s="6">
        <v>46.079999999999991</v>
      </c>
      <c r="T600" s="6">
        <v>494.20000000000016</v>
      </c>
    </row>
    <row r="601" spans="2:20" ht="18.75">
      <c r="B601">
        <v>51</v>
      </c>
      <c r="C601" s="5">
        <v>46006</v>
      </c>
      <c r="D601" t="s">
        <v>121</v>
      </c>
      <c r="E601">
        <v>56</v>
      </c>
      <c r="F601" s="6">
        <v>166.66</v>
      </c>
      <c r="G601" s="6">
        <v>0</v>
      </c>
      <c r="H601" s="6">
        <v>3.18</v>
      </c>
      <c r="I601" s="6">
        <v>0</v>
      </c>
      <c r="J601" s="6">
        <v>166.66</v>
      </c>
      <c r="L601">
        <v>26</v>
      </c>
      <c r="M601" s="5">
        <v>46195</v>
      </c>
      <c r="N601" t="s">
        <v>209</v>
      </c>
      <c r="O601">
        <v>88</v>
      </c>
      <c r="P601" s="6">
        <v>159.32000000000019</v>
      </c>
      <c r="Q601" s="6">
        <v>0</v>
      </c>
      <c r="R601" s="6">
        <v>29.239999999999949</v>
      </c>
      <c r="S601" s="6">
        <v>6.49</v>
      </c>
      <c r="T601" s="6">
        <v>165.8100000000002</v>
      </c>
    </row>
    <row r="602" spans="2:20" ht="18.75">
      <c r="B602">
        <v>51</v>
      </c>
      <c r="C602" s="5">
        <v>46006</v>
      </c>
      <c r="D602" t="s">
        <v>119</v>
      </c>
      <c r="E602">
        <v>124</v>
      </c>
      <c r="F602" s="6">
        <v>553.47</v>
      </c>
      <c r="G602" s="6">
        <v>0</v>
      </c>
      <c r="H602" s="6">
        <v>6.6</v>
      </c>
      <c r="I602" s="6">
        <v>0</v>
      </c>
      <c r="J602" s="6">
        <v>553.47</v>
      </c>
      <c r="L602">
        <v>26</v>
      </c>
      <c r="M602" s="5">
        <v>46195</v>
      </c>
      <c r="N602" t="s">
        <v>170</v>
      </c>
      <c r="O602">
        <v>5</v>
      </c>
      <c r="P602" s="6">
        <v>12.420000000000002</v>
      </c>
      <c r="Q602" s="6">
        <v>0</v>
      </c>
      <c r="R602" s="6">
        <v>4.68</v>
      </c>
      <c r="S602" s="6">
        <v>0.9</v>
      </c>
      <c r="T602" s="6">
        <v>13.320000000000002</v>
      </c>
    </row>
    <row r="603" spans="2:20" ht="18.75">
      <c r="B603">
        <v>51</v>
      </c>
      <c r="C603" s="5">
        <v>46006</v>
      </c>
      <c r="D603" t="s">
        <v>127</v>
      </c>
      <c r="E603">
        <v>65</v>
      </c>
      <c r="F603" s="6">
        <v>282.13</v>
      </c>
      <c r="G603" s="6">
        <v>0</v>
      </c>
      <c r="H603" s="6">
        <v>12.88</v>
      </c>
      <c r="I603" s="6">
        <v>0</v>
      </c>
      <c r="J603" s="6">
        <v>282.13</v>
      </c>
      <c r="L603">
        <v>26</v>
      </c>
      <c r="M603" s="5">
        <v>46195</v>
      </c>
      <c r="N603" t="s">
        <v>184</v>
      </c>
      <c r="O603">
        <v>1</v>
      </c>
      <c r="P603" s="6">
        <v>2.4</v>
      </c>
      <c r="Q603" s="6">
        <v>0</v>
      </c>
      <c r="R603" s="6">
        <v>0</v>
      </c>
      <c r="S603" s="6">
        <v>0.8</v>
      </c>
      <c r="T603" s="6">
        <v>3.2</v>
      </c>
    </row>
    <row r="604" spans="2:20" ht="18.75">
      <c r="B604">
        <v>51</v>
      </c>
      <c r="C604" s="5">
        <v>46006</v>
      </c>
      <c r="D604" t="s">
        <v>126</v>
      </c>
      <c r="E604">
        <v>19</v>
      </c>
      <c r="F604" s="6">
        <v>75.28</v>
      </c>
      <c r="G604" s="6">
        <v>0</v>
      </c>
      <c r="H604" s="6">
        <v>3.81</v>
      </c>
      <c r="I604" s="6">
        <v>0</v>
      </c>
      <c r="J604" s="6">
        <v>75.28</v>
      </c>
      <c r="L604">
        <v>26</v>
      </c>
      <c r="M604" s="5">
        <v>46195</v>
      </c>
      <c r="N604" t="s">
        <v>206</v>
      </c>
      <c r="O604">
        <v>83</v>
      </c>
      <c r="P604" s="6">
        <v>283.88</v>
      </c>
      <c r="Q604" s="6">
        <v>0</v>
      </c>
      <c r="R604" s="6">
        <v>0</v>
      </c>
      <c r="S604" s="6">
        <v>0</v>
      </c>
      <c r="T604" s="6">
        <v>283.88</v>
      </c>
    </row>
    <row r="605" spans="2:20" ht="18.75">
      <c r="B605">
        <v>51</v>
      </c>
      <c r="C605" s="5">
        <v>46006</v>
      </c>
      <c r="D605" t="s">
        <v>132</v>
      </c>
      <c r="E605">
        <v>87</v>
      </c>
      <c r="F605" s="6">
        <v>380.5</v>
      </c>
      <c r="G605" s="6">
        <v>1.5</v>
      </c>
      <c r="H605" s="6">
        <v>5.98</v>
      </c>
      <c r="I605" s="6">
        <v>0</v>
      </c>
      <c r="J605" s="6">
        <v>379</v>
      </c>
      <c r="L605">
        <v>26</v>
      </c>
      <c r="M605" s="5">
        <v>46195</v>
      </c>
      <c r="N605" t="s">
        <v>168</v>
      </c>
      <c r="O605">
        <v>1</v>
      </c>
      <c r="P605" s="6">
        <v>1.5</v>
      </c>
      <c r="Q605" s="6">
        <v>0</v>
      </c>
      <c r="R605" s="6">
        <v>0</v>
      </c>
      <c r="S605" s="6">
        <v>0</v>
      </c>
      <c r="T605" s="6">
        <v>1.5</v>
      </c>
    </row>
    <row r="606" spans="2:20" ht="18.75">
      <c r="B606">
        <v>51</v>
      </c>
      <c r="C606" s="5">
        <v>46006</v>
      </c>
      <c r="D606" t="s">
        <v>140</v>
      </c>
      <c r="E606">
        <v>16</v>
      </c>
      <c r="F606" s="6">
        <v>63.41</v>
      </c>
      <c r="G606" s="6">
        <v>0</v>
      </c>
      <c r="H606" s="6">
        <v>0.56000000000000005</v>
      </c>
      <c r="I606" s="6">
        <v>0</v>
      </c>
      <c r="J606" s="6">
        <v>63.41</v>
      </c>
    </row>
    <row r="607" spans="2:20" ht="18.75">
      <c r="B607">
        <v>51</v>
      </c>
      <c r="C607" s="5">
        <v>46006</v>
      </c>
      <c r="D607" t="s">
        <v>135</v>
      </c>
      <c r="E607">
        <v>15</v>
      </c>
      <c r="F607" s="6">
        <v>65.62</v>
      </c>
      <c r="G607" s="6">
        <v>0</v>
      </c>
      <c r="H607" s="6">
        <v>1.39</v>
      </c>
      <c r="I607" s="6">
        <v>11.08</v>
      </c>
      <c r="J607" s="6">
        <v>76.7</v>
      </c>
    </row>
    <row r="608" spans="2:20" ht="18.75">
      <c r="B608">
        <v>51</v>
      </c>
      <c r="C608" s="5">
        <v>46006</v>
      </c>
      <c r="D608" t="s">
        <v>116</v>
      </c>
      <c r="E608">
        <v>35</v>
      </c>
      <c r="F608" s="6">
        <v>131.97999999999999</v>
      </c>
      <c r="G608" s="6">
        <v>0</v>
      </c>
      <c r="H608" s="6">
        <v>3.76</v>
      </c>
      <c r="I608" s="6">
        <v>0</v>
      </c>
      <c r="J608" s="6">
        <v>131.97999999999999</v>
      </c>
    </row>
    <row r="609" spans="2:10" ht="18.75">
      <c r="B609">
        <v>51</v>
      </c>
      <c r="C609" s="5">
        <v>46006</v>
      </c>
      <c r="D609" t="s">
        <v>111</v>
      </c>
      <c r="E609">
        <v>51</v>
      </c>
      <c r="F609" s="6">
        <v>204.39</v>
      </c>
      <c r="G609" s="6">
        <v>0</v>
      </c>
      <c r="H609" s="6">
        <v>3.39</v>
      </c>
      <c r="I609" s="6">
        <v>0</v>
      </c>
      <c r="J609" s="6">
        <v>204.39</v>
      </c>
    </row>
    <row r="610" spans="2:10" ht="18.75">
      <c r="B610">
        <v>51</v>
      </c>
      <c r="C610" s="5">
        <v>46006</v>
      </c>
      <c r="D610" t="s">
        <v>142</v>
      </c>
      <c r="E610">
        <v>45</v>
      </c>
      <c r="F610" s="6">
        <v>202.93</v>
      </c>
      <c r="G610" s="6">
        <v>4.95</v>
      </c>
      <c r="H610" s="6">
        <v>5.38</v>
      </c>
      <c r="I610" s="6">
        <v>0</v>
      </c>
      <c r="J610" s="6">
        <v>197.98</v>
      </c>
    </row>
    <row r="611" spans="2:10" ht="18.75">
      <c r="B611">
        <v>51</v>
      </c>
      <c r="C611" s="5">
        <v>46006</v>
      </c>
      <c r="D611" t="s">
        <v>133</v>
      </c>
      <c r="E611">
        <v>72</v>
      </c>
      <c r="F611" s="6">
        <v>416.56</v>
      </c>
      <c r="G611" s="6">
        <v>0</v>
      </c>
      <c r="H611" s="6">
        <v>11.02</v>
      </c>
      <c r="I611" s="6">
        <v>0</v>
      </c>
      <c r="J611" s="6">
        <v>416.56</v>
      </c>
    </row>
    <row r="612" spans="2:10" ht="18.75">
      <c r="B612">
        <v>51</v>
      </c>
      <c r="C612" s="5">
        <v>46006</v>
      </c>
      <c r="D612" t="s">
        <v>150</v>
      </c>
      <c r="E612">
        <v>15</v>
      </c>
      <c r="F612" s="6">
        <v>88.56</v>
      </c>
      <c r="G612" s="6">
        <v>0</v>
      </c>
      <c r="H612" s="6">
        <v>0</v>
      </c>
      <c r="I612" s="6">
        <v>0</v>
      </c>
      <c r="J612" s="6">
        <v>88.56</v>
      </c>
    </row>
    <row r="613" spans="2:10" ht="18.75">
      <c r="B613">
        <v>51</v>
      </c>
      <c r="C613" s="5">
        <v>46006</v>
      </c>
      <c r="D613" t="s">
        <v>148</v>
      </c>
      <c r="E613">
        <v>9</v>
      </c>
      <c r="F613" s="6">
        <v>49.81</v>
      </c>
      <c r="G613" s="6">
        <v>0</v>
      </c>
      <c r="H613" s="6">
        <v>0</v>
      </c>
      <c r="I613" s="6">
        <v>0</v>
      </c>
      <c r="J613" s="6">
        <v>49.81</v>
      </c>
    </row>
    <row r="614" spans="2:10" ht="18.75">
      <c r="B614">
        <v>51</v>
      </c>
      <c r="C614" s="5">
        <v>46006</v>
      </c>
      <c r="D614" t="s">
        <v>112</v>
      </c>
      <c r="E614">
        <v>20</v>
      </c>
      <c r="F614" s="6">
        <v>80.2</v>
      </c>
      <c r="G614" s="6">
        <v>0</v>
      </c>
      <c r="H614" s="6">
        <v>2.39</v>
      </c>
      <c r="I614" s="6">
        <v>3.6</v>
      </c>
      <c r="J614" s="6">
        <v>83.8</v>
      </c>
    </row>
    <row r="615" spans="2:10" ht="18.75">
      <c r="B615">
        <v>51</v>
      </c>
      <c r="C615" s="5">
        <v>46006</v>
      </c>
      <c r="D615" t="s">
        <v>137</v>
      </c>
      <c r="E615">
        <v>9</v>
      </c>
      <c r="F615" s="6">
        <v>26.98</v>
      </c>
      <c r="G615" s="6">
        <v>0</v>
      </c>
      <c r="H615" s="6">
        <v>1.71</v>
      </c>
      <c r="I615" s="6">
        <v>8.2799999999999994</v>
      </c>
      <c r="J615" s="6">
        <v>35.26</v>
      </c>
    </row>
    <row r="616" spans="2:10" ht="18.75">
      <c r="B616">
        <v>51</v>
      </c>
      <c r="C616" s="5">
        <v>46006</v>
      </c>
      <c r="D616" t="s">
        <v>118</v>
      </c>
      <c r="E616">
        <v>53</v>
      </c>
      <c r="F616" s="6">
        <v>183.88</v>
      </c>
      <c r="G616" s="6">
        <v>0</v>
      </c>
      <c r="H616" s="6">
        <v>4.72</v>
      </c>
      <c r="I616" s="6">
        <v>0</v>
      </c>
      <c r="J616" s="6">
        <v>183.88</v>
      </c>
    </row>
    <row r="617" spans="2:10" ht="18.75">
      <c r="B617">
        <v>51</v>
      </c>
      <c r="C617" s="5">
        <v>46006</v>
      </c>
      <c r="D617" t="s">
        <v>120</v>
      </c>
      <c r="E617">
        <v>25</v>
      </c>
      <c r="F617" s="6">
        <v>105.47</v>
      </c>
      <c r="G617" s="6">
        <v>0</v>
      </c>
      <c r="H617" s="6">
        <v>2.4</v>
      </c>
      <c r="I617" s="6">
        <v>0</v>
      </c>
      <c r="J617" s="6">
        <v>105.47</v>
      </c>
    </row>
    <row r="618" spans="2:10" ht="18.75">
      <c r="B618">
        <v>51</v>
      </c>
      <c r="C618" s="5">
        <v>46006</v>
      </c>
      <c r="D618" t="s">
        <v>125</v>
      </c>
      <c r="E618">
        <v>8</v>
      </c>
      <c r="F618" s="6">
        <v>37.4</v>
      </c>
      <c r="G618" s="6">
        <v>0</v>
      </c>
      <c r="H618" s="6">
        <v>2.88</v>
      </c>
      <c r="I618" s="6">
        <v>0</v>
      </c>
      <c r="J618" s="6">
        <v>37.4</v>
      </c>
    </row>
    <row r="619" spans="2:10" ht="18.75">
      <c r="B619">
        <v>52</v>
      </c>
      <c r="C619" s="5">
        <v>46013</v>
      </c>
      <c r="D619" t="s">
        <v>139</v>
      </c>
      <c r="E619">
        <v>56</v>
      </c>
      <c r="F619" s="6">
        <v>263.88</v>
      </c>
      <c r="G619" s="6">
        <v>0</v>
      </c>
      <c r="H619" s="6">
        <v>8.89</v>
      </c>
      <c r="I619" s="6">
        <v>0</v>
      </c>
      <c r="J619" s="6">
        <v>263.88</v>
      </c>
    </row>
    <row r="620" spans="2:10" ht="18.75">
      <c r="B620">
        <v>52</v>
      </c>
      <c r="C620" s="5">
        <v>46013</v>
      </c>
      <c r="D620" t="s">
        <v>143</v>
      </c>
      <c r="E620">
        <v>301</v>
      </c>
      <c r="F620" s="6">
        <v>1450.93</v>
      </c>
      <c r="G620" s="6">
        <v>0</v>
      </c>
      <c r="H620" s="6">
        <v>1.83</v>
      </c>
      <c r="I620" s="6">
        <v>0</v>
      </c>
      <c r="J620" s="6">
        <v>1450.93</v>
      </c>
    </row>
    <row r="621" spans="2:10" ht="18.75">
      <c r="B621">
        <v>52</v>
      </c>
      <c r="C621" s="5">
        <v>46013</v>
      </c>
      <c r="D621" t="s">
        <v>123</v>
      </c>
      <c r="E621">
        <v>85</v>
      </c>
      <c r="F621" s="6">
        <v>372.27</v>
      </c>
      <c r="G621" s="6">
        <v>0</v>
      </c>
      <c r="H621" s="6">
        <v>10.35</v>
      </c>
      <c r="I621" s="6">
        <v>0</v>
      </c>
      <c r="J621" s="6">
        <v>372.27</v>
      </c>
    </row>
    <row r="622" spans="2:10" ht="18.75">
      <c r="B622">
        <v>52</v>
      </c>
      <c r="C622" s="5">
        <v>46013</v>
      </c>
      <c r="D622" t="s">
        <v>124</v>
      </c>
      <c r="E622">
        <v>85</v>
      </c>
      <c r="F622" s="6">
        <v>291.36</v>
      </c>
      <c r="G622" s="6">
        <v>0</v>
      </c>
      <c r="H622" s="6">
        <v>12.66</v>
      </c>
      <c r="I622" s="6">
        <v>0</v>
      </c>
      <c r="J622" s="6">
        <v>291.36</v>
      </c>
    </row>
    <row r="623" spans="2:10" ht="18.75">
      <c r="B623">
        <v>52</v>
      </c>
      <c r="C623" s="5">
        <v>46013</v>
      </c>
      <c r="D623" t="s">
        <v>147</v>
      </c>
      <c r="E623">
        <v>49</v>
      </c>
      <c r="F623" s="6">
        <v>204.93</v>
      </c>
      <c r="G623" s="6">
        <v>0</v>
      </c>
      <c r="H623" s="6">
        <v>11.09</v>
      </c>
      <c r="I623" s="6">
        <v>0</v>
      </c>
      <c r="J623" s="6">
        <v>204.93</v>
      </c>
    </row>
    <row r="624" spans="2:10" ht="18.75">
      <c r="B624">
        <v>52</v>
      </c>
      <c r="C624" s="5">
        <v>46013</v>
      </c>
      <c r="D624" t="s">
        <v>114</v>
      </c>
      <c r="E624">
        <v>15</v>
      </c>
      <c r="F624" s="6">
        <v>71.14</v>
      </c>
      <c r="G624" s="6">
        <v>0</v>
      </c>
      <c r="H624" s="6">
        <v>0</v>
      </c>
      <c r="I624" s="6">
        <v>23.79</v>
      </c>
      <c r="J624" s="6">
        <v>94.93</v>
      </c>
    </row>
    <row r="625" spans="2:10" ht="18.75">
      <c r="B625">
        <v>52</v>
      </c>
      <c r="C625" s="5">
        <v>46013</v>
      </c>
      <c r="D625" t="s">
        <v>146</v>
      </c>
      <c r="E625">
        <v>43</v>
      </c>
      <c r="F625" s="6">
        <v>244.67</v>
      </c>
      <c r="G625" s="6">
        <v>0</v>
      </c>
      <c r="H625" s="6">
        <v>7.73</v>
      </c>
      <c r="I625" s="6">
        <v>0</v>
      </c>
      <c r="J625" s="6">
        <v>244.67</v>
      </c>
    </row>
    <row r="626" spans="2:10" ht="18.75">
      <c r="B626">
        <v>52</v>
      </c>
      <c r="C626" s="5">
        <v>46013</v>
      </c>
      <c r="D626" t="s">
        <v>141</v>
      </c>
      <c r="E626">
        <v>69</v>
      </c>
      <c r="F626" s="6">
        <v>207.01</v>
      </c>
      <c r="G626" s="6">
        <v>0</v>
      </c>
      <c r="H626" s="6">
        <v>11.99</v>
      </c>
      <c r="I626" s="6">
        <v>0</v>
      </c>
      <c r="J626" s="6">
        <v>207.01</v>
      </c>
    </row>
    <row r="627" spans="2:10" ht="18.75">
      <c r="B627">
        <v>52</v>
      </c>
      <c r="C627" s="5">
        <v>46013</v>
      </c>
      <c r="D627" t="s">
        <v>129</v>
      </c>
      <c r="E627">
        <v>70</v>
      </c>
      <c r="F627" s="6">
        <v>0.83</v>
      </c>
      <c r="G627" s="6">
        <v>0</v>
      </c>
      <c r="H627" s="6">
        <v>0</v>
      </c>
      <c r="I627" s="6">
        <v>337.62</v>
      </c>
      <c r="J627" s="6">
        <v>338.45</v>
      </c>
    </row>
    <row r="628" spans="2:10" ht="18.75">
      <c r="B628">
        <v>52</v>
      </c>
      <c r="C628" s="5">
        <v>46013</v>
      </c>
      <c r="D628" t="s">
        <v>117</v>
      </c>
      <c r="E628">
        <v>20</v>
      </c>
      <c r="F628" s="6">
        <v>92.1</v>
      </c>
      <c r="G628" s="6">
        <v>0</v>
      </c>
      <c r="H628" s="6">
        <v>4.38</v>
      </c>
      <c r="I628" s="6">
        <v>0</v>
      </c>
      <c r="J628" s="6">
        <v>92.1</v>
      </c>
    </row>
    <row r="629" spans="2:10" ht="18.75">
      <c r="B629">
        <v>52</v>
      </c>
      <c r="C629" s="5">
        <v>46013</v>
      </c>
      <c r="D629" t="s">
        <v>121</v>
      </c>
      <c r="E629">
        <v>24</v>
      </c>
      <c r="F629" s="6">
        <v>82.17</v>
      </c>
      <c r="G629" s="6">
        <v>0</v>
      </c>
      <c r="H629" s="6">
        <v>0</v>
      </c>
      <c r="I629" s="6">
        <v>0</v>
      </c>
      <c r="J629" s="6">
        <v>82.17</v>
      </c>
    </row>
    <row r="630" spans="2:10" ht="18.75">
      <c r="B630">
        <v>52</v>
      </c>
      <c r="C630" s="5">
        <v>46013</v>
      </c>
      <c r="D630" t="s">
        <v>116</v>
      </c>
      <c r="E630">
        <v>10</v>
      </c>
      <c r="F630" s="6">
        <v>30.2</v>
      </c>
      <c r="G630" s="6">
        <v>0</v>
      </c>
      <c r="H630" s="6">
        <v>2.84</v>
      </c>
      <c r="I630" s="6">
        <v>0</v>
      </c>
      <c r="J630" s="6">
        <v>30.2</v>
      </c>
    </row>
    <row r="631" spans="2:10" ht="18.75">
      <c r="B631">
        <v>52</v>
      </c>
      <c r="C631" s="5">
        <v>46013</v>
      </c>
      <c r="D631" t="s">
        <v>134</v>
      </c>
      <c r="E631">
        <v>33</v>
      </c>
      <c r="F631" s="6">
        <v>195.62</v>
      </c>
      <c r="G631" s="6">
        <v>0</v>
      </c>
      <c r="H631" s="6">
        <v>3.66</v>
      </c>
      <c r="I631" s="6">
        <v>0</v>
      </c>
      <c r="J631" s="6">
        <v>195.62</v>
      </c>
    </row>
    <row r="632" spans="2:10" ht="18.75">
      <c r="B632">
        <v>52</v>
      </c>
      <c r="C632" s="5">
        <v>46013</v>
      </c>
      <c r="D632" t="s">
        <v>133</v>
      </c>
      <c r="E632">
        <v>29</v>
      </c>
      <c r="F632" s="6">
        <v>202.49</v>
      </c>
      <c r="G632" s="6">
        <v>0</v>
      </c>
      <c r="H632" s="6">
        <v>9.6199999999999992</v>
      </c>
      <c r="I632" s="6">
        <v>0</v>
      </c>
      <c r="J632" s="6">
        <v>202.49</v>
      </c>
    </row>
    <row r="633" spans="2:10" ht="18.75">
      <c r="B633">
        <v>52</v>
      </c>
      <c r="C633" s="5">
        <v>46013</v>
      </c>
      <c r="D633" t="s">
        <v>149</v>
      </c>
      <c r="E633">
        <v>37</v>
      </c>
      <c r="F633" s="6">
        <v>145.34</v>
      </c>
      <c r="G633" s="6">
        <v>0</v>
      </c>
      <c r="H633" s="6">
        <v>9.27</v>
      </c>
      <c r="I633" s="6">
        <v>0</v>
      </c>
      <c r="J633" s="6">
        <v>145.34</v>
      </c>
    </row>
    <row r="634" spans="2:10" ht="18.75">
      <c r="B634">
        <v>52</v>
      </c>
      <c r="C634" s="5">
        <v>46013</v>
      </c>
      <c r="D634" t="s">
        <v>122</v>
      </c>
      <c r="E634">
        <v>25</v>
      </c>
      <c r="F634" s="6">
        <v>141.53</v>
      </c>
      <c r="G634" s="6">
        <v>0</v>
      </c>
      <c r="H634" s="6">
        <v>0</v>
      </c>
      <c r="I634" s="6">
        <v>0</v>
      </c>
      <c r="J634" s="6">
        <v>141.53</v>
      </c>
    </row>
    <row r="635" spans="2:10" ht="18.75">
      <c r="B635">
        <v>52</v>
      </c>
      <c r="C635" s="5">
        <v>46013</v>
      </c>
      <c r="D635" t="s">
        <v>138</v>
      </c>
      <c r="E635">
        <v>50</v>
      </c>
      <c r="F635" s="6">
        <v>289.06</v>
      </c>
      <c r="G635" s="6">
        <v>0</v>
      </c>
      <c r="H635" s="6">
        <v>1.89</v>
      </c>
      <c r="I635" s="6">
        <v>0</v>
      </c>
      <c r="J635" s="6">
        <v>289.06</v>
      </c>
    </row>
    <row r="636" spans="2:10" ht="18.75">
      <c r="B636">
        <v>52</v>
      </c>
      <c r="C636" s="5">
        <v>46013</v>
      </c>
      <c r="D636" t="s">
        <v>142</v>
      </c>
      <c r="E636">
        <v>12</v>
      </c>
      <c r="F636" s="6">
        <v>61.11</v>
      </c>
      <c r="G636" s="6">
        <v>0</v>
      </c>
      <c r="H636" s="6">
        <v>1.83</v>
      </c>
      <c r="I636" s="6">
        <v>0</v>
      </c>
      <c r="J636" s="6">
        <v>61.11</v>
      </c>
    </row>
    <row r="637" spans="2:10" ht="18.75">
      <c r="B637">
        <v>52</v>
      </c>
      <c r="C637" s="5">
        <v>46013</v>
      </c>
      <c r="D637" t="s">
        <v>120</v>
      </c>
      <c r="E637">
        <v>12</v>
      </c>
      <c r="F637" s="6">
        <v>71.63</v>
      </c>
      <c r="G637" s="6">
        <v>0</v>
      </c>
      <c r="H637" s="6">
        <v>0</v>
      </c>
      <c r="I637" s="6">
        <v>0</v>
      </c>
      <c r="J637" s="6">
        <v>71.63</v>
      </c>
    </row>
    <row r="638" spans="2:10" ht="18.75">
      <c r="B638">
        <v>52</v>
      </c>
      <c r="C638" s="5">
        <v>46013</v>
      </c>
      <c r="D638" t="s">
        <v>132</v>
      </c>
      <c r="E638">
        <v>28</v>
      </c>
      <c r="F638" s="6">
        <v>98.51</v>
      </c>
      <c r="G638" s="6">
        <v>0</v>
      </c>
      <c r="H638" s="6">
        <v>3.78</v>
      </c>
      <c r="I638" s="6">
        <v>0</v>
      </c>
      <c r="J638" s="6">
        <v>98.51</v>
      </c>
    </row>
    <row r="639" spans="2:10" ht="18.75">
      <c r="B639">
        <v>52</v>
      </c>
      <c r="C639" s="5">
        <v>46013</v>
      </c>
      <c r="D639" t="s">
        <v>151</v>
      </c>
      <c r="E639">
        <v>41</v>
      </c>
      <c r="F639" s="6">
        <v>210.4</v>
      </c>
      <c r="G639" s="6">
        <v>0</v>
      </c>
      <c r="H639" s="6">
        <v>11.98</v>
      </c>
      <c r="I639" s="6">
        <v>0</v>
      </c>
      <c r="J639" s="6">
        <v>210.4</v>
      </c>
    </row>
    <row r="640" spans="2:10" ht="18.75">
      <c r="B640">
        <v>52</v>
      </c>
      <c r="C640" s="5">
        <v>46013</v>
      </c>
      <c r="D640" t="s">
        <v>148</v>
      </c>
      <c r="E640">
        <v>9</v>
      </c>
      <c r="F640" s="6">
        <v>52.28</v>
      </c>
      <c r="G640" s="6">
        <v>0</v>
      </c>
      <c r="H640" s="6">
        <v>0</v>
      </c>
      <c r="I640" s="6">
        <v>0</v>
      </c>
      <c r="J640" s="6">
        <v>52.28</v>
      </c>
    </row>
    <row r="641" spans="2:10" ht="18.75">
      <c r="B641">
        <v>52</v>
      </c>
      <c r="C641" s="5">
        <v>46013</v>
      </c>
      <c r="D641" t="s">
        <v>145</v>
      </c>
      <c r="E641">
        <v>11</v>
      </c>
      <c r="F641" s="6">
        <v>78.25</v>
      </c>
      <c r="G641" s="6">
        <v>0</v>
      </c>
      <c r="H641" s="6">
        <v>1.5</v>
      </c>
      <c r="I641" s="6">
        <v>0</v>
      </c>
      <c r="J641" s="6">
        <v>78.25</v>
      </c>
    </row>
    <row r="642" spans="2:10" ht="18.75">
      <c r="B642">
        <v>52</v>
      </c>
      <c r="C642" s="5">
        <v>46013</v>
      </c>
      <c r="D642" t="s">
        <v>113</v>
      </c>
      <c r="E642">
        <v>35</v>
      </c>
      <c r="F642" s="6">
        <v>108.48</v>
      </c>
      <c r="G642" s="6">
        <v>0</v>
      </c>
      <c r="H642" s="6">
        <v>1.83</v>
      </c>
      <c r="I642" s="6">
        <v>0</v>
      </c>
      <c r="J642" s="6">
        <v>108.48</v>
      </c>
    </row>
    <row r="643" spans="2:10" ht="18.75">
      <c r="B643">
        <v>52</v>
      </c>
      <c r="C643" s="5">
        <v>46013</v>
      </c>
      <c r="D643" t="s">
        <v>119</v>
      </c>
      <c r="E643">
        <v>34</v>
      </c>
      <c r="F643" s="6">
        <v>151.46</v>
      </c>
      <c r="G643" s="6">
        <v>0</v>
      </c>
      <c r="H643" s="6">
        <v>4.1100000000000003</v>
      </c>
      <c r="I643" s="6">
        <v>0</v>
      </c>
      <c r="J643" s="6">
        <v>151.46</v>
      </c>
    </row>
    <row r="644" spans="2:10" ht="18.75">
      <c r="B644">
        <v>52</v>
      </c>
      <c r="C644" s="5">
        <v>46013</v>
      </c>
      <c r="D644" t="s">
        <v>118</v>
      </c>
      <c r="E644">
        <v>25</v>
      </c>
      <c r="F644" s="6">
        <v>79.08</v>
      </c>
      <c r="G644" s="6">
        <v>0</v>
      </c>
      <c r="H644" s="6">
        <v>0</v>
      </c>
      <c r="I644" s="6">
        <v>0</v>
      </c>
      <c r="J644" s="6">
        <v>79.08</v>
      </c>
    </row>
    <row r="645" spans="2:10" ht="18.75">
      <c r="B645">
        <v>52</v>
      </c>
      <c r="C645" s="5">
        <v>46013</v>
      </c>
      <c r="D645" t="s">
        <v>112</v>
      </c>
      <c r="E645">
        <v>11</v>
      </c>
      <c r="F645" s="6">
        <v>52.97</v>
      </c>
      <c r="G645" s="6">
        <v>0</v>
      </c>
      <c r="H645" s="6">
        <v>0</v>
      </c>
      <c r="I645" s="6">
        <v>1.26</v>
      </c>
      <c r="J645" s="6">
        <v>54.23</v>
      </c>
    </row>
    <row r="646" spans="2:10" ht="18.75">
      <c r="B646">
        <v>52</v>
      </c>
      <c r="C646" s="5">
        <v>46013</v>
      </c>
      <c r="D646" t="s">
        <v>111</v>
      </c>
      <c r="E646">
        <v>12</v>
      </c>
      <c r="F646" s="6">
        <v>36.83</v>
      </c>
      <c r="G646" s="6">
        <v>0</v>
      </c>
      <c r="H646" s="6">
        <v>2.5</v>
      </c>
      <c r="I646" s="6">
        <v>0</v>
      </c>
      <c r="J646" s="6">
        <v>36.83</v>
      </c>
    </row>
    <row r="647" spans="2:10" ht="18.75">
      <c r="B647">
        <v>52</v>
      </c>
      <c r="C647" s="5">
        <v>46013</v>
      </c>
      <c r="D647" t="s">
        <v>137</v>
      </c>
      <c r="E647">
        <v>3</v>
      </c>
      <c r="F647" s="6">
        <v>4.32</v>
      </c>
      <c r="G647" s="6">
        <v>0</v>
      </c>
      <c r="H647" s="6">
        <v>0</v>
      </c>
      <c r="I647" s="6">
        <v>2.88</v>
      </c>
      <c r="J647" s="6">
        <v>7.2</v>
      </c>
    </row>
    <row r="648" spans="2:10" ht="18.75">
      <c r="B648">
        <v>52</v>
      </c>
      <c r="C648" s="5">
        <v>46013</v>
      </c>
      <c r="D648" t="s">
        <v>127</v>
      </c>
      <c r="E648">
        <v>23</v>
      </c>
      <c r="F648" s="6">
        <v>93.9</v>
      </c>
      <c r="G648" s="6">
        <v>0</v>
      </c>
      <c r="H648" s="6">
        <v>6.3</v>
      </c>
      <c r="I648" s="6">
        <v>0</v>
      </c>
      <c r="J648" s="6">
        <v>93.9</v>
      </c>
    </row>
    <row r="649" spans="2:10" ht="18.75">
      <c r="B649">
        <v>52</v>
      </c>
      <c r="C649" s="5">
        <v>46013</v>
      </c>
      <c r="D649" t="s">
        <v>136</v>
      </c>
      <c r="E649">
        <v>7</v>
      </c>
      <c r="F649" s="6">
        <v>19.34</v>
      </c>
      <c r="G649" s="6">
        <v>0</v>
      </c>
      <c r="H649" s="6">
        <v>0</v>
      </c>
      <c r="I649" s="6">
        <v>9.6</v>
      </c>
      <c r="J649" s="6">
        <v>28.94</v>
      </c>
    </row>
    <row r="650" spans="2:10" ht="18.75">
      <c r="B650">
        <v>52</v>
      </c>
      <c r="C650" s="5">
        <v>46013</v>
      </c>
      <c r="D650" t="s">
        <v>140</v>
      </c>
      <c r="E650">
        <v>5</v>
      </c>
      <c r="F650" s="6">
        <v>15.3</v>
      </c>
      <c r="G650" s="6">
        <v>0</v>
      </c>
      <c r="H650" s="6">
        <v>0</v>
      </c>
      <c r="I650" s="6">
        <v>0</v>
      </c>
      <c r="J650" s="6">
        <v>15.3</v>
      </c>
    </row>
    <row r="651" spans="2:10" ht="18.75">
      <c r="B651">
        <v>52</v>
      </c>
      <c r="C651" s="5">
        <v>46013</v>
      </c>
      <c r="D651" t="s">
        <v>126</v>
      </c>
      <c r="E651">
        <v>5</v>
      </c>
      <c r="F651" s="6">
        <v>35.979999999999997</v>
      </c>
      <c r="G651" s="6">
        <v>0</v>
      </c>
      <c r="H651" s="6">
        <v>2</v>
      </c>
      <c r="I651" s="6">
        <v>2</v>
      </c>
      <c r="J651" s="6">
        <v>37.979999999999997</v>
      </c>
    </row>
    <row r="652" spans="2:10" ht="18.75">
      <c r="B652">
        <v>52</v>
      </c>
      <c r="C652" s="5">
        <v>46013</v>
      </c>
      <c r="D652" t="s">
        <v>135</v>
      </c>
      <c r="E652">
        <v>5</v>
      </c>
      <c r="F652" s="6">
        <v>17.2</v>
      </c>
      <c r="G652" s="6">
        <v>0</v>
      </c>
      <c r="H652" s="6">
        <v>0.44</v>
      </c>
      <c r="I652" s="6">
        <v>7.56</v>
      </c>
      <c r="J652" s="6">
        <v>24.76</v>
      </c>
    </row>
    <row r="653" spans="2:10" ht="18.75">
      <c r="B653">
        <v>52</v>
      </c>
      <c r="C653" s="5">
        <v>46013</v>
      </c>
      <c r="D653" t="s">
        <v>150</v>
      </c>
      <c r="E653">
        <v>1</v>
      </c>
      <c r="F653" s="6">
        <v>6.95</v>
      </c>
      <c r="G653" s="6">
        <v>0</v>
      </c>
      <c r="H653" s="6">
        <v>0</v>
      </c>
      <c r="I653" s="6">
        <v>0</v>
      </c>
      <c r="J653" s="6">
        <v>6.95</v>
      </c>
    </row>
    <row r="654" spans="2:10" ht="18.75">
      <c r="B654">
        <v>7</v>
      </c>
      <c r="C654" s="5">
        <v>46062</v>
      </c>
      <c r="D654" t="s">
        <v>139</v>
      </c>
      <c r="E654">
        <v>101</v>
      </c>
      <c r="F654" s="6">
        <v>457.32</v>
      </c>
      <c r="G654" s="6">
        <v>0</v>
      </c>
      <c r="H654" s="6">
        <v>26.26</v>
      </c>
      <c r="I654" s="6">
        <v>0</v>
      </c>
      <c r="J654" s="6">
        <v>457.32</v>
      </c>
    </row>
    <row r="655" spans="2:10" ht="18.75">
      <c r="B655">
        <v>7</v>
      </c>
      <c r="C655" s="5">
        <v>46062</v>
      </c>
      <c r="D655" t="s">
        <v>123</v>
      </c>
      <c r="E655">
        <v>117</v>
      </c>
      <c r="F655" s="6">
        <v>482.51</v>
      </c>
      <c r="G655" s="6">
        <v>0</v>
      </c>
      <c r="H655" s="6">
        <v>31.61</v>
      </c>
      <c r="I655" s="6">
        <v>0</v>
      </c>
      <c r="J655" s="6">
        <v>482.51</v>
      </c>
    </row>
    <row r="656" spans="2:10" ht="18.75">
      <c r="B656">
        <v>7</v>
      </c>
      <c r="C656" s="5">
        <v>46062</v>
      </c>
      <c r="D656" t="s">
        <v>143</v>
      </c>
      <c r="E656">
        <v>709</v>
      </c>
      <c r="F656" s="6">
        <v>3133.86</v>
      </c>
      <c r="G656" s="6">
        <v>0</v>
      </c>
      <c r="H656" s="6">
        <v>38.24</v>
      </c>
      <c r="I656" s="6">
        <v>0</v>
      </c>
      <c r="J656" s="6">
        <v>3133.86</v>
      </c>
    </row>
    <row r="657" spans="2:10" ht="18.75">
      <c r="B657">
        <v>7</v>
      </c>
      <c r="C657" s="5">
        <v>46062</v>
      </c>
      <c r="D657" t="s">
        <v>118</v>
      </c>
      <c r="E657">
        <v>74</v>
      </c>
      <c r="F657" s="6">
        <v>220.6</v>
      </c>
      <c r="G657" s="6">
        <v>0</v>
      </c>
      <c r="H657" s="6">
        <v>2.34</v>
      </c>
      <c r="I657" s="6">
        <v>0</v>
      </c>
      <c r="J657" s="6">
        <v>220.6</v>
      </c>
    </row>
    <row r="658" spans="2:10" ht="18.75">
      <c r="B658">
        <v>7</v>
      </c>
      <c r="C658" s="5">
        <v>46062</v>
      </c>
      <c r="D658" t="s">
        <v>147</v>
      </c>
      <c r="E658">
        <v>107</v>
      </c>
      <c r="F658" s="6">
        <v>509.56</v>
      </c>
      <c r="G658" s="6">
        <v>12.59</v>
      </c>
      <c r="H658" s="6">
        <v>31.25</v>
      </c>
      <c r="I658" s="6">
        <v>0</v>
      </c>
      <c r="J658" s="6">
        <v>496.97</v>
      </c>
    </row>
    <row r="659" spans="2:10" ht="18.75">
      <c r="B659">
        <v>7</v>
      </c>
      <c r="C659" s="5">
        <v>46062</v>
      </c>
      <c r="D659" t="s">
        <v>151</v>
      </c>
      <c r="E659">
        <v>224</v>
      </c>
      <c r="F659" s="6">
        <v>1130.93</v>
      </c>
      <c r="G659" s="6">
        <v>0</v>
      </c>
      <c r="H659" s="6">
        <v>27.06</v>
      </c>
      <c r="I659" s="6">
        <v>0</v>
      </c>
      <c r="J659" s="6">
        <v>1130.93</v>
      </c>
    </row>
    <row r="660" spans="2:10" ht="18.75">
      <c r="B660">
        <v>7</v>
      </c>
      <c r="C660" s="5">
        <v>46062</v>
      </c>
      <c r="D660" t="s">
        <v>124</v>
      </c>
      <c r="E660">
        <v>169</v>
      </c>
      <c r="F660" s="6">
        <v>636.75</v>
      </c>
      <c r="G660" s="6">
        <v>0</v>
      </c>
      <c r="H660" s="6">
        <v>26.55</v>
      </c>
      <c r="I660" s="6">
        <v>0</v>
      </c>
      <c r="J660" s="6">
        <v>636.75</v>
      </c>
    </row>
    <row r="661" spans="2:10" ht="18.75">
      <c r="B661">
        <v>7</v>
      </c>
      <c r="C661" s="5">
        <v>46062</v>
      </c>
      <c r="D661" t="s">
        <v>126</v>
      </c>
      <c r="E661">
        <v>57</v>
      </c>
      <c r="F661" s="6">
        <v>213.17</v>
      </c>
      <c r="G661" s="6">
        <v>0</v>
      </c>
      <c r="H661" s="6">
        <v>10.79</v>
      </c>
      <c r="I661" s="6">
        <v>1.98</v>
      </c>
      <c r="J661" s="6">
        <v>215.15</v>
      </c>
    </row>
    <row r="662" spans="2:10" ht="18.75">
      <c r="B662">
        <v>7</v>
      </c>
      <c r="C662" s="5">
        <v>46062</v>
      </c>
      <c r="D662" t="s">
        <v>113</v>
      </c>
      <c r="E662">
        <v>98</v>
      </c>
      <c r="F662" s="6">
        <v>348.31</v>
      </c>
      <c r="G662" s="6">
        <v>0</v>
      </c>
      <c r="H662" s="6">
        <v>10.25</v>
      </c>
      <c r="I662" s="6">
        <v>6.15</v>
      </c>
      <c r="J662" s="6">
        <v>354.46</v>
      </c>
    </row>
    <row r="663" spans="2:10" ht="18.75">
      <c r="B663">
        <v>7</v>
      </c>
      <c r="C663" s="5">
        <v>46062</v>
      </c>
      <c r="D663" t="s">
        <v>121</v>
      </c>
      <c r="E663">
        <v>93</v>
      </c>
      <c r="F663" s="6">
        <v>290.26</v>
      </c>
      <c r="G663" s="6">
        <v>0</v>
      </c>
      <c r="H663" s="6">
        <v>9.24</v>
      </c>
      <c r="I663" s="6">
        <v>0</v>
      </c>
      <c r="J663" s="6">
        <v>290.26</v>
      </c>
    </row>
    <row r="664" spans="2:10" ht="18.75">
      <c r="B664">
        <v>7</v>
      </c>
      <c r="C664" s="5">
        <v>46062</v>
      </c>
      <c r="D664" t="s">
        <v>117</v>
      </c>
      <c r="E664">
        <v>72</v>
      </c>
      <c r="F664" s="6">
        <v>363.71</v>
      </c>
      <c r="G664" s="6">
        <v>0</v>
      </c>
      <c r="H664" s="6">
        <v>24.06</v>
      </c>
      <c r="I664" s="6">
        <v>0</v>
      </c>
      <c r="J664" s="6">
        <v>363.71</v>
      </c>
    </row>
    <row r="665" spans="2:10" ht="18.75">
      <c r="B665">
        <v>7</v>
      </c>
      <c r="C665" s="5">
        <v>46062</v>
      </c>
      <c r="D665" t="s">
        <v>111</v>
      </c>
      <c r="E665">
        <v>84</v>
      </c>
      <c r="F665" s="6">
        <v>371.6</v>
      </c>
      <c r="G665" s="6">
        <v>0</v>
      </c>
      <c r="H665" s="6">
        <v>6.1</v>
      </c>
      <c r="I665" s="6">
        <v>0</v>
      </c>
      <c r="J665" s="6">
        <v>371.6</v>
      </c>
    </row>
    <row r="666" spans="2:10" ht="18.75">
      <c r="B666">
        <v>7</v>
      </c>
      <c r="C666" s="5">
        <v>46062</v>
      </c>
      <c r="D666" t="s">
        <v>146</v>
      </c>
      <c r="E666">
        <v>173</v>
      </c>
      <c r="F666" s="6">
        <v>952.82</v>
      </c>
      <c r="G666" s="6">
        <v>0</v>
      </c>
      <c r="H666" s="6">
        <v>22.27</v>
      </c>
      <c r="I666" s="6">
        <v>0</v>
      </c>
      <c r="J666" s="6">
        <v>952.82</v>
      </c>
    </row>
    <row r="667" spans="2:10" ht="18.75">
      <c r="B667">
        <v>7</v>
      </c>
      <c r="C667" s="5">
        <v>46062</v>
      </c>
      <c r="D667" t="s">
        <v>114</v>
      </c>
      <c r="E667">
        <v>79</v>
      </c>
      <c r="F667" s="6">
        <v>315.99</v>
      </c>
      <c r="G667" s="6">
        <v>0</v>
      </c>
      <c r="H667" s="6">
        <v>27.44</v>
      </c>
      <c r="I667" s="6">
        <v>114.74</v>
      </c>
      <c r="J667" s="6">
        <v>430.73</v>
      </c>
    </row>
    <row r="668" spans="2:10" ht="18.75">
      <c r="B668">
        <v>7</v>
      </c>
      <c r="C668" s="5">
        <v>46062</v>
      </c>
      <c r="D668" t="s">
        <v>149</v>
      </c>
      <c r="E668">
        <v>61</v>
      </c>
      <c r="F668" s="6">
        <v>222.3</v>
      </c>
      <c r="G668" s="6">
        <v>0</v>
      </c>
      <c r="H668" s="6">
        <v>8.4600000000000009</v>
      </c>
      <c r="I668" s="6">
        <v>0</v>
      </c>
      <c r="J668" s="6">
        <v>222.3</v>
      </c>
    </row>
    <row r="669" spans="2:10" ht="18.75">
      <c r="B669">
        <v>7</v>
      </c>
      <c r="C669" s="5">
        <v>46062</v>
      </c>
      <c r="D669" t="s">
        <v>129</v>
      </c>
      <c r="E669">
        <v>138</v>
      </c>
      <c r="F669" s="6">
        <v>3.55</v>
      </c>
      <c r="G669" s="6">
        <v>0</v>
      </c>
      <c r="H669" s="6">
        <v>15.98</v>
      </c>
      <c r="I669" s="6">
        <v>605.04</v>
      </c>
      <c r="J669" s="6">
        <v>608.59</v>
      </c>
    </row>
    <row r="670" spans="2:10" ht="18.75">
      <c r="B670">
        <v>7</v>
      </c>
      <c r="C670" s="5">
        <v>46062</v>
      </c>
      <c r="D670" t="s">
        <v>130</v>
      </c>
      <c r="E670">
        <v>138</v>
      </c>
      <c r="F670" s="6">
        <v>713.3</v>
      </c>
      <c r="G670" s="6">
        <v>0</v>
      </c>
      <c r="H670" s="6">
        <v>8.3800000000000008</v>
      </c>
      <c r="I670" s="6">
        <v>0</v>
      </c>
      <c r="J670" s="6">
        <v>713.3</v>
      </c>
    </row>
    <row r="671" spans="2:10" ht="18.75">
      <c r="B671">
        <v>7</v>
      </c>
      <c r="C671" s="5">
        <v>46062</v>
      </c>
      <c r="D671" t="s">
        <v>134</v>
      </c>
      <c r="E671">
        <v>87</v>
      </c>
      <c r="F671" s="6">
        <v>466.73</v>
      </c>
      <c r="G671" s="6">
        <v>0</v>
      </c>
      <c r="H671" s="6">
        <v>25.63</v>
      </c>
      <c r="I671" s="6">
        <v>0</v>
      </c>
      <c r="J671" s="6">
        <v>466.73</v>
      </c>
    </row>
    <row r="672" spans="2:10" ht="18.75">
      <c r="B672">
        <v>7</v>
      </c>
      <c r="C672" s="5">
        <v>46062</v>
      </c>
      <c r="D672" t="s">
        <v>141</v>
      </c>
      <c r="E672">
        <v>236</v>
      </c>
      <c r="F672" s="6">
        <v>851.36</v>
      </c>
      <c r="G672" s="6">
        <v>0</v>
      </c>
      <c r="H672" s="6">
        <v>21.41</v>
      </c>
      <c r="I672" s="6">
        <v>0</v>
      </c>
      <c r="J672" s="6">
        <v>851.36</v>
      </c>
    </row>
    <row r="673" spans="2:10" ht="18.75">
      <c r="B673">
        <v>7</v>
      </c>
      <c r="C673" s="5">
        <v>46062</v>
      </c>
      <c r="D673" t="s">
        <v>138</v>
      </c>
      <c r="E673">
        <v>127</v>
      </c>
      <c r="F673" s="6">
        <v>665.38</v>
      </c>
      <c r="G673" s="6">
        <v>0</v>
      </c>
      <c r="H673" s="6">
        <v>31.33</v>
      </c>
      <c r="I673" s="6">
        <v>0</v>
      </c>
      <c r="J673" s="6">
        <v>665.38</v>
      </c>
    </row>
    <row r="674" spans="2:10" ht="18.75">
      <c r="B674">
        <v>7</v>
      </c>
      <c r="C674" s="5">
        <v>46062</v>
      </c>
      <c r="D674" t="s">
        <v>120</v>
      </c>
      <c r="E674">
        <v>33</v>
      </c>
      <c r="F674" s="6">
        <v>161.29</v>
      </c>
      <c r="G674" s="6">
        <v>0</v>
      </c>
      <c r="H674" s="6">
        <v>1.02</v>
      </c>
      <c r="I674" s="6">
        <v>0</v>
      </c>
      <c r="J674" s="6">
        <v>161.29</v>
      </c>
    </row>
    <row r="675" spans="2:10" ht="18.75">
      <c r="B675">
        <v>7</v>
      </c>
      <c r="C675" s="5">
        <v>46062</v>
      </c>
      <c r="D675" t="s">
        <v>145</v>
      </c>
      <c r="E675">
        <v>67</v>
      </c>
      <c r="F675" s="6">
        <v>364.11</v>
      </c>
      <c r="G675" s="6">
        <v>0</v>
      </c>
      <c r="H675" s="6">
        <v>8.6999999999999993</v>
      </c>
      <c r="I675" s="6">
        <v>0</v>
      </c>
      <c r="J675" s="6">
        <v>364.11</v>
      </c>
    </row>
    <row r="676" spans="2:10" ht="18.75">
      <c r="B676">
        <v>7</v>
      </c>
      <c r="C676" s="5">
        <v>46062</v>
      </c>
      <c r="D676" t="s">
        <v>122</v>
      </c>
      <c r="E676">
        <v>82</v>
      </c>
      <c r="F676" s="6">
        <v>390.93</v>
      </c>
      <c r="G676" s="6">
        <v>0</v>
      </c>
      <c r="H676" s="6">
        <v>30.81</v>
      </c>
      <c r="I676" s="6">
        <v>0</v>
      </c>
      <c r="J676" s="6">
        <v>390.93</v>
      </c>
    </row>
    <row r="677" spans="2:10" ht="18.75">
      <c r="B677">
        <v>7</v>
      </c>
      <c r="C677" s="5">
        <v>46062</v>
      </c>
      <c r="D677" t="s">
        <v>133</v>
      </c>
      <c r="E677">
        <v>68</v>
      </c>
      <c r="F677" s="6">
        <v>366.6</v>
      </c>
      <c r="G677" s="6">
        <v>0</v>
      </c>
      <c r="H677" s="6">
        <v>6.72</v>
      </c>
      <c r="I677" s="6">
        <v>2</v>
      </c>
      <c r="J677" s="6">
        <v>368.6</v>
      </c>
    </row>
    <row r="678" spans="2:10" ht="18.75">
      <c r="B678">
        <v>7</v>
      </c>
      <c r="C678" s="5">
        <v>46062</v>
      </c>
      <c r="D678" t="s">
        <v>119</v>
      </c>
      <c r="E678">
        <v>166</v>
      </c>
      <c r="F678" s="6">
        <v>671.42</v>
      </c>
      <c r="G678" s="6">
        <v>0</v>
      </c>
      <c r="H678" s="6">
        <v>14.26</v>
      </c>
      <c r="I678" s="6">
        <v>0</v>
      </c>
      <c r="J678" s="6">
        <v>671.42</v>
      </c>
    </row>
    <row r="679" spans="2:10" ht="18.75">
      <c r="B679">
        <v>7</v>
      </c>
      <c r="C679" s="5">
        <v>46062</v>
      </c>
      <c r="D679" t="s">
        <v>132</v>
      </c>
      <c r="E679">
        <v>65</v>
      </c>
      <c r="F679" s="6">
        <v>240.05</v>
      </c>
      <c r="G679" s="6">
        <v>0</v>
      </c>
      <c r="H679" s="6">
        <v>12.23</v>
      </c>
      <c r="I679" s="6">
        <v>0</v>
      </c>
      <c r="J679" s="6">
        <v>240.05</v>
      </c>
    </row>
    <row r="680" spans="2:10" ht="18.75">
      <c r="B680">
        <v>7</v>
      </c>
      <c r="C680" s="5">
        <v>46062</v>
      </c>
      <c r="D680" t="s">
        <v>112</v>
      </c>
      <c r="E680">
        <v>19</v>
      </c>
      <c r="F680" s="6">
        <v>81.22</v>
      </c>
      <c r="G680" s="6">
        <v>0</v>
      </c>
      <c r="H680" s="6">
        <v>7.54</v>
      </c>
      <c r="I680" s="6">
        <v>0</v>
      </c>
      <c r="J680" s="6">
        <v>81.22</v>
      </c>
    </row>
    <row r="681" spans="2:10" ht="18.75">
      <c r="B681">
        <v>7</v>
      </c>
      <c r="C681" s="5">
        <v>46062</v>
      </c>
      <c r="D681" t="s">
        <v>127</v>
      </c>
      <c r="E681">
        <v>86</v>
      </c>
      <c r="F681" s="6">
        <v>434.04</v>
      </c>
      <c r="G681" s="6">
        <v>0</v>
      </c>
      <c r="H681" s="6">
        <v>12.35</v>
      </c>
      <c r="I681" s="6">
        <v>0</v>
      </c>
      <c r="J681" s="6">
        <v>434.04</v>
      </c>
    </row>
    <row r="682" spans="2:10" ht="18.75">
      <c r="B682">
        <v>7</v>
      </c>
      <c r="C682" s="5">
        <v>46062</v>
      </c>
      <c r="D682" t="s">
        <v>135</v>
      </c>
      <c r="E682">
        <v>25</v>
      </c>
      <c r="F682" s="6">
        <v>81.34</v>
      </c>
      <c r="G682" s="6">
        <v>0</v>
      </c>
      <c r="H682" s="6">
        <v>7.32</v>
      </c>
      <c r="I682" s="6">
        <v>31.6</v>
      </c>
      <c r="J682" s="6">
        <v>112.94</v>
      </c>
    </row>
    <row r="683" spans="2:10" ht="18.75">
      <c r="B683">
        <v>7</v>
      </c>
      <c r="C683" s="5">
        <v>46062</v>
      </c>
      <c r="D683" t="s">
        <v>128</v>
      </c>
      <c r="E683">
        <v>42</v>
      </c>
      <c r="F683" s="6">
        <v>208.93</v>
      </c>
      <c r="G683" s="6">
        <v>0</v>
      </c>
      <c r="H683" s="6">
        <v>2.78</v>
      </c>
      <c r="I683" s="6">
        <v>0</v>
      </c>
      <c r="J683" s="6">
        <v>208.93</v>
      </c>
    </row>
    <row r="684" spans="2:10" ht="18.75">
      <c r="B684">
        <v>7</v>
      </c>
      <c r="C684" s="5">
        <v>46062</v>
      </c>
      <c r="D684" t="s">
        <v>142</v>
      </c>
      <c r="E684">
        <v>62</v>
      </c>
      <c r="F684" s="6">
        <v>268.2</v>
      </c>
      <c r="G684" s="6">
        <v>0</v>
      </c>
      <c r="H684" s="6">
        <v>37.61</v>
      </c>
      <c r="I684" s="6">
        <v>0</v>
      </c>
      <c r="J684" s="6">
        <v>268.2</v>
      </c>
    </row>
    <row r="685" spans="2:10" ht="18.75">
      <c r="B685">
        <v>7</v>
      </c>
      <c r="C685" s="5">
        <v>46062</v>
      </c>
      <c r="D685" t="s">
        <v>148</v>
      </c>
      <c r="E685">
        <v>30</v>
      </c>
      <c r="F685" s="6">
        <v>126.88</v>
      </c>
      <c r="G685" s="6">
        <v>0</v>
      </c>
      <c r="H685" s="6">
        <v>10.3</v>
      </c>
      <c r="I685" s="6">
        <v>0</v>
      </c>
      <c r="J685" s="6">
        <v>126.88</v>
      </c>
    </row>
    <row r="686" spans="2:10" ht="18.75">
      <c r="B686">
        <v>7</v>
      </c>
      <c r="C686" s="5">
        <v>46062</v>
      </c>
      <c r="D686" t="s">
        <v>136</v>
      </c>
      <c r="E686">
        <v>36</v>
      </c>
      <c r="F686" s="6">
        <v>130.19999999999999</v>
      </c>
      <c r="G686" s="6">
        <v>0</v>
      </c>
      <c r="H686" s="6">
        <v>5.55</v>
      </c>
      <c r="I686" s="6">
        <v>44.02</v>
      </c>
      <c r="J686" s="6">
        <v>174.22</v>
      </c>
    </row>
    <row r="687" spans="2:10" ht="18.75">
      <c r="B687">
        <v>7</v>
      </c>
      <c r="C687" s="5">
        <v>46062</v>
      </c>
      <c r="D687" t="s">
        <v>150</v>
      </c>
      <c r="E687">
        <v>11</v>
      </c>
      <c r="F687" s="6">
        <v>55.26</v>
      </c>
      <c r="G687" s="6">
        <v>0</v>
      </c>
      <c r="H687" s="6">
        <v>13.1</v>
      </c>
      <c r="I687" s="6">
        <v>0</v>
      </c>
      <c r="J687" s="6">
        <v>55.26</v>
      </c>
    </row>
    <row r="688" spans="2:10" ht="18.75">
      <c r="B688">
        <v>7</v>
      </c>
      <c r="C688" s="5">
        <v>46062</v>
      </c>
      <c r="D688" t="s">
        <v>125</v>
      </c>
      <c r="E688">
        <v>16</v>
      </c>
      <c r="F688" s="6">
        <v>67.86</v>
      </c>
      <c r="G688" s="6">
        <v>0</v>
      </c>
      <c r="H688" s="6">
        <v>0.8</v>
      </c>
      <c r="I688" s="6">
        <v>0</v>
      </c>
      <c r="J688" s="6">
        <v>67.86</v>
      </c>
    </row>
    <row r="689" spans="2:10" ht="18.75">
      <c r="B689">
        <v>7</v>
      </c>
      <c r="C689" s="5">
        <v>46062</v>
      </c>
      <c r="D689" t="s">
        <v>137</v>
      </c>
      <c r="E689">
        <v>13</v>
      </c>
      <c r="F689" s="6">
        <v>44.73</v>
      </c>
      <c r="G689" s="6">
        <v>0</v>
      </c>
      <c r="H689" s="6">
        <v>1.82</v>
      </c>
      <c r="I689" s="6">
        <v>31.06</v>
      </c>
      <c r="J689" s="6">
        <v>75.790000000000006</v>
      </c>
    </row>
    <row r="690" spans="2:10" ht="18.75">
      <c r="B690">
        <v>7</v>
      </c>
      <c r="C690" s="5">
        <v>46062</v>
      </c>
      <c r="D690" t="s">
        <v>116</v>
      </c>
      <c r="E690">
        <v>44</v>
      </c>
      <c r="F690" s="6">
        <v>188.81</v>
      </c>
      <c r="G690" s="6">
        <v>0</v>
      </c>
      <c r="H690" s="6">
        <v>8.77</v>
      </c>
      <c r="I690" s="6">
        <v>0</v>
      </c>
      <c r="J690" s="6">
        <v>188.81</v>
      </c>
    </row>
    <row r="691" spans="2:10" ht="18.75">
      <c r="B691">
        <v>7</v>
      </c>
      <c r="C691" s="5">
        <v>46062</v>
      </c>
      <c r="D691" t="s">
        <v>140</v>
      </c>
      <c r="E691">
        <v>34</v>
      </c>
      <c r="F691" s="6">
        <v>138.37</v>
      </c>
      <c r="G691" s="6">
        <v>0</v>
      </c>
      <c r="H691" s="6">
        <v>4.0199999999999996</v>
      </c>
      <c r="I691" s="6">
        <v>0</v>
      </c>
      <c r="J691" s="6">
        <v>138.37</v>
      </c>
    </row>
    <row r="692" spans="2:10" ht="18.75">
      <c r="B692">
        <v>8</v>
      </c>
      <c r="C692" s="5">
        <v>46069</v>
      </c>
      <c r="D692" t="s">
        <v>143</v>
      </c>
      <c r="E692">
        <v>665</v>
      </c>
      <c r="F692" s="6">
        <v>2826.06</v>
      </c>
      <c r="G692" s="6">
        <v>0</v>
      </c>
      <c r="H692" s="6">
        <v>50.34</v>
      </c>
      <c r="I692" s="6">
        <v>0</v>
      </c>
      <c r="J692" s="6">
        <v>2826.06</v>
      </c>
    </row>
    <row r="693" spans="2:10" ht="18.75">
      <c r="B693">
        <v>8</v>
      </c>
      <c r="C693" s="5">
        <v>46069</v>
      </c>
      <c r="D693" t="s">
        <v>139</v>
      </c>
      <c r="E693">
        <v>69</v>
      </c>
      <c r="F693" s="6">
        <v>309.48</v>
      </c>
      <c r="G693" s="6">
        <v>0</v>
      </c>
      <c r="H693" s="6">
        <v>17.850000000000001</v>
      </c>
      <c r="I693" s="6">
        <v>0</v>
      </c>
      <c r="J693" s="6">
        <v>309.48</v>
      </c>
    </row>
    <row r="694" spans="2:10" ht="18.75">
      <c r="B694">
        <v>8</v>
      </c>
      <c r="C694" s="5">
        <v>46069</v>
      </c>
      <c r="D694" t="s">
        <v>113</v>
      </c>
      <c r="E694">
        <v>54</v>
      </c>
      <c r="F694" s="6">
        <v>174.42</v>
      </c>
      <c r="G694" s="6">
        <v>0</v>
      </c>
      <c r="H694" s="6">
        <v>12.42</v>
      </c>
      <c r="I694" s="6">
        <v>0</v>
      </c>
      <c r="J694" s="6">
        <v>174.42</v>
      </c>
    </row>
    <row r="695" spans="2:10" ht="18.75">
      <c r="B695">
        <v>8</v>
      </c>
      <c r="C695" s="5">
        <v>46069</v>
      </c>
      <c r="D695" t="s">
        <v>130</v>
      </c>
      <c r="E695">
        <v>125</v>
      </c>
      <c r="F695" s="6">
        <v>640.29</v>
      </c>
      <c r="G695" s="6">
        <v>0</v>
      </c>
      <c r="H695" s="6">
        <v>28.13</v>
      </c>
      <c r="I695" s="6">
        <v>0</v>
      </c>
      <c r="J695" s="6">
        <v>640.29</v>
      </c>
    </row>
    <row r="696" spans="2:10" ht="18.75">
      <c r="B696">
        <v>8</v>
      </c>
      <c r="C696" s="5">
        <v>46069</v>
      </c>
      <c r="D696" t="s">
        <v>121</v>
      </c>
      <c r="E696">
        <v>71</v>
      </c>
      <c r="F696" s="6">
        <v>238.73</v>
      </c>
      <c r="G696" s="6">
        <v>0</v>
      </c>
      <c r="H696" s="6">
        <v>4.0199999999999996</v>
      </c>
      <c r="I696" s="6">
        <v>0</v>
      </c>
      <c r="J696" s="6">
        <v>238.73</v>
      </c>
    </row>
    <row r="697" spans="2:10" ht="18.75">
      <c r="B697">
        <v>8</v>
      </c>
      <c r="C697" s="5">
        <v>46069</v>
      </c>
      <c r="D697" t="s">
        <v>151</v>
      </c>
      <c r="E697">
        <v>195</v>
      </c>
      <c r="F697" s="6">
        <v>1014.79</v>
      </c>
      <c r="G697" s="6">
        <v>0</v>
      </c>
      <c r="H697" s="6">
        <v>20.28</v>
      </c>
      <c r="I697" s="6">
        <v>0</v>
      </c>
      <c r="J697" s="6">
        <v>1014.79</v>
      </c>
    </row>
    <row r="698" spans="2:10" ht="18.75">
      <c r="B698">
        <v>8</v>
      </c>
      <c r="C698" s="5">
        <v>46069</v>
      </c>
      <c r="D698" t="s">
        <v>146</v>
      </c>
      <c r="E698">
        <v>132</v>
      </c>
      <c r="F698" s="6">
        <v>700.33000000000095</v>
      </c>
      <c r="G698" s="6">
        <v>0</v>
      </c>
      <c r="H698" s="6">
        <v>20.71</v>
      </c>
      <c r="I698" s="6">
        <v>0</v>
      </c>
      <c r="J698" s="6">
        <v>700.33000000000095</v>
      </c>
    </row>
    <row r="699" spans="2:10" ht="18.75">
      <c r="B699">
        <v>8</v>
      </c>
      <c r="C699" s="5">
        <v>46069</v>
      </c>
      <c r="D699" t="s">
        <v>111</v>
      </c>
      <c r="E699">
        <v>74</v>
      </c>
      <c r="F699" s="6">
        <v>312.64999999999998</v>
      </c>
      <c r="G699" s="6">
        <v>0</v>
      </c>
      <c r="H699" s="6">
        <v>8.27</v>
      </c>
      <c r="I699" s="6">
        <v>0</v>
      </c>
      <c r="J699" s="6">
        <v>312.64999999999998</v>
      </c>
    </row>
    <row r="700" spans="2:10" ht="18.75">
      <c r="B700">
        <v>8</v>
      </c>
      <c r="C700" s="5">
        <v>46069</v>
      </c>
      <c r="D700" t="s">
        <v>141</v>
      </c>
      <c r="E700">
        <v>226</v>
      </c>
      <c r="F700" s="6">
        <v>789.80999999999904</v>
      </c>
      <c r="G700" s="6">
        <v>0</v>
      </c>
      <c r="H700" s="6">
        <v>32.1</v>
      </c>
      <c r="I700" s="6">
        <v>0</v>
      </c>
      <c r="J700" s="6">
        <v>789.80999999999904</v>
      </c>
    </row>
    <row r="701" spans="2:10" ht="18.75">
      <c r="B701">
        <v>8</v>
      </c>
      <c r="C701" s="5">
        <v>46069</v>
      </c>
      <c r="D701" t="s">
        <v>124</v>
      </c>
      <c r="E701">
        <v>150</v>
      </c>
      <c r="F701" s="6">
        <v>531.55999999999995</v>
      </c>
      <c r="G701" s="6">
        <v>0</v>
      </c>
      <c r="H701" s="6">
        <v>18.88</v>
      </c>
      <c r="I701" s="6">
        <v>0</v>
      </c>
      <c r="J701" s="6">
        <v>531.55999999999995</v>
      </c>
    </row>
    <row r="702" spans="2:10" ht="18.75">
      <c r="B702">
        <v>8</v>
      </c>
      <c r="C702" s="5">
        <v>46069</v>
      </c>
      <c r="D702" t="s">
        <v>149</v>
      </c>
      <c r="E702">
        <v>48</v>
      </c>
      <c r="F702" s="6">
        <v>162.19999999999999</v>
      </c>
      <c r="G702" s="6">
        <v>0</v>
      </c>
      <c r="H702" s="6">
        <v>4.76</v>
      </c>
      <c r="I702" s="6">
        <v>0</v>
      </c>
      <c r="J702" s="6">
        <v>162.19999999999999</v>
      </c>
    </row>
    <row r="703" spans="2:10" ht="18.75">
      <c r="B703">
        <v>8</v>
      </c>
      <c r="C703" s="5">
        <v>46069</v>
      </c>
      <c r="D703" t="s">
        <v>129</v>
      </c>
      <c r="E703">
        <v>133</v>
      </c>
      <c r="F703" s="6">
        <v>37.729999999999997</v>
      </c>
      <c r="G703" s="6">
        <v>0</v>
      </c>
      <c r="H703" s="6">
        <v>11.62</v>
      </c>
      <c r="I703" s="6">
        <v>524.26</v>
      </c>
      <c r="J703" s="6">
        <v>561.99</v>
      </c>
    </row>
    <row r="704" spans="2:10" ht="18.75">
      <c r="B704">
        <v>8</v>
      </c>
      <c r="C704" s="5">
        <v>46069</v>
      </c>
      <c r="D704" t="s">
        <v>126</v>
      </c>
      <c r="E704">
        <v>52</v>
      </c>
      <c r="F704" s="6">
        <v>190.62</v>
      </c>
      <c r="G704" s="6">
        <v>0</v>
      </c>
      <c r="H704" s="6">
        <v>8.23</v>
      </c>
      <c r="I704" s="6">
        <v>0</v>
      </c>
      <c r="J704" s="6">
        <v>190.62</v>
      </c>
    </row>
    <row r="705" spans="2:10" ht="18.75">
      <c r="B705">
        <v>8</v>
      </c>
      <c r="C705" s="5">
        <v>46069</v>
      </c>
      <c r="D705" t="s">
        <v>147</v>
      </c>
      <c r="E705">
        <v>77</v>
      </c>
      <c r="F705" s="6">
        <v>340.83</v>
      </c>
      <c r="G705" s="6">
        <v>0</v>
      </c>
      <c r="H705" s="6">
        <v>21.37</v>
      </c>
      <c r="I705" s="6">
        <v>2.38</v>
      </c>
      <c r="J705" s="6">
        <v>343.21</v>
      </c>
    </row>
    <row r="706" spans="2:10" ht="18.75">
      <c r="B706">
        <v>8</v>
      </c>
      <c r="C706" s="5">
        <v>46069</v>
      </c>
      <c r="D706" t="s">
        <v>127</v>
      </c>
      <c r="E706">
        <v>70</v>
      </c>
      <c r="F706" s="6">
        <v>355.93</v>
      </c>
      <c r="G706" s="6">
        <v>0</v>
      </c>
      <c r="H706" s="6">
        <v>3.46</v>
      </c>
      <c r="I706" s="6">
        <v>0</v>
      </c>
      <c r="J706" s="6">
        <v>355.93</v>
      </c>
    </row>
    <row r="707" spans="2:10" ht="18.75">
      <c r="B707">
        <v>8</v>
      </c>
      <c r="C707" s="5">
        <v>46069</v>
      </c>
      <c r="D707" t="s">
        <v>140</v>
      </c>
      <c r="E707">
        <v>13</v>
      </c>
      <c r="F707" s="6">
        <v>56.96</v>
      </c>
      <c r="G707" s="6">
        <v>0</v>
      </c>
      <c r="H707" s="6">
        <v>0.56000000000000005</v>
      </c>
      <c r="I707" s="6">
        <v>0</v>
      </c>
      <c r="J707" s="6">
        <v>56.96</v>
      </c>
    </row>
    <row r="708" spans="2:10" ht="18.75">
      <c r="B708">
        <v>8</v>
      </c>
      <c r="C708" s="5">
        <v>46069</v>
      </c>
      <c r="D708" t="s">
        <v>138</v>
      </c>
      <c r="E708">
        <v>116</v>
      </c>
      <c r="F708" s="6">
        <v>586.02</v>
      </c>
      <c r="G708" s="6">
        <v>0</v>
      </c>
      <c r="H708" s="6">
        <v>51.79</v>
      </c>
      <c r="I708" s="6">
        <v>0</v>
      </c>
      <c r="J708" s="6">
        <v>586.02</v>
      </c>
    </row>
    <row r="709" spans="2:10" ht="18.75">
      <c r="B709">
        <v>8</v>
      </c>
      <c r="C709" s="5">
        <v>46069</v>
      </c>
      <c r="D709" t="s">
        <v>145</v>
      </c>
      <c r="E709">
        <v>44</v>
      </c>
      <c r="F709" s="6">
        <v>225.98</v>
      </c>
      <c r="G709" s="6">
        <v>0</v>
      </c>
      <c r="H709" s="6">
        <v>17.21</v>
      </c>
      <c r="I709" s="6">
        <v>0</v>
      </c>
      <c r="J709" s="6">
        <v>225.98</v>
      </c>
    </row>
    <row r="710" spans="2:10" ht="18.75">
      <c r="B710">
        <v>8</v>
      </c>
      <c r="C710" s="5">
        <v>46069</v>
      </c>
      <c r="D710" t="s">
        <v>119</v>
      </c>
      <c r="E710">
        <v>131</v>
      </c>
      <c r="F710" s="6">
        <v>515.69000000000005</v>
      </c>
      <c r="G710" s="6">
        <v>0</v>
      </c>
      <c r="H710" s="6">
        <v>12.38</v>
      </c>
      <c r="I710" s="6">
        <v>0</v>
      </c>
      <c r="J710" s="6">
        <v>515.69000000000005</v>
      </c>
    </row>
    <row r="711" spans="2:10" ht="18.75">
      <c r="B711">
        <v>8</v>
      </c>
      <c r="C711" s="5">
        <v>46069</v>
      </c>
      <c r="D711" t="s">
        <v>117</v>
      </c>
      <c r="E711">
        <v>47</v>
      </c>
      <c r="F711" s="6">
        <v>224.61</v>
      </c>
      <c r="G711" s="6">
        <v>0</v>
      </c>
      <c r="H711" s="6">
        <v>7.93</v>
      </c>
      <c r="I711" s="6">
        <v>0</v>
      </c>
      <c r="J711" s="6">
        <v>224.61</v>
      </c>
    </row>
    <row r="712" spans="2:10" ht="18.75">
      <c r="B712">
        <v>8</v>
      </c>
      <c r="C712" s="5">
        <v>46069</v>
      </c>
      <c r="D712" t="s">
        <v>136</v>
      </c>
      <c r="E712">
        <v>40</v>
      </c>
      <c r="F712" s="6">
        <v>102.91</v>
      </c>
      <c r="G712" s="6">
        <v>0</v>
      </c>
      <c r="H712" s="6">
        <v>13.75</v>
      </c>
      <c r="I712" s="6">
        <v>69.989999999999995</v>
      </c>
      <c r="J712" s="6">
        <v>172.9</v>
      </c>
    </row>
    <row r="713" spans="2:10" ht="18.75">
      <c r="B713">
        <v>8</v>
      </c>
      <c r="C713" s="5">
        <v>46069</v>
      </c>
      <c r="D713" t="s">
        <v>133</v>
      </c>
      <c r="E713">
        <v>60</v>
      </c>
      <c r="F713" s="6">
        <v>362.66</v>
      </c>
      <c r="G713" s="6">
        <v>0</v>
      </c>
      <c r="H713" s="6">
        <v>6.6</v>
      </c>
      <c r="I713" s="6">
        <v>0</v>
      </c>
      <c r="J713" s="6">
        <v>362.66</v>
      </c>
    </row>
    <row r="714" spans="2:10" ht="18.75">
      <c r="B714">
        <v>8</v>
      </c>
      <c r="C714" s="5">
        <v>46069</v>
      </c>
      <c r="D714" t="s">
        <v>142</v>
      </c>
      <c r="E714">
        <v>46</v>
      </c>
      <c r="F714" s="6">
        <v>203.93</v>
      </c>
      <c r="G714" s="6">
        <v>0</v>
      </c>
      <c r="H714" s="6">
        <v>1.91</v>
      </c>
      <c r="I714" s="6">
        <v>0</v>
      </c>
      <c r="J714" s="6">
        <v>203.93</v>
      </c>
    </row>
    <row r="715" spans="2:10" ht="18.75">
      <c r="B715">
        <v>8</v>
      </c>
      <c r="C715" s="5">
        <v>46069</v>
      </c>
      <c r="D715" t="s">
        <v>148</v>
      </c>
      <c r="E715">
        <v>17</v>
      </c>
      <c r="F715" s="6">
        <v>86.46</v>
      </c>
      <c r="G715" s="6">
        <v>0</v>
      </c>
      <c r="H715" s="6">
        <v>10.73</v>
      </c>
      <c r="I715" s="6">
        <v>0</v>
      </c>
      <c r="J715" s="6">
        <v>86.46</v>
      </c>
    </row>
    <row r="716" spans="2:10" ht="18.75">
      <c r="B716">
        <v>8</v>
      </c>
      <c r="C716" s="5">
        <v>46069</v>
      </c>
      <c r="D716" t="s">
        <v>114</v>
      </c>
      <c r="E716">
        <v>59</v>
      </c>
      <c r="F716" s="6">
        <v>269.83999999999997</v>
      </c>
      <c r="G716" s="6">
        <v>6.74</v>
      </c>
      <c r="H716" s="6">
        <v>20.53</v>
      </c>
      <c r="I716" s="6">
        <v>97.01</v>
      </c>
      <c r="J716" s="6">
        <v>360.11</v>
      </c>
    </row>
    <row r="717" spans="2:10" ht="18.75">
      <c r="B717">
        <v>8</v>
      </c>
      <c r="C717" s="5">
        <v>46069</v>
      </c>
      <c r="D717" t="s">
        <v>134</v>
      </c>
      <c r="E717">
        <v>69</v>
      </c>
      <c r="F717" s="6">
        <v>378.71</v>
      </c>
      <c r="G717" s="6">
        <v>0</v>
      </c>
      <c r="H717" s="6">
        <v>11.31</v>
      </c>
      <c r="I717" s="6">
        <v>0</v>
      </c>
      <c r="J717" s="6">
        <v>378.71</v>
      </c>
    </row>
    <row r="718" spans="2:10" ht="18.75">
      <c r="B718">
        <v>8</v>
      </c>
      <c r="C718" s="5">
        <v>46069</v>
      </c>
      <c r="D718" t="s">
        <v>128</v>
      </c>
      <c r="E718">
        <v>47</v>
      </c>
      <c r="F718" s="6">
        <v>218.57</v>
      </c>
      <c r="G718" s="6">
        <v>0</v>
      </c>
      <c r="H718" s="6">
        <v>3.13</v>
      </c>
      <c r="I718" s="6">
        <v>0</v>
      </c>
      <c r="J718" s="6">
        <v>218.57</v>
      </c>
    </row>
    <row r="719" spans="2:10" ht="18.75">
      <c r="B719">
        <v>8</v>
      </c>
      <c r="C719" s="5">
        <v>46069</v>
      </c>
      <c r="D719" t="s">
        <v>122</v>
      </c>
      <c r="E719">
        <v>61</v>
      </c>
      <c r="F719" s="6">
        <v>299.98</v>
      </c>
      <c r="G719" s="6">
        <v>0</v>
      </c>
      <c r="H719" s="6">
        <v>11.68</v>
      </c>
      <c r="I719" s="6">
        <v>0</v>
      </c>
      <c r="J719" s="6">
        <v>299.98</v>
      </c>
    </row>
    <row r="720" spans="2:10" ht="18.75">
      <c r="B720">
        <v>8</v>
      </c>
      <c r="C720" s="5">
        <v>46069</v>
      </c>
      <c r="D720" t="s">
        <v>132</v>
      </c>
      <c r="E720">
        <v>57</v>
      </c>
      <c r="F720" s="6">
        <v>203.59</v>
      </c>
      <c r="G720" s="6">
        <v>0</v>
      </c>
      <c r="H720" s="6">
        <v>6.58</v>
      </c>
      <c r="I720" s="6">
        <v>0</v>
      </c>
      <c r="J720" s="6">
        <v>203.59</v>
      </c>
    </row>
    <row r="721" spans="2:10" ht="18.75">
      <c r="B721">
        <v>8</v>
      </c>
      <c r="C721" s="5">
        <v>46069</v>
      </c>
      <c r="D721" t="s">
        <v>112</v>
      </c>
      <c r="E721">
        <v>11</v>
      </c>
      <c r="F721" s="6">
        <v>32.85</v>
      </c>
      <c r="G721" s="6">
        <v>0</v>
      </c>
      <c r="H721" s="6">
        <v>0</v>
      </c>
      <c r="I721" s="6">
        <v>0</v>
      </c>
      <c r="J721" s="6">
        <v>32.85</v>
      </c>
    </row>
    <row r="722" spans="2:10" ht="18.75">
      <c r="B722">
        <v>8</v>
      </c>
      <c r="C722" s="5">
        <v>46069</v>
      </c>
      <c r="D722" t="s">
        <v>120</v>
      </c>
      <c r="E722">
        <v>20</v>
      </c>
      <c r="F722" s="6">
        <v>92.44</v>
      </c>
      <c r="G722" s="6">
        <v>0</v>
      </c>
      <c r="H722" s="6">
        <v>6.87</v>
      </c>
      <c r="I722" s="6">
        <v>0</v>
      </c>
      <c r="J722" s="6">
        <v>92.44</v>
      </c>
    </row>
    <row r="723" spans="2:10" ht="18.75">
      <c r="B723">
        <v>8</v>
      </c>
      <c r="C723" s="5">
        <v>46069</v>
      </c>
      <c r="D723" t="s">
        <v>118</v>
      </c>
      <c r="E723">
        <v>44</v>
      </c>
      <c r="F723" s="6">
        <v>142.05000000000001</v>
      </c>
      <c r="G723" s="6">
        <v>0</v>
      </c>
      <c r="H723" s="6">
        <v>1.44</v>
      </c>
      <c r="I723" s="6">
        <v>0</v>
      </c>
      <c r="J723" s="6">
        <v>142.05000000000001</v>
      </c>
    </row>
    <row r="724" spans="2:10" ht="18.75">
      <c r="B724">
        <v>8</v>
      </c>
      <c r="C724" s="5">
        <v>46069</v>
      </c>
      <c r="D724" t="s">
        <v>116</v>
      </c>
      <c r="E724">
        <v>25</v>
      </c>
      <c r="F724" s="6">
        <v>87.37</v>
      </c>
      <c r="G724" s="6">
        <v>0</v>
      </c>
      <c r="H724" s="6">
        <v>1.55</v>
      </c>
      <c r="I724" s="6">
        <v>0</v>
      </c>
      <c r="J724" s="6">
        <v>87.37</v>
      </c>
    </row>
    <row r="725" spans="2:10" ht="18.75">
      <c r="B725">
        <v>8</v>
      </c>
      <c r="C725" s="5">
        <v>46069</v>
      </c>
      <c r="D725" t="s">
        <v>150</v>
      </c>
      <c r="E725">
        <v>15</v>
      </c>
      <c r="F725" s="6">
        <v>74.55</v>
      </c>
      <c r="G725" s="6">
        <v>0</v>
      </c>
      <c r="H725" s="6">
        <v>1.18</v>
      </c>
      <c r="I725" s="6">
        <v>0</v>
      </c>
      <c r="J725" s="6">
        <v>74.55</v>
      </c>
    </row>
    <row r="726" spans="2:10" ht="18.75">
      <c r="B726">
        <v>8</v>
      </c>
      <c r="C726" s="5">
        <v>46069</v>
      </c>
      <c r="D726" t="s">
        <v>123</v>
      </c>
      <c r="E726">
        <v>104</v>
      </c>
      <c r="F726" s="6">
        <v>409.91</v>
      </c>
      <c r="G726" s="6">
        <v>0</v>
      </c>
      <c r="H726" s="6">
        <v>19.440000000000001</v>
      </c>
      <c r="I726" s="6">
        <v>0</v>
      </c>
      <c r="J726" s="6">
        <v>409.91</v>
      </c>
    </row>
    <row r="727" spans="2:10" ht="18.75">
      <c r="B727">
        <v>8</v>
      </c>
      <c r="C727" s="5">
        <v>46069</v>
      </c>
      <c r="D727" t="s">
        <v>137</v>
      </c>
      <c r="E727">
        <v>13</v>
      </c>
      <c r="F727" s="6">
        <v>45.11</v>
      </c>
      <c r="G727" s="6">
        <v>0</v>
      </c>
      <c r="H727" s="6">
        <v>1.92</v>
      </c>
      <c r="I727" s="6">
        <v>27.74</v>
      </c>
      <c r="J727" s="6">
        <v>72.849999999999994</v>
      </c>
    </row>
    <row r="728" spans="2:10" ht="18.75">
      <c r="B728">
        <v>8</v>
      </c>
      <c r="C728" s="5">
        <v>46069</v>
      </c>
      <c r="E728">
        <v>4</v>
      </c>
      <c r="F728" s="6">
        <v>0</v>
      </c>
      <c r="G728" s="6">
        <v>0</v>
      </c>
      <c r="H728" s="6">
        <v>21.64</v>
      </c>
      <c r="I728" s="6">
        <v>0</v>
      </c>
      <c r="J728" s="6">
        <v>0</v>
      </c>
    </row>
    <row r="729" spans="2:10" ht="18.75">
      <c r="B729">
        <v>8</v>
      </c>
      <c r="C729" s="5">
        <v>46069</v>
      </c>
      <c r="D729" t="s">
        <v>125</v>
      </c>
      <c r="E729">
        <v>17</v>
      </c>
      <c r="F729" s="6">
        <v>84.83</v>
      </c>
      <c r="G729" s="6">
        <v>0</v>
      </c>
      <c r="H729" s="6">
        <v>3.18</v>
      </c>
      <c r="I729" s="6">
        <v>0</v>
      </c>
      <c r="J729" s="6">
        <v>84.83</v>
      </c>
    </row>
    <row r="730" spans="2:10" ht="18.75">
      <c r="B730">
        <v>8</v>
      </c>
      <c r="C730" s="5">
        <v>46069</v>
      </c>
      <c r="D730" t="s">
        <v>135</v>
      </c>
      <c r="E730">
        <v>14</v>
      </c>
      <c r="F730" s="6">
        <v>30.52</v>
      </c>
      <c r="G730" s="6">
        <v>0</v>
      </c>
      <c r="H730" s="6">
        <v>1.1200000000000001</v>
      </c>
      <c r="I730" s="6">
        <v>10.8</v>
      </c>
      <c r="J730" s="6">
        <v>41.32</v>
      </c>
    </row>
    <row r="731" spans="2:10" ht="18.75">
      <c r="B731">
        <v>6</v>
      </c>
      <c r="C731" s="5">
        <v>46055</v>
      </c>
      <c r="D731" t="s">
        <v>118</v>
      </c>
      <c r="E731">
        <v>79</v>
      </c>
      <c r="F731" s="6">
        <v>293.97000000000003</v>
      </c>
      <c r="G731" s="6">
        <v>0</v>
      </c>
      <c r="H731" s="6">
        <v>3.95</v>
      </c>
      <c r="I731" s="6">
        <v>0</v>
      </c>
      <c r="J731" s="6">
        <v>293.97000000000003</v>
      </c>
    </row>
    <row r="732" spans="2:10" ht="18.75">
      <c r="B732">
        <v>6</v>
      </c>
      <c r="C732" s="5">
        <v>46055</v>
      </c>
      <c r="D732" t="s">
        <v>151</v>
      </c>
      <c r="E732">
        <v>231</v>
      </c>
      <c r="F732" s="6">
        <v>1196.47</v>
      </c>
      <c r="G732" s="6">
        <v>0</v>
      </c>
      <c r="H732" s="6">
        <v>30.82</v>
      </c>
      <c r="I732" s="6">
        <v>0</v>
      </c>
      <c r="J732" s="6">
        <v>1196.47</v>
      </c>
    </row>
    <row r="733" spans="2:10" ht="18.75">
      <c r="B733">
        <v>6</v>
      </c>
      <c r="C733" s="5">
        <v>46055</v>
      </c>
      <c r="D733" t="s">
        <v>143</v>
      </c>
      <c r="E733">
        <v>704</v>
      </c>
      <c r="F733" s="6">
        <v>3243.54</v>
      </c>
      <c r="G733" s="6">
        <v>19.100000000000001</v>
      </c>
      <c r="H733" s="6">
        <v>0</v>
      </c>
      <c r="I733" s="6">
        <v>2.34</v>
      </c>
      <c r="J733" s="6">
        <v>3226.78</v>
      </c>
    </row>
    <row r="734" spans="2:10" ht="18.75">
      <c r="B734">
        <v>6</v>
      </c>
      <c r="C734" s="5">
        <v>46055</v>
      </c>
      <c r="D734" t="s">
        <v>124</v>
      </c>
      <c r="E734">
        <v>170</v>
      </c>
      <c r="F734" s="6">
        <v>696.13999999999896</v>
      </c>
      <c r="G734" s="6">
        <v>0</v>
      </c>
      <c r="H734" s="6">
        <v>10.64</v>
      </c>
      <c r="I734" s="6">
        <v>0</v>
      </c>
      <c r="J734" s="6">
        <v>696.13999999999896</v>
      </c>
    </row>
    <row r="735" spans="2:10" ht="18.75">
      <c r="B735">
        <v>6</v>
      </c>
      <c r="C735" s="5">
        <v>46055</v>
      </c>
      <c r="D735" t="s">
        <v>117</v>
      </c>
      <c r="E735">
        <v>72</v>
      </c>
      <c r="F735" s="6">
        <v>400.41</v>
      </c>
      <c r="G735" s="6">
        <v>0</v>
      </c>
      <c r="H735" s="6">
        <v>12.15</v>
      </c>
      <c r="I735" s="6">
        <v>0</v>
      </c>
      <c r="J735" s="6">
        <v>400.41</v>
      </c>
    </row>
    <row r="736" spans="2:10" ht="18.75">
      <c r="B736">
        <v>6</v>
      </c>
      <c r="C736" s="5">
        <v>46055</v>
      </c>
      <c r="D736" t="s">
        <v>113</v>
      </c>
      <c r="E736">
        <v>113</v>
      </c>
      <c r="F736" s="6">
        <v>408.66</v>
      </c>
      <c r="G736" s="6">
        <v>0</v>
      </c>
      <c r="H736" s="6">
        <v>0</v>
      </c>
      <c r="I736" s="6">
        <v>0</v>
      </c>
      <c r="J736" s="6">
        <v>408.66</v>
      </c>
    </row>
    <row r="737" spans="2:10" ht="18.75">
      <c r="B737">
        <v>6</v>
      </c>
      <c r="C737" s="5">
        <v>46055</v>
      </c>
      <c r="D737" t="s">
        <v>123</v>
      </c>
      <c r="E737">
        <v>139</v>
      </c>
      <c r="F737" s="6">
        <v>547.530000000001</v>
      </c>
      <c r="G737" s="6">
        <v>0</v>
      </c>
      <c r="H737" s="6">
        <v>7.42</v>
      </c>
      <c r="I737" s="6">
        <v>0</v>
      </c>
      <c r="J737" s="6">
        <v>547.530000000001</v>
      </c>
    </row>
    <row r="738" spans="2:10" ht="18.75">
      <c r="B738">
        <v>6</v>
      </c>
      <c r="C738" s="5">
        <v>46055</v>
      </c>
      <c r="D738" t="s">
        <v>147</v>
      </c>
      <c r="E738">
        <v>99</v>
      </c>
      <c r="F738" s="6">
        <v>466.35</v>
      </c>
      <c r="G738" s="6">
        <v>0</v>
      </c>
      <c r="H738" s="6">
        <v>3.6</v>
      </c>
      <c r="I738" s="6">
        <v>0</v>
      </c>
      <c r="J738" s="6">
        <v>466.35</v>
      </c>
    </row>
    <row r="739" spans="2:10" ht="18.75">
      <c r="B739">
        <v>6</v>
      </c>
      <c r="C739" s="5">
        <v>46055</v>
      </c>
      <c r="D739" t="s">
        <v>146</v>
      </c>
      <c r="E739">
        <v>167</v>
      </c>
      <c r="F739" s="6">
        <v>975.12</v>
      </c>
      <c r="G739" s="6">
        <v>24.15</v>
      </c>
      <c r="H739" s="6">
        <v>17.27</v>
      </c>
      <c r="I739" s="6">
        <v>0</v>
      </c>
      <c r="J739" s="6">
        <v>950.97</v>
      </c>
    </row>
    <row r="740" spans="2:10" ht="18.75">
      <c r="B740">
        <v>6</v>
      </c>
      <c r="C740" s="5">
        <v>46055</v>
      </c>
      <c r="D740" t="s">
        <v>111</v>
      </c>
      <c r="E740">
        <v>63</v>
      </c>
      <c r="F740" s="6">
        <v>255.36</v>
      </c>
      <c r="G740" s="6">
        <v>0</v>
      </c>
      <c r="H740" s="6">
        <v>11.32</v>
      </c>
      <c r="I740" s="6">
        <v>0</v>
      </c>
      <c r="J740" s="6">
        <v>255.36</v>
      </c>
    </row>
    <row r="741" spans="2:10" ht="18.75">
      <c r="B741">
        <v>6</v>
      </c>
      <c r="C741" s="5">
        <v>46055</v>
      </c>
      <c r="D741" t="s">
        <v>149</v>
      </c>
      <c r="E741">
        <v>74</v>
      </c>
      <c r="F741" s="6">
        <v>260.13</v>
      </c>
      <c r="G741" s="6">
        <v>0</v>
      </c>
      <c r="H741" s="6">
        <v>8.4600000000000009</v>
      </c>
      <c r="I741" s="6">
        <v>0</v>
      </c>
      <c r="J741" s="6">
        <v>260.13</v>
      </c>
    </row>
    <row r="742" spans="2:10" ht="18.75">
      <c r="B742">
        <v>6</v>
      </c>
      <c r="C742" s="5">
        <v>46055</v>
      </c>
      <c r="D742" t="s">
        <v>138</v>
      </c>
      <c r="E742">
        <v>126</v>
      </c>
      <c r="F742" s="6">
        <v>677.99</v>
      </c>
      <c r="G742" s="6">
        <v>0</v>
      </c>
      <c r="H742" s="6">
        <v>22.46</v>
      </c>
      <c r="I742" s="6">
        <v>0</v>
      </c>
      <c r="J742" s="6">
        <v>677.99</v>
      </c>
    </row>
    <row r="743" spans="2:10" ht="18.75">
      <c r="B743">
        <v>6</v>
      </c>
      <c r="C743" s="5">
        <v>46055</v>
      </c>
      <c r="D743" t="s">
        <v>129</v>
      </c>
      <c r="E743">
        <v>126</v>
      </c>
      <c r="F743" s="6">
        <v>12.05</v>
      </c>
      <c r="G743" s="6">
        <v>0</v>
      </c>
      <c r="H743" s="6">
        <v>0</v>
      </c>
      <c r="I743" s="6">
        <v>612.33000000000004</v>
      </c>
      <c r="J743" s="6">
        <v>624.38</v>
      </c>
    </row>
    <row r="744" spans="2:10" ht="18.75">
      <c r="B744">
        <v>6</v>
      </c>
      <c r="C744" s="5">
        <v>46055</v>
      </c>
      <c r="D744" t="s">
        <v>128</v>
      </c>
      <c r="E744">
        <v>47</v>
      </c>
      <c r="F744" s="6">
        <v>214.89</v>
      </c>
      <c r="G744" s="6">
        <v>0</v>
      </c>
      <c r="H744" s="6">
        <v>0</v>
      </c>
      <c r="I744" s="6">
        <v>0</v>
      </c>
      <c r="J744" s="6">
        <v>214.89</v>
      </c>
    </row>
    <row r="745" spans="2:10" ht="18.75">
      <c r="B745">
        <v>6</v>
      </c>
      <c r="C745" s="5">
        <v>46055</v>
      </c>
      <c r="D745" t="s">
        <v>112</v>
      </c>
      <c r="E745">
        <v>27</v>
      </c>
      <c r="F745" s="6">
        <v>101.01</v>
      </c>
      <c r="G745" s="6">
        <v>0</v>
      </c>
      <c r="H745" s="6">
        <v>1.2</v>
      </c>
      <c r="I745" s="6">
        <v>1.2</v>
      </c>
      <c r="J745" s="6">
        <v>102.21</v>
      </c>
    </row>
    <row r="746" spans="2:10" ht="18.75">
      <c r="B746">
        <v>6</v>
      </c>
      <c r="C746" s="5">
        <v>46055</v>
      </c>
      <c r="E746">
        <v>2</v>
      </c>
      <c r="F746" s="6">
        <v>0</v>
      </c>
      <c r="G746" s="6">
        <v>0</v>
      </c>
      <c r="H746" s="6">
        <v>5.29</v>
      </c>
      <c r="I746" s="6">
        <v>0</v>
      </c>
      <c r="J746" s="6">
        <v>0</v>
      </c>
    </row>
    <row r="747" spans="2:10" ht="18.75">
      <c r="B747">
        <v>6</v>
      </c>
      <c r="C747" s="5">
        <v>46055</v>
      </c>
      <c r="D747" t="s">
        <v>139</v>
      </c>
      <c r="E747">
        <v>69</v>
      </c>
      <c r="F747" s="6">
        <v>313.77</v>
      </c>
      <c r="G747" s="6">
        <v>0</v>
      </c>
      <c r="H747" s="6">
        <v>4.91</v>
      </c>
      <c r="I747" s="6">
        <v>0</v>
      </c>
      <c r="J747" s="6">
        <v>313.77</v>
      </c>
    </row>
    <row r="748" spans="2:10" ht="18.75">
      <c r="B748">
        <v>6</v>
      </c>
      <c r="C748" s="5">
        <v>46055</v>
      </c>
      <c r="D748" t="s">
        <v>130</v>
      </c>
      <c r="E748">
        <v>104</v>
      </c>
      <c r="F748" s="6">
        <v>561.07000000000005</v>
      </c>
      <c r="G748" s="6">
        <v>0</v>
      </c>
      <c r="H748" s="6">
        <v>17.28</v>
      </c>
      <c r="I748" s="6">
        <v>0</v>
      </c>
      <c r="J748" s="6">
        <v>561.07000000000005</v>
      </c>
    </row>
    <row r="749" spans="2:10" ht="18.75">
      <c r="B749">
        <v>6</v>
      </c>
      <c r="C749" s="5">
        <v>46055</v>
      </c>
      <c r="D749" t="s">
        <v>133</v>
      </c>
      <c r="E749">
        <v>69</v>
      </c>
      <c r="F749" s="6">
        <v>421.82</v>
      </c>
      <c r="G749" s="6">
        <v>0</v>
      </c>
      <c r="H749" s="6">
        <v>8.66</v>
      </c>
      <c r="I749" s="6">
        <v>0</v>
      </c>
      <c r="J749" s="6">
        <v>421.82</v>
      </c>
    </row>
    <row r="750" spans="2:10" ht="18.75">
      <c r="B750">
        <v>6</v>
      </c>
      <c r="C750" s="5">
        <v>46055</v>
      </c>
      <c r="D750" t="s">
        <v>134</v>
      </c>
      <c r="E750">
        <v>90</v>
      </c>
      <c r="F750" s="6">
        <v>493.7</v>
      </c>
      <c r="G750" s="6">
        <v>0</v>
      </c>
      <c r="H750" s="6">
        <v>5.52</v>
      </c>
      <c r="I750" s="6">
        <v>0</v>
      </c>
      <c r="J750" s="6">
        <v>493.7</v>
      </c>
    </row>
    <row r="751" spans="2:10" ht="18.75">
      <c r="B751">
        <v>6</v>
      </c>
      <c r="C751" s="5">
        <v>46055</v>
      </c>
      <c r="D751" t="s">
        <v>141</v>
      </c>
      <c r="E751">
        <v>237</v>
      </c>
      <c r="F751" s="6">
        <v>831.349999999999</v>
      </c>
      <c r="G751" s="6">
        <v>0</v>
      </c>
      <c r="H751" s="6">
        <v>16.579999999999998</v>
      </c>
      <c r="I751" s="6">
        <v>0</v>
      </c>
      <c r="J751" s="6">
        <v>831.349999999999</v>
      </c>
    </row>
    <row r="752" spans="2:10" ht="18.75">
      <c r="B752">
        <v>6</v>
      </c>
      <c r="C752" s="5">
        <v>46055</v>
      </c>
      <c r="D752" t="s">
        <v>119</v>
      </c>
      <c r="E752">
        <v>129</v>
      </c>
      <c r="F752" s="6">
        <v>513.94000000000005</v>
      </c>
      <c r="G752" s="6">
        <v>16.399999999999999</v>
      </c>
      <c r="H752" s="6">
        <v>20.86</v>
      </c>
      <c r="I752" s="6">
        <v>0</v>
      </c>
      <c r="J752" s="6">
        <v>497.54</v>
      </c>
    </row>
    <row r="753" spans="2:10" ht="18.75">
      <c r="B753">
        <v>6</v>
      </c>
      <c r="C753" s="5">
        <v>46055</v>
      </c>
      <c r="D753" t="s">
        <v>127</v>
      </c>
      <c r="E753">
        <v>98</v>
      </c>
      <c r="F753" s="6">
        <v>540.39</v>
      </c>
      <c r="G753" s="6">
        <v>0</v>
      </c>
      <c r="H753" s="6">
        <v>5.77</v>
      </c>
      <c r="I753" s="6">
        <v>0</v>
      </c>
      <c r="J753" s="6">
        <v>540.39</v>
      </c>
    </row>
    <row r="754" spans="2:10" ht="18.75">
      <c r="B754">
        <v>6</v>
      </c>
      <c r="C754" s="5">
        <v>46055</v>
      </c>
      <c r="D754" t="s">
        <v>136</v>
      </c>
      <c r="E754">
        <v>33</v>
      </c>
      <c r="F754" s="6">
        <v>100.32</v>
      </c>
      <c r="G754" s="6">
        <v>0</v>
      </c>
      <c r="H754" s="6">
        <v>3.97</v>
      </c>
      <c r="I754" s="6">
        <v>41.94</v>
      </c>
      <c r="J754" s="6">
        <v>142.26</v>
      </c>
    </row>
    <row r="755" spans="2:10" ht="18.75">
      <c r="B755">
        <v>6</v>
      </c>
      <c r="C755" s="5">
        <v>46055</v>
      </c>
      <c r="D755" t="s">
        <v>145</v>
      </c>
      <c r="E755">
        <v>92</v>
      </c>
      <c r="F755" s="6">
        <v>535.88</v>
      </c>
      <c r="G755" s="6">
        <v>0</v>
      </c>
      <c r="H755" s="6">
        <v>7.78</v>
      </c>
      <c r="I755" s="6">
        <v>0</v>
      </c>
      <c r="J755" s="6">
        <v>535.88</v>
      </c>
    </row>
    <row r="756" spans="2:10" ht="18.75">
      <c r="B756">
        <v>6</v>
      </c>
      <c r="C756" s="5">
        <v>46055</v>
      </c>
      <c r="D756" t="s">
        <v>114</v>
      </c>
      <c r="E756">
        <v>75</v>
      </c>
      <c r="F756" s="6">
        <v>328.45</v>
      </c>
      <c r="G756" s="6">
        <v>0</v>
      </c>
      <c r="H756" s="6">
        <v>5.0999999999999996</v>
      </c>
      <c r="I756" s="6">
        <v>111.43</v>
      </c>
      <c r="J756" s="6">
        <v>439.88</v>
      </c>
    </row>
    <row r="757" spans="2:10" ht="18.75">
      <c r="B757">
        <v>6</v>
      </c>
      <c r="C757" s="5">
        <v>46055</v>
      </c>
      <c r="D757" t="s">
        <v>121</v>
      </c>
      <c r="E757">
        <v>108</v>
      </c>
      <c r="F757" s="6">
        <v>412.51</v>
      </c>
      <c r="G757" s="6">
        <v>0</v>
      </c>
      <c r="H757" s="6">
        <v>14.61</v>
      </c>
      <c r="I757" s="6">
        <v>2.48</v>
      </c>
      <c r="J757" s="6">
        <v>414.99</v>
      </c>
    </row>
    <row r="758" spans="2:10" ht="18.75">
      <c r="B758">
        <v>6</v>
      </c>
      <c r="C758" s="5">
        <v>46055</v>
      </c>
      <c r="D758" t="s">
        <v>142</v>
      </c>
      <c r="E758">
        <v>54</v>
      </c>
      <c r="F758" s="6">
        <v>260.42</v>
      </c>
      <c r="G758" s="6">
        <v>0</v>
      </c>
      <c r="H758" s="6">
        <v>15.33</v>
      </c>
      <c r="I758" s="6">
        <v>6.66</v>
      </c>
      <c r="J758" s="6">
        <v>267.08</v>
      </c>
    </row>
    <row r="759" spans="2:10" ht="18.75">
      <c r="B759">
        <v>6</v>
      </c>
      <c r="C759" s="5">
        <v>46055</v>
      </c>
      <c r="D759" t="s">
        <v>132</v>
      </c>
      <c r="E759">
        <v>75</v>
      </c>
      <c r="F759" s="6">
        <v>308.52</v>
      </c>
      <c r="G759" s="6">
        <v>0</v>
      </c>
      <c r="H759" s="6">
        <v>13.42</v>
      </c>
      <c r="I759" s="6">
        <v>0</v>
      </c>
      <c r="J759" s="6">
        <v>308.52</v>
      </c>
    </row>
    <row r="760" spans="2:10" ht="18.75">
      <c r="B760">
        <v>6</v>
      </c>
      <c r="C760" s="5">
        <v>46055</v>
      </c>
      <c r="D760" t="s">
        <v>126</v>
      </c>
      <c r="E760">
        <v>45</v>
      </c>
      <c r="F760" s="6">
        <v>199.45</v>
      </c>
      <c r="G760" s="6">
        <v>0</v>
      </c>
      <c r="H760" s="6">
        <v>3.06</v>
      </c>
      <c r="I760" s="6">
        <v>1.98</v>
      </c>
      <c r="J760" s="6">
        <v>201.43</v>
      </c>
    </row>
    <row r="761" spans="2:10" ht="18.75">
      <c r="B761">
        <v>6</v>
      </c>
      <c r="C761" s="5">
        <v>46055</v>
      </c>
      <c r="D761" t="s">
        <v>148</v>
      </c>
      <c r="E761">
        <v>24</v>
      </c>
      <c r="F761" s="6">
        <v>114.59</v>
      </c>
      <c r="G761" s="6">
        <v>0</v>
      </c>
      <c r="H761" s="6">
        <v>10.79</v>
      </c>
      <c r="I761" s="6">
        <v>0</v>
      </c>
      <c r="J761" s="6">
        <v>114.59</v>
      </c>
    </row>
    <row r="762" spans="2:10" ht="18.75">
      <c r="B762">
        <v>6</v>
      </c>
      <c r="C762" s="5">
        <v>46055</v>
      </c>
      <c r="D762" t="s">
        <v>150</v>
      </c>
      <c r="E762">
        <v>23</v>
      </c>
      <c r="F762" s="6">
        <v>126.44</v>
      </c>
      <c r="G762" s="6">
        <v>0</v>
      </c>
      <c r="H762" s="6">
        <v>1.8</v>
      </c>
      <c r="I762" s="6">
        <v>0</v>
      </c>
      <c r="J762" s="6">
        <v>126.44</v>
      </c>
    </row>
    <row r="763" spans="2:10" ht="18.75">
      <c r="B763">
        <v>6</v>
      </c>
      <c r="C763" s="5">
        <v>46055</v>
      </c>
      <c r="D763" t="s">
        <v>122</v>
      </c>
      <c r="E763">
        <v>96</v>
      </c>
      <c r="F763" s="6">
        <v>481.18</v>
      </c>
      <c r="G763" s="6">
        <v>0</v>
      </c>
      <c r="H763" s="6">
        <v>29.58</v>
      </c>
      <c r="I763" s="6">
        <v>0</v>
      </c>
      <c r="J763" s="6">
        <v>481.18</v>
      </c>
    </row>
    <row r="764" spans="2:10" ht="18.75">
      <c r="B764">
        <v>6</v>
      </c>
      <c r="C764" s="5">
        <v>46055</v>
      </c>
      <c r="D764" t="s">
        <v>120</v>
      </c>
      <c r="E764">
        <v>36</v>
      </c>
      <c r="F764" s="6">
        <v>167.27</v>
      </c>
      <c r="G764" s="6">
        <v>0</v>
      </c>
      <c r="H764" s="6">
        <v>5.81</v>
      </c>
      <c r="I764" s="6">
        <v>2.4</v>
      </c>
      <c r="J764" s="6">
        <v>169.67</v>
      </c>
    </row>
    <row r="765" spans="2:10" ht="18.75">
      <c r="B765">
        <v>6</v>
      </c>
      <c r="C765" s="5">
        <v>46055</v>
      </c>
      <c r="D765" t="s">
        <v>135</v>
      </c>
      <c r="E765">
        <v>22</v>
      </c>
      <c r="F765" s="6">
        <v>54.73</v>
      </c>
      <c r="G765" s="6">
        <v>0</v>
      </c>
      <c r="H765" s="6">
        <v>2.2999999999999998</v>
      </c>
      <c r="I765" s="6">
        <v>28.9</v>
      </c>
      <c r="J765" s="6">
        <v>83.63</v>
      </c>
    </row>
    <row r="766" spans="2:10" ht="18.75">
      <c r="B766">
        <v>6</v>
      </c>
      <c r="C766" s="5">
        <v>46055</v>
      </c>
      <c r="D766" t="s">
        <v>116</v>
      </c>
      <c r="E766">
        <v>33</v>
      </c>
      <c r="F766" s="6">
        <v>128.91999999999999</v>
      </c>
      <c r="G766" s="6">
        <v>0</v>
      </c>
      <c r="H766" s="6">
        <v>4.34</v>
      </c>
      <c r="I766" s="6">
        <v>0</v>
      </c>
      <c r="J766" s="6">
        <v>128.91999999999999</v>
      </c>
    </row>
    <row r="767" spans="2:10" ht="18.75">
      <c r="B767">
        <v>6</v>
      </c>
      <c r="C767" s="5">
        <v>46055</v>
      </c>
      <c r="D767" t="s">
        <v>125</v>
      </c>
      <c r="E767">
        <v>21</v>
      </c>
      <c r="F767" s="6">
        <v>96.12</v>
      </c>
      <c r="G767" s="6">
        <v>0</v>
      </c>
      <c r="H767" s="6">
        <v>7.37</v>
      </c>
      <c r="I767" s="6">
        <v>0</v>
      </c>
      <c r="J767" s="6">
        <v>96.12</v>
      </c>
    </row>
    <row r="768" spans="2:10" ht="18.75">
      <c r="B768">
        <v>6</v>
      </c>
      <c r="C768" s="5">
        <v>46055</v>
      </c>
      <c r="D768" t="s">
        <v>137</v>
      </c>
      <c r="E768">
        <v>9</v>
      </c>
      <c r="F768" s="6">
        <v>29.33</v>
      </c>
      <c r="G768" s="6">
        <v>0</v>
      </c>
      <c r="H768" s="6">
        <v>0</v>
      </c>
      <c r="I768" s="6">
        <v>19.559999999999999</v>
      </c>
      <c r="J768" s="6">
        <v>48.89</v>
      </c>
    </row>
    <row r="769" spans="2:10" ht="18.75">
      <c r="B769">
        <v>6</v>
      </c>
      <c r="C769" s="5">
        <v>46055</v>
      </c>
      <c r="D769" t="s">
        <v>140</v>
      </c>
      <c r="E769">
        <v>33</v>
      </c>
      <c r="F769" s="6">
        <v>123.33</v>
      </c>
      <c r="G769" s="6">
        <v>0</v>
      </c>
      <c r="H769" s="6">
        <v>3.1</v>
      </c>
      <c r="I769" s="6">
        <v>0</v>
      </c>
      <c r="J769" s="6">
        <v>123.33</v>
      </c>
    </row>
    <row r="770" spans="2:10" ht="18.75">
      <c r="B770">
        <v>9</v>
      </c>
      <c r="C770" s="5">
        <v>46076</v>
      </c>
      <c r="D770" t="s">
        <v>151</v>
      </c>
      <c r="E770">
        <v>214</v>
      </c>
      <c r="F770" s="6">
        <v>1075.31</v>
      </c>
      <c r="G770" s="6">
        <v>0</v>
      </c>
      <c r="H770" s="6">
        <v>19.29</v>
      </c>
      <c r="I770" s="6">
        <v>0</v>
      </c>
      <c r="J770" s="6">
        <v>1075.31</v>
      </c>
    </row>
    <row r="771" spans="2:10" ht="18.75">
      <c r="B771">
        <v>9</v>
      </c>
      <c r="C771" s="5">
        <v>46076</v>
      </c>
      <c r="D771" t="s">
        <v>143</v>
      </c>
      <c r="E771">
        <v>551</v>
      </c>
      <c r="F771" s="6">
        <v>2450.12</v>
      </c>
      <c r="G771" s="6">
        <v>1.8</v>
      </c>
      <c r="H771" s="6">
        <v>32.61</v>
      </c>
      <c r="I771" s="6">
        <v>0</v>
      </c>
      <c r="J771" s="6">
        <v>2448.3200000000002</v>
      </c>
    </row>
    <row r="772" spans="2:10" ht="18.75">
      <c r="B772">
        <v>9</v>
      </c>
      <c r="C772" s="5">
        <v>46076</v>
      </c>
      <c r="D772" t="s">
        <v>122</v>
      </c>
      <c r="E772">
        <v>68</v>
      </c>
      <c r="F772" s="6">
        <v>318.83999999999997</v>
      </c>
      <c r="G772" s="6">
        <v>0</v>
      </c>
      <c r="H772" s="6">
        <v>31.87</v>
      </c>
      <c r="I772" s="6">
        <v>0</v>
      </c>
      <c r="J772" s="6">
        <v>318.83999999999997</v>
      </c>
    </row>
    <row r="773" spans="2:10" ht="18.75">
      <c r="B773">
        <v>9</v>
      </c>
      <c r="C773" s="5">
        <v>46076</v>
      </c>
      <c r="D773" t="s">
        <v>124</v>
      </c>
      <c r="E773">
        <v>142</v>
      </c>
      <c r="F773" s="6">
        <v>544.25</v>
      </c>
      <c r="G773" s="6">
        <v>0</v>
      </c>
      <c r="H773" s="6">
        <v>13.34</v>
      </c>
      <c r="I773" s="6">
        <v>0</v>
      </c>
      <c r="J773" s="6">
        <v>544.25</v>
      </c>
    </row>
    <row r="774" spans="2:10" ht="18.75">
      <c r="B774">
        <v>9</v>
      </c>
      <c r="C774" s="5">
        <v>46076</v>
      </c>
      <c r="D774" t="s">
        <v>139</v>
      </c>
      <c r="E774">
        <v>61</v>
      </c>
      <c r="F774" s="6">
        <v>243.96</v>
      </c>
      <c r="G774" s="6">
        <v>0</v>
      </c>
      <c r="H774" s="6">
        <v>21.2</v>
      </c>
      <c r="I774" s="6">
        <v>2.38</v>
      </c>
      <c r="J774" s="6">
        <v>246.34</v>
      </c>
    </row>
    <row r="775" spans="2:10" ht="18.75">
      <c r="B775">
        <v>9</v>
      </c>
      <c r="C775" s="5">
        <v>46076</v>
      </c>
      <c r="D775" t="s">
        <v>130</v>
      </c>
      <c r="E775">
        <v>150</v>
      </c>
      <c r="F775" s="6">
        <v>671.91</v>
      </c>
      <c r="G775" s="6">
        <v>0</v>
      </c>
      <c r="H775" s="6">
        <v>37.35</v>
      </c>
      <c r="I775" s="6">
        <v>0</v>
      </c>
      <c r="J775" s="6">
        <v>671.91</v>
      </c>
    </row>
    <row r="776" spans="2:10" ht="18.75">
      <c r="B776">
        <v>9</v>
      </c>
      <c r="C776" s="5">
        <v>46076</v>
      </c>
      <c r="D776" t="s">
        <v>117</v>
      </c>
      <c r="E776">
        <v>63</v>
      </c>
      <c r="F776" s="6">
        <v>344.01</v>
      </c>
      <c r="G776" s="6">
        <v>0</v>
      </c>
      <c r="H776" s="6">
        <v>25.06</v>
      </c>
      <c r="I776" s="6">
        <v>0</v>
      </c>
      <c r="J776" s="6">
        <v>344.01</v>
      </c>
    </row>
    <row r="777" spans="2:10" ht="18.75">
      <c r="B777">
        <v>9</v>
      </c>
      <c r="C777" s="5">
        <v>46076</v>
      </c>
      <c r="D777" t="s">
        <v>133</v>
      </c>
      <c r="E777">
        <v>74</v>
      </c>
      <c r="F777" s="6">
        <v>417.83</v>
      </c>
      <c r="G777" s="6">
        <v>0</v>
      </c>
      <c r="H777" s="6">
        <v>1.55</v>
      </c>
      <c r="I777" s="6">
        <v>0</v>
      </c>
      <c r="J777" s="6">
        <v>417.83</v>
      </c>
    </row>
    <row r="778" spans="2:10" ht="18.75">
      <c r="B778">
        <v>9</v>
      </c>
      <c r="C778" s="5">
        <v>46076</v>
      </c>
      <c r="D778" t="s">
        <v>147</v>
      </c>
      <c r="E778">
        <v>75</v>
      </c>
      <c r="F778" s="6">
        <v>353.01</v>
      </c>
      <c r="G778" s="6">
        <v>0</v>
      </c>
      <c r="H778" s="6">
        <v>18.14</v>
      </c>
      <c r="I778" s="6">
        <v>0</v>
      </c>
      <c r="J778" s="6">
        <v>353.01</v>
      </c>
    </row>
    <row r="779" spans="2:10" ht="18.75">
      <c r="B779">
        <v>9</v>
      </c>
      <c r="C779" s="5">
        <v>46076</v>
      </c>
      <c r="D779" t="s">
        <v>129</v>
      </c>
      <c r="E779">
        <v>132</v>
      </c>
      <c r="F779" s="6">
        <v>15.01</v>
      </c>
      <c r="G779" s="6">
        <v>0</v>
      </c>
      <c r="H779" s="6">
        <v>23.91</v>
      </c>
      <c r="I779" s="6">
        <v>599.99</v>
      </c>
      <c r="J779" s="6">
        <v>615</v>
      </c>
    </row>
    <row r="780" spans="2:10" ht="18.75">
      <c r="B780">
        <v>9</v>
      </c>
      <c r="C780" s="5">
        <v>46076</v>
      </c>
      <c r="D780" t="s">
        <v>141</v>
      </c>
      <c r="E780">
        <v>269</v>
      </c>
      <c r="F780" s="6">
        <v>995.57999999999902</v>
      </c>
      <c r="G780" s="6">
        <v>0</v>
      </c>
      <c r="H780" s="6">
        <v>21.97</v>
      </c>
      <c r="I780" s="6">
        <v>0</v>
      </c>
      <c r="J780" s="6">
        <v>995.57999999999902</v>
      </c>
    </row>
    <row r="781" spans="2:10" ht="18.75">
      <c r="B781">
        <v>9</v>
      </c>
      <c r="C781" s="5">
        <v>46076</v>
      </c>
      <c r="D781" t="s">
        <v>149</v>
      </c>
      <c r="E781">
        <v>58</v>
      </c>
      <c r="F781" s="6">
        <v>189.65</v>
      </c>
      <c r="G781" s="6">
        <v>0</v>
      </c>
      <c r="H781" s="6">
        <v>4.51</v>
      </c>
      <c r="I781" s="6">
        <v>0</v>
      </c>
      <c r="J781" s="6">
        <v>189.65</v>
      </c>
    </row>
    <row r="782" spans="2:10" ht="18.75">
      <c r="B782">
        <v>9</v>
      </c>
      <c r="C782" s="5">
        <v>46076</v>
      </c>
      <c r="D782" t="s">
        <v>128</v>
      </c>
      <c r="E782">
        <v>28</v>
      </c>
      <c r="F782" s="6">
        <v>132.4</v>
      </c>
      <c r="G782" s="6">
        <v>0</v>
      </c>
      <c r="H782" s="6">
        <v>0</v>
      </c>
      <c r="I782" s="6">
        <v>0</v>
      </c>
      <c r="J782" s="6">
        <v>132.4</v>
      </c>
    </row>
    <row r="783" spans="2:10" ht="18.75">
      <c r="B783">
        <v>9</v>
      </c>
      <c r="C783" s="5">
        <v>46076</v>
      </c>
      <c r="D783" t="s">
        <v>146</v>
      </c>
      <c r="E783">
        <v>163</v>
      </c>
      <c r="F783" s="6">
        <v>874.67999999999904</v>
      </c>
      <c r="G783" s="6">
        <v>0</v>
      </c>
      <c r="H783" s="6">
        <v>21.36</v>
      </c>
      <c r="I783" s="6">
        <v>0</v>
      </c>
      <c r="J783" s="6">
        <v>874.67999999999904</v>
      </c>
    </row>
    <row r="784" spans="2:10" ht="18.75">
      <c r="B784">
        <v>9</v>
      </c>
      <c r="C784" s="5">
        <v>46076</v>
      </c>
      <c r="D784" t="s">
        <v>119</v>
      </c>
      <c r="E784">
        <v>143</v>
      </c>
      <c r="F784" s="6">
        <v>537.42999999999995</v>
      </c>
      <c r="G784" s="6">
        <v>0</v>
      </c>
      <c r="H784" s="6">
        <v>14.09</v>
      </c>
      <c r="I784" s="6">
        <v>0</v>
      </c>
      <c r="J784" s="6">
        <v>537.42999999999995</v>
      </c>
    </row>
    <row r="785" spans="2:10" ht="18.75">
      <c r="B785">
        <v>9</v>
      </c>
      <c r="C785" s="5">
        <v>46076</v>
      </c>
      <c r="D785" t="s">
        <v>145</v>
      </c>
      <c r="E785">
        <v>68</v>
      </c>
      <c r="F785" s="6">
        <v>374.39</v>
      </c>
      <c r="G785" s="6">
        <v>0</v>
      </c>
      <c r="H785" s="6">
        <v>14.02</v>
      </c>
      <c r="I785" s="6">
        <v>0</v>
      </c>
      <c r="J785" s="6">
        <v>374.39</v>
      </c>
    </row>
    <row r="786" spans="2:10" ht="18.75">
      <c r="B786">
        <v>9</v>
      </c>
      <c r="C786" s="5">
        <v>46076</v>
      </c>
      <c r="D786" t="s">
        <v>111</v>
      </c>
      <c r="E786">
        <v>64</v>
      </c>
      <c r="F786" s="6">
        <v>250.93</v>
      </c>
      <c r="G786" s="6">
        <v>0</v>
      </c>
      <c r="H786" s="6">
        <v>8.86</v>
      </c>
      <c r="I786" s="6">
        <v>0</v>
      </c>
      <c r="J786" s="6">
        <v>250.93</v>
      </c>
    </row>
    <row r="787" spans="2:10" ht="18.75">
      <c r="B787">
        <v>9</v>
      </c>
      <c r="C787" s="5">
        <v>46076</v>
      </c>
      <c r="D787" t="s">
        <v>134</v>
      </c>
      <c r="E787">
        <v>86</v>
      </c>
      <c r="F787" s="6">
        <v>487.33</v>
      </c>
      <c r="G787" s="6">
        <v>0</v>
      </c>
      <c r="H787" s="6">
        <v>6.34</v>
      </c>
      <c r="I787" s="6">
        <v>0</v>
      </c>
      <c r="J787" s="6">
        <v>487.33</v>
      </c>
    </row>
    <row r="788" spans="2:10" ht="18.75">
      <c r="B788">
        <v>9</v>
      </c>
      <c r="C788" s="5">
        <v>46076</v>
      </c>
      <c r="D788" t="s">
        <v>138</v>
      </c>
      <c r="E788">
        <v>132</v>
      </c>
      <c r="F788" s="6">
        <v>702.75</v>
      </c>
      <c r="G788" s="6">
        <v>4.99</v>
      </c>
      <c r="H788" s="6">
        <v>31.95</v>
      </c>
      <c r="I788" s="6">
        <v>0</v>
      </c>
      <c r="J788" s="6">
        <v>697.76</v>
      </c>
    </row>
    <row r="789" spans="2:10" ht="18.75">
      <c r="B789">
        <v>9</v>
      </c>
      <c r="C789" s="5">
        <v>46076</v>
      </c>
      <c r="D789" t="s">
        <v>114</v>
      </c>
      <c r="E789">
        <v>73</v>
      </c>
      <c r="F789" s="6">
        <v>313.10000000000002</v>
      </c>
      <c r="G789" s="6">
        <v>0</v>
      </c>
      <c r="H789" s="6">
        <v>18.32</v>
      </c>
      <c r="I789" s="6">
        <v>110.7</v>
      </c>
      <c r="J789" s="6">
        <v>423.8</v>
      </c>
    </row>
    <row r="790" spans="2:10" ht="18.75">
      <c r="B790">
        <v>9</v>
      </c>
      <c r="C790" s="5">
        <v>46076</v>
      </c>
      <c r="D790" t="s">
        <v>132</v>
      </c>
      <c r="E790">
        <v>59</v>
      </c>
      <c r="F790" s="6">
        <v>237.58</v>
      </c>
      <c r="G790" s="6">
        <v>0</v>
      </c>
      <c r="H790" s="6">
        <v>8.51</v>
      </c>
      <c r="I790" s="6">
        <v>0</v>
      </c>
      <c r="J790" s="6">
        <v>237.58</v>
      </c>
    </row>
    <row r="791" spans="2:10" ht="18.75">
      <c r="B791">
        <v>9</v>
      </c>
      <c r="C791" s="5">
        <v>46076</v>
      </c>
      <c r="D791" t="s">
        <v>148</v>
      </c>
      <c r="E791">
        <v>31</v>
      </c>
      <c r="F791" s="6">
        <v>144.54</v>
      </c>
      <c r="G791" s="6">
        <v>0</v>
      </c>
      <c r="H791" s="6">
        <v>14.47</v>
      </c>
      <c r="I791" s="6">
        <v>0</v>
      </c>
      <c r="J791" s="6">
        <v>144.54</v>
      </c>
    </row>
    <row r="792" spans="2:10" ht="18.75">
      <c r="B792">
        <v>9</v>
      </c>
      <c r="C792" s="5">
        <v>46076</v>
      </c>
      <c r="D792" t="s">
        <v>123</v>
      </c>
      <c r="E792">
        <v>122</v>
      </c>
      <c r="F792" s="6">
        <v>478.97</v>
      </c>
      <c r="G792" s="6">
        <v>0</v>
      </c>
      <c r="H792" s="6">
        <v>20.21</v>
      </c>
      <c r="I792" s="6">
        <v>0</v>
      </c>
      <c r="J792" s="6">
        <v>478.97</v>
      </c>
    </row>
    <row r="793" spans="2:10" ht="18.75">
      <c r="B793">
        <v>9</v>
      </c>
      <c r="C793" s="5">
        <v>46076</v>
      </c>
      <c r="D793" t="s">
        <v>135</v>
      </c>
      <c r="E793">
        <v>11</v>
      </c>
      <c r="F793" s="6">
        <v>38.049999999999997</v>
      </c>
      <c r="G793" s="6">
        <v>0</v>
      </c>
      <c r="H793" s="6">
        <v>4.38</v>
      </c>
      <c r="I793" s="6">
        <v>11.84</v>
      </c>
      <c r="J793" s="6">
        <v>49.89</v>
      </c>
    </row>
    <row r="794" spans="2:10" ht="18.75">
      <c r="B794">
        <v>9</v>
      </c>
      <c r="C794" s="5">
        <v>46076</v>
      </c>
      <c r="D794" t="s">
        <v>126</v>
      </c>
      <c r="E794">
        <v>62</v>
      </c>
      <c r="F794" s="6">
        <v>237.52</v>
      </c>
      <c r="G794" s="6">
        <v>0</v>
      </c>
      <c r="H794" s="6">
        <v>7.51</v>
      </c>
      <c r="I794" s="6">
        <v>0</v>
      </c>
      <c r="J794" s="6">
        <v>237.52</v>
      </c>
    </row>
    <row r="795" spans="2:10" ht="18.75">
      <c r="B795">
        <v>9</v>
      </c>
      <c r="C795" s="5">
        <v>46076</v>
      </c>
      <c r="D795" t="s">
        <v>127</v>
      </c>
      <c r="E795">
        <v>77</v>
      </c>
      <c r="F795" s="6">
        <v>425.05</v>
      </c>
      <c r="G795" s="6">
        <v>4.79</v>
      </c>
      <c r="H795" s="6">
        <v>10.96</v>
      </c>
      <c r="I795" s="6">
        <v>0</v>
      </c>
      <c r="J795" s="6">
        <v>420.26</v>
      </c>
    </row>
    <row r="796" spans="2:10" ht="18.75">
      <c r="B796">
        <v>9</v>
      </c>
      <c r="C796" s="5">
        <v>46076</v>
      </c>
      <c r="D796" t="s">
        <v>142</v>
      </c>
      <c r="E796">
        <v>59</v>
      </c>
      <c r="F796" s="6">
        <v>299.45999999999998</v>
      </c>
      <c r="G796" s="6">
        <v>0</v>
      </c>
      <c r="H796" s="6">
        <v>11.54</v>
      </c>
      <c r="I796" s="6">
        <v>0</v>
      </c>
      <c r="J796" s="6">
        <v>299.45999999999998</v>
      </c>
    </row>
    <row r="797" spans="2:10" ht="18.75">
      <c r="B797">
        <v>9</v>
      </c>
      <c r="C797" s="5">
        <v>46076</v>
      </c>
      <c r="D797" t="s">
        <v>120</v>
      </c>
      <c r="E797">
        <v>30</v>
      </c>
      <c r="F797" s="6">
        <v>145.22</v>
      </c>
      <c r="G797" s="6">
        <v>0</v>
      </c>
      <c r="H797" s="6">
        <v>0.56000000000000005</v>
      </c>
      <c r="I797" s="6">
        <v>0</v>
      </c>
      <c r="J797" s="6">
        <v>145.22</v>
      </c>
    </row>
    <row r="798" spans="2:10" ht="18.75">
      <c r="B798">
        <v>9</v>
      </c>
      <c r="C798" s="5">
        <v>46076</v>
      </c>
      <c r="D798" t="s">
        <v>136</v>
      </c>
      <c r="E798">
        <v>47</v>
      </c>
      <c r="F798" s="6">
        <v>126.01</v>
      </c>
      <c r="G798" s="6">
        <v>0</v>
      </c>
      <c r="H798" s="6">
        <v>24.18</v>
      </c>
      <c r="I798" s="6">
        <v>89.14</v>
      </c>
      <c r="J798" s="6">
        <v>215.15</v>
      </c>
    </row>
    <row r="799" spans="2:10" ht="18.75">
      <c r="B799">
        <v>9</v>
      </c>
      <c r="C799" s="5">
        <v>46076</v>
      </c>
      <c r="D799" t="s">
        <v>121</v>
      </c>
      <c r="E799">
        <v>49</v>
      </c>
      <c r="F799" s="6">
        <v>162.55000000000001</v>
      </c>
      <c r="G799" s="6">
        <v>0</v>
      </c>
      <c r="H799" s="6">
        <v>5.48</v>
      </c>
      <c r="I799" s="6">
        <v>0</v>
      </c>
      <c r="J799" s="6">
        <v>162.55000000000001</v>
      </c>
    </row>
    <row r="800" spans="2:10" ht="18.75">
      <c r="B800">
        <v>9</v>
      </c>
      <c r="C800" s="5">
        <v>46076</v>
      </c>
      <c r="D800" t="s">
        <v>150</v>
      </c>
      <c r="E800">
        <v>12</v>
      </c>
      <c r="F800" s="6">
        <v>70.55</v>
      </c>
      <c r="G800" s="6">
        <v>0</v>
      </c>
      <c r="H800" s="6">
        <v>0.46</v>
      </c>
      <c r="I800" s="6">
        <v>0</v>
      </c>
      <c r="J800" s="6">
        <v>70.55</v>
      </c>
    </row>
    <row r="801" spans="2:10" ht="18.75">
      <c r="B801">
        <v>9</v>
      </c>
      <c r="C801" s="5">
        <v>46076</v>
      </c>
      <c r="D801" t="s">
        <v>112</v>
      </c>
      <c r="E801">
        <v>17</v>
      </c>
      <c r="F801" s="6">
        <v>62.88</v>
      </c>
      <c r="G801" s="6">
        <v>0</v>
      </c>
      <c r="H801" s="6">
        <v>8.65</v>
      </c>
      <c r="I801" s="6">
        <v>3.68</v>
      </c>
      <c r="J801" s="6">
        <v>66.56</v>
      </c>
    </row>
    <row r="802" spans="2:10" ht="18.75">
      <c r="B802">
        <v>9</v>
      </c>
      <c r="C802" s="5">
        <v>46076</v>
      </c>
      <c r="D802" t="s">
        <v>116</v>
      </c>
      <c r="E802">
        <v>36</v>
      </c>
      <c r="F802" s="6">
        <v>137.83000000000001</v>
      </c>
      <c r="G802" s="6">
        <v>0</v>
      </c>
      <c r="H802" s="6">
        <v>2.38</v>
      </c>
      <c r="I802" s="6">
        <v>0</v>
      </c>
      <c r="J802" s="6">
        <v>137.83000000000001</v>
      </c>
    </row>
    <row r="803" spans="2:10" ht="18.75">
      <c r="B803">
        <v>9</v>
      </c>
      <c r="C803" s="5">
        <v>46076</v>
      </c>
      <c r="D803" t="s">
        <v>118</v>
      </c>
      <c r="E803">
        <v>53</v>
      </c>
      <c r="F803" s="6">
        <v>191.91</v>
      </c>
      <c r="G803" s="6">
        <v>0</v>
      </c>
      <c r="H803" s="6">
        <v>3.68</v>
      </c>
      <c r="I803" s="6">
        <v>0</v>
      </c>
      <c r="J803" s="6">
        <v>191.91</v>
      </c>
    </row>
    <row r="804" spans="2:10" ht="18.75">
      <c r="B804">
        <v>9</v>
      </c>
      <c r="C804" s="5">
        <v>46076</v>
      </c>
      <c r="D804" t="s">
        <v>137</v>
      </c>
      <c r="E804">
        <v>10</v>
      </c>
      <c r="F804" s="6">
        <v>31.93</v>
      </c>
      <c r="G804" s="6">
        <v>0</v>
      </c>
      <c r="H804" s="6">
        <v>1.18</v>
      </c>
      <c r="I804" s="6">
        <v>22.08</v>
      </c>
      <c r="J804" s="6">
        <v>54.01</v>
      </c>
    </row>
    <row r="805" spans="2:10" ht="18.75">
      <c r="B805">
        <v>9</v>
      </c>
      <c r="C805" s="5">
        <v>46076</v>
      </c>
      <c r="D805" t="s">
        <v>113</v>
      </c>
      <c r="E805">
        <v>52</v>
      </c>
      <c r="F805" s="6">
        <v>189.57</v>
      </c>
      <c r="G805" s="6">
        <v>0</v>
      </c>
      <c r="H805" s="6">
        <v>1.52</v>
      </c>
      <c r="I805" s="6">
        <v>0</v>
      </c>
      <c r="J805" s="6">
        <v>189.57</v>
      </c>
    </row>
    <row r="806" spans="2:10" ht="18.75">
      <c r="B806">
        <v>9</v>
      </c>
      <c r="C806" s="5">
        <v>46076</v>
      </c>
      <c r="D806" t="s">
        <v>125</v>
      </c>
      <c r="E806">
        <v>11</v>
      </c>
      <c r="F806" s="6">
        <v>49.35</v>
      </c>
      <c r="G806" s="6">
        <v>0</v>
      </c>
      <c r="H806" s="6">
        <v>2.88</v>
      </c>
      <c r="I806" s="6">
        <v>0</v>
      </c>
      <c r="J806" s="6">
        <v>49.35</v>
      </c>
    </row>
    <row r="807" spans="2:10" ht="18.75">
      <c r="B807">
        <v>9</v>
      </c>
      <c r="C807" s="5">
        <v>46076</v>
      </c>
      <c r="D807" t="s">
        <v>140</v>
      </c>
      <c r="E807">
        <v>11</v>
      </c>
      <c r="F807" s="6">
        <v>48.07</v>
      </c>
      <c r="G807" s="6">
        <v>0</v>
      </c>
      <c r="H807" s="6">
        <v>9.23</v>
      </c>
      <c r="I807" s="6">
        <v>0</v>
      </c>
      <c r="J807" s="6">
        <v>48.07</v>
      </c>
    </row>
    <row r="808" spans="2:10" ht="18.75">
      <c r="B808">
        <v>9</v>
      </c>
      <c r="C808" s="5">
        <v>46076</v>
      </c>
      <c r="E808">
        <v>1</v>
      </c>
      <c r="F808" s="6">
        <v>0</v>
      </c>
      <c r="G808" s="6">
        <v>0</v>
      </c>
      <c r="H808" s="6">
        <v>4.95</v>
      </c>
      <c r="I808" s="6">
        <v>0</v>
      </c>
      <c r="J808" s="6">
        <v>0</v>
      </c>
    </row>
    <row r="809" spans="2:10" ht="18.75">
      <c r="B809">
        <v>10</v>
      </c>
      <c r="C809" s="5">
        <v>46083</v>
      </c>
      <c r="D809" t="s">
        <v>139</v>
      </c>
      <c r="E809">
        <v>82</v>
      </c>
      <c r="F809" s="6">
        <v>386.44</v>
      </c>
      <c r="G809" s="6">
        <v>0</v>
      </c>
      <c r="H809" s="6">
        <v>10.53</v>
      </c>
      <c r="I809" s="6">
        <v>0</v>
      </c>
      <c r="J809" s="6">
        <v>386.44</v>
      </c>
    </row>
    <row r="810" spans="2:10" ht="18.75">
      <c r="B810">
        <v>10</v>
      </c>
      <c r="C810" s="5">
        <v>46083</v>
      </c>
      <c r="D810" t="s">
        <v>151</v>
      </c>
      <c r="E810">
        <v>198</v>
      </c>
      <c r="F810" s="6">
        <v>1060.4100000000001</v>
      </c>
      <c r="G810" s="6">
        <v>0</v>
      </c>
      <c r="H810" s="6">
        <v>35.619999999999997</v>
      </c>
      <c r="I810" s="6">
        <v>0</v>
      </c>
      <c r="J810" s="6">
        <v>1060.4100000000001</v>
      </c>
    </row>
    <row r="811" spans="2:10" ht="18.75">
      <c r="B811">
        <v>10</v>
      </c>
      <c r="C811" s="5">
        <v>46083</v>
      </c>
      <c r="D811" t="s">
        <v>121</v>
      </c>
      <c r="E811">
        <v>82</v>
      </c>
      <c r="F811" s="6">
        <v>262.23</v>
      </c>
      <c r="G811" s="6">
        <v>0</v>
      </c>
      <c r="H811" s="6">
        <v>9.94</v>
      </c>
      <c r="I811" s="6">
        <v>0</v>
      </c>
      <c r="J811" s="6">
        <v>262.23</v>
      </c>
    </row>
    <row r="812" spans="2:10" ht="18.75">
      <c r="B812">
        <v>10</v>
      </c>
      <c r="C812" s="5">
        <v>46083</v>
      </c>
      <c r="D812" t="s">
        <v>143</v>
      </c>
      <c r="E812">
        <v>742</v>
      </c>
      <c r="F812" s="6">
        <v>3329.43</v>
      </c>
      <c r="G812" s="6">
        <v>2.2000000000000002</v>
      </c>
      <c r="H812" s="6">
        <v>34.11</v>
      </c>
      <c r="I812" s="6">
        <v>0</v>
      </c>
      <c r="J812" s="6">
        <v>3327.23</v>
      </c>
    </row>
    <row r="813" spans="2:10" ht="18.75">
      <c r="B813">
        <v>10</v>
      </c>
      <c r="C813" s="5">
        <v>46083</v>
      </c>
      <c r="D813" t="s">
        <v>117</v>
      </c>
      <c r="E813">
        <v>66</v>
      </c>
      <c r="F813" s="6">
        <v>339.87</v>
      </c>
      <c r="G813" s="6">
        <v>0</v>
      </c>
      <c r="H813" s="6">
        <v>23.34</v>
      </c>
      <c r="I813" s="6">
        <v>0</v>
      </c>
      <c r="J813" s="6">
        <v>339.87</v>
      </c>
    </row>
    <row r="814" spans="2:10" ht="18.75">
      <c r="B814">
        <v>10</v>
      </c>
      <c r="C814" s="5">
        <v>46083</v>
      </c>
      <c r="D814" t="s">
        <v>124</v>
      </c>
      <c r="E814">
        <v>176</v>
      </c>
      <c r="F814" s="6">
        <v>695.42</v>
      </c>
      <c r="G814" s="6">
        <v>9.6</v>
      </c>
      <c r="H814" s="6">
        <v>12.61</v>
      </c>
      <c r="I814" s="6">
        <v>0</v>
      </c>
      <c r="J814" s="6">
        <v>685.82</v>
      </c>
    </row>
    <row r="815" spans="2:10" ht="18.75">
      <c r="B815">
        <v>10</v>
      </c>
      <c r="C815" s="5">
        <v>46083</v>
      </c>
      <c r="D815" t="s">
        <v>149</v>
      </c>
      <c r="E815">
        <v>73</v>
      </c>
      <c r="F815" s="6">
        <v>253.37</v>
      </c>
      <c r="G815" s="6">
        <v>0</v>
      </c>
      <c r="H815" s="6">
        <v>10.48</v>
      </c>
      <c r="I815" s="6">
        <v>0</v>
      </c>
      <c r="J815" s="6">
        <v>253.37</v>
      </c>
    </row>
    <row r="816" spans="2:10" ht="18.75">
      <c r="B816">
        <v>10</v>
      </c>
      <c r="C816" s="5">
        <v>46083</v>
      </c>
      <c r="D816" t="s">
        <v>123</v>
      </c>
      <c r="E816">
        <v>140</v>
      </c>
      <c r="F816" s="6">
        <v>581.14</v>
      </c>
      <c r="G816" s="6">
        <v>0</v>
      </c>
      <c r="H816" s="6">
        <v>12.43</v>
      </c>
      <c r="I816" s="6">
        <v>0</v>
      </c>
      <c r="J816" s="6">
        <v>581.14</v>
      </c>
    </row>
    <row r="817" spans="2:10" ht="18.75">
      <c r="B817">
        <v>10</v>
      </c>
      <c r="C817" s="5">
        <v>46083</v>
      </c>
      <c r="D817" t="s">
        <v>132</v>
      </c>
      <c r="E817">
        <v>68</v>
      </c>
      <c r="F817" s="6">
        <v>252.69</v>
      </c>
      <c r="G817" s="6">
        <v>0</v>
      </c>
      <c r="H817" s="6">
        <v>4.7699999999999996</v>
      </c>
      <c r="I817" s="6">
        <v>0</v>
      </c>
      <c r="J817" s="6">
        <v>252.69</v>
      </c>
    </row>
    <row r="818" spans="2:10" ht="18.75">
      <c r="B818">
        <v>10</v>
      </c>
      <c r="C818" s="5">
        <v>46083</v>
      </c>
      <c r="D818" t="s">
        <v>129</v>
      </c>
      <c r="E818">
        <v>145</v>
      </c>
      <c r="F818" s="6">
        <v>16.670000000000002</v>
      </c>
      <c r="G818" s="6">
        <v>0</v>
      </c>
      <c r="H818" s="6">
        <v>22.3</v>
      </c>
      <c r="I818" s="6">
        <v>619.53</v>
      </c>
      <c r="J818" s="6">
        <v>636.20000000000005</v>
      </c>
    </row>
    <row r="819" spans="2:10" ht="18.75">
      <c r="B819">
        <v>10</v>
      </c>
      <c r="C819" s="5">
        <v>46083</v>
      </c>
      <c r="D819" t="s">
        <v>141</v>
      </c>
      <c r="E819">
        <v>244</v>
      </c>
      <c r="F819" s="6">
        <v>845.33999999999901</v>
      </c>
      <c r="G819" s="6">
        <v>0</v>
      </c>
      <c r="H819" s="6">
        <v>18.54</v>
      </c>
      <c r="I819" s="6">
        <v>0</v>
      </c>
      <c r="J819" s="6">
        <v>845.33999999999901</v>
      </c>
    </row>
    <row r="820" spans="2:10" ht="18.75">
      <c r="B820">
        <v>10</v>
      </c>
      <c r="C820" s="5">
        <v>46083</v>
      </c>
      <c r="D820" t="s">
        <v>147</v>
      </c>
      <c r="E820">
        <v>87</v>
      </c>
      <c r="F820" s="6">
        <v>392.27</v>
      </c>
      <c r="G820" s="6">
        <v>0</v>
      </c>
      <c r="H820" s="6">
        <v>24.35</v>
      </c>
      <c r="I820" s="6">
        <v>0</v>
      </c>
      <c r="J820" s="6">
        <v>392.27</v>
      </c>
    </row>
    <row r="821" spans="2:10" ht="18.75">
      <c r="B821">
        <v>10</v>
      </c>
      <c r="C821" s="5">
        <v>46083</v>
      </c>
      <c r="D821" t="s">
        <v>146</v>
      </c>
      <c r="E821">
        <v>164</v>
      </c>
      <c r="F821" s="6">
        <v>887.87</v>
      </c>
      <c r="G821" s="6">
        <v>0</v>
      </c>
      <c r="H821" s="6">
        <v>22.59</v>
      </c>
      <c r="I821" s="6">
        <v>0</v>
      </c>
      <c r="J821" s="6">
        <v>887.87</v>
      </c>
    </row>
    <row r="822" spans="2:10" ht="18.75">
      <c r="B822">
        <v>10</v>
      </c>
      <c r="C822" s="5">
        <v>46083</v>
      </c>
      <c r="D822" t="s">
        <v>112</v>
      </c>
      <c r="E822">
        <v>16</v>
      </c>
      <c r="F822" s="6">
        <v>63.98</v>
      </c>
      <c r="G822" s="6">
        <v>0</v>
      </c>
      <c r="H822" s="6">
        <v>4.3899999999999997</v>
      </c>
      <c r="I822" s="6">
        <v>0</v>
      </c>
      <c r="J822" s="6">
        <v>63.98</v>
      </c>
    </row>
    <row r="823" spans="2:10" ht="18.75">
      <c r="B823">
        <v>10</v>
      </c>
      <c r="C823" s="5">
        <v>46083</v>
      </c>
      <c r="D823" t="s">
        <v>133</v>
      </c>
      <c r="E823">
        <v>72</v>
      </c>
      <c r="F823" s="6">
        <v>389.29</v>
      </c>
      <c r="G823" s="6">
        <v>0</v>
      </c>
      <c r="H823" s="6">
        <v>15.16</v>
      </c>
      <c r="I823" s="6">
        <v>0</v>
      </c>
      <c r="J823" s="6">
        <v>389.29</v>
      </c>
    </row>
    <row r="824" spans="2:10" ht="18.75">
      <c r="B824">
        <v>10</v>
      </c>
      <c r="C824" s="5">
        <v>46083</v>
      </c>
      <c r="D824" t="s">
        <v>122</v>
      </c>
      <c r="E824">
        <v>72</v>
      </c>
      <c r="F824" s="6">
        <v>364.89</v>
      </c>
      <c r="G824" s="6">
        <v>0</v>
      </c>
      <c r="H824" s="6">
        <v>2.97</v>
      </c>
      <c r="I824" s="6">
        <v>0</v>
      </c>
      <c r="J824" s="6">
        <v>364.89</v>
      </c>
    </row>
    <row r="825" spans="2:10" ht="18.75">
      <c r="B825">
        <v>10</v>
      </c>
      <c r="C825" s="5">
        <v>46083</v>
      </c>
      <c r="D825" t="s">
        <v>128</v>
      </c>
      <c r="E825">
        <v>51</v>
      </c>
      <c r="F825" s="6">
        <v>223.32</v>
      </c>
      <c r="G825" s="6">
        <v>0</v>
      </c>
      <c r="H825" s="6">
        <v>0</v>
      </c>
      <c r="I825" s="6">
        <v>0</v>
      </c>
      <c r="J825" s="6">
        <v>223.32</v>
      </c>
    </row>
    <row r="826" spans="2:10" ht="18.75">
      <c r="B826">
        <v>10</v>
      </c>
      <c r="C826" s="5">
        <v>46083</v>
      </c>
      <c r="D826" t="s">
        <v>118</v>
      </c>
      <c r="E826">
        <v>56</v>
      </c>
      <c r="F826" s="6">
        <v>190.96</v>
      </c>
      <c r="G826" s="6">
        <v>0</v>
      </c>
      <c r="H826" s="6">
        <v>1.6</v>
      </c>
      <c r="I826" s="6">
        <v>0</v>
      </c>
      <c r="J826" s="6">
        <v>190.96</v>
      </c>
    </row>
    <row r="827" spans="2:10" ht="18.75">
      <c r="B827">
        <v>10</v>
      </c>
      <c r="C827" s="5">
        <v>46083</v>
      </c>
      <c r="D827" t="s">
        <v>138</v>
      </c>
      <c r="E827">
        <v>127</v>
      </c>
      <c r="F827" s="6">
        <v>645.20000000000005</v>
      </c>
      <c r="G827" s="6">
        <v>0</v>
      </c>
      <c r="H827" s="6">
        <v>48.73</v>
      </c>
      <c r="I827" s="6">
        <v>0</v>
      </c>
      <c r="J827" s="6">
        <v>645.20000000000005</v>
      </c>
    </row>
    <row r="828" spans="2:10" ht="18.75">
      <c r="B828">
        <v>10</v>
      </c>
      <c r="C828" s="5">
        <v>46083</v>
      </c>
      <c r="D828" t="s">
        <v>136</v>
      </c>
      <c r="E828">
        <v>47</v>
      </c>
      <c r="F828" s="6">
        <v>171.93</v>
      </c>
      <c r="G828" s="6">
        <v>0</v>
      </c>
      <c r="H828" s="6">
        <v>12.3</v>
      </c>
      <c r="I828" s="6">
        <v>69.23</v>
      </c>
      <c r="J828" s="6">
        <v>241.16</v>
      </c>
    </row>
    <row r="829" spans="2:10" ht="18.75">
      <c r="B829">
        <v>10</v>
      </c>
      <c r="C829" s="5">
        <v>46083</v>
      </c>
      <c r="D829" t="s">
        <v>114</v>
      </c>
      <c r="E829">
        <v>80</v>
      </c>
      <c r="F829" s="6">
        <v>321.52</v>
      </c>
      <c r="G829" s="6">
        <v>0</v>
      </c>
      <c r="H829" s="6">
        <v>13.93</v>
      </c>
      <c r="I829" s="6">
        <v>112.04</v>
      </c>
      <c r="J829" s="6">
        <v>433.56</v>
      </c>
    </row>
    <row r="830" spans="2:10" ht="18.75">
      <c r="B830">
        <v>10</v>
      </c>
      <c r="C830" s="5">
        <v>46083</v>
      </c>
      <c r="D830" t="s">
        <v>130</v>
      </c>
      <c r="E830">
        <v>144</v>
      </c>
      <c r="F830" s="6">
        <v>640.01</v>
      </c>
      <c r="G830" s="6">
        <v>0</v>
      </c>
      <c r="H830" s="6">
        <v>14.26</v>
      </c>
      <c r="I830" s="6">
        <v>0</v>
      </c>
      <c r="J830" s="6">
        <v>640.01</v>
      </c>
    </row>
    <row r="831" spans="2:10" ht="18.75">
      <c r="B831">
        <v>10</v>
      </c>
      <c r="C831" s="5">
        <v>46083</v>
      </c>
      <c r="D831" t="s">
        <v>119</v>
      </c>
      <c r="E831">
        <v>160</v>
      </c>
      <c r="F831" s="6">
        <v>583.63</v>
      </c>
      <c r="G831" s="6">
        <v>7.25</v>
      </c>
      <c r="H831" s="6">
        <v>46.57</v>
      </c>
      <c r="I831" s="6">
        <v>0</v>
      </c>
      <c r="J831" s="6">
        <v>576.38</v>
      </c>
    </row>
    <row r="832" spans="2:10" ht="18.75">
      <c r="B832">
        <v>10</v>
      </c>
      <c r="C832" s="5">
        <v>46083</v>
      </c>
      <c r="D832" t="s">
        <v>134</v>
      </c>
      <c r="E832">
        <v>76</v>
      </c>
      <c r="F832" s="6">
        <v>403.92</v>
      </c>
      <c r="G832" s="6">
        <v>0</v>
      </c>
      <c r="H832" s="6">
        <v>21.64</v>
      </c>
      <c r="I832" s="6">
        <v>0</v>
      </c>
      <c r="J832" s="6">
        <v>403.92</v>
      </c>
    </row>
    <row r="833" spans="2:10" ht="18.75">
      <c r="B833">
        <v>10</v>
      </c>
      <c r="C833" s="5">
        <v>46083</v>
      </c>
      <c r="D833" t="s">
        <v>148</v>
      </c>
      <c r="E833">
        <v>27</v>
      </c>
      <c r="F833" s="6">
        <v>123.94</v>
      </c>
      <c r="G833" s="6">
        <v>0</v>
      </c>
      <c r="H833" s="6">
        <v>15.22</v>
      </c>
      <c r="I833" s="6">
        <v>0</v>
      </c>
      <c r="J833" s="6">
        <v>123.94</v>
      </c>
    </row>
    <row r="834" spans="2:10" ht="18.75">
      <c r="B834">
        <v>10</v>
      </c>
      <c r="C834" s="5">
        <v>46083</v>
      </c>
      <c r="D834" t="s">
        <v>111</v>
      </c>
      <c r="E834">
        <v>65</v>
      </c>
      <c r="F834" s="6">
        <v>284.82</v>
      </c>
      <c r="G834" s="6">
        <v>0</v>
      </c>
      <c r="H834" s="6">
        <v>3.7</v>
      </c>
      <c r="I834" s="6">
        <v>0</v>
      </c>
      <c r="J834" s="6">
        <v>284.82</v>
      </c>
    </row>
    <row r="835" spans="2:10" ht="18.75">
      <c r="B835">
        <v>10</v>
      </c>
      <c r="C835" s="5">
        <v>46083</v>
      </c>
      <c r="D835" t="s">
        <v>142</v>
      </c>
      <c r="E835">
        <v>59</v>
      </c>
      <c r="F835" s="6">
        <v>293.63</v>
      </c>
      <c r="G835" s="6">
        <v>0</v>
      </c>
      <c r="H835" s="6">
        <v>5.24</v>
      </c>
      <c r="I835" s="6">
        <v>0</v>
      </c>
      <c r="J835" s="6">
        <v>293.63</v>
      </c>
    </row>
    <row r="836" spans="2:10" ht="18.75">
      <c r="B836">
        <v>10</v>
      </c>
      <c r="C836" s="5">
        <v>46083</v>
      </c>
      <c r="D836" t="s">
        <v>127</v>
      </c>
      <c r="E836">
        <v>81</v>
      </c>
      <c r="F836" s="6">
        <v>407.93</v>
      </c>
      <c r="G836" s="6">
        <v>0</v>
      </c>
      <c r="H836" s="6">
        <v>11.71</v>
      </c>
      <c r="I836" s="6">
        <v>0</v>
      </c>
      <c r="J836" s="6">
        <v>407.93</v>
      </c>
    </row>
    <row r="837" spans="2:10" ht="18.75">
      <c r="B837">
        <v>10</v>
      </c>
      <c r="C837" s="5">
        <v>46083</v>
      </c>
      <c r="D837" t="s">
        <v>135</v>
      </c>
      <c r="E837">
        <v>12</v>
      </c>
      <c r="F837" s="6">
        <v>48.36</v>
      </c>
      <c r="G837" s="6">
        <v>0</v>
      </c>
      <c r="H837" s="6">
        <v>2.44</v>
      </c>
      <c r="I837" s="6">
        <v>13.18</v>
      </c>
      <c r="J837" s="6">
        <v>61.54</v>
      </c>
    </row>
    <row r="838" spans="2:10" ht="18.75">
      <c r="B838">
        <v>10</v>
      </c>
      <c r="C838" s="5">
        <v>46083</v>
      </c>
      <c r="D838" t="s">
        <v>145</v>
      </c>
      <c r="E838">
        <v>55</v>
      </c>
      <c r="F838" s="6">
        <v>368.77</v>
      </c>
      <c r="G838" s="6">
        <v>0</v>
      </c>
      <c r="H838" s="6">
        <v>7.77</v>
      </c>
      <c r="I838" s="6">
        <v>0</v>
      </c>
      <c r="J838" s="6">
        <v>368.77</v>
      </c>
    </row>
    <row r="839" spans="2:10" ht="18.75">
      <c r="B839">
        <v>10</v>
      </c>
      <c r="C839" s="5">
        <v>46083</v>
      </c>
      <c r="D839" t="s">
        <v>140</v>
      </c>
      <c r="E839">
        <v>21</v>
      </c>
      <c r="F839" s="6">
        <v>61.69</v>
      </c>
      <c r="G839" s="6">
        <v>0</v>
      </c>
      <c r="H839" s="6">
        <v>2.96</v>
      </c>
      <c r="I839" s="6">
        <v>0</v>
      </c>
      <c r="J839" s="6">
        <v>61.69</v>
      </c>
    </row>
    <row r="840" spans="2:10" ht="18.75">
      <c r="B840">
        <v>10</v>
      </c>
      <c r="C840" s="5">
        <v>46083</v>
      </c>
      <c r="D840" t="s">
        <v>120</v>
      </c>
      <c r="E840">
        <v>34</v>
      </c>
      <c r="F840" s="6">
        <v>137.25</v>
      </c>
      <c r="G840" s="6">
        <v>0</v>
      </c>
      <c r="H840" s="6">
        <v>7.15</v>
      </c>
      <c r="I840" s="6">
        <v>2.48</v>
      </c>
      <c r="J840" s="6">
        <v>139.72999999999999</v>
      </c>
    </row>
    <row r="841" spans="2:10" ht="18.75">
      <c r="B841">
        <v>10</v>
      </c>
      <c r="C841" s="5">
        <v>46083</v>
      </c>
      <c r="D841" t="s">
        <v>126</v>
      </c>
      <c r="E841">
        <v>60</v>
      </c>
      <c r="F841" s="6">
        <v>188.22</v>
      </c>
      <c r="G841" s="6">
        <v>0</v>
      </c>
      <c r="H841" s="6">
        <v>21.78</v>
      </c>
      <c r="I841" s="6">
        <v>0</v>
      </c>
      <c r="J841" s="6">
        <v>188.22</v>
      </c>
    </row>
    <row r="842" spans="2:10" ht="18.75">
      <c r="B842">
        <v>10</v>
      </c>
      <c r="C842" s="5">
        <v>46083</v>
      </c>
      <c r="D842" t="s">
        <v>116</v>
      </c>
      <c r="E842">
        <v>31</v>
      </c>
      <c r="F842" s="6">
        <v>98.67</v>
      </c>
      <c r="G842" s="6">
        <v>0</v>
      </c>
      <c r="H842" s="6">
        <v>3.13</v>
      </c>
      <c r="I842" s="6">
        <v>0</v>
      </c>
      <c r="J842" s="6">
        <v>98.67</v>
      </c>
    </row>
    <row r="843" spans="2:10" ht="18.75">
      <c r="B843">
        <v>10</v>
      </c>
      <c r="C843" s="5">
        <v>46083</v>
      </c>
      <c r="D843" t="s">
        <v>150</v>
      </c>
      <c r="E843">
        <v>17</v>
      </c>
      <c r="F843" s="6">
        <v>95.29</v>
      </c>
      <c r="G843" s="6">
        <v>0</v>
      </c>
      <c r="H843" s="6">
        <v>4.45</v>
      </c>
      <c r="I843" s="6">
        <v>0</v>
      </c>
      <c r="J843" s="6">
        <v>95.29</v>
      </c>
    </row>
    <row r="844" spans="2:10" ht="18.75">
      <c r="B844">
        <v>10</v>
      </c>
      <c r="C844" s="5">
        <v>46083</v>
      </c>
      <c r="D844" t="s">
        <v>113</v>
      </c>
      <c r="E844">
        <v>83</v>
      </c>
      <c r="F844" s="6">
        <v>264.89999999999998</v>
      </c>
      <c r="G844" s="6">
        <v>0</v>
      </c>
      <c r="H844" s="6">
        <v>9.92</v>
      </c>
      <c r="I844" s="6">
        <v>1.2</v>
      </c>
      <c r="J844" s="6">
        <v>266.10000000000002</v>
      </c>
    </row>
    <row r="845" spans="2:10" ht="18.75">
      <c r="B845">
        <v>10</v>
      </c>
      <c r="C845" s="5">
        <v>46083</v>
      </c>
      <c r="D845" t="s">
        <v>137</v>
      </c>
      <c r="E845">
        <v>12</v>
      </c>
      <c r="F845" s="6">
        <v>40.549999999999997</v>
      </c>
      <c r="G845" s="6">
        <v>0</v>
      </c>
      <c r="H845" s="6">
        <v>1.29</v>
      </c>
      <c r="I845" s="6">
        <v>27.92</v>
      </c>
      <c r="J845" s="6">
        <v>68.47</v>
      </c>
    </row>
    <row r="846" spans="2:10" ht="18.75">
      <c r="B846">
        <v>10</v>
      </c>
      <c r="C846" s="5">
        <v>46083</v>
      </c>
      <c r="D846" t="s">
        <v>125</v>
      </c>
      <c r="E846">
        <v>14</v>
      </c>
      <c r="F846" s="6">
        <v>58.85</v>
      </c>
      <c r="G846" s="6">
        <v>0</v>
      </c>
      <c r="H846" s="6">
        <v>2.46</v>
      </c>
      <c r="I846" s="6">
        <v>0</v>
      </c>
      <c r="J846" s="6">
        <v>58.85</v>
      </c>
    </row>
    <row r="847" spans="2:10" ht="18.75">
      <c r="B847">
        <v>11</v>
      </c>
      <c r="C847" s="5">
        <v>46090</v>
      </c>
      <c r="D847" t="s">
        <v>143</v>
      </c>
      <c r="E847">
        <v>774</v>
      </c>
      <c r="F847" s="6">
        <v>3329.44</v>
      </c>
      <c r="G847" s="6">
        <v>0</v>
      </c>
      <c r="H847" s="6">
        <v>57.13</v>
      </c>
      <c r="I847" s="6">
        <v>0</v>
      </c>
      <c r="J847" s="6">
        <v>3329.44</v>
      </c>
    </row>
    <row r="848" spans="2:10" ht="18.75">
      <c r="B848">
        <v>11</v>
      </c>
      <c r="C848" s="5">
        <v>46090</v>
      </c>
      <c r="D848" t="s">
        <v>118</v>
      </c>
      <c r="E848">
        <v>47</v>
      </c>
      <c r="F848" s="6">
        <v>188.02</v>
      </c>
      <c r="G848" s="6">
        <v>0</v>
      </c>
      <c r="H848" s="6">
        <v>3.98</v>
      </c>
      <c r="I848" s="6">
        <v>0</v>
      </c>
      <c r="J848" s="6">
        <v>188.02</v>
      </c>
    </row>
    <row r="849" spans="2:10" ht="18.75">
      <c r="B849">
        <v>11</v>
      </c>
      <c r="C849" s="5">
        <v>46090</v>
      </c>
      <c r="D849" t="s">
        <v>121</v>
      </c>
      <c r="E849">
        <v>72</v>
      </c>
      <c r="F849" s="6">
        <v>205.91</v>
      </c>
      <c r="G849" s="6">
        <v>0</v>
      </c>
      <c r="H849" s="6">
        <v>3.62</v>
      </c>
      <c r="I849" s="6">
        <v>0</v>
      </c>
      <c r="J849" s="6">
        <v>205.91</v>
      </c>
    </row>
    <row r="850" spans="2:10" ht="18.75">
      <c r="B850">
        <v>11</v>
      </c>
      <c r="C850" s="5">
        <v>46090</v>
      </c>
      <c r="D850" t="s">
        <v>129</v>
      </c>
      <c r="E850">
        <v>118</v>
      </c>
      <c r="F850" s="6">
        <v>14.1</v>
      </c>
      <c r="G850" s="6">
        <v>0</v>
      </c>
      <c r="H850" s="6">
        <v>19.87</v>
      </c>
      <c r="I850" s="6">
        <v>491.01</v>
      </c>
      <c r="J850" s="6">
        <v>505.11</v>
      </c>
    </row>
    <row r="851" spans="2:10" ht="18.75">
      <c r="B851">
        <v>11</v>
      </c>
      <c r="C851" s="5">
        <v>46090</v>
      </c>
      <c r="D851" t="s">
        <v>123</v>
      </c>
      <c r="E851">
        <v>164</v>
      </c>
      <c r="F851" s="6">
        <v>653.51</v>
      </c>
      <c r="G851" s="6">
        <v>0</v>
      </c>
      <c r="H851" s="6">
        <v>13.43</v>
      </c>
      <c r="I851" s="6">
        <v>0</v>
      </c>
      <c r="J851" s="6">
        <v>653.51</v>
      </c>
    </row>
    <row r="852" spans="2:10" ht="18.75">
      <c r="B852">
        <v>11</v>
      </c>
      <c r="C852" s="5">
        <v>46090</v>
      </c>
      <c r="D852" t="s">
        <v>124</v>
      </c>
      <c r="E852">
        <v>177</v>
      </c>
      <c r="F852" s="6">
        <v>608.64</v>
      </c>
      <c r="G852" s="6">
        <v>0</v>
      </c>
      <c r="H852" s="6">
        <v>7</v>
      </c>
      <c r="I852" s="6">
        <v>0</v>
      </c>
      <c r="J852" s="6">
        <v>608.64</v>
      </c>
    </row>
    <row r="853" spans="2:10" ht="18.75">
      <c r="B853">
        <v>11</v>
      </c>
      <c r="C853" s="5">
        <v>46090</v>
      </c>
      <c r="D853" t="s">
        <v>151</v>
      </c>
      <c r="E853">
        <v>196</v>
      </c>
      <c r="F853" s="6">
        <v>995.14</v>
      </c>
      <c r="G853" s="6">
        <v>0</v>
      </c>
      <c r="H853" s="6">
        <v>27.38</v>
      </c>
      <c r="I853" s="6">
        <v>0</v>
      </c>
      <c r="J853" s="6">
        <v>995.14</v>
      </c>
    </row>
    <row r="854" spans="2:10" ht="18.75">
      <c r="B854">
        <v>11</v>
      </c>
      <c r="C854" s="5">
        <v>46090</v>
      </c>
      <c r="D854" t="s">
        <v>117</v>
      </c>
      <c r="E854">
        <v>65</v>
      </c>
      <c r="F854" s="6">
        <v>318.74</v>
      </c>
      <c r="G854" s="6">
        <v>0</v>
      </c>
      <c r="H854" s="6">
        <v>15.25</v>
      </c>
      <c r="I854" s="6">
        <v>0</v>
      </c>
      <c r="J854" s="6">
        <v>318.74</v>
      </c>
    </row>
    <row r="855" spans="2:10" ht="18.75">
      <c r="B855">
        <v>11</v>
      </c>
      <c r="C855" s="5">
        <v>46090</v>
      </c>
      <c r="D855" t="s">
        <v>113</v>
      </c>
      <c r="E855">
        <v>68</v>
      </c>
      <c r="F855" s="6">
        <v>228.65</v>
      </c>
      <c r="G855" s="6">
        <v>0</v>
      </c>
      <c r="H855" s="6">
        <v>5.47</v>
      </c>
      <c r="I855" s="6">
        <v>1.38</v>
      </c>
      <c r="J855" s="6">
        <v>230.03</v>
      </c>
    </row>
    <row r="856" spans="2:10" ht="18.75">
      <c r="B856">
        <v>11</v>
      </c>
      <c r="C856" s="5">
        <v>46090</v>
      </c>
      <c r="D856" t="s">
        <v>139</v>
      </c>
      <c r="E856">
        <v>72</v>
      </c>
      <c r="F856" s="6">
        <v>326.11</v>
      </c>
      <c r="G856" s="6">
        <v>0</v>
      </c>
      <c r="H856" s="6">
        <v>22.38</v>
      </c>
      <c r="I856" s="6">
        <v>0</v>
      </c>
      <c r="J856" s="6">
        <v>326.11</v>
      </c>
    </row>
    <row r="857" spans="2:10" ht="18.75">
      <c r="B857">
        <v>11</v>
      </c>
      <c r="C857" s="5">
        <v>46090</v>
      </c>
      <c r="D857" t="s">
        <v>128</v>
      </c>
      <c r="E857">
        <v>59</v>
      </c>
      <c r="F857" s="6">
        <v>269.35000000000002</v>
      </c>
      <c r="G857" s="6">
        <v>0</v>
      </c>
      <c r="H857" s="6">
        <v>6.8</v>
      </c>
      <c r="I857" s="6">
        <v>0</v>
      </c>
      <c r="J857" s="6">
        <v>269.35000000000002</v>
      </c>
    </row>
    <row r="858" spans="2:10" ht="18.75">
      <c r="B858">
        <v>11</v>
      </c>
      <c r="C858" s="5">
        <v>46090</v>
      </c>
      <c r="D858" t="s">
        <v>141</v>
      </c>
      <c r="E858">
        <v>243</v>
      </c>
      <c r="F858" s="6">
        <v>847</v>
      </c>
      <c r="G858" s="6">
        <v>0</v>
      </c>
      <c r="H858" s="6">
        <v>19</v>
      </c>
      <c r="I858" s="6">
        <v>0</v>
      </c>
      <c r="J858" s="6">
        <v>847</v>
      </c>
    </row>
    <row r="859" spans="2:10" ht="18.75">
      <c r="B859">
        <v>11</v>
      </c>
      <c r="C859" s="5">
        <v>46090</v>
      </c>
      <c r="D859" t="s">
        <v>147</v>
      </c>
      <c r="E859">
        <v>92</v>
      </c>
      <c r="F859" s="6">
        <v>436.55</v>
      </c>
      <c r="G859" s="6">
        <v>0</v>
      </c>
      <c r="H859" s="6">
        <v>12.33</v>
      </c>
      <c r="I859" s="6">
        <v>0</v>
      </c>
      <c r="J859" s="6">
        <v>436.55</v>
      </c>
    </row>
    <row r="860" spans="2:10" ht="18.75">
      <c r="B860">
        <v>11</v>
      </c>
      <c r="C860" s="5">
        <v>46090</v>
      </c>
      <c r="D860" t="s">
        <v>130</v>
      </c>
      <c r="E860">
        <v>135</v>
      </c>
      <c r="F860" s="6">
        <v>616.54</v>
      </c>
      <c r="G860" s="6">
        <v>0</v>
      </c>
      <c r="H860" s="6">
        <v>19.600000000000001</v>
      </c>
      <c r="I860" s="6">
        <v>0</v>
      </c>
      <c r="J860" s="6">
        <v>616.54</v>
      </c>
    </row>
    <row r="861" spans="2:10" ht="18.75">
      <c r="B861">
        <v>11</v>
      </c>
      <c r="C861" s="5">
        <v>46090</v>
      </c>
      <c r="D861" t="s">
        <v>138</v>
      </c>
      <c r="E861">
        <v>113</v>
      </c>
      <c r="F861" s="6">
        <v>539.23</v>
      </c>
      <c r="G861" s="6">
        <v>0</v>
      </c>
      <c r="H861" s="6">
        <v>80.62</v>
      </c>
      <c r="I861" s="6">
        <v>2.38</v>
      </c>
      <c r="J861" s="6">
        <v>541.61</v>
      </c>
    </row>
    <row r="862" spans="2:10" ht="18.75">
      <c r="B862">
        <v>11</v>
      </c>
      <c r="C862" s="5">
        <v>46090</v>
      </c>
      <c r="D862" t="s">
        <v>146</v>
      </c>
      <c r="E862">
        <v>178</v>
      </c>
      <c r="F862" s="6">
        <v>954.46</v>
      </c>
      <c r="G862" s="6">
        <v>0</v>
      </c>
      <c r="H862" s="6">
        <v>58.6</v>
      </c>
      <c r="I862" s="6">
        <v>0</v>
      </c>
      <c r="J862" s="6">
        <v>954.46</v>
      </c>
    </row>
    <row r="863" spans="2:10" ht="18.75">
      <c r="B863">
        <v>11</v>
      </c>
      <c r="C863" s="5">
        <v>46090</v>
      </c>
      <c r="D863" t="s">
        <v>119</v>
      </c>
      <c r="E863">
        <v>140</v>
      </c>
      <c r="F863" s="6">
        <v>500.14</v>
      </c>
      <c r="G863" s="6">
        <v>1.5</v>
      </c>
      <c r="H863" s="6">
        <v>16.47</v>
      </c>
      <c r="I863" s="6">
        <v>0</v>
      </c>
      <c r="J863" s="6">
        <v>498.64</v>
      </c>
    </row>
    <row r="864" spans="2:10" ht="18.75">
      <c r="B864">
        <v>11</v>
      </c>
      <c r="C864" s="5">
        <v>46090</v>
      </c>
      <c r="D864" t="s">
        <v>134</v>
      </c>
      <c r="E864">
        <v>79</v>
      </c>
      <c r="F864" s="6">
        <v>426.48</v>
      </c>
      <c r="G864" s="6">
        <v>0</v>
      </c>
      <c r="H864" s="6">
        <v>11.14</v>
      </c>
      <c r="I864" s="6">
        <v>0</v>
      </c>
      <c r="J864" s="6">
        <v>426.48</v>
      </c>
    </row>
    <row r="865" spans="2:10" ht="18.75">
      <c r="B865">
        <v>11</v>
      </c>
      <c r="C865" s="5">
        <v>46090</v>
      </c>
      <c r="D865" t="s">
        <v>111</v>
      </c>
      <c r="E865">
        <v>67</v>
      </c>
      <c r="F865" s="6">
        <v>281.29000000000002</v>
      </c>
      <c r="G865" s="6">
        <v>0</v>
      </c>
      <c r="H865" s="6">
        <v>8.8699999999999992</v>
      </c>
      <c r="I865" s="6">
        <v>0</v>
      </c>
      <c r="J865" s="6">
        <v>281.29000000000002</v>
      </c>
    </row>
    <row r="866" spans="2:10" ht="18.75">
      <c r="B866">
        <v>11</v>
      </c>
      <c r="C866" s="5">
        <v>46090</v>
      </c>
      <c r="D866" t="s">
        <v>140</v>
      </c>
      <c r="E866">
        <v>26</v>
      </c>
      <c r="F866" s="6">
        <v>105.88</v>
      </c>
      <c r="G866" s="6">
        <v>0</v>
      </c>
      <c r="H866" s="6">
        <v>0.98</v>
      </c>
      <c r="I866" s="6">
        <v>0</v>
      </c>
      <c r="J866" s="6">
        <v>105.88</v>
      </c>
    </row>
    <row r="867" spans="2:10" ht="18.75">
      <c r="B867">
        <v>11</v>
      </c>
      <c r="C867" s="5">
        <v>46090</v>
      </c>
      <c r="D867" t="s">
        <v>122</v>
      </c>
      <c r="E867">
        <v>83</v>
      </c>
      <c r="F867" s="6">
        <v>410.64</v>
      </c>
      <c r="G867" s="6">
        <v>0</v>
      </c>
      <c r="H867" s="6">
        <v>20.079999999999998</v>
      </c>
      <c r="I867" s="6">
        <v>0</v>
      </c>
      <c r="J867" s="6">
        <v>410.64</v>
      </c>
    </row>
    <row r="868" spans="2:10" ht="18.75">
      <c r="B868">
        <v>11</v>
      </c>
      <c r="C868" s="5">
        <v>46090</v>
      </c>
      <c r="D868" t="s">
        <v>136</v>
      </c>
      <c r="E868">
        <v>49</v>
      </c>
      <c r="F868" s="6">
        <v>137.99</v>
      </c>
      <c r="G868" s="6">
        <v>0</v>
      </c>
      <c r="H868" s="6">
        <v>32</v>
      </c>
      <c r="I868" s="6">
        <v>87.5</v>
      </c>
      <c r="J868" s="6">
        <v>225.49</v>
      </c>
    </row>
    <row r="869" spans="2:10" ht="18.75">
      <c r="B869">
        <v>11</v>
      </c>
      <c r="C869" s="5">
        <v>46090</v>
      </c>
      <c r="D869" t="s">
        <v>133</v>
      </c>
      <c r="E869">
        <v>75</v>
      </c>
      <c r="F869" s="6">
        <v>410.83</v>
      </c>
      <c r="G869" s="6">
        <v>0</v>
      </c>
      <c r="H869" s="6">
        <v>11.65</v>
      </c>
      <c r="I869" s="6">
        <v>0</v>
      </c>
      <c r="J869" s="6">
        <v>410.83</v>
      </c>
    </row>
    <row r="870" spans="2:10" ht="18.75">
      <c r="B870">
        <v>11</v>
      </c>
      <c r="C870" s="5">
        <v>46090</v>
      </c>
      <c r="D870" t="s">
        <v>112</v>
      </c>
      <c r="E870">
        <v>14</v>
      </c>
      <c r="F870" s="6">
        <v>51.59</v>
      </c>
      <c r="G870" s="6">
        <v>0</v>
      </c>
      <c r="H870" s="6">
        <v>6.16</v>
      </c>
      <c r="I870" s="6">
        <v>2.38</v>
      </c>
      <c r="J870" s="6">
        <v>53.97</v>
      </c>
    </row>
    <row r="871" spans="2:10" ht="18.75">
      <c r="B871">
        <v>11</v>
      </c>
      <c r="C871" s="5">
        <v>46090</v>
      </c>
      <c r="D871" t="s">
        <v>132</v>
      </c>
      <c r="E871">
        <v>61</v>
      </c>
      <c r="F871" s="6">
        <v>228.94</v>
      </c>
      <c r="G871" s="6">
        <v>0</v>
      </c>
      <c r="H871" s="6">
        <v>8.9</v>
      </c>
      <c r="I871" s="6">
        <v>0</v>
      </c>
      <c r="J871" s="6">
        <v>228.94</v>
      </c>
    </row>
    <row r="872" spans="2:10" ht="18.75">
      <c r="B872">
        <v>11</v>
      </c>
      <c r="C872" s="5">
        <v>46090</v>
      </c>
      <c r="D872" t="s">
        <v>142</v>
      </c>
      <c r="E872">
        <v>53</v>
      </c>
      <c r="F872" s="6">
        <v>272.56</v>
      </c>
      <c r="G872" s="6">
        <v>0</v>
      </c>
      <c r="H872" s="6">
        <v>21.05</v>
      </c>
      <c r="I872" s="6">
        <v>0</v>
      </c>
      <c r="J872" s="6">
        <v>272.56</v>
      </c>
    </row>
    <row r="873" spans="2:10" ht="18.75">
      <c r="B873">
        <v>11</v>
      </c>
      <c r="C873" s="5">
        <v>46090</v>
      </c>
      <c r="D873" t="s">
        <v>149</v>
      </c>
      <c r="E873">
        <v>68</v>
      </c>
      <c r="F873" s="6">
        <v>214.84</v>
      </c>
      <c r="G873" s="6">
        <v>0</v>
      </c>
      <c r="H873" s="6">
        <v>19.059999999999999</v>
      </c>
      <c r="I873" s="6">
        <v>0</v>
      </c>
      <c r="J873" s="6">
        <v>214.84</v>
      </c>
    </row>
    <row r="874" spans="2:10" ht="18.75">
      <c r="B874">
        <v>11</v>
      </c>
      <c r="C874" s="5">
        <v>46090</v>
      </c>
      <c r="D874" t="s">
        <v>114</v>
      </c>
      <c r="E874">
        <v>80</v>
      </c>
      <c r="F874" s="6">
        <v>333.95</v>
      </c>
      <c r="G874" s="6">
        <v>0</v>
      </c>
      <c r="H874" s="6">
        <v>16.75</v>
      </c>
      <c r="I874" s="6">
        <v>117.24</v>
      </c>
      <c r="J874" s="6">
        <v>451.19</v>
      </c>
    </row>
    <row r="875" spans="2:10" ht="18.75">
      <c r="B875">
        <v>11</v>
      </c>
      <c r="C875" s="5">
        <v>46090</v>
      </c>
      <c r="D875" t="s">
        <v>127</v>
      </c>
      <c r="E875">
        <v>63</v>
      </c>
      <c r="F875" s="6">
        <v>320.47000000000003</v>
      </c>
      <c r="G875" s="6">
        <v>0</v>
      </c>
      <c r="H875" s="6">
        <v>3.7</v>
      </c>
      <c r="I875" s="6">
        <v>0</v>
      </c>
      <c r="J875" s="6">
        <v>320.47000000000003</v>
      </c>
    </row>
    <row r="876" spans="2:10" ht="18.75">
      <c r="B876">
        <v>11</v>
      </c>
      <c r="C876" s="5">
        <v>46090</v>
      </c>
      <c r="D876" t="s">
        <v>126</v>
      </c>
      <c r="E876">
        <v>56</v>
      </c>
      <c r="F876" s="6">
        <v>234.25</v>
      </c>
      <c r="G876" s="6">
        <v>0</v>
      </c>
      <c r="H876" s="6">
        <v>3.04</v>
      </c>
      <c r="I876" s="6">
        <v>0</v>
      </c>
      <c r="J876" s="6">
        <v>234.25</v>
      </c>
    </row>
    <row r="877" spans="2:10" ht="18.75">
      <c r="B877">
        <v>11</v>
      </c>
      <c r="C877" s="5">
        <v>46090</v>
      </c>
      <c r="D877" t="s">
        <v>120</v>
      </c>
      <c r="E877">
        <v>27</v>
      </c>
      <c r="F877" s="6">
        <v>119.17</v>
      </c>
      <c r="G877" s="6">
        <v>0</v>
      </c>
      <c r="H877" s="6">
        <v>3.38</v>
      </c>
      <c r="I877" s="6">
        <v>2.38</v>
      </c>
      <c r="J877" s="6">
        <v>121.55</v>
      </c>
    </row>
    <row r="878" spans="2:10" ht="18.75">
      <c r="B878">
        <v>11</v>
      </c>
      <c r="C878" s="5">
        <v>46090</v>
      </c>
      <c r="D878" t="s">
        <v>148</v>
      </c>
      <c r="E878">
        <v>26</v>
      </c>
      <c r="F878" s="6">
        <v>111.74</v>
      </c>
      <c r="G878" s="6">
        <v>0</v>
      </c>
      <c r="H878" s="6">
        <v>15.51</v>
      </c>
      <c r="I878" s="6">
        <v>0</v>
      </c>
      <c r="J878" s="6">
        <v>111.74</v>
      </c>
    </row>
    <row r="879" spans="2:10" ht="18.75">
      <c r="B879">
        <v>11</v>
      </c>
      <c r="C879" s="5">
        <v>46090</v>
      </c>
      <c r="D879" t="s">
        <v>145</v>
      </c>
      <c r="E879">
        <v>55</v>
      </c>
      <c r="F879" s="6">
        <v>315.14999999999998</v>
      </c>
      <c r="G879" s="6">
        <v>0</v>
      </c>
      <c r="H879" s="6">
        <v>10.130000000000001</v>
      </c>
      <c r="I879" s="6">
        <v>0</v>
      </c>
      <c r="J879" s="6">
        <v>315.14999999999998</v>
      </c>
    </row>
    <row r="880" spans="2:10" ht="18.75">
      <c r="B880">
        <v>11</v>
      </c>
      <c r="C880" s="5">
        <v>46090</v>
      </c>
      <c r="D880" t="s">
        <v>125</v>
      </c>
      <c r="E880">
        <v>23</v>
      </c>
      <c r="F880" s="6">
        <v>108.46</v>
      </c>
      <c r="G880" s="6">
        <v>0</v>
      </c>
      <c r="H880" s="6">
        <v>9.07</v>
      </c>
      <c r="I880" s="6">
        <v>0</v>
      </c>
      <c r="J880" s="6">
        <v>108.46</v>
      </c>
    </row>
    <row r="881" spans="2:10" ht="18.75">
      <c r="B881">
        <v>11</v>
      </c>
      <c r="C881" s="5">
        <v>46090</v>
      </c>
      <c r="D881" t="s">
        <v>116</v>
      </c>
      <c r="E881">
        <v>37</v>
      </c>
      <c r="F881" s="6">
        <v>116.94</v>
      </c>
      <c r="G881" s="6">
        <v>0</v>
      </c>
      <c r="H881" s="6">
        <v>1.04</v>
      </c>
      <c r="I881" s="6">
        <v>0</v>
      </c>
      <c r="J881" s="6">
        <v>116.94</v>
      </c>
    </row>
    <row r="882" spans="2:10" ht="18.75">
      <c r="B882">
        <v>11</v>
      </c>
      <c r="C882" s="5">
        <v>46090</v>
      </c>
      <c r="D882" t="s">
        <v>150</v>
      </c>
      <c r="E882">
        <v>15</v>
      </c>
      <c r="F882" s="6">
        <v>83.03</v>
      </c>
      <c r="G882" s="6">
        <v>0</v>
      </c>
      <c r="H882" s="6">
        <v>1.04</v>
      </c>
      <c r="I882" s="6">
        <v>0</v>
      </c>
      <c r="J882" s="6">
        <v>83.03</v>
      </c>
    </row>
    <row r="883" spans="2:10" ht="18.75">
      <c r="B883">
        <v>11</v>
      </c>
      <c r="C883" s="5">
        <v>46090</v>
      </c>
      <c r="D883" t="s">
        <v>135</v>
      </c>
      <c r="E883">
        <v>8</v>
      </c>
      <c r="F883" s="6">
        <v>21.68</v>
      </c>
      <c r="G883" s="6">
        <v>0</v>
      </c>
      <c r="H883" s="6">
        <v>0.92</v>
      </c>
      <c r="I883" s="6">
        <v>7.24</v>
      </c>
      <c r="J883" s="6">
        <v>28.92</v>
      </c>
    </row>
    <row r="884" spans="2:10" ht="18.75">
      <c r="B884">
        <v>11</v>
      </c>
      <c r="C884" s="5">
        <v>46090</v>
      </c>
      <c r="D884" t="s">
        <v>137</v>
      </c>
      <c r="E884">
        <v>14</v>
      </c>
      <c r="F884" s="6">
        <v>41.59</v>
      </c>
      <c r="G884" s="6">
        <v>0</v>
      </c>
      <c r="H884" s="6">
        <v>2.08</v>
      </c>
      <c r="I884" s="6">
        <v>29.16</v>
      </c>
      <c r="J884" s="6">
        <v>70.75</v>
      </c>
    </row>
    <row r="885" spans="2:10" ht="18.75">
      <c r="B885">
        <v>11</v>
      </c>
      <c r="C885" s="5">
        <v>46090</v>
      </c>
      <c r="E885">
        <v>3</v>
      </c>
      <c r="F885" s="6">
        <v>0</v>
      </c>
      <c r="G885" s="6">
        <v>0</v>
      </c>
      <c r="H885" s="6">
        <v>6.3</v>
      </c>
      <c r="I885" s="6">
        <v>0</v>
      </c>
      <c r="J885" s="6">
        <v>0</v>
      </c>
    </row>
    <row r="886" spans="2:10" ht="18.75">
      <c r="B886">
        <v>12</v>
      </c>
      <c r="C886" s="5">
        <v>46097</v>
      </c>
      <c r="D886" t="s">
        <v>139</v>
      </c>
      <c r="E886">
        <v>86</v>
      </c>
      <c r="F886" s="6">
        <v>399.39</v>
      </c>
      <c r="G886" s="6">
        <v>0</v>
      </c>
      <c r="H886" s="6">
        <v>17.579999999999998</v>
      </c>
      <c r="I886" s="6">
        <v>0</v>
      </c>
      <c r="J886" s="6">
        <v>399.39</v>
      </c>
    </row>
    <row r="887" spans="2:10" ht="18.75">
      <c r="B887">
        <v>12</v>
      </c>
      <c r="C887" s="5">
        <v>46097</v>
      </c>
      <c r="D887" t="s">
        <v>129</v>
      </c>
      <c r="E887">
        <v>129</v>
      </c>
      <c r="F887" s="6">
        <v>16.78</v>
      </c>
      <c r="G887" s="6">
        <v>0</v>
      </c>
      <c r="H887" s="6">
        <v>0</v>
      </c>
      <c r="I887" s="6">
        <v>587</v>
      </c>
      <c r="J887" s="6">
        <v>603.78</v>
      </c>
    </row>
    <row r="888" spans="2:10" ht="18.75">
      <c r="B888">
        <v>12</v>
      </c>
      <c r="C888" s="5">
        <v>46097</v>
      </c>
      <c r="D888" t="s">
        <v>121</v>
      </c>
      <c r="E888">
        <v>73</v>
      </c>
      <c r="F888" s="6">
        <v>232.88</v>
      </c>
      <c r="G888" s="6">
        <v>0</v>
      </c>
      <c r="H888" s="6">
        <v>3.18</v>
      </c>
      <c r="I888" s="6">
        <v>0</v>
      </c>
      <c r="J888" s="6">
        <v>232.88</v>
      </c>
    </row>
    <row r="889" spans="2:10" ht="18.75">
      <c r="B889">
        <v>12</v>
      </c>
      <c r="C889" s="5">
        <v>46097</v>
      </c>
      <c r="D889" t="s">
        <v>124</v>
      </c>
      <c r="E889">
        <v>170</v>
      </c>
      <c r="F889" s="6">
        <v>627.12</v>
      </c>
      <c r="G889" s="6">
        <v>0</v>
      </c>
      <c r="H889" s="6">
        <v>13.28</v>
      </c>
      <c r="I889" s="6">
        <v>0</v>
      </c>
      <c r="J889" s="6">
        <v>627.12</v>
      </c>
    </row>
    <row r="890" spans="2:10" ht="18.75">
      <c r="B890">
        <v>12</v>
      </c>
      <c r="C890" s="5">
        <v>46097</v>
      </c>
      <c r="D890" t="s">
        <v>151</v>
      </c>
      <c r="E890">
        <v>192</v>
      </c>
      <c r="F890" s="6">
        <v>1003.88</v>
      </c>
      <c r="G890" s="6">
        <v>0</v>
      </c>
      <c r="H890" s="6">
        <v>12.55</v>
      </c>
      <c r="I890" s="6">
        <v>0</v>
      </c>
      <c r="J890" s="6">
        <v>1003.88</v>
      </c>
    </row>
    <row r="891" spans="2:10" ht="18.75">
      <c r="B891">
        <v>12</v>
      </c>
      <c r="C891" s="5">
        <v>46097</v>
      </c>
      <c r="D891" t="s">
        <v>143</v>
      </c>
      <c r="E891">
        <v>887</v>
      </c>
      <c r="F891" s="6">
        <v>3888.1499999999801</v>
      </c>
      <c r="G891" s="6">
        <v>0</v>
      </c>
      <c r="H891" s="6">
        <v>53.73</v>
      </c>
      <c r="I891" s="6">
        <v>0</v>
      </c>
      <c r="J891" s="6">
        <v>3888.1499999999801</v>
      </c>
    </row>
    <row r="892" spans="2:10" ht="18.75">
      <c r="B892">
        <v>12</v>
      </c>
      <c r="C892" s="5">
        <v>46097</v>
      </c>
      <c r="D892" t="s">
        <v>117</v>
      </c>
      <c r="E892">
        <v>63</v>
      </c>
      <c r="F892" s="6">
        <v>300.48</v>
      </c>
      <c r="G892" s="6">
        <v>0</v>
      </c>
      <c r="H892" s="6">
        <v>6.51</v>
      </c>
      <c r="I892" s="6">
        <v>0</v>
      </c>
      <c r="J892" s="6">
        <v>300.48</v>
      </c>
    </row>
    <row r="893" spans="2:10" ht="18.75">
      <c r="B893">
        <v>12</v>
      </c>
      <c r="C893" s="5">
        <v>46097</v>
      </c>
      <c r="D893" t="s">
        <v>147</v>
      </c>
      <c r="E893">
        <v>97</v>
      </c>
      <c r="F893" s="6">
        <v>461.04</v>
      </c>
      <c r="G893" s="6">
        <v>0</v>
      </c>
      <c r="H893" s="6">
        <v>9.8800000000000008</v>
      </c>
      <c r="I893" s="6">
        <v>0</v>
      </c>
      <c r="J893" s="6">
        <v>461.04</v>
      </c>
    </row>
    <row r="894" spans="2:10" ht="18.75">
      <c r="B894">
        <v>12</v>
      </c>
      <c r="C894" s="5">
        <v>46097</v>
      </c>
      <c r="D894" t="s">
        <v>112</v>
      </c>
      <c r="E894">
        <v>10</v>
      </c>
      <c r="F894" s="6">
        <v>47.85</v>
      </c>
      <c r="G894" s="6">
        <v>0</v>
      </c>
      <c r="H894" s="6">
        <v>1.39</v>
      </c>
      <c r="I894" s="6">
        <v>1.29</v>
      </c>
      <c r="J894" s="6">
        <v>49.14</v>
      </c>
    </row>
    <row r="895" spans="2:10" ht="18.75">
      <c r="B895">
        <v>12</v>
      </c>
      <c r="C895" s="5">
        <v>46097</v>
      </c>
      <c r="D895" t="s">
        <v>123</v>
      </c>
      <c r="E895">
        <v>157</v>
      </c>
      <c r="F895" s="6">
        <v>618.09</v>
      </c>
      <c r="G895" s="6">
        <v>0</v>
      </c>
      <c r="H895" s="6">
        <v>17.16</v>
      </c>
      <c r="I895" s="6">
        <v>0</v>
      </c>
      <c r="J895" s="6">
        <v>618.09</v>
      </c>
    </row>
    <row r="896" spans="2:10" ht="18.75">
      <c r="B896">
        <v>12</v>
      </c>
      <c r="C896" s="5">
        <v>46097</v>
      </c>
      <c r="D896" t="s">
        <v>118</v>
      </c>
      <c r="E896">
        <v>64</v>
      </c>
      <c r="F896" s="6">
        <v>220.75</v>
      </c>
      <c r="G896" s="6">
        <v>0</v>
      </c>
      <c r="H896" s="6">
        <v>9.4700000000000006</v>
      </c>
      <c r="I896" s="6">
        <v>0</v>
      </c>
      <c r="J896" s="6">
        <v>220.75</v>
      </c>
    </row>
    <row r="897" spans="2:10" ht="18.75">
      <c r="B897">
        <v>12</v>
      </c>
      <c r="C897" s="5">
        <v>46097</v>
      </c>
      <c r="D897" t="s">
        <v>111</v>
      </c>
      <c r="E897">
        <v>58</v>
      </c>
      <c r="F897" s="6">
        <v>259.87</v>
      </c>
      <c r="G897" s="6">
        <v>0</v>
      </c>
      <c r="H897" s="6">
        <v>9.31</v>
      </c>
      <c r="I897" s="6">
        <v>0</v>
      </c>
      <c r="J897" s="6">
        <v>259.87</v>
      </c>
    </row>
    <row r="898" spans="2:10" ht="18.75">
      <c r="B898">
        <v>12</v>
      </c>
      <c r="C898" s="5">
        <v>46097</v>
      </c>
      <c r="D898" t="s">
        <v>134</v>
      </c>
      <c r="E898">
        <v>97</v>
      </c>
      <c r="F898" s="6">
        <v>556.99</v>
      </c>
      <c r="G898" s="6">
        <v>0</v>
      </c>
      <c r="H898" s="6">
        <v>9.4600000000000009</v>
      </c>
      <c r="I898" s="6">
        <v>0</v>
      </c>
      <c r="J898" s="6">
        <v>556.99</v>
      </c>
    </row>
    <row r="899" spans="2:10" ht="18.75">
      <c r="B899">
        <v>12</v>
      </c>
      <c r="C899" s="5">
        <v>46097</v>
      </c>
      <c r="D899" t="s">
        <v>133</v>
      </c>
      <c r="E899">
        <v>98</v>
      </c>
      <c r="F899" s="6">
        <v>514.69000000000005</v>
      </c>
      <c r="G899" s="6">
        <v>0</v>
      </c>
      <c r="H899" s="6">
        <v>17.13</v>
      </c>
      <c r="I899" s="6">
        <v>4.5999999999999996</v>
      </c>
      <c r="J899" s="6">
        <v>519.29</v>
      </c>
    </row>
    <row r="900" spans="2:10" ht="18.75">
      <c r="B900">
        <v>12</v>
      </c>
      <c r="C900" s="5">
        <v>46097</v>
      </c>
      <c r="D900" t="s">
        <v>119</v>
      </c>
      <c r="E900">
        <v>156</v>
      </c>
      <c r="F900" s="6">
        <v>578.09</v>
      </c>
      <c r="G900" s="6">
        <v>1.5</v>
      </c>
      <c r="H900" s="6">
        <v>22.59</v>
      </c>
      <c r="I900" s="6">
        <v>0</v>
      </c>
      <c r="J900" s="6">
        <v>576.59</v>
      </c>
    </row>
    <row r="901" spans="2:10" ht="18.75">
      <c r="B901">
        <v>12</v>
      </c>
      <c r="C901" s="5">
        <v>46097</v>
      </c>
      <c r="D901" t="s">
        <v>149</v>
      </c>
      <c r="E901">
        <v>67</v>
      </c>
      <c r="F901" s="6">
        <v>220.22</v>
      </c>
      <c r="G901" s="6">
        <v>0</v>
      </c>
      <c r="H901" s="6">
        <v>9.3699999999999992</v>
      </c>
      <c r="I901" s="6">
        <v>0</v>
      </c>
      <c r="J901" s="6">
        <v>220.22</v>
      </c>
    </row>
    <row r="902" spans="2:10" ht="18.75">
      <c r="B902">
        <v>12</v>
      </c>
      <c r="C902" s="5">
        <v>46097</v>
      </c>
      <c r="D902" t="s">
        <v>141</v>
      </c>
      <c r="E902">
        <v>230</v>
      </c>
      <c r="F902" s="6">
        <v>801.41</v>
      </c>
      <c r="G902" s="6">
        <v>0</v>
      </c>
      <c r="H902" s="6">
        <v>8.5500000000000007</v>
      </c>
      <c r="I902" s="6">
        <v>0</v>
      </c>
      <c r="J902" s="6">
        <v>801.41</v>
      </c>
    </row>
    <row r="903" spans="2:10" ht="18.75">
      <c r="B903">
        <v>12</v>
      </c>
      <c r="C903" s="5">
        <v>46097</v>
      </c>
      <c r="D903" t="s">
        <v>138</v>
      </c>
      <c r="E903">
        <v>121</v>
      </c>
      <c r="F903" s="6">
        <v>605.33000000000004</v>
      </c>
      <c r="G903" s="6">
        <v>0</v>
      </c>
      <c r="H903" s="6">
        <v>34.909999999999997</v>
      </c>
      <c r="I903" s="6">
        <v>0</v>
      </c>
      <c r="J903" s="6">
        <v>605.33000000000004</v>
      </c>
    </row>
    <row r="904" spans="2:10" ht="18.75">
      <c r="B904">
        <v>12</v>
      </c>
      <c r="C904" s="5">
        <v>46097</v>
      </c>
      <c r="D904" t="s">
        <v>130</v>
      </c>
      <c r="E904">
        <v>136</v>
      </c>
      <c r="F904" s="6">
        <v>621.04</v>
      </c>
      <c r="G904" s="6">
        <v>4.99</v>
      </c>
      <c r="H904" s="6">
        <v>26.23</v>
      </c>
      <c r="I904" s="6">
        <v>0</v>
      </c>
      <c r="J904" s="6">
        <v>616.04999999999995</v>
      </c>
    </row>
    <row r="905" spans="2:10" ht="18.75">
      <c r="B905">
        <v>12</v>
      </c>
      <c r="C905" s="5">
        <v>46097</v>
      </c>
      <c r="D905" t="s">
        <v>132</v>
      </c>
      <c r="E905">
        <v>79</v>
      </c>
      <c r="F905" s="6">
        <v>298.72000000000003</v>
      </c>
      <c r="G905" s="6">
        <v>0</v>
      </c>
      <c r="H905" s="6">
        <v>3.19</v>
      </c>
      <c r="I905" s="6">
        <v>0</v>
      </c>
      <c r="J905" s="6">
        <v>298.72000000000003</v>
      </c>
    </row>
    <row r="906" spans="2:10" ht="18.75">
      <c r="B906">
        <v>12</v>
      </c>
      <c r="C906" s="5">
        <v>46097</v>
      </c>
      <c r="D906" t="s">
        <v>146</v>
      </c>
      <c r="E906">
        <v>160</v>
      </c>
      <c r="F906" s="6">
        <v>834.05</v>
      </c>
      <c r="G906" s="6">
        <v>0</v>
      </c>
      <c r="H906" s="6">
        <v>45.14</v>
      </c>
      <c r="I906" s="6">
        <v>0</v>
      </c>
      <c r="J906" s="6">
        <v>834.05</v>
      </c>
    </row>
    <row r="907" spans="2:10" ht="18.75">
      <c r="B907">
        <v>12</v>
      </c>
      <c r="C907" s="5">
        <v>46097</v>
      </c>
      <c r="D907" t="s">
        <v>145</v>
      </c>
      <c r="E907">
        <v>64</v>
      </c>
      <c r="F907" s="6">
        <v>391.71</v>
      </c>
      <c r="G907" s="6">
        <v>0</v>
      </c>
      <c r="H907" s="6">
        <v>0</v>
      </c>
      <c r="I907" s="6">
        <v>0</v>
      </c>
      <c r="J907" s="6">
        <v>391.71</v>
      </c>
    </row>
    <row r="908" spans="2:10" ht="18.75">
      <c r="B908">
        <v>12</v>
      </c>
      <c r="C908" s="5">
        <v>46097</v>
      </c>
      <c r="D908" t="s">
        <v>114</v>
      </c>
      <c r="E908">
        <v>58</v>
      </c>
      <c r="F908" s="6">
        <v>252.11</v>
      </c>
      <c r="G908" s="6">
        <v>0</v>
      </c>
      <c r="H908" s="6">
        <v>10.79</v>
      </c>
      <c r="I908" s="6">
        <v>87.83</v>
      </c>
      <c r="J908" s="6">
        <v>339.94</v>
      </c>
    </row>
    <row r="909" spans="2:10" ht="18.75">
      <c r="B909">
        <v>12</v>
      </c>
      <c r="C909" s="5">
        <v>46097</v>
      </c>
      <c r="D909" t="s">
        <v>120</v>
      </c>
      <c r="E909">
        <v>25</v>
      </c>
      <c r="F909" s="6">
        <v>124.25</v>
      </c>
      <c r="G909" s="6">
        <v>0</v>
      </c>
      <c r="H909" s="6">
        <v>1.94</v>
      </c>
      <c r="I909" s="6">
        <v>0</v>
      </c>
      <c r="J909" s="6">
        <v>124.25</v>
      </c>
    </row>
    <row r="910" spans="2:10" ht="18.75">
      <c r="B910">
        <v>12</v>
      </c>
      <c r="C910" s="5">
        <v>46097</v>
      </c>
      <c r="D910" t="s">
        <v>122</v>
      </c>
      <c r="E910">
        <v>81</v>
      </c>
      <c r="F910" s="6">
        <v>403.01</v>
      </c>
      <c r="G910" s="6">
        <v>0</v>
      </c>
      <c r="H910" s="6">
        <v>19.91</v>
      </c>
      <c r="I910" s="6">
        <v>0</v>
      </c>
      <c r="J910" s="6">
        <v>403.01</v>
      </c>
    </row>
    <row r="911" spans="2:10" ht="18.75">
      <c r="B911">
        <v>12</v>
      </c>
      <c r="C911" s="5">
        <v>46097</v>
      </c>
      <c r="D911" t="s">
        <v>136</v>
      </c>
      <c r="E911">
        <v>54</v>
      </c>
      <c r="F911" s="6">
        <v>167.67</v>
      </c>
      <c r="G911" s="6">
        <v>0</v>
      </c>
      <c r="H911" s="6">
        <v>1.29</v>
      </c>
      <c r="I911" s="6">
        <v>94.3</v>
      </c>
      <c r="J911" s="6">
        <v>261.97000000000003</v>
      </c>
    </row>
    <row r="912" spans="2:10" ht="18.75">
      <c r="B912">
        <v>12</v>
      </c>
      <c r="C912" s="5">
        <v>46097</v>
      </c>
      <c r="D912" t="s">
        <v>128</v>
      </c>
      <c r="E912">
        <v>47</v>
      </c>
      <c r="F912" s="6">
        <v>221.04</v>
      </c>
      <c r="G912" s="6">
        <v>0</v>
      </c>
      <c r="H912" s="6">
        <v>0.69</v>
      </c>
      <c r="I912" s="6">
        <v>0</v>
      </c>
      <c r="J912" s="6">
        <v>221.04</v>
      </c>
    </row>
    <row r="913" spans="2:10" ht="18.75">
      <c r="B913">
        <v>12</v>
      </c>
      <c r="C913" s="5">
        <v>46097</v>
      </c>
      <c r="D913" t="s">
        <v>148</v>
      </c>
      <c r="E913">
        <v>19</v>
      </c>
      <c r="F913" s="6">
        <v>106.13</v>
      </c>
      <c r="G913" s="6">
        <v>0</v>
      </c>
      <c r="H913" s="6">
        <v>5.35</v>
      </c>
      <c r="I913" s="6">
        <v>0</v>
      </c>
      <c r="J913" s="6">
        <v>106.13</v>
      </c>
    </row>
    <row r="914" spans="2:10" ht="18.75">
      <c r="B914">
        <v>12</v>
      </c>
      <c r="C914" s="5">
        <v>46097</v>
      </c>
      <c r="D914" t="s">
        <v>127</v>
      </c>
      <c r="E914">
        <v>83</v>
      </c>
      <c r="F914" s="6">
        <v>429.4</v>
      </c>
      <c r="G914" s="6">
        <v>0</v>
      </c>
      <c r="H914" s="6">
        <v>3.4</v>
      </c>
      <c r="I914" s="6">
        <v>0</v>
      </c>
      <c r="J914" s="6">
        <v>429.4</v>
      </c>
    </row>
    <row r="915" spans="2:10" ht="18.75">
      <c r="B915">
        <v>12</v>
      </c>
      <c r="C915" s="5">
        <v>46097</v>
      </c>
      <c r="D915" t="s">
        <v>113</v>
      </c>
      <c r="E915">
        <v>76</v>
      </c>
      <c r="F915" s="6">
        <v>222.7</v>
      </c>
      <c r="G915" s="6">
        <v>0</v>
      </c>
      <c r="H915" s="6">
        <v>3.38</v>
      </c>
      <c r="I915" s="6">
        <v>0</v>
      </c>
      <c r="J915" s="6">
        <v>222.7</v>
      </c>
    </row>
    <row r="916" spans="2:10" ht="18.75">
      <c r="B916">
        <v>12</v>
      </c>
      <c r="C916" s="5">
        <v>46097</v>
      </c>
      <c r="D916" t="s">
        <v>142</v>
      </c>
      <c r="E916">
        <v>45</v>
      </c>
      <c r="F916" s="6">
        <v>234.89</v>
      </c>
      <c r="G916" s="6">
        <v>0</v>
      </c>
      <c r="H916" s="6">
        <v>15.92</v>
      </c>
      <c r="I916" s="6">
        <v>0</v>
      </c>
      <c r="J916" s="6">
        <v>234.89</v>
      </c>
    </row>
    <row r="917" spans="2:10" ht="18.75">
      <c r="B917">
        <v>12</v>
      </c>
      <c r="C917" s="5">
        <v>46097</v>
      </c>
      <c r="D917" t="s">
        <v>150</v>
      </c>
      <c r="E917">
        <v>18</v>
      </c>
      <c r="F917" s="6">
        <v>109.71</v>
      </c>
      <c r="G917" s="6">
        <v>0</v>
      </c>
      <c r="H917" s="6">
        <v>0</v>
      </c>
      <c r="I917" s="6">
        <v>0</v>
      </c>
      <c r="J917" s="6">
        <v>109.71</v>
      </c>
    </row>
    <row r="918" spans="2:10" ht="18.75">
      <c r="B918">
        <v>12</v>
      </c>
      <c r="C918" s="5">
        <v>46097</v>
      </c>
      <c r="D918" t="s">
        <v>140</v>
      </c>
      <c r="E918">
        <v>23</v>
      </c>
      <c r="F918" s="6">
        <v>91.16</v>
      </c>
      <c r="G918" s="6">
        <v>0</v>
      </c>
      <c r="H918" s="6">
        <v>0.46</v>
      </c>
      <c r="I918" s="6">
        <v>0</v>
      </c>
      <c r="J918" s="6">
        <v>91.16</v>
      </c>
    </row>
    <row r="919" spans="2:10" ht="18.75">
      <c r="B919">
        <v>12</v>
      </c>
      <c r="C919" s="5">
        <v>46097</v>
      </c>
      <c r="D919" t="s">
        <v>126</v>
      </c>
      <c r="E919">
        <v>62</v>
      </c>
      <c r="F919" s="6">
        <v>249.3</v>
      </c>
      <c r="G919" s="6">
        <v>0</v>
      </c>
      <c r="H919" s="6">
        <v>1.74</v>
      </c>
      <c r="I919" s="6">
        <v>0</v>
      </c>
      <c r="J919" s="6">
        <v>249.3</v>
      </c>
    </row>
    <row r="920" spans="2:10" ht="18.75">
      <c r="B920">
        <v>12</v>
      </c>
      <c r="C920" s="5">
        <v>46097</v>
      </c>
      <c r="D920" t="s">
        <v>137</v>
      </c>
      <c r="E920">
        <v>15</v>
      </c>
      <c r="F920" s="6">
        <v>48.46</v>
      </c>
      <c r="G920" s="6">
        <v>0</v>
      </c>
      <c r="H920" s="6">
        <v>5.27</v>
      </c>
      <c r="I920" s="6">
        <v>35.86</v>
      </c>
      <c r="J920" s="6">
        <v>84.32</v>
      </c>
    </row>
    <row r="921" spans="2:10" ht="18.75">
      <c r="B921">
        <v>12</v>
      </c>
      <c r="C921" s="5">
        <v>46097</v>
      </c>
      <c r="D921" t="s">
        <v>116</v>
      </c>
      <c r="E921">
        <v>35</v>
      </c>
      <c r="F921" s="6">
        <v>134.5</v>
      </c>
      <c r="G921" s="6">
        <v>0</v>
      </c>
      <c r="H921" s="6">
        <v>1.4</v>
      </c>
      <c r="I921" s="6">
        <v>0</v>
      </c>
      <c r="J921" s="6">
        <v>134.5</v>
      </c>
    </row>
    <row r="922" spans="2:10" ht="18.75">
      <c r="B922">
        <v>12</v>
      </c>
      <c r="C922" s="5">
        <v>46097</v>
      </c>
      <c r="D922" t="s">
        <v>125</v>
      </c>
      <c r="E922">
        <v>7</v>
      </c>
      <c r="F922" s="6">
        <v>28.95</v>
      </c>
      <c r="G922" s="6">
        <v>0</v>
      </c>
      <c r="H922" s="6">
        <v>0</v>
      </c>
      <c r="I922" s="6">
        <v>0</v>
      </c>
      <c r="J922" s="6">
        <v>28.95</v>
      </c>
    </row>
    <row r="923" spans="2:10" ht="18.75">
      <c r="B923">
        <v>12</v>
      </c>
      <c r="C923" s="5">
        <v>46097</v>
      </c>
      <c r="D923" t="s">
        <v>135</v>
      </c>
      <c r="E923">
        <v>17</v>
      </c>
      <c r="F923" s="6">
        <v>52.39</v>
      </c>
      <c r="G923" s="6">
        <v>0</v>
      </c>
      <c r="H923" s="6">
        <v>3.59</v>
      </c>
      <c r="I923" s="6">
        <v>11.44</v>
      </c>
      <c r="J923" s="6">
        <v>63.83</v>
      </c>
    </row>
    <row r="924" spans="2:10" ht="18.75">
      <c r="B924">
        <v>14</v>
      </c>
      <c r="C924" s="5">
        <v>46111</v>
      </c>
      <c r="D924" t="s">
        <v>124</v>
      </c>
      <c r="E924">
        <v>138</v>
      </c>
      <c r="F924" s="6">
        <v>487.47</v>
      </c>
      <c r="G924" s="6">
        <v>0</v>
      </c>
      <c r="H924" s="6">
        <v>3.17</v>
      </c>
      <c r="I924" s="6">
        <v>0</v>
      </c>
      <c r="J924" s="6">
        <v>487.47</v>
      </c>
    </row>
    <row r="925" spans="2:10" ht="18.75">
      <c r="B925">
        <v>14</v>
      </c>
      <c r="C925" s="5">
        <v>46111</v>
      </c>
      <c r="D925" t="s">
        <v>147</v>
      </c>
      <c r="E925">
        <v>98</v>
      </c>
      <c r="F925" s="6">
        <v>526.28</v>
      </c>
      <c r="G925" s="6">
        <v>0</v>
      </c>
      <c r="H925" s="6">
        <v>6.68</v>
      </c>
      <c r="I925" s="6">
        <v>0</v>
      </c>
      <c r="J925" s="6">
        <v>526.28</v>
      </c>
    </row>
    <row r="926" spans="2:10" ht="18.75">
      <c r="B926">
        <v>14</v>
      </c>
      <c r="C926" s="5">
        <v>46111</v>
      </c>
      <c r="D926" t="s">
        <v>139</v>
      </c>
      <c r="E926">
        <v>96</v>
      </c>
      <c r="F926" s="6">
        <v>413.43</v>
      </c>
      <c r="G926" s="6">
        <v>0</v>
      </c>
      <c r="H926" s="6">
        <v>5.62</v>
      </c>
      <c r="I926" s="6">
        <v>0</v>
      </c>
      <c r="J926" s="6">
        <v>413.43</v>
      </c>
    </row>
    <row r="927" spans="2:10" ht="18.75">
      <c r="B927">
        <v>14</v>
      </c>
      <c r="C927" s="5">
        <v>46111</v>
      </c>
      <c r="D927" t="s">
        <v>143</v>
      </c>
      <c r="E927">
        <v>807</v>
      </c>
      <c r="F927" s="6">
        <v>3690.5599999999899</v>
      </c>
      <c r="G927" s="6">
        <v>0</v>
      </c>
      <c r="H927" s="6">
        <v>16.25</v>
      </c>
      <c r="I927" s="6">
        <v>0</v>
      </c>
      <c r="J927" s="6">
        <v>3690.5599999999899</v>
      </c>
    </row>
    <row r="928" spans="2:10" ht="18.75">
      <c r="B928">
        <v>14</v>
      </c>
      <c r="C928" s="5">
        <v>46111</v>
      </c>
      <c r="D928" t="s">
        <v>151</v>
      </c>
      <c r="E928">
        <v>212</v>
      </c>
      <c r="F928" s="6">
        <v>1173.93</v>
      </c>
      <c r="G928" s="6">
        <v>0</v>
      </c>
      <c r="H928" s="6">
        <v>10.07</v>
      </c>
      <c r="I928" s="6">
        <v>0</v>
      </c>
      <c r="J928" s="6">
        <v>1173.93</v>
      </c>
    </row>
    <row r="929" spans="2:10" ht="18.75">
      <c r="B929">
        <v>14</v>
      </c>
      <c r="C929" s="5">
        <v>46111</v>
      </c>
      <c r="D929" t="s">
        <v>114</v>
      </c>
      <c r="E929">
        <v>91</v>
      </c>
      <c r="F929" s="6">
        <v>421.53</v>
      </c>
      <c r="G929" s="6">
        <v>5.99</v>
      </c>
      <c r="H929" s="6">
        <v>0.75</v>
      </c>
      <c r="I929" s="6">
        <v>141.05000000000001</v>
      </c>
      <c r="J929" s="6">
        <v>556.59</v>
      </c>
    </row>
    <row r="930" spans="2:10" ht="18.75">
      <c r="B930">
        <v>14</v>
      </c>
      <c r="C930" s="5">
        <v>46111</v>
      </c>
      <c r="D930" t="s">
        <v>123</v>
      </c>
      <c r="E930">
        <v>147</v>
      </c>
      <c r="F930" s="6">
        <v>580.86</v>
      </c>
      <c r="G930" s="6">
        <v>0</v>
      </c>
      <c r="H930" s="6">
        <v>15.89</v>
      </c>
      <c r="I930" s="6">
        <v>0</v>
      </c>
      <c r="J930" s="6">
        <v>580.86</v>
      </c>
    </row>
    <row r="931" spans="2:10" ht="18.75">
      <c r="B931">
        <v>14</v>
      </c>
      <c r="C931" s="5">
        <v>46111</v>
      </c>
      <c r="D931" t="s">
        <v>129</v>
      </c>
      <c r="E931">
        <v>150</v>
      </c>
      <c r="F931" s="6">
        <v>1.22</v>
      </c>
      <c r="G931" s="6">
        <v>0</v>
      </c>
      <c r="H931" s="6">
        <v>0</v>
      </c>
      <c r="I931" s="6">
        <v>648.71</v>
      </c>
      <c r="J931" s="6">
        <v>649.92999999999995</v>
      </c>
    </row>
    <row r="932" spans="2:10" ht="18.75">
      <c r="B932">
        <v>14</v>
      </c>
      <c r="C932" s="5">
        <v>46111</v>
      </c>
      <c r="D932" t="s">
        <v>141</v>
      </c>
      <c r="E932">
        <v>228</v>
      </c>
      <c r="F932" s="6">
        <v>835.94999999999902</v>
      </c>
      <c r="G932" s="6">
        <v>0</v>
      </c>
      <c r="H932" s="6">
        <v>3.69</v>
      </c>
      <c r="I932" s="6">
        <v>0</v>
      </c>
      <c r="J932" s="6">
        <v>835.94999999999902</v>
      </c>
    </row>
    <row r="933" spans="2:10" ht="18.75">
      <c r="B933">
        <v>14</v>
      </c>
      <c r="C933" s="5">
        <v>46111</v>
      </c>
      <c r="D933" t="s">
        <v>121</v>
      </c>
      <c r="E933">
        <v>87</v>
      </c>
      <c r="F933" s="6">
        <v>293.88</v>
      </c>
      <c r="G933" s="6">
        <v>0</v>
      </c>
      <c r="H933" s="6">
        <v>10.69</v>
      </c>
      <c r="I933" s="6">
        <v>2.48</v>
      </c>
      <c r="J933" s="6">
        <v>296.36</v>
      </c>
    </row>
    <row r="934" spans="2:10" ht="18.75">
      <c r="B934">
        <v>14</v>
      </c>
      <c r="C934" s="5">
        <v>46111</v>
      </c>
      <c r="D934" t="s">
        <v>111</v>
      </c>
      <c r="E934">
        <v>37</v>
      </c>
      <c r="F934" s="6">
        <v>169.37</v>
      </c>
      <c r="G934" s="6">
        <v>0</v>
      </c>
      <c r="H934" s="6">
        <v>6.85</v>
      </c>
      <c r="I934" s="6">
        <v>0</v>
      </c>
      <c r="J934" s="6">
        <v>169.37</v>
      </c>
    </row>
    <row r="935" spans="2:10" ht="18.75">
      <c r="B935">
        <v>14</v>
      </c>
      <c r="C935" s="5">
        <v>46111</v>
      </c>
      <c r="D935" t="s">
        <v>119</v>
      </c>
      <c r="E935">
        <v>143</v>
      </c>
      <c r="F935" s="6">
        <v>594.08000000000004</v>
      </c>
      <c r="G935" s="6">
        <v>0</v>
      </c>
      <c r="H935" s="6">
        <v>12.58</v>
      </c>
      <c r="I935" s="6">
        <v>0</v>
      </c>
      <c r="J935" s="6">
        <v>594.08000000000004</v>
      </c>
    </row>
    <row r="936" spans="2:10" ht="18.75">
      <c r="B936">
        <v>14</v>
      </c>
      <c r="C936" s="5">
        <v>46111</v>
      </c>
      <c r="D936" t="s">
        <v>146</v>
      </c>
      <c r="E936">
        <v>201</v>
      </c>
      <c r="F936" s="6">
        <v>1156.1400000000001</v>
      </c>
      <c r="G936" s="6">
        <v>0</v>
      </c>
      <c r="H936" s="6">
        <v>25.74</v>
      </c>
      <c r="I936" s="6">
        <v>0</v>
      </c>
      <c r="J936" s="6">
        <v>1156.1400000000001</v>
      </c>
    </row>
    <row r="937" spans="2:10" ht="18.75">
      <c r="B937">
        <v>14</v>
      </c>
      <c r="C937" s="5">
        <v>46111</v>
      </c>
      <c r="D937" t="s">
        <v>149</v>
      </c>
      <c r="E937">
        <v>66</v>
      </c>
      <c r="F937" s="6">
        <v>234.32</v>
      </c>
      <c r="G937" s="6">
        <v>1.9</v>
      </c>
      <c r="H937" s="6">
        <v>5.87</v>
      </c>
      <c r="I937" s="6">
        <v>0</v>
      </c>
      <c r="J937" s="6">
        <v>232.42</v>
      </c>
    </row>
    <row r="938" spans="2:10" ht="18.75">
      <c r="B938">
        <v>14</v>
      </c>
      <c r="C938" s="5">
        <v>46111</v>
      </c>
      <c r="D938" t="s">
        <v>138</v>
      </c>
      <c r="E938">
        <v>123</v>
      </c>
      <c r="F938" s="6">
        <v>657.53</v>
      </c>
      <c r="G938" s="6">
        <v>0</v>
      </c>
      <c r="H938" s="6">
        <v>12.62</v>
      </c>
      <c r="I938" s="6">
        <v>5.4</v>
      </c>
      <c r="J938" s="6">
        <v>662.93</v>
      </c>
    </row>
    <row r="939" spans="2:10" ht="18.75">
      <c r="B939">
        <v>14</v>
      </c>
      <c r="C939" s="5">
        <v>46111</v>
      </c>
      <c r="D939" t="s">
        <v>134</v>
      </c>
      <c r="E939">
        <v>88</v>
      </c>
      <c r="F939" s="6">
        <v>525.62</v>
      </c>
      <c r="G939" s="6">
        <v>0</v>
      </c>
      <c r="H939" s="6">
        <v>11.57</v>
      </c>
      <c r="I939" s="6">
        <v>0</v>
      </c>
      <c r="J939" s="6">
        <v>525.62</v>
      </c>
    </row>
    <row r="940" spans="2:10" ht="18.75">
      <c r="B940">
        <v>14</v>
      </c>
      <c r="C940" s="5">
        <v>46111</v>
      </c>
      <c r="D940" t="s">
        <v>117</v>
      </c>
      <c r="E940">
        <v>83</v>
      </c>
      <c r="F940" s="6">
        <v>447.95</v>
      </c>
      <c r="G940" s="6">
        <v>0</v>
      </c>
      <c r="H940" s="6">
        <v>16.48</v>
      </c>
      <c r="I940" s="6">
        <v>0</v>
      </c>
      <c r="J940" s="6">
        <v>447.95</v>
      </c>
    </row>
    <row r="941" spans="2:10" ht="18.75">
      <c r="B941">
        <v>14</v>
      </c>
      <c r="C941" s="5">
        <v>46111</v>
      </c>
      <c r="D941" t="s">
        <v>136</v>
      </c>
      <c r="E941">
        <v>42</v>
      </c>
      <c r="F941" s="6">
        <v>126</v>
      </c>
      <c r="G941" s="6">
        <v>0</v>
      </c>
      <c r="H941" s="6">
        <v>3.48</v>
      </c>
      <c r="I941" s="6">
        <v>79.739999999999995</v>
      </c>
      <c r="J941" s="6">
        <v>205.74</v>
      </c>
    </row>
    <row r="942" spans="2:10" ht="18.75">
      <c r="B942">
        <v>14</v>
      </c>
      <c r="C942" s="5">
        <v>46111</v>
      </c>
      <c r="D942" t="s">
        <v>132</v>
      </c>
      <c r="E942">
        <v>81</v>
      </c>
      <c r="F942" s="6">
        <v>337.34</v>
      </c>
      <c r="G942" s="6">
        <v>0</v>
      </c>
      <c r="H942" s="6">
        <v>9.99</v>
      </c>
      <c r="I942" s="6">
        <v>0</v>
      </c>
      <c r="J942" s="6">
        <v>337.34</v>
      </c>
    </row>
    <row r="943" spans="2:10" ht="18.75">
      <c r="B943">
        <v>14</v>
      </c>
      <c r="C943" s="5">
        <v>46111</v>
      </c>
      <c r="D943" t="s">
        <v>118</v>
      </c>
      <c r="E943">
        <v>68</v>
      </c>
      <c r="F943" s="6">
        <v>226.54</v>
      </c>
      <c r="G943" s="6">
        <v>0</v>
      </c>
      <c r="H943" s="6">
        <v>9.2100000000000009</v>
      </c>
      <c r="I943" s="6">
        <v>0</v>
      </c>
      <c r="J943" s="6">
        <v>226.54</v>
      </c>
    </row>
    <row r="944" spans="2:10" ht="18.75">
      <c r="B944">
        <v>14</v>
      </c>
      <c r="C944" s="5">
        <v>46111</v>
      </c>
      <c r="D944" t="s">
        <v>130</v>
      </c>
      <c r="E944">
        <v>179</v>
      </c>
      <c r="F944" s="6">
        <v>837.27</v>
      </c>
      <c r="G944" s="6">
        <v>0</v>
      </c>
      <c r="H944" s="6">
        <v>26.39</v>
      </c>
      <c r="I944" s="6">
        <v>0</v>
      </c>
      <c r="J944" s="6">
        <v>837.27</v>
      </c>
    </row>
    <row r="945" spans="2:10" ht="18.75">
      <c r="B945">
        <v>14</v>
      </c>
      <c r="C945" s="5">
        <v>46111</v>
      </c>
      <c r="D945" t="s">
        <v>148</v>
      </c>
      <c r="E945">
        <v>31</v>
      </c>
      <c r="F945" s="6">
        <v>197.13</v>
      </c>
      <c r="G945" s="6">
        <v>0</v>
      </c>
      <c r="H945" s="6">
        <v>0</v>
      </c>
      <c r="I945" s="6">
        <v>0</v>
      </c>
      <c r="J945" s="6">
        <v>197.13</v>
      </c>
    </row>
    <row r="946" spans="2:10" ht="18.75">
      <c r="B946">
        <v>14</v>
      </c>
      <c r="C946" s="5">
        <v>46111</v>
      </c>
      <c r="D946" t="s">
        <v>133</v>
      </c>
      <c r="E946">
        <v>94</v>
      </c>
      <c r="F946" s="6">
        <v>540.84</v>
      </c>
      <c r="G946" s="6">
        <v>0</v>
      </c>
      <c r="H946" s="6">
        <v>7.35</v>
      </c>
      <c r="I946" s="6">
        <v>0</v>
      </c>
      <c r="J946" s="6">
        <v>540.84</v>
      </c>
    </row>
    <row r="947" spans="2:10" ht="18.75">
      <c r="B947">
        <v>14</v>
      </c>
      <c r="C947" s="5">
        <v>46111</v>
      </c>
      <c r="D947" t="s">
        <v>150</v>
      </c>
      <c r="E947">
        <v>23</v>
      </c>
      <c r="F947" s="6">
        <v>148.25</v>
      </c>
      <c r="G947" s="6">
        <v>0</v>
      </c>
      <c r="H947" s="6">
        <v>0</v>
      </c>
      <c r="I947" s="6">
        <v>0</v>
      </c>
      <c r="J947" s="6">
        <v>148.25</v>
      </c>
    </row>
    <row r="948" spans="2:10" ht="18.75">
      <c r="B948">
        <v>14</v>
      </c>
      <c r="C948" s="5">
        <v>46111</v>
      </c>
      <c r="D948" t="s">
        <v>122</v>
      </c>
      <c r="E948">
        <v>71</v>
      </c>
      <c r="F948" s="6">
        <v>356.9</v>
      </c>
      <c r="G948" s="6">
        <v>0</v>
      </c>
      <c r="H948" s="6">
        <v>0</v>
      </c>
      <c r="I948" s="6">
        <v>0</v>
      </c>
      <c r="J948" s="6">
        <v>356.9</v>
      </c>
    </row>
    <row r="949" spans="2:10" ht="18.75">
      <c r="B949">
        <v>14</v>
      </c>
      <c r="C949" s="5">
        <v>46111</v>
      </c>
      <c r="D949" t="s">
        <v>112</v>
      </c>
      <c r="E949">
        <v>19</v>
      </c>
      <c r="F949" s="6">
        <v>76.78</v>
      </c>
      <c r="G949" s="6">
        <v>0</v>
      </c>
      <c r="H949" s="6">
        <v>0</v>
      </c>
      <c r="I949" s="6">
        <v>2.5499999999999998</v>
      </c>
      <c r="J949" s="6">
        <v>79.33</v>
      </c>
    </row>
    <row r="950" spans="2:10" ht="18.75">
      <c r="B950">
        <v>14</v>
      </c>
      <c r="C950" s="5">
        <v>46111</v>
      </c>
      <c r="D950" t="s">
        <v>113</v>
      </c>
      <c r="E950">
        <v>84</v>
      </c>
      <c r="F950" s="6">
        <v>305.68</v>
      </c>
      <c r="G950" s="6">
        <v>0</v>
      </c>
      <c r="H950" s="6">
        <v>0</v>
      </c>
      <c r="I950" s="6">
        <v>2.38</v>
      </c>
      <c r="J950" s="6">
        <v>308.06</v>
      </c>
    </row>
    <row r="951" spans="2:10" ht="18.75">
      <c r="B951">
        <v>14</v>
      </c>
      <c r="C951" s="5">
        <v>46111</v>
      </c>
      <c r="D951" t="s">
        <v>125</v>
      </c>
      <c r="E951">
        <v>15</v>
      </c>
      <c r="F951" s="6">
        <v>66.31</v>
      </c>
      <c r="G951" s="6">
        <v>0</v>
      </c>
      <c r="H951" s="6">
        <v>1.2</v>
      </c>
      <c r="I951" s="6">
        <v>0</v>
      </c>
      <c r="J951" s="6">
        <v>66.31</v>
      </c>
    </row>
    <row r="952" spans="2:10" ht="18.75">
      <c r="B952">
        <v>14</v>
      </c>
      <c r="C952" s="5">
        <v>46111</v>
      </c>
      <c r="D952" t="s">
        <v>127</v>
      </c>
      <c r="E952">
        <v>98</v>
      </c>
      <c r="F952" s="6">
        <v>494.26</v>
      </c>
      <c r="G952" s="6">
        <v>0</v>
      </c>
      <c r="H952" s="6">
        <v>1.2</v>
      </c>
      <c r="I952" s="6">
        <v>0</v>
      </c>
      <c r="J952" s="6">
        <v>494.26</v>
      </c>
    </row>
    <row r="953" spans="2:10" ht="18.75">
      <c r="B953">
        <v>14</v>
      </c>
      <c r="C953" s="5">
        <v>46111</v>
      </c>
      <c r="D953" t="s">
        <v>120</v>
      </c>
      <c r="E953">
        <v>27</v>
      </c>
      <c r="F953" s="6">
        <v>127.55</v>
      </c>
      <c r="G953" s="6">
        <v>0</v>
      </c>
      <c r="H953" s="6">
        <v>0.46</v>
      </c>
      <c r="I953" s="6">
        <v>0</v>
      </c>
      <c r="J953" s="6">
        <v>127.55</v>
      </c>
    </row>
    <row r="954" spans="2:10" ht="18.75">
      <c r="B954">
        <v>14</v>
      </c>
      <c r="C954" s="5">
        <v>46111</v>
      </c>
      <c r="D954" t="s">
        <v>135</v>
      </c>
      <c r="E954">
        <v>11</v>
      </c>
      <c r="F954" s="6">
        <v>26.86</v>
      </c>
      <c r="G954" s="6">
        <v>0</v>
      </c>
      <c r="H954" s="6">
        <v>1.76</v>
      </c>
      <c r="I954" s="6">
        <v>16.100000000000001</v>
      </c>
      <c r="J954" s="6">
        <v>42.96</v>
      </c>
    </row>
    <row r="955" spans="2:10" ht="18.75">
      <c r="B955">
        <v>14</v>
      </c>
      <c r="C955" s="5">
        <v>46111</v>
      </c>
      <c r="D955" t="s">
        <v>126</v>
      </c>
      <c r="E955">
        <v>57</v>
      </c>
      <c r="F955" s="6">
        <v>268.08</v>
      </c>
      <c r="G955" s="6">
        <v>0</v>
      </c>
      <c r="H955" s="6">
        <v>4.18</v>
      </c>
      <c r="I955" s="6">
        <v>0</v>
      </c>
      <c r="J955" s="6">
        <v>268.08</v>
      </c>
    </row>
    <row r="956" spans="2:10" ht="18.75">
      <c r="B956">
        <v>14</v>
      </c>
      <c r="C956" s="5">
        <v>46111</v>
      </c>
      <c r="D956" t="s">
        <v>145</v>
      </c>
      <c r="E956">
        <v>39</v>
      </c>
      <c r="F956" s="6">
        <v>273.83</v>
      </c>
      <c r="G956" s="6">
        <v>0</v>
      </c>
      <c r="H956" s="6">
        <v>9.6</v>
      </c>
      <c r="I956" s="6">
        <v>0</v>
      </c>
      <c r="J956" s="6">
        <v>273.83</v>
      </c>
    </row>
    <row r="957" spans="2:10" ht="18.75">
      <c r="B957">
        <v>14</v>
      </c>
      <c r="C957" s="5">
        <v>46111</v>
      </c>
      <c r="D957" t="s">
        <v>142</v>
      </c>
      <c r="E957">
        <v>47</v>
      </c>
      <c r="F957" s="6">
        <v>259.10000000000002</v>
      </c>
      <c r="G957" s="6">
        <v>0</v>
      </c>
      <c r="H957" s="6">
        <v>11.97</v>
      </c>
      <c r="I957" s="6">
        <v>0</v>
      </c>
      <c r="J957" s="6">
        <v>259.10000000000002</v>
      </c>
    </row>
    <row r="958" spans="2:10" ht="18.75">
      <c r="B958">
        <v>14</v>
      </c>
      <c r="C958" s="5">
        <v>46111</v>
      </c>
      <c r="D958" t="s">
        <v>128</v>
      </c>
      <c r="E958">
        <v>35</v>
      </c>
      <c r="F958" s="6">
        <v>143.85</v>
      </c>
      <c r="G958" s="6">
        <v>0</v>
      </c>
      <c r="H958" s="6">
        <v>16.22</v>
      </c>
      <c r="I958" s="6">
        <v>0</v>
      </c>
      <c r="J958" s="6">
        <v>143.85</v>
      </c>
    </row>
    <row r="959" spans="2:10" ht="18.75">
      <c r="B959">
        <v>14</v>
      </c>
      <c r="C959" s="5">
        <v>46111</v>
      </c>
      <c r="D959" t="s">
        <v>116</v>
      </c>
      <c r="E959">
        <v>33</v>
      </c>
      <c r="F959" s="6">
        <v>124.29</v>
      </c>
      <c r="G959" s="6">
        <v>0</v>
      </c>
      <c r="H959" s="6">
        <v>2.76</v>
      </c>
      <c r="I959" s="6">
        <v>0</v>
      </c>
      <c r="J959" s="6">
        <v>124.29</v>
      </c>
    </row>
    <row r="960" spans="2:10" ht="18.75">
      <c r="B960">
        <v>14</v>
      </c>
      <c r="C960" s="5">
        <v>46111</v>
      </c>
      <c r="D960" t="s">
        <v>140</v>
      </c>
      <c r="E960">
        <v>21</v>
      </c>
      <c r="F960" s="6">
        <v>74.959999999999994</v>
      </c>
      <c r="G960" s="6">
        <v>0</v>
      </c>
      <c r="H960" s="6">
        <v>3.96</v>
      </c>
      <c r="I960" s="6">
        <v>0</v>
      </c>
      <c r="J960" s="6">
        <v>74.959999999999994</v>
      </c>
    </row>
    <row r="961" spans="2:10" ht="18.75">
      <c r="B961">
        <v>14</v>
      </c>
      <c r="C961" s="5">
        <v>46111</v>
      </c>
      <c r="D961" t="s">
        <v>137</v>
      </c>
      <c r="E961">
        <v>13</v>
      </c>
      <c r="F961" s="6">
        <v>37.61</v>
      </c>
      <c r="G961" s="6">
        <v>0</v>
      </c>
      <c r="H961" s="6">
        <v>2.04</v>
      </c>
      <c r="I961" s="6">
        <v>26.46</v>
      </c>
      <c r="J961" s="6">
        <v>64.069999999999993</v>
      </c>
    </row>
    <row r="962" spans="2:10" ht="18.75">
      <c r="B962">
        <v>13</v>
      </c>
      <c r="C962" s="5">
        <v>46104</v>
      </c>
      <c r="D962" t="s">
        <v>124</v>
      </c>
      <c r="E962">
        <v>132</v>
      </c>
      <c r="F962" s="6">
        <v>463.46</v>
      </c>
      <c r="G962" s="6">
        <v>0</v>
      </c>
      <c r="H962" s="6">
        <v>15.5</v>
      </c>
      <c r="I962" s="6">
        <v>0</v>
      </c>
      <c r="J962" s="6">
        <v>463.46</v>
      </c>
    </row>
    <row r="963" spans="2:10" ht="18.75">
      <c r="B963">
        <v>13</v>
      </c>
      <c r="C963" s="5">
        <v>46104</v>
      </c>
      <c r="D963" t="s">
        <v>143</v>
      </c>
      <c r="E963">
        <v>888</v>
      </c>
      <c r="F963" s="6">
        <v>3763.6299999999801</v>
      </c>
      <c r="G963" s="6">
        <v>0</v>
      </c>
      <c r="H963" s="6">
        <v>89.29</v>
      </c>
      <c r="I963" s="6">
        <v>0</v>
      </c>
      <c r="J963" s="6">
        <v>3763.6299999999801</v>
      </c>
    </row>
    <row r="964" spans="2:10" ht="18.75">
      <c r="B964">
        <v>13</v>
      </c>
      <c r="C964" s="5">
        <v>46104</v>
      </c>
      <c r="D964" t="s">
        <v>129</v>
      </c>
      <c r="E964">
        <v>154</v>
      </c>
      <c r="F964" s="6">
        <v>22.25</v>
      </c>
      <c r="G964" s="6">
        <v>0</v>
      </c>
      <c r="H964" s="6">
        <v>1.48</v>
      </c>
      <c r="I964" s="6">
        <v>633.6</v>
      </c>
      <c r="J964" s="6">
        <v>655.85</v>
      </c>
    </row>
    <row r="965" spans="2:10" ht="18.75">
      <c r="B965">
        <v>13</v>
      </c>
      <c r="C965" s="5">
        <v>46104</v>
      </c>
      <c r="D965" t="s">
        <v>126</v>
      </c>
      <c r="E965">
        <v>75</v>
      </c>
      <c r="F965" s="6">
        <v>302.64999999999998</v>
      </c>
      <c r="G965" s="6">
        <v>0</v>
      </c>
      <c r="H965" s="6">
        <v>7.22</v>
      </c>
      <c r="I965" s="6">
        <v>0</v>
      </c>
      <c r="J965" s="6">
        <v>302.64999999999998</v>
      </c>
    </row>
    <row r="966" spans="2:10" ht="18.75">
      <c r="B966">
        <v>13</v>
      </c>
      <c r="C966" s="5">
        <v>46104</v>
      </c>
      <c r="D966" t="s">
        <v>151</v>
      </c>
      <c r="E966">
        <v>214</v>
      </c>
      <c r="F966" s="6">
        <v>1113.8599999999999</v>
      </c>
      <c r="G966" s="6">
        <v>0</v>
      </c>
      <c r="H966" s="6">
        <v>15.53</v>
      </c>
      <c r="I966" s="6">
        <v>0</v>
      </c>
      <c r="J966" s="6">
        <v>1113.8599999999999</v>
      </c>
    </row>
    <row r="967" spans="2:10" ht="18.75">
      <c r="B967">
        <v>13</v>
      </c>
      <c r="C967" s="5">
        <v>46104</v>
      </c>
      <c r="D967" t="s">
        <v>123</v>
      </c>
      <c r="E967">
        <v>169</v>
      </c>
      <c r="F967" s="6">
        <v>666.6</v>
      </c>
      <c r="G967" s="6">
        <v>0</v>
      </c>
      <c r="H967" s="6">
        <v>16.78</v>
      </c>
      <c r="I967" s="6">
        <v>0</v>
      </c>
      <c r="J967" s="6">
        <v>666.6</v>
      </c>
    </row>
    <row r="968" spans="2:10" ht="18.75">
      <c r="B968">
        <v>13</v>
      </c>
      <c r="C968" s="5">
        <v>46104</v>
      </c>
      <c r="D968" t="s">
        <v>138</v>
      </c>
      <c r="E968">
        <v>119</v>
      </c>
      <c r="F968" s="6">
        <v>649.29999999999995</v>
      </c>
      <c r="G968" s="6">
        <v>0</v>
      </c>
      <c r="H968" s="6">
        <v>21.26</v>
      </c>
      <c r="I968" s="6">
        <v>0</v>
      </c>
      <c r="J968" s="6">
        <v>649.29999999999995</v>
      </c>
    </row>
    <row r="969" spans="2:10" ht="18.75">
      <c r="B969">
        <v>13</v>
      </c>
      <c r="C969" s="5">
        <v>46104</v>
      </c>
      <c r="D969" t="s">
        <v>139</v>
      </c>
      <c r="E969">
        <v>86</v>
      </c>
      <c r="F969" s="6">
        <v>397.35</v>
      </c>
      <c r="G969" s="6">
        <v>0</v>
      </c>
      <c r="H969" s="6">
        <v>20.8</v>
      </c>
      <c r="I969" s="6">
        <v>0</v>
      </c>
      <c r="J969" s="6">
        <v>397.35</v>
      </c>
    </row>
    <row r="970" spans="2:10" ht="18.75">
      <c r="B970">
        <v>13</v>
      </c>
      <c r="C970" s="5">
        <v>46104</v>
      </c>
      <c r="D970" t="s">
        <v>141</v>
      </c>
      <c r="E970">
        <v>256</v>
      </c>
      <c r="F970" s="6">
        <v>931.73</v>
      </c>
      <c r="G970" s="6">
        <v>5.45</v>
      </c>
      <c r="H970" s="6">
        <v>6.23</v>
      </c>
      <c r="I970" s="6">
        <v>0</v>
      </c>
      <c r="J970" s="6">
        <v>926.28</v>
      </c>
    </row>
    <row r="971" spans="2:10" ht="18.75">
      <c r="B971">
        <v>13</v>
      </c>
      <c r="C971" s="5">
        <v>46104</v>
      </c>
      <c r="D971" t="s">
        <v>118</v>
      </c>
      <c r="E971">
        <v>48</v>
      </c>
      <c r="F971" s="6">
        <v>171.88</v>
      </c>
      <c r="G971" s="6">
        <v>0</v>
      </c>
      <c r="H971" s="6">
        <v>5.21</v>
      </c>
      <c r="I971" s="6">
        <v>0</v>
      </c>
      <c r="J971" s="6">
        <v>171.88</v>
      </c>
    </row>
    <row r="972" spans="2:10" ht="18.75">
      <c r="B972">
        <v>13</v>
      </c>
      <c r="C972" s="5">
        <v>46104</v>
      </c>
      <c r="D972" t="s">
        <v>149</v>
      </c>
      <c r="E972">
        <v>70</v>
      </c>
      <c r="F972" s="6">
        <v>243.71</v>
      </c>
      <c r="G972" s="6">
        <v>0</v>
      </c>
      <c r="H972" s="6">
        <v>5.4</v>
      </c>
      <c r="I972" s="6">
        <v>0</v>
      </c>
      <c r="J972" s="6">
        <v>243.71</v>
      </c>
    </row>
    <row r="973" spans="2:10" ht="18.75">
      <c r="B973">
        <v>13</v>
      </c>
      <c r="C973" s="5">
        <v>46104</v>
      </c>
      <c r="D973" t="s">
        <v>114</v>
      </c>
      <c r="E973">
        <v>79</v>
      </c>
      <c r="F973" s="6">
        <v>340.5</v>
      </c>
      <c r="G973" s="6">
        <v>0</v>
      </c>
      <c r="H973" s="6">
        <v>7.91</v>
      </c>
      <c r="I973" s="6">
        <v>116.35</v>
      </c>
      <c r="J973" s="6">
        <v>456.85</v>
      </c>
    </row>
    <row r="974" spans="2:10" ht="18.75">
      <c r="B974">
        <v>13</v>
      </c>
      <c r="C974" s="5">
        <v>46104</v>
      </c>
      <c r="D974" t="s">
        <v>146</v>
      </c>
      <c r="E974">
        <v>185</v>
      </c>
      <c r="F974" s="6">
        <v>995.9</v>
      </c>
      <c r="G974" s="6">
        <v>9.9</v>
      </c>
      <c r="H974" s="6">
        <v>17.98</v>
      </c>
      <c r="I974" s="6">
        <v>0</v>
      </c>
      <c r="J974" s="6">
        <v>986</v>
      </c>
    </row>
    <row r="975" spans="2:10" ht="18.75">
      <c r="B975">
        <v>13</v>
      </c>
      <c r="C975" s="5">
        <v>46104</v>
      </c>
      <c r="D975" t="s">
        <v>113</v>
      </c>
      <c r="E975">
        <v>85</v>
      </c>
      <c r="F975" s="6">
        <v>290.07</v>
      </c>
      <c r="G975" s="6">
        <v>0</v>
      </c>
      <c r="H975" s="6">
        <v>9.1199999999999992</v>
      </c>
      <c r="I975" s="6">
        <v>0</v>
      </c>
      <c r="J975" s="6">
        <v>290.07</v>
      </c>
    </row>
    <row r="976" spans="2:10" ht="18.75">
      <c r="B976">
        <v>13</v>
      </c>
      <c r="C976" s="5">
        <v>46104</v>
      </c>
      <c r="D976" t="s">
        <v>147</v>
      </c>
      <c r="E976">
        <v>102</v>
      </c>
      <c r="F976" s="6">
        <v>482.56</v>
      </c>
      <c r="G976" s="6">
        <v>6.3</v>
      </c>
      <c r="H976" s="6">
        <v>15.5</v>
      </c>
      <c r="I976" s="6">
        <v>0</v>
      </c>
      <c r="J976" s="6">
        <v>476.26</v>
      </c>
    </row>
    <row r="977" spans="2:10" ht="18.75">
      <c r="B977">
        <v>13</v>
      </c>
      <c r="C977" s="5">
        <v>46104</v>
      </c>
      <c r="D977" t="s">
        <v>134</v>
      </c>
      <c r="E977">
        <v>90</v>
      </c>
      <c r="F977" s="6">
        <v>495.7</v>
      </c>
      <c r="G977" s="6">
        <v>0</v>
      </c>
      <c r="H977" s="6">
        <v>21.24</v>
      </c>
      <c r="I977" s="6">
        <v>0</v>
      </c>
      <c r="J977" s="6">
        <v>495.7</v>
      </c>
    </row>
    <row r="978" spans="2:10" ht="18.75">
      <c r="B978">
        <v>13</v>
      </c>
      <c r="C978" s="5">
        <v>46104</v>
      </c>
      <c r="D978" t="s">
        <v>133</v>
      </c>
      <c r="E978">
        <v>85</v>
      </c>
      <c r="F978" s="6">
        <v>452.72</v>
      </c>
      <c r="G978" s="6">
        <v>0</v>
      </c>
      <c r="H978" s="6">
        <v>13.43</v>
      </c>
      <c r="I978" s="6">
        <v>0</v>
      </c>
      <c r="J978" s="6">
        <v>452.72</v>
      </c>
    </row>
    <row r="979" spans="2:10" ht="18.75">
      <c r="B979">
        <v>13</v>
      </c>
      <c r="C979" s="5">
        <v>46104</v>
      </c>
      <c r="D979" t="s">
        <v>121</v>
      </c>
      <c r="E979">
        <v>81</v>
      </c>
      <c r="F979" s="6">
        <v>275.54000000000002</v>
      </c>
      <c r="G979" s="6">
        <v>0</v>
      </c>
      <c r="H979" s="6">
        <v>4.68</v>
      </c>
      <c r="I979" s="6">
        <v>0</v>
      </c>
      <c r="J979" s="6">
        <v>275.54000000000002</v>
      </c>
    </row>
    <row r="980" spans="2:10" ht="18.75">
      <c r="B980">
        <v>13</v>
      </c>
      <c r="C980" s="5">
        <v>46104</v>
      </c>
      <c r="D980" t="s">
        <v>119</v>
      </c>
      <c r="E980">
        <v>150</v>
      </c>
      <c r="F980" s="6">
        <v>614.12</v>
      </c>
      <c r="G980" s="6">
        <v>0</v>
      </c>
      <c r="H980" s="6">
        <v>12.9</v>
      </c>
      <c r="I980" s="6">
        <v>0</v>
      </c>
      <c r="J980" s="6">
        <v>614.12</v>
      </c>
    </row>
    <row r="981" spans="2:10" ht="18.75">
      <c r="B981">
        <v>13</v>
      </c>
      <c r="C981" s="5">
        <v>46104</v>
      </c>
      <c r="D981" t="s">
        <v>122</v>
      </c>
      <c r="E981">
        <v>85</v>
      </c>
      <c r="F981" s="6">
        <v>436.06</v>
      </c>
      <c r="G981" s="6">
        <v>0</v>
      </c>
      <c r="H981" s="6">
        <v>8.1300000000000008</v>
      </c>
      <c r="I981" s="6">
        <v>1</v>
      </c>
      <c r="J981" s="6">
        <v>437.06</v>
      </c>
    </row>
    <row r="982" spans="2:10" ht="18.75">
      <c r="B982">
        <v>13</v>
      </c>
      <c r="C982" s="5">
        <v>46104</v>
      </c>
      <c r="D982" t="s">
        <v>142</v>
      </c>
      <c r="E982">
        <v>40</v>
      </c>
      <c r="F982" s="6">
        <v>201.59</v>
      </c>
      <c r="G982" s="6">
        <v>0</v>
      </c>
      <c r="H982" s="6">
        <v>5.76</v>
      </c>
      <c r="I982" s="6">
        <v>0</v>
      </c>
      <c r="J982" s="6">
        <v>201.59</v>
      </c>
    </row>
    <row r="983" spans="2:10" ht="18.75">
      <c r="B983">
        <v>13</v>
      </c>
      <c r="C983" s="5">
        <v>46104</v>
      </c>
      <c r="D983" t="s">
        <v>112</v>
      </c>
      <c r="E983">
        <v>22</v>
      </c>
      <c r="F983" s="6">
        <v>71.569999999999993</v>
      </c>
      <c r="G983" s="6">
        <v>0</v>
      </c>
      <c r="H983" s="6">
        <v>6.07</v>
      </c>
      <c r="I983" s="6">
        <v>0</v>
      </c>
      <c r="J983" s="6">
        <v>71.569999999999993</v>
      </c>
    </row>
    <row r="984" spans="2:10" ht="18.75">
      <c r="B984">
        <v>13</v>
      </c>
      <c r="C984" s="5">
        <v>46104</v>
      </c>
      <c r="D984" t="s">
        <v>128</v>
      </c>
      <c r="E984">
        <v>55</v>
      </c>
      <c r="F984" s="6">
        <v>235.03</v>
      </c>
      <c r="G984" s="6">
        <v>0</v>
      </c>
      <c r="H984" s="6">
        <v>10.16</v>
      </c>
      <c r="I984" s="6">
        <v>0</v>
      </c>
      <c r="J984" s="6">
        <v>235.03</v>
      </c>
    </row>
    <row r="985" spans="2:10" ht="18.75">
      <c r="B985">
        <v>13</v>
      </c>
      <c r="C985" s="5">
        <v>46104</v>
      </c>
      <c r="D985" t="s">
        <v>111</v>
      </c>
      <c r="E985">
        <v>66</v>
      </c>
      <c r="F985" s="6">
        <v>274.19</v>
      </c>
      <c r="G985" s="6">
        <v>0</v>
      </c>
      <c r="H985" s="6">
        <v>16.489999999999998</v>
      </c>
      <c r="I985" s="6">
        <v>0</v>
      </c>
      <c r="J985" s="6">
        <v>274.19</v>
      </c>
    </row>
    <row r="986" spans="2:10" ht="18.75">
      <c r="B986">
        <v>13</v>
      </c>
      <c r="C986" s="5">
        <v>46104</v>
      </c>
      <c r="D986" t="s">
        <v>127</v>
      </c>
      <c r="E986">
        <v>92</v>
      </c>
      <c r="F986" s="6">
        <v>483.17</v>
      </c>
      <c r="G986" s="6">
        <v>0</v>
      </c>
      <c r="H986" s="6">
        <v>2.4</v>
      </c>
      <c r="I986" s="6">
        <v>0</v>
      </c>
      <c r="J986" s="6">
        <v>483.17</v>
      </c>
    </row>
    <row r="987" spans="2:10" ht="18.75">
      <c r="B987">
        <v>13</v>
      </c>
      <c r="C987" s="5">
        <v>46104</v>
      </c>
      <c r="D987" t="s">
        <v>117</v>
      </c>
      <c r="E987">
        <v>67</v>
      </c>
      <c r="F987" s="6">
        <v>338.25</v>
      </c>
      <c r="G987" s="6">
        <v>0</v>
      </c>
      <c r="H987" s="6">
        <v>21.42</v>
      </c>
      <c r="I987" s="6">
        <v>0</v>
      </c>
      <c r="J987" s="6">
        <v>338.25</v>
      </c>
    </row>
    <row r="988" spans="2:10" ht="18.75">
      <c r="B988">
        <v>13</v>
      </c>
      <c r="C988" s="5">
        <v>46104</v>
      </c>
      <c r="D988" t="s">
        <v>136</v>
      </c>
      <c r="E988">
        <v>49</v>
      </c>
      <c r="F988" s="6">
        <v>118.26</v>
      </c>
      <c r="G988" s="6">
        <v>0</v>
      </c>
      <c r="H988" s="6">
        <v>10.93</v>
      </c>
      <c r="I988" s="6">
        <v>77.739999999999995</v>
      </c>
      <c r="J988" s="6">
        <v>196</v>
      </c>
    </row>
    <row r="989" spans="2:10" ht="18.75">
      <c r="B989">
        <v>13</v>
      </c>
      <c r="C989" s="5">
        <v>46104</v>
      </c>
      <c r="D989" t="s">
        <v>132</v>
      </c>
      <c r="E989">
        <v>69</v>
      </c>
      <c r="F989" s="6">
        <v>280.12</v>
      </c>
      <c r="G989" s="6">
        <v>0</v>
      </c>
      <c r="H989" s="6">
        <v>7.5</v>
      </c>
      <c r="I989" s="6">
        <v>0</v>
      </c>
      <c r="J989" s="6">
        <v>280.12</v>
      </c>
    </row>
    <row r="990" spans="2:10" ht="18.75">
      <c r="B990">
        <v>13</v>
      </c>
      <c r="C990" s="5">
        <v>46104</v>
      </c>
      <c r="D990" t="s">
        <v>130</v>
      </c>
      <c r="E990">
        <v>138</v>
      </c>
      <c r="F990" s="6">
        <v>626.91999999999996</v>
      </c>
      <c r="G990" s="6">
        <v>0</v>
      </c>
      <c r="H990" s="6">
        <v>3.14</v>
      </c>
      <c r="I990" s="6">
        <v>0</v>
      </c>
      <c r="J990" s="6">
        <v>626.91999999999996</v>
      </c>
    </row>
    <row r="991" spans="2:10" ht="18.75">
      <c r="B991">
        <v>13</v>
      </c>
      <c r="C991" s="5">
        <v>46104</v>
      </c>
      <c r="D991" t="s">
        <v>135</v>
      </c>
      <c r="E991">
        <v>14</v>
      </c>
      <c r="F991" s="6">
        <v>44.16</v>
      </c>
      <c r="G991" s="6">
        <v>0</v>
      </c>
      <c r="H991" s="6">
        <v>3.66</v>
      </c>
      <c r="I991" s="6">
        <v>11.22</v>
      </c>
      <c r="J991" s="6">
        <v>55.38</v>
      </c>
    </row>
    <row r="992" spans="2:10" ht="18.75">
      <c r="B992">
        <v>13</v>
      </c>
      <c r="C992" s="5">
        <v>46104</v>
      </c>
      <c r="D992" t="s">
        <v>145</v>
      </c>
      <c r="E992">
        <v>66</v>
      </c>
      <c r="F992" s="6">
        <v>413.55</v>
      </c>
      <c r="G992" s="6">
        <v>0</v>
      </c>
      <c r="H992" s="6">
        <v>8.48</v>
      </c>
      <c r="I992" s="6">
        <v>0</v>
      </c>
      <c r="J992" s="6">
        <v>413.55</v>
      </c>
    </row>
    <row r="993" spans="2:10" ht="18.75">
      <c r="B993">
        <v>13</v>
      </c>
      <c r="C993" s="5">
        <v>46104</v>
      </c>
      <c r="D993" t="s">
        <v>116</v>
      </c>
      <c r="E993">
        <v>38</v>
      </c>
      <c r="F993" s="6">
        <v>136.24</v>
      </c>
      <c r="G993" s="6">
        <v>0</v>
      </c>
      <c r="H993" s="6">
        <v>0</v>
      </c>
      <c r="I993" s="6">
        <v>0</v>
      </c>
      <c r="J993" s="6">
        <v>136.24</v>
      </c>
    </row>
    <row r="994" spans="2:10" ht="18.75">
      <c r="B994">
        <v>13</v>
      </c>
      <c r="C994" s="5">
        <v>46104</v>
      </c>
      <c r="D994" t="s">
        <v>148</v>
      </c>
      <c r="E994">
        <v>42</v>
      </c>
      <c r="F994" s="6">
        <v>192.74</v>
      </c>
      <c r="G994" s="6">
        <v>0</v>
      </c>
      <c r="H994" s="6">
        <v>10.31</v>
      </c>
      <c r="I994" s="6">
        <v>0</v>
      </c>
      <c r="J994" s="6">
        <v>192.74</v>
      </c>
    </row>
    <row r="995" spans="2:10" ht="18.75">
      <c r="B995">
        <v>13</v>
      </c>
      <c r="C995" s="5">
        <v>46104</v>
      </c>
      <c r="D995" t="s">
        <v>120</v>
      </c>
      <c r="E995">
        <v>26</v>
      </c>
      <c r="F995" s="6">
        <v>110.62</v>
      </c>
      <c r="G995" s="6">
        <v>0</v>
      </c>
      <c r="H995" s="6">
        <v>1.44</v>
      </c>
      <c r="I995" s="6">
        <v>0</v>
      </c>
      <c r="J995" s="6">
        <v>110.62</v>
      </c>
    </row>
    <row r="996" spans="2:10" ht="18.75">
      <c r="B996">
        <v>13</v>
      </c>
      <c r="C996" s="5">
        <v>46104</v>
      </c>
      <c r="D996" t="s">
        <v>125</v>
      </c>
      <c r="E996">
        <v>22</v>
      </c>
      <c r="F996" s="6">
        <v>96.83</v>
      </c>
      <c r="G996" s="6">
        <v>0</v>
      </c>
      <c r="H996" s="6">
        <v>5.43</v>
      </c>
      <c r="I996" s="6">
        <v>0</v>
      </c>
      <c r="J996" s="6">
        <v>96.83</v>
      </c>
    </row>
    <row r="997" spans="2:10" ht="18.75">
      <c r="B997">
        <v>13</v>
      </c>
      <c r="C997" s="5">
        <v>46104</v>
      </c>
      <c r="D997" t="s">
        <v>150</v>
      </c>
      <c r="E997">
        <v>25</v>
      </c>
      <c r="F997" s="6">
        <v>152.13999999999999</v>
      </c>
      <c r="G997" s="6">
        <v>0</v>
      </c>
      <c r="H997" s="6">
        <v>1.8</v>
      </c>
      <c r="I997" s="6">
        <v>0</v>
      </c>
      <c r="J997" s="6">
        <v>152.13999999999999</v>
      </c>
    </row>
    <row r="998" spans="2:10" ht="18.75">
      <c r="B998">
        <v>13</v>
      </c>
      <c r="C998" s="5">
        <v>46104</v>
      </c>
      <c r="D998" t="s">
        <v>137</v>
      </c>
      <c r="E998">
        <v>17</v>
      </c>
      <c r="F998" s="6">
        <v>53.6</v>
      </c>
      <c r="G998" s="6">
        <v>0</v>
      </c>
      <c r="H998" s="6">
        <v>0</v>
      </c>
      <c r="I998" s="6">
        <v>32.14</v>
      </c>
      <c r="J998" s="6">
        <v>85.74</v>
      </c>
    </row>
    <row r="999" spans="2:10" ht="18.75">
      <c r="B999">
        <v>13</v>
      </c>
      <c r="C999" s="5">
        <v>46104</v>
      </c>
      <c r="D999" t="s">
        <v>140</v>
      </c>
      <c r="E999">
        <v>22</v>
      </c>
      <c r="F999" s="6">
        <v>64.02</v>
      </c>
      <c r="G999" s="6">
        <v>0</v>
      </c>
      <c r="H999" s="6">
        <v>3.91</v>
      </c>
      <c r="I999" s="6">
        <v>0</v>
      </c>
      <c r="J999" s="6">
        <v>64.02</v>
      </c>
    </row>
    <row r="1000" spans="2:10" ht="18.75">
      <c r="B1000">
        <v>16</v>
      </c>
      <c r="C1000" s="5">
        <v>46125</v>
      </c>
      <c r="D1000" t="s">
        <v>139</v>
      </c>
      <c r="E1000">
        <v>74</v>
      </c>
      <c r="F1000" s="6">
        <v>331.06</v>
      </c>
      <c r="G1000" s="6">
        <v>0</v>
      </c>
      <c r="H1000" s="6">
        <v>15.47</v>
      </c>
      <c r="I1000" s="6">
        <v>0</v>
      </c>
      <c r="J1000" s="6">
        <v>331.06</v>
      </c>
    </row>
    <row r="1001" spans="2:10" ht="18.75">
      <c r="B1001">
        <v>16</v>
      </c>
      <c r="C1001" s="5">
        <v>46125</v>
      </c>
      <c r="D1001" t="s">
        <v>143</v>
      </c>
      <c r="E1001">
        <v>771</v>
      </c>
      <c r="F1001" s="6">
        <v>3345.2999999999902</v>
      </c>
      <c r="G1001" s="6">
        <v>0</v>
      </c>
      <c r="H1001" s="6">
        <v>46.76</v>
      </c>
      <c r="I1001" s="6">
        <v>2.46</v>
      </c>
      <c r="J1001" s="6">
        <v>3347.7599999999902</v>
      </c>
    </row>
    <row r="1002" spans="2:10" ht="18.75">
      <c r="B1002">
        <v>16</v>
      </c>
      <c r="C1002" s="5">
        <v>46125</v>
      </c>
      <c r="D1002" t="s">
        <v>121</v>
      </c>
      <c r="E1002">
        <v>71</v>
      </c>
      <c r="F1002" s="6">
        <v>213.78</v>
      </c>
      <c r="G1002" s="6">
        <v>0</v>
      </c>
      <c r="H1002" s="6">
        <v>8.09</v>
      </c>
      <c r="I1002" s="6">
        <v>0</v>
      </c>
      <c r="J1002" s="6">
        <v>213.78</v>
      </c>
    </row>
    <row r="1003" spans="2:10" ht="18.75">
      <c r="B1003">
        <v>16</v>
      </c>
      <c r="C1003" s="5">
        <v>46125</v>
      </c>
      <c r="D1003" t="s">
        <v>118</v>
      </c>
      <c r="E1003">
        <v>61</v>
      </c>
      <c r="F1003" s="6">
        <v>177.9</v>
      </c>
      <c r="G1003" s="6">
        <v>0</v>
      </c>
      <c r="H1003" s="6">
        <v>0.97</v>
      </c>
      <c r="I1003" s="6">
        <v>0</v>
      </c>
      <c r="J1003" s="6">
        <v>177.9</v>
      </c>
    </row>
    <row r="1004" spans="2:10" ht="18.75">
      <c r="B1004">
        <v>16</v>
      </c>
      <c r="C1004" s="5">
        <v>46125</v>
      </c>
      <c r="D1004" t="s">
        <v>124</v>
      </c>
      <c r="E1004">
        <v>136</v>
      </c>
      <c r="F1004" s="6">
        <v>451.58</v>
      </c>
      <c r="G1004" s="6">
        <v>0</v>
      </c>
      <c r="H1004" s="6">
        <v>14.11</v>
      </c>
      <c r="I1004" s="6">
        <v>0</v>
      </c>
      <c r="J1004" s="6">
        <v>451.58</v>
      </c>
    </row>
    <row r="1005" spans="2:10" ht="18.75">
      <c r="B1005">
        <v>16</v>
      </c>
      <c r="C1005" s="5">
        <v>46125</v>
      </c>
      <c r="D1005" t="s">
        <v>123</v>
      </c>
      <c r="E1005">
        <v>153</v>
      </c>
      <c r="F1005" s="6">
        <v>597.12</v>
      </c>
      <c r="G1005" s="6">
        <v>0</v>
      </c>
      <c r="H1005" s="6">
        <v>29.06</v>
      </c>
      <c r="I1005" s="6">
        <v>0</v>
      </c>
      <c r="J1005" s="6">
        <v>597.12</v>
      </c>
    </row>
    <row r="1006" spans="2:10" ht="18.75">
      <c r="B1006">
        <v>16</v>
      </c>
      <c r="C1006" s="5">
        <v>46125</v>
      </c>
      <c r="D1006" t="s">
        <v>141</v>
      </c>
      <c r="E1006">
        <v>208</v>
      </c>
      <c r="F1006" s="6">
        <v>781.74</v>
      </c>
      <c r="G1006" s="6">
        <v>0</v>
      </c>
      <c r="H1006" s="6">
        <v>12.81</v>
      </c>
      <c r="I1006" s="6">
        <v>0</v>
      </c>
      <c r="J1006" s="6">
        <v>781.74</v>
      </c>
    </row>
    <row r="1007" spans="2:10" ht="18.75">
      <c r="B1007">
        <v>16</v>
      </c>
      <c r="C1007" s="5">
        <v>46125</v>
      </c>
      <c r="D1007" t="s">
        <v>151</v>
      </c>
      <c r="E1007">
        <v>215</v>
      </c>
      <c r="F1007" s="6">
        <v>1000.84</v>
      </c>
      <c r="G1007" s="6">
        <v>0</v>
      </c>
      <c r="H1007" s="6">
        <v>13.78</v>
      </c>
      <c r="I1007" s="6">
        <v>0</v>
      </c>
      <c r="J1007" s="6">
        <v>1000.84</v>
      </c>
    </row>
    <row r="1008" spans="2:10" ht="18.75">
      <c r="B1008">
        <v>16</v>
      </c>
      <c r="C1008" s="5">
        <v>46125</v>
      </c>
      <c r="D1008" t="s">
        <v>146</v>
      </c>
      <c r="E1008">
        <v>128</v>
      </c>
      <c r="F1008" s="6">
        <v>703</v>
      </c>
      <c r="G1008" s="6">
        <v>0</v>
      </c>
      <c r="H1008" s="6">
        <v>24.3</v>
      </c>
      <c r="I1008" s="6">
        <v>0</v>
      </c>
      <c r="J1008" s="6">
        <v>703</v>
      </c>
    </row>
    <row r="1009" spans="2:10" ht="18.75">
      <c r="B1009">
        <v>16</v>
      </c>
      <c r="C1009" s="5">
        <v>46125</v>
      </c>
      <c r="D1009" t="s">
        <v>149</v>
      </c>
      <c r="E1009">
        <v>42</v>
      </c>
      <c r="F1009" s="6">
        <v>110.34</v>
      </c>
      <c r="G1009" s="6">
        <v>0</v>
      </c>
      <c r="H1009" s="6">
        <v>25.95</v>
      </c>
      <c r="I1009" s="6">
        <v>0</v>
      </c>
      <c r="J1009" s="6">
        <v>110.34</v>
      </c>
    </row>
    <row r="1010" spans="2:10" ht="18.75">
      <c r="B1010">
        <v>16</v>
      </c>
      <c r="C1010" s="5">
        <v>46125</v>
      </c>
      <c r="D1010" t="s">
        <v>132</v>
      </c>
      <c r="E1010">
        <v>61</v>
      </c>
      <c r="F1010" s="6">
        <v>236.01</v>
      </c>
      <c r="G1010" s="6">
        <v>0</v>
      </c>
      <c r="H1010" s="6">
        <v>2.4300000000000002</v>
      </c>
      <c r="I1010" s="6">
        <v>0</v>
      </c>
      <c r="J1010" s="6">
        <v>236.01</v>
      </c>
    </row>
    <row r="1011" spans="2:10" ht="18.75">
      <c r="B1011">
        <v>16</v>
      </c>
      <c r="C1011" s="5">
        <v>46125</v>
      </c>
      <c r="D1011" t="s">
        <v>133</v>
      </c>
      <c r="E1011">
        <v>96</v>
      </c>
      <c r="F1011" s="6">
        <v>519.16</v>
      </c>
      <c r="G1011" s="6">
        <v>0</v>
      </c>
      <c r="H1011" s="6">
        <v>8.31</v>
      </c>
      <c r="I1011" s="6">
        <v>0</v>
      </c>
      <c r="J1011" s="6">
        <v>519.16</v>
      </c>
    </row>
    <row r="1012" spans="2:10" ht="18.75">
      <c r="B1012">
        <v>16</v>
      </c>
      <c r="C1012" s="5">
        <v>46125</v>
      </c>
      <c r="D1012" t="s">
        <v>117</v>
      </c>
      <c r="E1012">
        <v>51</v>
      </c>
      <c r="F1012" s="6">
        <v>278.67</v>
      </c>
      <c r="G1012" s="6">
        <v>0</v>
      </c>
      <c r="H1012" s="6">
        <v>9.14</v>
      </c>
      <c r="I1012" s="6">
        <v>0</v>
      </c>
      <c r="J1012" s="6">
        <v>278.67</v>
      </c>
    </row>
    <row r="1013" spans="2:10" ht="18.75">
      <c r="B1013">
        <v>16</v>
      </c>
      <c r="C1013" s="5">
        <v>46125</v>
      </c>
      <c r="D1013" t="s">
        <v>129</v>
      </c>
      <c r="E1013">
        <v>133</v>
      </c>
      <c r="F1013" s="6">
        <v>0</v>
      </c>
      <c r="G1013" s="6">
        <v>0</v>
      </c>
      <c r="H1013" s="6">
        <v>2.4300000000000002</v>
      </c>
      <c r="I1013" s="6">
        <v>532.29999999999995</v>
      </c>
      <c r="J1013" s="6">
        <v>532.29999999999995</v>
      </c>
    </row>
    <row r="1014" spans="2:10" ht="18.75">
      <c r="B1014">
        <v>16</v>
      </c>
      <c r="C1014" s="5">
        <v>46125</v>
      </c>
      <c r="D1014" t="s">
        <v>134</v>
      </c>
      <c r="E1014">
        <v>85</v>
      </c>
      <c r="F1014" s="6">
        <v>487.79</v>
      </c>
      <c r="G1014" s="6">
        <v>0</v>
      </c>
      <c r="H1014" s="6">
        <v>20.41</v>
      </c>
      <c r="I1014" s="6">
        <v>0</v>
      </c>
      <c r="J1014" s="6">
        <v>487.79</v>
      </c>
    </row>
    <row r="1015" spans="2:10" ht="18.75">
      <c r="B1015">
        <v>16</v>
      </c>
      <c r="C1015" s="5">
        <v>46125</v>
      </c>
      <c r="D1015" t="s">
        <v>119</v>
      </c>
      <c r="E1015">
        <v>112</v>
      </c>
      <c r="F1015" s="6">
        <v>410.55</v>
      </c>
      <c r="G1015" s="6">
        <v>0</v>
      </c>
      <c r="H1015" s="6">
        <v>6.15</v>
      </c>
      <c r="I1015" s="6">
        <v>0</v>
      </c>
      <c r="J1015" s="6">
        <v>410.55</v>
      </c>
    </row>
    <row r="1016" spans="2:10" ht="18.75">
      <c r="B1016">
        <v>16</v>
      </c>
      <c r="C1016" s="5">
        <v>46125</v>
      </c>
      <c r="D1016" t="s">
        <v>147</v>
      </c>
      <c r="E1016">
        <v>101</v>
      </c>
      <c r="F1016" s="6">
        <v>485.44</v>
      </c>
      <c r="G1016" s="6">
        <v>0</v>
      </c>
      <c r="H1016" s="6">
        <v>7.89</v>
      </c>
      <c r="I1016" s="6">
        <v>0</v>
      </c>
      <c r="J1016" s="6">
        <v>485.44</v>
      </c>
    </row>
    <row r="1017" spans="2:10" ht="18.75">
      <c r="B1017">
        <v>16</v>
      </c>
      <c r="C1017" s="5">
        <v>46125</v>
      </c>
      <c r="D1017" t="s">
        <v>138</v>
      </c>
      <c r="E1017">
        <v>104</v>
      </c>
      <c r="F1017" s="6">
        <v>522.12</v>
      </c>
      <c r="G1017" s="6">
        <v>0</v>
      </c>
      <c r="H1017" s="6">
        <v>21.84</v>
      </c>
      <c r="I1017" s="6">
        <v>0</v>
      </c>
      <c r="J1017" s="6">
        <v>522.12</v>
      </c>
    </row>
    <row r="1018" spans="2:10" ht="18.75">
      <c r="B1018">
        <v>16</v>
      </c>
      <c r="C1018" s="5">
        <v>46125</v>
      </c>
      <c r="D1018" t="s">
        <v>111</v>
      </c>
      <c r="E1018">
        <v>46</v>
      </c>
      <c r="F1018" s="6">
        <v>172.1</v>
      </c>
      <c r="G1018" s="6">
        <v>0</v>
      </c>
      <c r="H1018" s="6">
        <v>4.46</v>
      </c>
      <c r="I1018" s="6">
        <v>0</v>
      </c>
      <c r="J1018" s="6">
        <v>172.1</v>
      </c>
    </row>
    <row r="1019" spans="2:10" ht="18.75">
      <c r="B1019">
        <v>16</v>
      </c>
      <c r="C1019" s="5">
        <v>46125</v>
      </c>
      <c r="D1019" t="s">
        <v>136</v>
      </c>
      <c r="E1019">
        <v>38</v>
      </c>
      <c r="F1019" s="6">
        <v>118.64</v>
      </c>
      <c r="G1019" s="6">
        <v>0</v>
      </c>
      <c r="H1019" s="6">
        <v>0</v>
      </c>
      <c r="I1019" s="6">
        <v>60.14</v>
      </c>
      <c r="J1019" s="6">
        <v>178.78</v>
      </c>
    </row>
    <row r="1020" spans="2:10" ht="18.75">
      <c r="B1020">
        <v>16</v>
      </c>
      <c r="C1020" s="5">
        <v>46125</v>
      </c>
      <c r="D1020" t="s">
        <v>135</v>
      </c>
      <c r="E1020">
        <v>18</v>
      </c>
      <c r="F1020" s="6">
        <v>51.29</v>
      </c>
      <c r="G1020" s="6">
        <v>0</v>
      </c>
      <c r="H1020" s="6">
        <v>1.29</v>
      </c>
      <c r="I1020" s="6">
        <v>25.08</v>
      </c>
      <c r="J1020" s="6">
        <v>76.37</v>
      </c>
    </row>
    <row r="1021" spans="2:10" ht="18.75">
      <c r="B1021">
        <v>16</v>
      </c>
      <c r="C1021" s="5">
        <v>46125</v>
      </c>
      <c r="D1021" t="s">
        <v>122</v>
      </c>
      <c r="E1021">
        <v>72</v>
      </c>
      <c r="F1021" s="6">
        <v>343.01</v>
      </c>
      <c r="G1021" s="6">
        <v>6.3</v>
      </c>
      <c r="H1021" s="6">
        <v>9.1999999999999993</v>
      </c>
      <c r="I1021" s="6">
        <v>2.46</v>
      </c>
      <c r="J1021" s="6">
        <v>339.17</v>
      </c>
    </row>
    <row r="1022" spans="2:10" ht="18.75">
      <c r="B1022">
        <v>16</v>
      </c>
      <c r="C1022" s="5">
        <v>46125</v>
      </c>
      <c r="D1022" t="s">
        <v>114</v>
      </c>
      <c r="E1022">
        <v>83</v>
      </c>
      <c r="F1022" s="6">
        <v>325.06</v>
      </c>
      <c r="G1022" s="6">
        <v>0</v>
      </c>
      <c r="H1022" s="6">
        <v>18.600000000000001</v>
      </c>
      <c r="I1022" s="6">
        <v>114.79</v>
      </c>
      <c r="J1022" s="6">
        <v>439.85</v>
      </c>
    </row>
    <row r="1023" spans="2:10" ht="18.75">
      <c r="B1023">
        <v>16</v>
      </c>
      <c r="C1023" s="5">
        <v>46125</v>
      </c>
      <c r="D1023" t="s">
        <v>130</v>
      </c>
      <c r="E1023">
        <v>112</v>
      </c>
      <c r="F1023" s="6">
        <v>529.16</v>
      </c>
      <c r="G1023" s="6">
        <v>0</v>
      </c>
      <c r="H1023" s="6">
        <v>2.97</v>
      </c>
      <c r="I1023" s="6">
        <v>0</v>
      </c>
      <c r="J1023" s="6">
        <v>529.16</v>
      </c>
    </row>
    <row r="1024" spans="2:10" ht="18.75">
      <c r="B1024">
        <v>16</v>
      </c>
      <c r="C1024" s="5">
        <v>46125</v>
      </c>
      <c r="D1024" t="s">
        <v>128</v>
      </c>
      <c r="E1024">
        <v>52</v>
      </c>
      <c r="F1024" s="6">
        <v>224.97</v>
      </c>
      <c r="G1024" s="6">
        <v>0</v>
      </c>
      <c r="H1024" s="6">
        <v>4.5</v>
      </c>
      <c r="I1024" s="6">
        <v>0</v>
      </c>
      <c r="J1024" s="6">
        <v>224.97</v>
      </c>
    </row>
    <row r="1025" spans="2:10" ht="18.75">
      <c r="B1025">
        <v>16</v>
      </c>
      <c r="C1025" s="5">
        <v>46125</v>
      </c>
      <c r="D1025" t="s">
        <v>112</v>
      </c>
      <c r="E1025">
        <v>16</v>
      </c>
      <c r="F1025" s="6">
        <v>52.89</v>
      </c>
      <c r="G1025" s="6">
        <v>0</v>
      </c>
      <c r="H1025" s="6">
        <v>0</v>
      </c>
      <c r="I1025" s="6">
        <v>0</v>
      </c>
      <c r="J1025" s="6">
        <v>52.89</v>
      </c>
    </row>
    <row r="1026" spans="2:10" ht="18.75">
      <c r="B1026">
        <v>16</v>
      </c>
      <c r="C1026" s="5">
        <v>46125</v>
      </c>
      <c r="D1026" t="s">
        <v>145</v>
      </c>
      <c r="E1026">
        <v>44</v>
      </c>
      <c r="F1026" s="6">
        <v>249.23</v>
      </c>
      <c r="G1026" s="6">
        <v>12.29</v>
      </c>
      <c r="H1026" s="6">
        <v>0.56000000000000005</v>
      </c>
      <c r="I1026" s="6">
        <v>0</v>
      </c>
      <c r="J1026" s="6">
        <v>236.94</v>
      </c>
    </row>
    <row r="1027" spans="2:10" ht="18.75">
      <c r="B1027">
        <v>16</v>
      </c>
      <c r="C1027" s="5">
        <v>46125</v>
      </c>
      <c r="D1027" t="s">
        <v>115</v>
      </c>
      <c r="E1027">
        <v>58</v>
      </c>
      <c r="F1027" s="6">
        <v>174</v>
      </c>
      <c r="G1027" s="6">
        <v>0</v>
      </c>
      <c r="H1027" s="6">
        <v>0</v>
      </c>
      <c r="I1027" s="6">
        <v>0</v>
      </c>
      <c r="J1027" s="6">
        <v>174</v>
      </c>
    </row>
    <row r="1028" spans="2:10" ht="18.75">
      <c r="B1028">
        <v>16</v>
      </c>
      <c r="C1028" s="5">
        <v>46125</v>
      </c>
      <c r="D1028" t="s">
        <v>127</v>
      </c>
      <c r="E1028">
        <v>74</v>
      </c>
      <c r="F1028" s="6">
        <v>371.41</v>
      </c>
      <c r="G1028" s="6">
        <v>0</v>
      </c>
      <c r="H1028" s="6">
        <v>7.49</v>
      </c>
      <c r="I1028" s="6">
        <v>0</v>
      </c>
      <c r="J1028" s="6">
        <v>371.41</v>
      </c>
    </row>
    <row r="1029" spans="2:10" ht="18.75">
      <c r="B1029">
        <v>16</v>
      </c>
      <c r="C1029" s="5">
        <v>46125</v>
      </c>
      <c r="D1029" t="s">
        <v>125</v>
      </c>
      <c r="E1029">
        <v>8</v>
      </c>
      <c r="F1029" s="6">
        <v>31.13</v>
      </c>
      <c r="G1029" s="6">
        <v>0</v>
      </c>
      <c r="H1029" s="6">
        <v>0</v>
      </c>
      <c r="I1029" s="6">
        <v>0</v>
      </c>
      <c r="J1029" s="6">
        <v>31.13</v>
      </c>
    </row>
    <row r="1030" spans="2:10" ht="18.75">
      <c r="B1030">
        <v>16</v>
      </c>
      <c r="C1030" s="5">
        <v>46125</v>
      </c>
      <c r="D1030" t="s">
        <v>137</v>
      </c>
      <c r="E1030">
        <v>15</v>
      </c>
      <c r="F1030" s="6">
        <v>44.33</v>
      </c>
      <c r="G1030" s="6">
        <v>0</v>
      </c>
      <c r="H1030" s="6">
        <v>3.37</v>
      </c>
      <c r="I1030" s="6">
        <v>28.52</v>
      </c>
      <c r="J1030" s="6">
        <v>72.849999999999994</v>
      </c>
    </row>
    <row r="1031" spans="2:10" ht="18.75">
      <c r="B1031">
        <v>16</v>
      </c>
      <c r="C1031" s="5">
        <v>46125</v>
      </c>
      <c r="D1031" t="s">
        <v>148</v>
      </c>
      <c r="E1031">
        <v>14</v>
      </c>
      <c r="F1031" s="6">
        <v>72.099999999999994</v>
      </c>
      <c r="G1031" s="6">
        <v>0</v>
      </c>
      <c r="H1031" s="6">
        <v>6.48</v>
      </c>
      <c r="I1031" s="6">
        <v>0</v>
      </c>
      <c r="J1031" s="6">
        <v>72.099999999999994</v>
      </c>
    </row>
    <row r="1032" spans="2:10" ht="18.75">
      <c r="B1032">
        <v>16</v>
      </c>
      <c r="C1032" s="5">
        <v>46125</v>
      </c>
      <c r="D1032" t="s">
        <v>150</v>
      </c>
      <c r="E1032">
        <v>21</v>
      </c>
      <c r="F1032" s="6">
        <v>120.75</v>
      </c>
      <c r="G1032" s="6">
        <v>0</v>
      </c>
      <c r="H1032" s="6">
        <v>0.56000000000000005</v>
      </c>
      <c r="I1032" s="6">
        <v>2.46</v>
      </c>
      <c r="J1032" s="6">
        <v>123.21</v>
      </c>
    </row>
    <row r="1033" spans="2:10" ht="18.75">
      <c r="B1033">
        <v>16</v>
      </c>
      <c r="C1033" s="5">
        <v>46125</v>
      </c>
      <c r="D1033" t="s">
        <v>142</v>
      </c>
      <c r="E1033">
        <v>37</v>
      </c>
      <c r="F1033" s="6">
        <v>155.82</v>
      </c>
      <c r="G1033" s="6">
        <v>0</v>
      </c>
      <c r="H1033" s="6">
        <v>2.92</v>
      </c>
      <c r="I1033" s="6">
        <v>0</v>
      </c>
      <c r="J1033" s="6">
        <v>155.82</v>
      </c>
    </row>
    <row r="1034" spans="2:10" ht="18.75">
      <c r="B1034">
        <v>16</v>
      </c>
      <c r="C1034" s="5">
        <v>46125</v>
      </c>
      <c r="D1034" t="s">
        <v>113</v>
      </c>
      <c r="E1034">
        <v>87</v>
      </c>
      <c r="F1034" s="6">
        <v>306.86</v>
      </c>
      <c r="G1034" s="6">
        <v>0</v>
      </c>
      <c r="H1034" s="6">
        <v>6.31</v>
      </c>
      <c r="I1034" s="6">
        <v>1.26</v>
      </c>
      <c r="J1034" s="6">
        <v>308.12</v>
      </c>
    </row>
    <row r="1035" spans="2:10" ht="18.75">
      <c r="B1035">
        <v>16</v>
      </c>
      <c r="C1035" s="5">
        <v>46125</v>
      </c>
      <c r="D1035" t="s">
        <v>116</v>
      </c>
      <c r="E1035">
        <v>34</v>
      </c>
      <c r="F1035" s="6">
        <v>126.78</v>
      </c>
      <c r="G1035" s="6">
        <v>0</v>
      </c>
      <c r="H1035" s="6">
        <v>1.38</v>
      </c>
      <c r="I1035" s="6">
        <v>0</v>
      </c>
      <c r="J1035" s="6">
        <v>126.78</v>
      </c>
    </row>
    <row r="1036" spans="2:10" ht="18.75">
      <c r="B1036">
        <v>16</v>
      </c>
      <c r="C1036" s="5">
        <v>46125</v>
      </c>
      <c r="D1036" t="s">
        <v>126</v>
      </c>
      <c r="E1036">
        <v>47</v>
      </c>
      <c r="F1036" s="6">
        <v>160.85</v>
      </c>
      <c r="G1036" s="6">
        <v>0</v>
      </c>
      <c r="H1036" s="6">
        <v>6.6</v>
      </c>
      <c r="I1036" s="6">
        <v>0</v>
      </c>
      <c r="J1036" s="6">
        <v>160.85</v>
      </c>
    </row>
    <row r="1037" spans="2:10" ht="18.75">
      <c r="B1037">
        <v>16</v>
      </c>
      <c r="C1037" s="5">
        <v>46125</v>
      </c>
      <c r="D1037" t="s">
        <v>212</v>
      </c>
      <c r="E1037">
        <v>14</v>
      </c>
      <c r="F1037" s="6">
        <v>36.61</v>
      </c>
      <c r="G1037" s="6">
        <v>0</v>
      </c>
      <c r="H1037" s="6">
        <v>9.4700000000000006</v>
      </c>
      <c r="I1037" s="6">
        <v>0</v>
      </c>
      <c r="J1037" s="6">
        <v>36.61</v>
      </c>
    </row>
    <row r="1038" spans="2:10" ht="18.75">
      <c r="B1038">
        <v>16</v>
      </c>
      <c r="C1038" s="5">
        <v>46125</v>
      </c>
      <c r="D1038" t="s">
        <v>120</v>
      </c>
      <c r="E1038">
        <v>13</v>
      </c>
      <c r="F1038" s="6">
        <v>63.11</v>
      </c>
      <c r="G1038" s="6">
        <v>0</v>
      </c>
      <c r="H1038" s="6">
        <v>2.99</v>
      </c>
      <c r="I1038" s="6">
        <v>2.48</v>
      </c>
      <c r="J1038" s="6">
        <v>65.59</v>
      </c>
    </row>
    <row r="1039" spans="2:10" ht="18.75">
      <c r="B1039">
        <v>16</v>
      </c>
      <c r="C1039" s="5">
        <v>46125</v>
      </c>
      <c r="D1039" t="s">
        <v>144</v>
      </c>
      <c r="E1039">
        <v>42</v>
      </c>
      <c r="F1039" s="6">
        <v>148.57</v>
      </c>
      <c r="G1039" s="6">
        <v>0</v>
      </c>
      <c r="H1039" s="6">
        <v>0</v>
      </c>
      <c r="I1039" s="6">
        <v>0</v>
      </c>
      <c r="J1039" s="6">
        <v>148.57</v>
      </c>
    </row>
    <row r="1040" spans="2:10" ht="18.75">
      <c r="B1040">
        <v>15</v>
      </c>
      <c r="C1040" s="5">
        <v>46118</v>
      </c>
      <c r="D1040" t="s">
        <v>139</v>
      </c>
      <c r="E1040">
        <v>72</v>
      </c>
      <c r="F1040" s="6">
        <v>309.27999999999997</v>
      </c>
      <c r="G1040" s="6">
        <v>0</v>
      </c>
      <c r="H1040" s="6">
        <v>11.99</v>
      </c>
      <c r="I1040" s="6">
        <v>0</v>
      </c>
      <c r="J1040" s="6">
        <v>309.27999999999997</v>
      </c>
    </row>
    <row r="1041" spans="2:10" ht="18.75">
      <c r="B1041">
        <v>15</v>
      </c>
      <c r="C1041" s="5">
        <v>46118</v>
      </c>
      <c r="D1041" t="s">
        <v>147</v>
      </c>
      <c r="E1041">
        <v>90</v>
      </c>
      <c r="F1041" s="6">
        <v>431.54</v>
      </c>
      <c r="G1041" s="6">
        <v>0</v>
      </c>
      <c r="H1041" s="6">
        <v>31.25</v>
      </c>
      <c r="I1041" s="6">
        <v>0</v>
      </c>
      <c r="J1041" s="6">
        <v>431.54</v>
      </c>
    </row>
    <row r="1042" spans="2:10" ht="18.75">
      <c r="B1042">
        <v>15</v>
      </c>
      <c r="C1042" s="5">
        <v>46118</v>
      </c>
      <c r="D1042" t="s">
        <v>124</v>
      </c>
      <c r="E1042">
        <v>112</v>
      </c>
      <c r="F1042" s="6">
        <v>358.84</v>
      </c>
      <c r="G1042" s="6">
        <v>0</v>
      </c>
      <c r="H1042" s="6">
        <v>16.649999999999999</v>
      </c>
      <c r="I1042" s="6">
        <v>0</v>
      </c>
      <c r="J1042" s="6">
        <v>358.84</v>
      </c>
    </row>
    <row r="1043" spans="2:10" ht="18.75">
      <c r="B1043">
        <v>15</v>
      </c>
      <c r="C1043" s="5">
        <v>46118</v>
      </c>
      <c r="D1043" t="s">
        <v>143</v>
      </c>
      <c r="E1043">
        <v>784</v>
      </c>
      <c r="F1043" s="6">
        <v>3358.1799999999898</v>
      </c>
      <c r="G1043" s="6">
        <v>0</v>
      </c>
      <c r="H1043" s="6">
        <v>55.48</v>
      </c>
      <c r="I1043" s="6">
        <v>0</v>
      </c>
      <c r="J1043" s="6">
        <v>3358.1799999999898</v>
      </c>
    </row>
    <row r="1044" spans="2:10" ht="18.75">
      <c r="B1044">
        <v>15</v>
      </c>
      <c r="C1044" s="5">
        <v>46118</v>
      </c>
      <c r="D1044" t="s">
        <v>118</v>
      </c>
      <c r="E1044">
        <v>51</v>
      </c>
      <c r="F1044" s="6">
        <v>136.97999999999999</v>
      </c>
      <c r="G1044" s="6">
        <v>0</v>
      </c>
      <c r="H1044" s="6">
        <v>2.86</v>
      </c>
      <c r="I1044" s="6">
        <v>0</v>
      </c>
      <c r="J1044" s="6">
        <v>136.97999999999999</v>
      </c>
    </row>
    <row r="1045" spans="2:10" ht="18.75">
      <c r="B1045">
        <v>15</v>
      </c>
      <c r="C1045" s="5">
        <v>46118</v>
      </c>
      <c r="D1045" t="s">
        <v>123</v>
      </c>
      <c r="E1045">
        <v>119</v>
      </c>
      <c r="F1045" s="6">
        <v>478.49</v>
      </c>
      <c r="G1045" s="6">
        <v>0</v>
      </c>
      <c r="H1045" s="6">
        <v>21.42</v>
      </c>
      <c r="I1045" s="6">
        <v>0</v>
      </c>
      <c r="J1045" s="6">
        <v>478.49</v>
      </c>
    </row>
    <row r="1046" spans="2:10" ht="18.75">
      <c r="B1046">
        <v>15</v>
      </c>
      <c r="C1046" s="5">
        <v>46118</v>
      </c>
      <c r="D1046" t="s">
        <v>113</v>
      </c>
      <c r="E1046">
        <v>59</v>
      </c>
      <c r="F1046" s="6">
        <v>207.94</v>
      </c>
      <c r="G1046" s="6">
        <v>0</v>
      </c>
      <c r="H1046" s="6">
        <v>13.71</v>
      </c>
      <c r="I1046" s="6">
        <v>2.46</v>
      </c>
      <c r="J1046" s="6">
        <v>210.4</v>
      </c>
    </row>
    <row r="1047" spans="2:10" ht="18.75">
      <c r="B1047">
        <v>15</v>
      </c>
      <c r="C1047" s="5">
        <v>46118</v>
      </c>
      <c r="D1047" t="s">
        <v>126</v>
      </c>
      <c r="E1047">
        <v>37</v>
      </c>
      <c r="F1047" s="6">
        <v>147.78</v>
      </c>
      <c r="G1047" s="6">
        <v>0</v>
      </c>
      <c r="H1047" s="6">
        <v>3.8</v>
      </c>
      <c r="I1047" s="6">
        <v>0</v>
      </c>
      <c r="J1047" s="6">
        <v>147.78</v>
      </c>
    </row>
    <row r="1048" spans="2:10" ht="18.75">
      <c r="B1048">
        <v>15</v>
      </c>
      <c r="C1048" s="5">
        <v>46118</v>
      </c>
      <c r="D1048" t="s">
        <v>121</v>
      </c>
      <c r="E1048">
        <v>89</v>
      </c>
      <c r="F1048" s="6">
        <v>280.72000000000003</v>
      </c>
      <c r="G1048" s="6">
        <v>0</v>
      </c>
      <c r="H1048" s="6">
        <v>12.55</v>
      </c>
      <c r="I1048" s="6">
        <v>0</v>
      </c>
      <c r="J1048" s="6">
        <v>280.72000000000003</v>
      </c>
    </row>
    <row r="1049" spans="2:10" ht="18.75">
      <c r="B1049">
        <v>15</v>
      </c>
      <c r="C1049" s="5">
        <v>46118</v>
      </c>
      <c r="D1049" t="s">
        <v>129</v>
      </c>
      <c r="E1049">
        <v>128</v>
      </c>
      <c r="F1049" s="6">
        <v>0.63</v>
      </c>
      <c r="G1049" s="6">
        <v>0</v>
      </c>
      <c r="H1049" s="6">
        <v>2.09</v>
      </c>
      <c r="I1049" s="6">
        <v>517.16999999999996</v>
      </c>
      <c r="J1049" s="6">
        <v>517.79999999999995</v>
      </c>
    </row>
    <row r="1050" spans="2:10" ht="18.75">
      <c r="B1050">
        <v>15</v>
      </c>
      <c r="C1050" s="5">
        <v>46118</v>
      </c>
      <c r="D1050" t="s">
        <v>138</v>
      </c>
      <c r="E1050">
        <v>96</v>
      </c>
      <c r="F1050" s="6">
        <v>484.3</v>
      </c>
      <c r="G1050" s="6">
        <v>0</v>
      </c>
      <c r="H1050" s="6">
        <v>12.01</v>
      </c>
      <c r="I1050" s="6">
        <v>0</v>
      </c>
      <c r="J1050" s="6">
        <v>484.3</v>
      </c>
    </row>
    <row r="1051" spans="2:10" ht="18.75">
      <c r="B1051">
        <v>15</v>
      </c>
      <c r="C1051" s="5">
        <v>46118</v>
      </c>
      <c r="D1051" t="s">
        <v>133</v>
      </c>
      <c r="E1051">
        <v>69</v>
      </c>
      <c r="F1051" s="6">
        <v>379.27</v>
      </c>
      <c r="G1051" s="6">
        <v>0</v>
      </c>
      <c r="H1051" s="6">
        <v>18.649999999999999</v>
      </c>
      <c r="I1051" s="6">
        <v>0</v>
      </c>
      <c r="J1051" s="6">
        <v>379.27</v>
      </c>
    </row>
    <row r="1052" spans="2:10" ht="18.75">
      <c r="B1052">
        <v>15</v>
      </c>
      <c r="C1052" s="5">
        <v>46118</v>
      </c>
      <c r="D1052" t="s">
        <v>146</v>
      </c>
      <c r="E1052">
        <v>130</v>
      </c>
      <c r="F1052" s="6">
        <v>776.24</v>
      </c>
      <c r="G1052" s="6">
        <v>0</v>
      </c>
      <c r="H1052" s="6">
        <v>15.81</v>
      </c>
      <c r="I1052" s="6">
        <v>0</v>
      </c>
      <c r="J1052" s="6">
        <v>776.24</v>
      </c>
    </row>
    <row r="1053" spans="2:10" ht="18.75">
      <c r="B1053">
        <v>15</v>
      </c>
      <c r="C1053" s="5">
        <v>46118</v>
      </c>
      <c r="D1053" t="s">
        <v>141</v>
      </c>
      <c r="E1053">
        <v>186</v>
      </c>
      <c r="F1053" s="6">
        <v>693.58</v>
      </c>
      <c r="G1053" s="6">
        <v>0</v>
      </c>
      <c r="H1053" s="6">
        <v>18.5</v>
      </c>
      <c r="I1053" s="6">
        <v>0</v>
      </c>
      <c r="J1053" s="6">
        <v>693.58</v>
      </c>
    </row>
    <row r="1054" spans="2:10" ht="18.75">
      <c r="B1054">
        <v>15</v>
      </c>
      <c r="C1054" s="5">
        <v>46118</v>
      </c>
      <c r="D1054" t="s">
        <v>130</v>
      </c>
      <c r="E1054">
        <v>80</v>
      </c>
      <c r="F1054" s="6">
        <v>374.43</v>
      </c>
      <c r="G1054" s="6">
        <v>0</v>
      </c>
      <c r="H1054" s="6">
        <v>17.739999999999998</v>
      </c>
      <c r="I1054" s="6">
        <v>0</v>
      </c>
      <c r="J1054" s="6">
        <v>374.43</v>
      </c>
    </row>
    <row r="1055" spans="2:10" ht="18.75">
      <c r="B1055">
        <v>15</v>
      </c>
      <c r="C1055" s="5">
        <v>46118</v>
      </c>
      <c r="D1055" t="s">
        <v>119</v>
      </c>
      <c r="E1055">
        <v>92</v>
      </c>
      <c r="F1055" s="6">
        <v>344.83</v>
      </c>
      <c r="G1055" s="6">
        <v>0</v>
      </c>
      <c r="H1055" s="6">
        <v>4.3</v>
      </c>
      <c r="I1055" s="6">
        <v>0</v>
      </c>
      <c r="J1055" s="6">
        <v>344.83</v>
      </c>
    </row>
    <row r="1056" spans="2:10" ht="18.75">
      <c r="B1056">
        <v>15</v>
      </c>
      <c r="C1056" s="5">
        <v>46118</v>
      </c>
      <c r="D1056" t="s">
        <v>114</v>
      </c>
      <c r="E1056">
        <v>75</v>
      </c>
      <c r="F1056" s="6">
        <v>315.20999999999998</v>
      </c>
      <c r="G1056" s="6">
        <v>0</v>
      </c>
      <c r="H1056" s="6">
        <v>9.9600000000000009</v>
      </c>
      <c r="I1056" s="6">
        <v>113.89</v>
      </c>
      <c r="J1056" s="6">
        <v>429.1</v>
      </c>
    </row>
    <row r="1057" spans="2:10" ht="18.75">
      <c r="B1057">
        <v>15</v>
      </c>
      <c r="C1057" s="5">
        <v>46118</v>
      </c>
      <c r="D1057" t="s">
        <v>142</v>
      </c>
      <c r="E1057">
        <v>32</v>
      </c>
      <c r="F1057" s="6">
        <v>131.56</v>
      </c>
      <c r="G1057" s="6">
        <v>0</v>
      </c>
      <c r="H1057" s="6">
        <v>2.65</v>
      </c>
      <c r="I1057" s="6">
        <v>0</v>
      </c>
      <c r="J1057" s="6">
        <v>131.56</v>
      </c>
    </row>
    <row r="1058" spans="2:10" ht="18.75">
      <c r="B1058">
        <v>15</v>
      </c>
      <c r="C1058" s="5">
        <v>46118</v>
      </c>
      <c r="D1058" t="s">
        <v>151</v>
      </c>
      <c r="E1058">
        <v>153</v>
      </c>
      <c r="F1058" s="6">
        <v>732.8</v>
      </c>
      <c r="G1058" s="6">
        <v>0</v>
      </c>
      <c r="H1058" s="6">
        <v>17.260000000000002</v>
      </c>
      <c r="I1058" s="6">
        <v>0</v>
      </c>
      <c r="J1058" s="6">
        <v>732.8</v>
      </c>
    </row>
    <row r="1059" spans="2:10" ht="18.75">
      <c r="B1059">
        <v>15</v>
      </c>
      <c r="C1059" s="5">
        <v>46118</v>
      </c>
      <c r="D1059" t="s">
        <v>122</v>
      </c>
      <c r="E1059">
        <v>64</v>
      </c>
      <c r="F1059" s="6">
        <v>308.88</v>
      </c>
      <c r="G1059" s="6">
        <v>0</v>
      </c>
      <c r="H1059" s="6">
        <v>12.78</v>
      </c>
      <c r="I1059" s="6">
        <v>0</v>
      </c>
      <c r="J1059" s="6">
        <v>308.88</v>
      </c>
    </row>
    <row r="1060" spans="2:10" ht="18.75">
      <c r="B1060">
        <v>15</v>
      </c>
      <c r="C1060" s="5">
        <v>46118</v>
      </c>
      <c r="D1060" t="s">
        <v>134</v>
      </c>
      <c r="E1060">
        <v>62</v>
      </c>
      <c r="F1060" s="6">
        <v>379.6</v>
      </c>
      <c r="G1060" s="6">
        <v>0</v>
      </c>
      <c r="H1060" s="6">
        <v>15.41</v>
      </c>
      <c r="I1060" s="6">
        <v>0</v>
      </c>
      <c r="J1060" s="6">
        <v>379.6</v>
      </c>
    </row>
    <row r="1061" spans="2:10" ht="18.75">
      <c r="B1061">
        <v>15</v>
      </c>
      <c r="C1061" s="5">
        <v>46118</v>
      </c>
      <c r="D1061" t="s">
        <v>145</v>
      </c>
      <c r="E1061">
        <v>33</v>
      </c>
      <c r="F1061" s="6">
        <v>177.72</v>
      </c>
      <c r="G1061" s="6">
        <v>0</v>
      </c>
      <c r="H1061" s="6">
        <v>10.97</v>
      </c>
      <c r="I1061" s="6">
        <v>0</v>
      </c>
      <c r="J1061" s="6">
        <v>177.72</v>
      </c>
    </row>
    <row r="1062" spans="2:10" ht="18.75">
      <c r="B1062">
        <v>15</v>
      </c>
      <c r="C1062" s="5">
        <v>46118</v>
      </c>
      <c r="D1062" t="s">
        <v>127</v>
      </c>
      <c r="E1062">
        <v>42</v>
      </c>
      <c r="F1062" s="6">
        <v>217</v>
      </c>
      <c r="G1062" s="6">
        <v>0</v>
      </c>
      <c r="H1062" s="6">
        <v>8.66</v>
      </c>
      <c r="I1062" s="6">
        <v>0</v>
      </c>
      <c r="J1062" s="6">
        <v>217</v>
      </c>
    </row>
    <row r="1063" spans="2:10" ht="18.75">
      <c r="B1063">
        <v>15</v>
      </c>
      <c r="C1063" s="5">
        <v>46118</v>
      </c>
      <c r="D1063" t="s">
        <v>111</v>
      </c>
      <c r="E1063">
        <v>45</v>
      </c>
      <c r="F1063" s="6">
        <v>169.32</v>
      </c>
      <c r="G1063" s="6">
        <v>0</v>
      </c>
      <c r="H1063" s="6">
        <v>4.59</v>
      </c>
      <c r="I1063" s="6">
        <v>0</v>
      </c>
      <c r="J1063" s="6">
        <v>169.32</v>
      </c>
    </row>
    <row r="1064" spans="2:10" ht="18.75">
      <c r="B1064">
        <v>15</v>
      </c>
      <c r="C1064" s="5">
        <v>46118</v>
      </c>
      <c r="D1064" t="s">
        <v>149</v>
      </c>
      <c r="E1064">
        <v>28</v>
      </c>
      <c r="F1064" s="6">
        <v>88.57</v>
      </c>
      <c r="G1064" s="6">
        <v>0</v>
      </c>
      <c r="H1064" s="6">
        <v>2.66</v>
      </c>
      <c r="I1064" s="6">
        <v>0</v>
      </c>
      <c r="J1064" s="6">
        <v>88.57</v>
      </c>
    </row>
    <row r="1065" spans="2:10" ht="18.75">
      <c r="B1065">
        <v>15</v>
      </c>
      <c r="C1065" s="5">
        <v>46118</v>
      </c>
      <c r="D1065" t="s">
        <v>112</v>
      </c>
      <c r="E1065">
        <v>13</v>
      </c>
      <c r="F1065" s="6">
        <v>41.62</v>
      </c>
      <c r="G1065" s="6">
        <v>0</v>
      </c>
      <c r="H1065" s="6">
        <v>4.18</v>
      </c>
      <c r="I1065" s="6">
        <v>0</v>
      </c>
      <c r="J1065" s="6">
        <v>41.62</v>
      </c>
    </row>
    <row r="1066" spans="2:10" ht="18.75">
      <c r="B1066">
        <v>15</v>
      </c>
      <c r="C1066" s="5">
        <v>46118</v>
      </c>
      <c r="D1066" t="s">
        <v>148</v>
      </c>
      <c r="E1066">
        <v>25</v>
      </c>
      <c r="F1066" s="6">
        <v>128.33000000000001</v>
      </c>
      <c r="G1066" s="6">
        <v>0</v>
      </c>
      <c r="H1066" s="6">
        <v>10.119999999999999</v>
      </c>
      <c r="I1066" s="6">
        <v>0</v>
      </c>
      <c r="J1066" s="6">
        <v>128.33000000000001</v>
      </c>
    </row>
    <row r="1067" spans="2:10" ht="18.75">
      <c r="B1067">
        <v>15</v>
      </c>
      <c r="C1067" s="5">
        <v>46118</v>
      </c>
      <c r="D1067" t="s">
        <v>128</v>
      </c>
      <c r="E1067">
        <v>29</v>
      </c>
      <c r="F1067" s="6">
        <v>121.13</v>
      </c>
      <c r="G1067" s="6">
        <v>0</v>
      </c>
      <c r="H1067" s="6">
        <v>3.63</v>
      </c>
      <c r="I1067" s="6">
        <v>0</v>
      </c>
      <c r="J1067" s="6">
        <v>121.13</v>
      </c>
    </row>
    <row r="1068" spans="2:10" ht="18.75">
      <c r="B1068">
        <v>15</v>
      </c>
      <c r="C1068" s="5">
        <v>46118</v>
      </c>
      <c r="D1068" t="s">
        <v>136</v>
      </c>
      <c r="E1068">
        <v>27</v>
      </c>
      <c r="F1068" s="6">
        <v>66.180000000000007</v>
      </c>
      <c r="G1068" s="6">
        <v>0</v>
      </c>
      <c r="H1068" s="6">
        <v>7.22</v>
      </c>
      <c r="I1068" s="6">
        <v>40.44</v>
      </c>
      <c r="J1068" s="6">
        <v>106.62</v>
      </c>
    </row>
    <row r="1069" spans="2:10" ht="18.75">
      <c r="B1069">
        <v>15</v>
      </c>
      <c r="C1069" s="5">
        <v>46118</v>
      </c>
      <c r="D1069" t="s">
        <v>150</v>
      </c>
      <c r="E1069">
        <v>19</v>
      </c>
      <c r="F1069" s="6">
        <v>99.92</v>
      </c>
      <c r="G1069" s="6">
        <v>0</v>
      </c>
      <c r="H1069" s="6">
        <v>0</v>
      </c>
      <c r="I1069" s="6">
        <v>0</v>
      </c>
      <c r="J1069" s="6">
        <v>99.92</v>
      </c>
    </row>
    <row r="1070" spans="2:10" ht="18.75">
      <c r="B1070">
        <v>15</v>
      </c>
      <c r="C1070" s="5">
        <v>46118</v>
      </c>
      <c r="D1070" t="s">
        <v>117</v>
      </c>
      <c r="E1070">
        <v>52</v>
      </c>
      <c r="F1070" s="6">
        <v>295.25</v>
      </c>
      <c r="G1070" s="6">
        <v>0</v>
      </c>
      <c r="H1070" s="6">
        <v>20.95</v>
      </c>
      <c r="I1070" s="6">
        <v>0</v>
      </c>
      <c r="J1070" s="6">
        <v>295.25</v>
      </c>
    </row>
    <row r="1071" spans="2:10" ht="18.75">
      <c r="B1071">
        <v>15</v>
      </c>
      <c r="C1071" s="5">
        <v>46118</v>
      </c>
      <c r="D1071" t="s">
        <v>120</v>
      </c>
      <c r="E1071">
        <v>17</v>
      </c>
      <c r="F1071" s="6">
        <v>63.15</v>
      </c>
      <c r="G1071" s="6">
        <v>0</v>
      </c>
      <c r="H1071" s="6">
        <v>1.58</v>
      </c>
      <c r="I1071" s="6">
        <v>0</v>
      </c>
      <c r="J1071" s="6">
        <v>63.15</v>
      </c>
    </row>
    <row r="1072" spans="2:10" ht="18.75">
      <c r="B1072">
        <v>15</v>
      </c>
      <c r="C1072" s="5">
        <v>46118</v>
      </c>
      <c r="D1072" t="s">
        <v>212</v>
      </c>
      <c r="E1072">
        <v>10</v>
      </c>
      <c r="F1072" s="6">
        <v>44.04</v>
      </c>
      <c r="G1072" s="6">
        <v>0</v>
      </c>
      <c r="H1072" s="6">
        <v>1.2</v>
      </c>
      <c r="I1072" s="6">
        <v>0</v>
      </c>
      <c r="J1072" s="6">
        <v>44.04</v>
      </c>
    </row>
    <row r="1073" spans="2:10" ht="18.75">
      <c r="B1073">
        <v>15</v>
      </c>
      <c r="C1073" s="5">
        <v>46118</v>
      </c>
      <c r="D1073" t="s">
        <v>116</v>
      </c>
      <c r="E1073">
        <v>19</v>
      </c>
      <c r="F1073" s="6">
        <v>62.65</v>
      </c>
      <c r="G1073" s="6">
        <v>0</v>
      </c>
      <c r="H1073" s="6">
        <v>0.9</v>
      </c>
      <c r="I1073" s="6">
        <v>0</v>
      </c>
      <c r="J1073" s="6">
        <v>62.65</v>
      </c>
    </row>
    <row r="1074" spans="2:10" ht="18.75">
      <c r="B1074">
        <v>15</v>
      </c>
      <c r="C1074" s="5">
        <v>46118</v>
      </c>
      <c r="D1074" t="s">
        <v>132</v>
      </c>
      <c r="E1074">
        <v>54</v>
      </c>
      <c r="F1074" s="6">
        <v>190.87</v>
      </c>
      <c r="G1074" s="6">
        <v>0</v>
      </c>
      <c r="H1074" s="6">
        <v>6.09</v>
      </c>
      <c r="I1074" s="6">
        <v>0</v>
      </c>
      <c r="J1074" s="6">
        <v>190.87</v>
      </c>
    </row>
    <row r="1075" spans="2:10" ht="18.75">
      <c r="B1075">
        <v>15</v>
      </c>
      <c r="C1075" s="5">
        <v>46118</v>
      </c>
      <c r="D1075" t="s">
        <v>135</v>
      </c>
      <c r="E1075">
        <v>10</v>
      </c>
      <c r="F1075" s="6">
        <v>38.64</v>
      </c>
      <c r="G1075" s="6">
        <v>0</v>
      </c>
      <c r="H1075" s="6">
        <v>1.2</v>
      </c>
      <c r="I1075" s="6">
        <v>14.64</v>
      </c>
      <c r="J1075" s="6">
        <v>53.28</v>
      </c>
    </row>
    <row r="1076" spans="2:10" ht="18.75">
      <c r="B1076">
        <v>15</v>
      </c>
      <c r="C1076" s="5">
        <v>46118</v>
      </c>
      <c r="D1076" t="s">
        <v>125</v>
      </c>
      <c r="E1076">
        <v>7</v>
      </c>
      <c r="F1076" s="6">
        <v>30.47</v>
      </c>
      <c r="G1076" s="6">
        <v>0</v>
      </c>
      <c r="H1076" s="6">
        <v>4.26</v>
      </c>
      <c r="I1076" s="6">
        <v>0</v>
      </c>
      <c r="J1076" s="6">
        <v>30.47</v>
      </c>
    </row>
    <row r="1077" spans="2:10" ht="18.75">
      <c r="B1077">
        <v>15</v>
      </c>
      <c r="C1077" s="5">
        <v>46118</v>
      </c>
      <c r="D1077" t="s">
        <v>137</v>
      </c>
      <c r="E1077">
        <v>9</v>
      </c>
      <c r="F1077" s="6">
        <v>34.950000000000003</v>
      </c>
      <c r="G1077" s="6">
        <v>0</v>
      </c>
      <c r="H1077" s="6">
        <v>0.46</v>
      </c>
      <c r="I1077" s="6">
        <v>17.62</v>
      </c>
      <c r="J1077" s="6">
        <v>52.57</v>
      </c>
    </row>
    <row r="1078" spans="2:10" ht="18.75">
      <c r="B1078">
        <v>17</v>
      </c>
      <c r="C1078" s="5">
        <v>46132</v>
      </c>
      <c r="D1078" t="s">
        <v>139</v>
      </c>
      <c r="E1078">
        <v>71</v>
      </c>
      <c r="F1078" s="6">
        <v>336.09</v>
      </c>
      <c r="G1078" s="6">
        <v>0</v>
      </c>
      <c r="H1078" s="6">
        <v>28.12</v>
      </c>
      <c r="I1078" s="6">
        <v>0</v>
      </c>
      <c r="J1078" s="6">
        <v>336.09</v>
      </c>
    </row>
    <row r="1079" spans="2:10" ht="18.75">
      <c r="B1079">
        <v>17</v>
      </c>
      <c r="C1079" s="5">
        <v>46132</v>
      </c>
      <c r="D1079" t="s">
        <v>124</v>
      </c>
      <c r="E1079">
        <v>137</v>
      </c>
      <c r="F1079" s="6">
        <v>444.57</v>
      </c>
      <c r="G1079" s="6">
        <v>0</v>
      </c>
      <c r="H1079" s="6">
        <v>12.37</v>
      </c>
      <c r="I1079" s="6">
        <v>0</v>
      </c>
      <c r="J1079" s="6">
        <v>444.57</v>
      </c>
    </row>
    <row r="1080" spans="2:10" ht="18.75">
      <c r="B1080">
        <v>17</v>
      </c>
      <c r="C1080" s="5">
        <v>46132</v>
      </c>
      <c r="D1080" t="s">
        <v>118</v>
      </c>
      <c r="E1080">
        <v>66</v>
      </c>
      <c r="F1080" s="6">
        <v>232.38</v>
      </c>
      <c r="G1080" s="6">
        <v>0</v>
      </c>
      <c r="H1080" s="6">
        <v>2.29</v>
      </c>
      <c r="I1080" s="6">
        <v>0</v>
      </c>
      <c r="J1080" s="6">
        <v>232.38</v>
      </c>
    </row>
    <row r="1081" spans="2:10" ht="18.75">
      <c r="B1081">
        <v>17</v>
      </c>
      <c r="C1081" s="5">
        <v>46132</v>
      </c>
      <c r="D1081" t="s">
        <v>121</v>
      </c>
      <c r="E1081">
        <v>90</v>
      </c>
      <c r="F1081" s="6">
        <v>265.33</v>
      </c>
      <c r="G1081" s="6">
        <v>0</v>
      </c>
      <c r="H1081" s="6">
        <v>21.8</v>
      </c>
      <c r="I1081" s="6">
        <v>0</v>
      </c>
      <c r="J1081" s="6">
        <v>265.33</v>
      </c>
    </row>
    <row r="1082" spans="2:10" ht="18.75">
      <c r="B1082">
        <v>17</v>
      </c>
      <c r="C1082" s="5">
        <v>46132</v>
      </c>
      <c r="D1082" t="s">
        <v>143</v>
      </c>
      <c r="E1082">
        <v>804</v>
      </c>
      <c r="F1082" s="6">
        <v>3656.76999999999</v>
      </c>
      <c r="G1082" s="6">
        <v>7.37</v>
      </c>
      <c r="H1082" s="6">
        <v>62.52</v>
      </c>
      <c r="I1082" s="6">
        <v>0</v>
      </c>
      <c r="J1082" s="6">
        <v>3649.3999999999901</v>
      </c>
    </row>
    <row r="1083" spans="2:10" ht="18.75">
      <c r="B1083">
        <v>17</v>
      </c>
      <c r="C1083" s="5">
        <v>46132</v>
      </c>
      <c r="D1083" t="s">
        <v>151</v>
      </c>
      <c r="E1083">
        <v>216</v>
      </c>
      <c r="F1083" s="6">
        <v>1076.9000000000001</v>
      </c>
      <c r="G1083" s="6">
        <v>0</v>
      </c>
      <c r="H1083" s="6">
        <v>29.36</v>
      </c>
      <c r="I1083" s="6">
        <v>0</v>
      </c>
      <c r="J1083" s="6">
        <v>1076.9000000000001</v>
      </c>
    </row>
    <row r="1084" spans="2:10" ht="18.75">
      <c r="B1084">
        <v>17</v>
      </c>
      <c r="C1084" s="5">
        <v>46132</v>
      </c>
      <c r="D1084" t="s">
        <v>115</v>
      </c>
      <c r="E1084">
        <v>74</v>
      </c>
      <c r="F1084" s="6">
        <v>222</v>
      </c>
      <c r="G1084" s="6">
        <v>0</v>
      </c>
      <c r="H1084" s="6">
        <v>0</v>
      </c>
      <c r="I1084" s="6">
        <v>0</v>
      </c>
      <c r="J1084" s="6">
        <v>222</v>
      </c>
    </row>
    <row r="1085" spans="2:10" ht="18.75">
      <c r="B1085">
        <v>17</v>
      </c>
      <c r="C1085" s="5">
        <v>46132</v>
      </c>
      <c r="D1085" t="s">
        <v>144</v>
      </c>
      <c r="E1085">
        <v>124</v>
      </c>
      <c r="F1085" s="6">
        <v>582.59</v>
      </c>
      <c r="G1085" s="6">
        <v>0</v>
      </c>
      <c r="H1085" s="6">
        <v>19.8</v>
      </c>
      <c r="I1085" s="6">
        <v>0</v>
      </c>
      <c r="J1085" s="6">
        <v>582.59</v>
      </c>
    </row>
    <row r="1086" spans="2:10" ht="18.75">
      <c r="B1086">
        <v>17</v>
      </c>
      <c r="C1086" s="5">
        <v>46132</v>
      </c>
      <c r="D1086" t="s">
        <v>146</v>
      </c>
      <c r="E1086">
        <v>171</v>
      </c>
      <c r="F1086" s="6">
        <v>950.88</v>
      </c>
      <c r="G1086" s="6">
        <v>0</v>
      </c>
      <c r="H1086" s="6">
        <v>25.56</v>
      </c>
      <c r="I1086" s="6">
        <v>0</v>
      </c>
      <c r="J1086" s="6">
        <v>950.88</v>
      </c>
    </row>
    <row r="1087" spans="2:10" ht="18.75">
      <c r="B1087">
        <v>17</v>
      </c>
      <c r="C1087" s="5">
        <v>46132</v>
      </c>
      <c r="D1087" t="s">
        <v>129</v>
      </c>
      <c r="E1087">
        <v>151</v>
      </c>
      <c r="F1087" s="6">
        <v>7.09</v>
      </c>
      <c r="G1087" s="6">
        <v>0</v>
      </c>
      <c r="H1087" s="6">
        <v>0</v>
      </c>
      <c r="I1087" s="6">
        <v>659.47</v>
      </c>
      <c r="J1087" s="6">
        <v>666.56</v>
      </c>
    </row>
    <row r="1088" spans="2:10" ht="18.75">
      <c r="B1088">
        <v>17</v>
      </c>
      <c r="C1088" s="5">
        <v>46132</v>
      </c>
      <c r="D1088" t="s">
        <v>148</v>
      </c>
      <c r="E1088">
        <v>24</v>
      </c>
      <c r="F1088" s="6">
        <v>110.14</v>
      </c>
      <c r="G1088" s="6">
        <v>0</v>
      </c>
      <c r="H1088" s="6">
        <v>5.73</v>
      </c>
      <c r="I1088" s="6">
        <v>0</v>
      </c>
      <c r="J1088" s="6">
        <v>110.14</v>
      </c>
    </row>
    <row r="1089" spans="2:10" ht="18.75">
      <c r="B1089">
        <v>17</v>
      </c>
      <c r="C1089" s="5">
        <v>46132</v>
      </c>
      <c r="D1089" t="s">
        <v>147</v>
      </c>
      <c r="E1089">
        <v>97</v>
      </c>
      <c r="F1089" s="6">
        <v>475.61</v>
      </c>
      <c r="G1089" s="6">
        <v>0</v>
      </c>
      <c r="H1089" s="6">
        <v>14.99</v>
      </c>
      <c r="I1089" s="6">
        <v>0</v>
      </c>
      <c r="J1089" s="6">
        <v>475.61</v>
      </c>
    </row>
    <row r="1090" spans="2:10" ht="18.75">
      <c r="B1090">
        <v>17</v>
      </c>
      <c r="C1090" s="5">
        <v>46132</v>
      </c>
      <c r="D1090" t="s">
        <v>134</v>
      </c>
      <c r="E1090">
        <v>95</v>
      </c>
      <c r="F1090" s="6">
        <v>557.42999999999995</v>
      </c>
      <c r="G1090" s="6">
        <v>0</v>
      </c>
      <c r="H1090" s="6">
        <v>9.83</v>
      </c>
      <c r="I1090" s="6">
        <v>0</v>
      </c>
      <c r="J1090" s="6">
        <v>557.42999999999995</v>
      </c>
    </row>
    <row r="1091" spans="2:10" ht="18.75">
      <c r="B1091">
        <v>17</v>
      </c>
      <c r="C1091" s="5">
        <v>46132</v>
      </c>
      <c r="D1091" t="s">
        <v>141</v>
      </c>
      <c r="E1091">
        <v>249</v>
      </c>
      <c r="F1091" s="6">
        <v>865.81000000000097</v>
      </c>
      <c r="G1091" s="6">
        <v>0</v>
      </c>
      <c r="H1091" s="6">
        <v>16.27</v>
      </c>
      <c r="I1091" s="6">
        <v>0</v>
      </c>
      <c r="J1091" s="6">
        <v>865.81000000000097</v>
      </c>
    </row>
    <row r="1092" spans="2:10" ht="18.75">
      <c r="B1092">
        <v>17</v>
      </c>
      <c r="C1092" s="5">
        <v>46132</v>
      </c>
      <c r="D1092" t="s">
        <v>117</v>
      </c>
      <c r="E1092">
        <v>56</v>
      </c>
      <c r="F1092" s="6">
        <v>265.74</v>
      </c>
      <c r="G1092" s="6">
        <v>0</v>
      </c>
      <c r="H1092" s="6">
        <v>26.53</v>
      </c>
      <c r="I1092" s="6">
        <v>0</v>
      </c>
      <c r="J1092" s="6">
        <v>265.74</v>
      </c>
    </row>
    <row r="1093" spans="2:10" ht="18.75">
      <c r="B1093">
        <v>17</v>
      </c>
      <c r="C1093" s="5">
        <v>46132</v>
      </c>
      <c r="D1093" t="s">
        <v>119</v>
      </c>
      <c r="E1093">
        <v>143</v>
      </c>
      <c r="F1093" s="6">
        <v>580.64</v>
      </c>
      <c r="G1093" s="6">
        <v>0</v>
      </c>
      <c r="H1093" s="6">
        <v>15.46</v>
      </c>
      <c r="I1093" s="6">
        <v>5</v>
      </c>
      <c r="J1093" s="6">
        <v>585.64</v>
      </c>
    </row>
    <row r="1094" spans="2:10" ht="18.75">
      <c r="B1094">
        <v>17</v>
      </c>
      <c r="C1094" s="5">
        <v>46132</v>
      </c>
      <c r="D1094" t="s">
        <v>133</v>
      </c>
      <c r="E1094">
        <v>79</v>
      </c>
      <c r="F1094" s="6">
        <v>449.25</v>
      </c>
      <c r="G1094" s="6">
        <v>0</v>
      </c>
      <c r="H1094" s="6">
        <v>28.48</v>
      </c>
      <c r="I1094" s="6">
        <v>0</v>
      </c>
      <c r="J1094" s="6">
        <v>449.25</v>
      </c>
    </row>
    <row r="1095" spans="2:10" ht="18.75">
      <c r="B1095">
        <v>17</v>
      </c>
      <c r="C1095" s="5">
        <v>46132</v>
      </c>
      <c r="D1095" t="s">
        <v>123</v>
      </c>
      <c r="E1095">
        <v>188</v>
      </c>
      <c r="F1095" s="6">
        <v>760.16</v>
      </c>
      <c r="G1095" s="6">
        <v>0</v>
      </c>
      <c r="H1095" s="6">
        <v>33.97</v>
      </c>
      <c r="I1095" s="6">
        <v>0</v>
      </c>
      <c r="J1095" s="6">
        <v>760.16</v>
      </c>
    </row>
    <row r="1096" spans="2:10" ht="18.75">
      <c r="B1096">
        <v>17</v>
      </c>
      <c r="C1096" s="5">
        <v>46132</v>
      </c>
      <c r="D1096" t="s">
        <v>111</v>
      </c>
      <c r="E1096">
        <v>47</v>
      </c>
      <c r="F1096" s="6">
        <v>187.21</v>
      </c>
      <c r="G1096" s="6">
        <v>0</v>
      </c>
      <c r="H1096" s="6">
        <v>0</v>
      </c>
      <c r="I1096" s="6">
        <v>0</v>
      </c>
      <c r="J1096" s="6">
        <v>187.21</v>
      </c>
    </row>
    <row r="1097" spans="2:10" ht="18.75">
      <c r="B1097">
        <v>17</v>
      </c>
      <c r="C1097" s="5">
        <v>46132</v>
      </c>
      <c r="D1097" t="s">
        <v>138</v>
      </c>
      <c r="E1097">
        <v>112</v>
      </c>
      <c r="F1097" s="6">
        <v>583.59</v>
      </c>
      <c r="G1097" s="6">
        <v>5.4</v>
      </c>
      <c r="H1097" s="6">
        <v>43.09</v>
      </c>
      <c r="I1097" s="6">
        <v>2.38</v>
      </c>
      <c r="J1097" s="6">
        <v>580.57000000000005</v>
      </c>
    </row>
    <row r="1098" spans="2:10" ht="18.75">
      <c r="B1098">
        <v>17</v>
      </c>
      <c r="C1098" s="5">
        <v>46132</v>
      </c>
      <c r="D1098" t="s">
        <v>130</v>
      </c>
      <c r="E1098">
        <v>138</v>
      </c>
      <c r="F1098" s="6">
        <v>646.98</v>
      </c>
      <c r="G1098" s="6">
        <v>0</v>
      </c>
      <c r="H1098" s="6">
        <v>9.36</v>
      </c>
      <c r="I1098" s="6">
        <v>0</v>
      </c>
      <c r="J1098" s="6">
        <v>646.98</v>
      </c>
    </row>
    <row r="1099" spans="2:10" ht="18.75">
      <c r="B1099">
        <v>17</v>
      </c>
      <c r="C1099" s="5">
        <v>46132</v>
      </c>
      <c r="D1099" t="s">
        <v>114</v>
      </c>
      <c r="E1099">
        <v>91</v>
      </c>
      <c r="F1099" s="6">
        <v>374.98</v>
      </c>
      <c r="G1099" s="6">
        <v>0</v>
      </c>
      <c r="H1099" s="6">
        <v>22.09</v>
      </c>
      <c r="I1099" s="6">
        <v>132.66999999999999</v>
      </c>
      <c r="J1099" s="6">
        <v>507.65</v>
      </c>
    </row>
    <row r="1100" spans="2:10" ht="18.75">
      <c r="B1100">
        <v>17</v>
      </c>
      <c r="C1100" s="5">
        <v>46132</v>
      </c>
      <c r="D1100" t="s">
        <v>122</v>
      </c>
      <c r="E1100">
        <v>94</v>
      </c>
      <c r="F1100" s="6">
        <v>482.07</v>
      </c>
      <c r="G1100" s="6">
        <v>0</v>
      </c>
      <c r="H1100" s="6">
        <v>19.850000000000001</v>
      </c>
      <c r="I1100" s="6">
        <v>0</v>
      </c>
      <c r="J1100" s="6">
        <v>482.07</v>
      </c>
    </row>
    <row r="1101" spans="2:10" ht="18.75">
      <c r="B1101">
        <v>17</v>
      </c>
      <c r="C1101" s="5">
        <v>46132</v>
      </c>
      <c r="D1101" t="s">
        <v>142</v>
      </c>
      <c r="E1101">
        <v>41</v>
      </c>
      <c r="F1101" s="6">
        <v>195.82</v>
      </c>
      <c r="G1101" s="6">
        <v>0</v>
      </c>
      <c r="H1101" s="6">
        <v>1.68</v>
      </c>
      <c r="I1101" s="6">
        <v>0</v>
      </c>
      <c r="J1101" s="6">
        <v>195.82</v>
      </c>
    </row>
    <row r="1102" spans="2:10" ht="18.75">
      <c r="B1102">
        <v>17</v>
      </c>
      <c r="C1102" s="5">
        <v>46132</v>
      </c>
      <c r="D1102" t="s">
        <v>145</v>
      </c>
      <c r="E1102">
        <v>54</v>
      </c>
      <c r="F1102" s="6">
        <v>350.95</v>
      </c>
      <c r="G1102" s="6">
        <v>0</v>
      </c>
      <c r="H1102" s="6">
        <v>0.49</v>
      </c>
      <c r="I1102" s="6">
        <v>0</v>
      </c>
      <c r="J1102" s="6">
        <v>350.95</v>
      </c>
    </row>
    <row r="1103" spans="2:10" ht="18.75">
      <c r="B1103">
        <v>17</v>
      </c>
      <c r="C1103" s="5">
        <v>46132</v>
      </c>
      <c r="D1103" t="s">
        <v>136</v>
      </c>
      <c r="E1103">
        <v>52</v>
      </c>
      <c r="F1103" s="6">
        <v>134.91</v>
      </c>
      <c r="G1103" s="6">
        <v>0</v>
      </c>
      <c r="H1103" s="6">
        <v>3.49</v>
      </c>
      <c r="I1103" s="6">
        <v>85.18</v>
      </c>
      <c r="J1103" s="6">
        <v>220.09</v>
      </c>
    </row>
    <row r="1104" spans="2:10" ht="18.75">
      <c r="B1104">
        <v>17</v>
      </c>
      <c r="C1104" s="5">
        <v>46132</v>
      </c>
      <c r="D1104" t="s">
        <v>127</v>
      </c>
      <c r="E1104">
        <v>95</v>
      </c>
      <c r="F1104" s="6">
        <v>492.15</v>
      </c>
      <c r="G1104" s="6">
        <v>0</v>
      </c>
      <c r="H1104" s="6">
        <v>8.34</v>
      </c>
      <c r="I1104" s="6">
        <v>0</v>
      </c>
      <c r="J1104" s="6">
        <v>492.15</v>
      </c>
    </row>
    <row r="1105" spans="2:10" ht="18.75">
      <c r="B1105">
        <v>17</v>
      </c>
      <c r="C1105" s="5">
        <v>46132</v>
      </c>
      <c r="D1105" t="s">
        <v>128</v>
      </c>
      <c r="E1105">
        <v>46</v>
      </c>
      <c r="F1105" s="6">
        <v>215.04</v>
      </c>
      <c r="G1105" s="6">
        <v>0</v>
      </c>
      <c r="H1105" s="6">
        <v>0.69</v>
      </c>
      <c r="I1105" s="6">
        <v>0</v>
      </c>
      <c r="J1105" s="6">
        <v>215.04</v>
      </c>
    </row>
    <row r="1106" spans="2:10" ht="18.75">
      <c r="B1106">
        <v>17</v>
      </c>
      <c r="C1106" s="5">
        <v>46132</v>
      </c>
      <c r="D1106" t="s">
        <v>126</v>
      </c>
      <c r="E1106">
        <v>59</v>
      </c>
      <c r="F1106" s="6">
        <v>229.26</v>
      </c>
      <c r="G1106" s="6">
        <v>0</v>
      </c>
      <c r="H1106" s="6">
        <v>8.01</v>
      </c>
      <c r="I1106" s="6">
        <v>0</v>
      </c>
      <c r="J1106" s="6">
        <v>229.26</v>
      </c>
    </row>
    <row r="1107" spans="2:10" ht="18.75">
      <c r="B1107">
        <v>17</v>
      </c>
      <c r="C1107" s="5">
        <v>46132</v>
      </c>
      <c r="D1107" t="s">
        <v>120</v>
      </c>
      <c r="E1107">
        <v>21</v>
      </c>
      <c r="F1107" s="6">
        <v>91.2</v>
      </c>
      <c r="G1107" s="6">
        <v>0</v>
      </c>
      <c r="H1107" s="6">
        <v>2.4</v>
      </c>
      <c r="I1107" s="6">
        <v>0</v>
      </c>
      <c r="J1107" s="6">
        <v>91.2</v>
      </c>
    </row>
    <row r="1108" spans="2:10" ht="18.75">
      <c r="B1108">
        <v>17</v>
      </c>
      <c r="C1108" s="5">
        <v>46132</v>
      </c>
      <c r="D1108" t="s">
        <v>113</v>
      </c>
      <c r="E1108">
        <v>92</v>
      </c>
      <c r="F1108" s="6">
        <v>327.27</v>
      </c>
      <c r="G1108" s="6">
        <v>0</v>
      </c>
      <c r="H1108" s="6">
        <v>5.53</v>
      </c>
      <c r="I1108" s="6">
        <v>1.26</v>
      </c>
      <c r="J1108" s="6">
        <v>328.53</v>
      </c>
    </row>
    <row r="1109" spans="2:10" ht="18.75">
      <c r="B1109">
        <v>17</v>
      </c>
      <c r="C1109" s="5">
        <v>46132</v>
      </c>
      <c r="D1109" t="s">
        <v>132</v>
      </c>
      <c r="E1109">
        <v>80</v>
      </c>
      <c r="F1109" s="6">
        <v>311.62</v>
      </c>
      <c r="G1109" s="6">
        <v>0</v>
      </c>
      <c r="H1109" s="6">
        <v>2.2999999999999998</v>
      </c>
      <c r="I1109" s="6">
        <v>0</v>
      </c>
      <c r="J1109" s="6">
        <v>311.62</v>
      </c>
    </row>
    <row r="1110" spans="2:10" ht="18.75">
      <c r="B1110">
        <v>17</v>
      </c>
      <c r="C1110" s="5">
        <v>46132</v>
      </c>
      <c r="D1110" t="s">
        <v>116</v>
      </c>
      <c r="E1110">
        <v>39</v>
      </c>
      <c r="F1110" s="6">
        <v>143.04</v>
      </c>
      <c r="G1110" s="6">
        <v>0</v>
      </c>
      <c r="H1110" s="6">
        <v>3.98</v>
      </c>
      <c r="I1110" s="6">
        <v>0</v>
      </c>
      <c r="J1110" s="6">
        <v>143.04</v>
      </c>
    </row>
    <row r="1111" spans="2:10" ht="18.75">
      <c r="B1111">
        <v>17</v>
      </c>
      <c r="C1111" s="5">
        <v>46132</v>
      </c>
      <c r="D1111" t="s">
        <v>112</v>
      </c>
      <c r="E1111">
        <v>23</v>
      </c>
      <c r="F1111" s="6">
        <v>74.27</v>
      </c>
      <c r="G1111" s="6">
        <v>0</v>
      </c>
      <c r="H1111" s="6">
        <v>4.05</v>
      </c>
      <c r="I1111" s="6">
        <v>0</v>
      </c>
      <c r="J1111" s="6">
        <v>74.27</v>
      </c>
    </row>
    <row r="1112" spans="2:10" ht="18.75">
      <c r="B1112">
        <v>17</v>
      </c>
      <c r="C1112" s="5">
        <v>46132</v>
      </c>
      <c r="D1112" t="s">
        <v>150</v>
      </c>
      <c r="E1112">
        <v>13</v>
      </c>
      <c r="F1112" s="6">
        <v>65.72</v>
      </c>
      <c r="G1112" s="6">
        <v>0</v>
      </c>
      <c r="H1112" s="6">
        <v>3.69</v>
      </c>
      <c r="I1112" s="6">
        <v>0</v>
      </c>
      <c r="J1112" s="6">
        <v>65.72</v>
      </c>
    </row>
    <row r="1113" spans="2:10" ht="18.75">
      <c r="B1113">
        <v>17</v>
      </c>
      <c r="C1113" s="5">
        <v>46132</v>
      </c>
      <c r="D1113" t="s">
        <v>137</v>
      </c>
      <c r="E1113">
        <v>19</v>
      </c>
      <c r="F1113" s="6">
        <v>55.02</v>
      </c>
      <c r="G1113" s="6">
        <v>0</v>
      </c>
      <c r="H1113" s="6">
        <v>2.4</v>
      </c>
      <c r="I1113" s="6">
        <v>38.32</v>
      </c>
      <c r="J1113" s="6">
        <v>93.34</v>
      </c>
    </row>
    <row r="1114" spans="2:10" ht="18.75">
      <c r="B1114">
        <v>17</v>
      </c>
      <c r="C1114" s="5">
        <v>46132</v>
      </c>
      <c r="D1114" t="s">
        <v>135</v>
      </c>
      <c r="E1114">
        <v>20</v>
      </c>
      <c r="F1114" s="6">
        <v>62.13</v>
      </c>
      <c r="G1114" s="6">
        <v>0</v>
      </c>
      <c r="H1114" s="6">
        <v>1.69</v>
      </c>
      <c r="I1114" s="6">
        <v>11.86</v>
      </c>
      <c r="J1114" s="6">
        <v>73.989999999999995</v>
      </c>
    </row>
    <row r="1115" spans="2:10" ht="18.75">
      <c r="B1115">
        <v>17</v>
      </c>
      <c r="C1115" s="5">
        <v>46132</v>
      </c>
      <c r="D1115" t="s">
        <v>125</v>
      </c>
      <c r="E1115">
        <v>21</v>
      </c>
      <c r="F1115" s="6">
        <v>100.52</v>
      </c>
      <c r="G1115" s="6">
        <v>0</v>
      </c>
      <c r="H1115" s="6">
        <v>6.19</v>
      </c>
      <c r="I1115" s="6">
        <v>0</v>
      </c>
      <c r="J1115" s="6">
        <v>100.52</v>
      </c>
    </row>
    <row r="1116" spans="2:10" ht="18.75">
      <c r="B1116">
        <v>18</v>
      </c>
      <c r="C1116" s="5">
        <v>46139</v>
      </c>
      <c r="D1116" t="s">
        <v>115</v>
      </c>
      <c r="E1116">
        <v>87</v>
      </c>
      <c r="F1116" s="6">
        <v>261</v>
      </c>
      <c r="G1116" s="6">
        <v>0</v>
      </c>
      <c r="H1116" s="6">
        <v>0</v>
      </c>
      <c r="I1116" s="6">
        <v>0</v>
      </c>
      <c r="J1116" s="6">
        <v>261</v>
      </c>
    </row>
    <row r="1117" spans="2:10" ht="18.75">
      <c r="B1117">
        <v>18</v>
      </c>
      <c r="C1117" s="5">
        <v>46139</v>
      </c>
      <c r="D1117" t="s">
        <v>139</v>
      </c>
      <c r="E1117">
        <v>51</v>
      </c>
      <c r="F1117" s="6">
        <v>216.37</v>
      </c>
      <c r="G1117" s="6">
        <v>0</v>
      </c>
      <c r="H1117" s="6">
        <v>7.15</v>
      </c>
      <c r="I1117" s="6">
        <v>0</v>
      </c>
      <c r="J1117" s="6">
        <v>216.37</v>
      </c>
    </row>
    <row r="1118" spans="2:10" ht="18.75">
      <c r="B1118">
        <v>18</v>
      </c>
      <c r="C1118" s="5">
        <v>46139</v>
      </c>
      <c r="D1118" t="s">
        <v>143</v>
      </c>
      <c r="E1118">
        <v>554</v>
      </c>
      <c r="F1118" s="6">
        <v>2417.9499999999998</v>
      </c>
      <c r="G1118" s="6">
        <v>0</v>
      </c>
      <c r="H1118" s="6">
        <v>0</v>
      </c>
      <c r="I1118" s="6">
        <v>0</v>
      </c>
      <c r="J1118" s="6">
        <v>2417.9499999999998</v>
      </c>
    </row>
    <row r="1119" spans="2:10" ht="18.75">
      <c r="B1119">
        <v>18</v>
      </c>
      <c r="C1119" s="5">
        <v>46139</v>
      </c>
      <c r="D1119" t="s">
        <v>147</v>
      </c>
      <c r="E1119">
        <v>86</v>
      </c>
      <c r="F1119" s="6">
        <v>425.65</v>
      </c>
      <c r="G1119" s="6">
        <v>0</v>
      </c>
      <c r="H1119" s="6">
        <v>9.99</v>
      </c>
      <c r="I1119" s="6">
        <v>0</v>
      </c>
      <c r="J1119" s="6">
        <v>425.65</v>
      </c>
    </row>
    <row r="1120" spans="2:10" ht="18.75">
      <c r="B1120">
        <v>18</v>
      </c>
      <c r="C1120" s="5">
        <v>46139</v>
      </c>
      <c r="D1120" t="s">
        <v>117</v>
      </c>
      <c r="E1120">
        <v>35</v>
      </c>
      <c r="F1120" s="6">
        <v>192.6</v>
      </c>
      <c r="G1120" s="6">
        <v>0</v>
      </c>
      <c r="H1120" s="6">
        <v>6.65</v>
      </c>
      <c r="I1120" s="6">
        <v>0</v>
      </c>
      <c r="J1120" s="6">
        <v>192.6</v>
      </c>
    </row>
    <row r="1121" spans="2:10" ht="18.75">
      <c r="B1121">
        <v>18</v>
      </c>
      <c r="C1121" s="5">
        <v>46139</v>
      </c>
      <c r="D1121" t="s">
        <v>124</v>
      </c>
      <c r="E1121">
        <v>166</v>
      </c>
      <c r="F1121" s="6">
        <v>592.04999999999995</v>
      </c>
      <c r="G1121" s="6">
        <v>0</v>
      </c>
      <c r="H1121" s="6">
        <v>6.01</v>
      </c>
      <c r="I1121" s="6">
        <v>0</v>
      </c>
      <c r="J1121" s="6">
        <v>592.04999999999995</v>
      </c>
    </row>
    <row r="1122" spans="2:10" ht="18.75">
      <c r="B1122">
        <v>18</v>
      </c>
      <c r="C1122" s="5">
        <v>46139</v>
      </c>
      <c r="D1122" t="s">
        <v>148</v>
      </c>
      <c r="E1122">
        <v>18</v>
      </c>
      <c r="F1122" s="6">
        <v>91.67</v>
      </c>
      <c r="G1122" s="6">
        <v>0</v>
      </c>
      <c r="H1122" s="6">
        <v>1.8</v>
      </c>
      <c r="I1122" s="6">
        <v>0</v>
      </c>
      <c r="J1122" s="6">
        <v>91.67</v>
      </c>
    </row>
    <row r="1123" spans="2:10" ht="18.75">
      <c r="B1123">
        <v>18</v>
      </c>
      <c r="C1123" s="5">
        <v>46139</v>
      </c>
      <c r="D1123" t="s">
        <v>129</v>
      </c>
      <c r="E1123">
        <v>151</v>
      </c>
      <c r="F1123" s="6">
        <v>12.92</v>
      </c>
      <c r="G1123" s="6">
        <v>0</v>
      </c>
      <c r="H1123" s="6">
        <v>0</v>
      </c>
      <c r="I1123" s="6">
        <v>615.1</v>
      </c>
      <c r="J1123" s="6">
        <v>628.02</v>
      </c>
    </row>
    <row r="1124" spans="2:10" ht="18.75">
      <c r="B1124">
        <v>18</v>
      </c>
      <c r="C1124" s="5">
        <v>46139</v>
      </c>
      <c r="D1124" t="s">
        <v>151</v>
      </c>
      <c r="E1124">
        <v>156</v>
      </c>
      <c r="F1124" s="6">
        <v>834.24</v>
      </c>
      <c r="G1124" s="6">
        <v>0</v>
      </c>
      <c r="H1124" s="6">
        <v>0</v>
      </c>
      <c r="I1124" s="6">
        <v>9.8000000000000007</v>
      </c>
      <c r="J1124" s="6">
        <v>844.04</v>
      </c>
    </row>
    <row r="1125" spans="2:10" ht="18.75">
      <c r="B1125">
        <v>18</v>
      </c>
      <c r="C1125" s="5">
        <v>46139</v>
      </c>
      <c r="D1125" t="s">
        <v>112</v>
      </c>
      <c r="E1125">
        <v>20</v>
      </c>
      <c r="F1125" s="6">
        <v>50.45</v>
      </c>
      <c r="G1125" s="6">
        <v>0</v>
      </c>
      <c r="H1125" s="6">
        <v>0</v>
      </c>
      <c r="I1125" s="6">
        <v>0</v>
      </c>
      <c r="J1125" s="6">
        <v>50.45</v>
      </c>
    </row>
    <row r="1126" spans="2:10" ht="18.75">
      <c r="B1126">
        <v>18</v>
      </c>
      <c r="C1126" s="5">
        <v>46139</v>
      </c>
      <c r="D1126" t="s">
        <v>146</v>
      </c>
      <c r="E1126">
        <v>141</v>
      </c>
      <c r="F1126" s="6">
        <v>830.32</v>
      </c>
      <c r="G1126" s="6">
        <v>0</v>
      </c>
      <c r="H1126" s="6">
        <v>0</v>
      </c>
      <c r="I1126" s="6">
        <v>0</v>
      </c>
      <c r="J1126" s="6">
        <v>830.32</v>
      </c>
    </row>
    <row r="1127" spans="2:10" ht="18.75">
      <c r="B1127">
        <v>18</v>
      </c>
      <c r="C1127" s="5">
        <v>46139</v>
      </c>
      <c r="D1127" t="s">
        <v>141</v>
      </c>
      <c r="E1127">
        <v>240</v>
      </c>
      <c r="F1127" s="6">
        <v>839.58</v>
      </c>
      <c r="G1127" s="6">
        <v>0</v>
      </c>
      <c r="H1127" s="6">
        <v>0</v>
      </c>
      <c r="I1127" s="6">
        <v>0</v>
      </c>
      <c r="J1127" s="6">
        <v>839.58</v>
      </c>
    </row>
    <row r="1128" spans="2:10" ht="18.75">
      <c r="B1128">
        <v>18</v>
      </c>
      <c r="C1128" s="5">
        <v>46139</v>
      </c>
      <c r="D1128" t="s">
        <v>119</v>
      </c>
      <c r="E1128">
        <v>139</v>
      </c>
      <c r="F1128" s="6">
        <v>532.47</v>
      </c>
      <c r="G1128" s="6">
        <v>0</v>
      </c>
      <c r="H1128" s="6">
        <v>3.07</v>
      </c>
      <c r="I1128" s="6">
        <v>0</v>
      </c>
      <c r="J1128" s="6">
        <v>532.47</v>
      </c>
    </row>
    <row r="1129" spans="2:10" ht="18.75">
      <c r="B1129">
        <v>18</v>
      </c>
      <c r="C1129" s="5">
        <v>46139</v>
      </c>
      <c r="D1129" t="s">
        <v>150</v>
      </c>
      <c r="E1129">
        <v>16</v>
      </c>
      <c r="F1129" s="6">
        <v>92.47</v>
      </c>
      <c r="G1129" s="6">
        <v>0</v>
      </c>
      <c r="H1129" s="6">
        <v>0</v>
      </c>
      <c r="I1129" s="6">
        <v>0</v>
      </c>
      <c r="J1129" s="6">
        <v>92.47</v>
      </c>
    </row>
    <row r="1130" spans="2:10" ht="18.75">
      <c r="B1130">
        <v>18</v>
      </c>
      <c r="C1130" s="5">
        <v>46139</v>
      </c>
      <c r="D1130" t="s">
        <v>123</v>
      </c>
      <c r="E1130">
        <v>158</v>
      </c>
      <c r="F1130" s="6">
        <v>626.72</v>
      </c>
      <c r="G1130" s="6">
        <v>0</v>
      </c>
      <c r="H1130" s="6">
        <v>4.79</v>
      </c>
      <c r="I1130" s="6">
        <v>0</v>
      </c>
      <c r="J1130" s="6">
        <v>626.72</v>
      </c>
    </row>
    <row r="1131" spans="2:10" ht="18.75">
      <c r="B1131">
        <v>18</v>
      </c>
      <c r="C1131" s="5">
        <v>46139</v>
      </c>
      <c r="D1131" t="s">
        <v>138</v>
      </c>
      <c r="E1131">
        <v>98</v>
      </c>
      <c r="F1131" s="6">
        <v>558.84</v>
      </c>
      <c r="G1131" s="6">
        <v>0</v>
      </c>
      <c r="H1131" s="6">
        <v>1.8</v>
      </c>
      <c r="I1131" s="6">
        <v>0</v>
      </c>
      <c r="J1131" s="6">
        <v>558.84</v>
      </c>
    </row>
    <row r="1132" spans="2:10" ht="18.75">
      <c r="B1132">
        <v>18</v>
      </c>
      <c r="C1132" s="5">
        <v>46139</v>
      </c>
      <c r="D1132" t="s">
        <v>122</v>
      </c>
      <c r="E1132">
        <v>44</v>
      </c>
      <c r="F1132" s="6">
        <v>218.53</v>
      </c>
      <c r="G1132" s="6">
        <v>0</v>
      </c>
      <c r="H1132" s="6">
        <v>0</v>
      </c>
      <c r="I1132" s="6">
        <v>0</v>
      </c>
      <c r="J1132" s="6">
        <v>218.53</v>
      </c>
    </row>
    <row r="1133" spans="2:10" ht="18.75">
      <c r="B1133">
        <v>18</v>
      </c>
      <c r="C1133" s="5">
        <v>46139</v>
      </c>
      <c r="D1133" t="s">
        <v>128</v>
      </c>
      <c r="E1133">
        <v>35</v>
      </c>
      <c r="F1133" s="6">
        <v>169.65</v>
      </c>
      <c r="G1133" s="6">
        <v>0</v>
      </c>
      <c r="H1133" s="6">
        <v>0</v>
      </c>
      <c r="I1133" s="6">
        <v>0</v>
      </c>
      <c r="J1133" s="6">
        <v>169.65</v>
      </c>
    </row>
    <row r="1134" spans="2:10" ht="18.75">
      <c r="B1134">
        <v>18</v>
      </c>
      <c r="C1134" s="5">
        <v>46139</v>
      </c>
      <c r="D1134" t="s">
        <v>136</v>
      </c>
      <c r="E1134">
        <v>34</v>
      </c>
      <c r="F1134" s="6">
        <v>101.46</v>
      </c>
      <c r="G1134" s="6">
        <v>0</v>
      </c>
      <c r="H1134" s="6">
        <v>0</v>
      </c>
      <c r="I1134" s="6">
        <v>52.9</v>
      </c>
      <c r="J1134" s="6">
        <v>154.36000000000001</v>
      </c>
    </row>
    <row r="1135" spans="2:10" ht="18.75">
      <c r="B1135">
        <v>18</v>
      </c>
      <c r="C1135" s="5">
        <v>46139</v>
      </c>
      <c r="D1135" t="s">
        <v>121</v>
      </c>
      <c r="E1135">
        <v>78</v>
      </c>
      <c r="F1135" s="6">
        <v>281.52</v>
      </c>
      <c r="G1135" s="6">
        <v>0</v>
      </c>
      <c r="H1135" s="6">
        <v>3.6</v>
      </c>
      <c r="I1135" s="6">
        <v>4.8</v>
      </c>
      <c r="J1135" s="6">
        <v>286.32</v>
      </c>
    </row>
    <row r="1136" spans="2:10" ht="18.75">
      <c r="B1136">
        <v>18</v>
      </c>
      <c r="C1136" s="5">
        <v>46139</v>
      </c>
      <c r="D1136" t="s">
        <v>134</v>
      </c>
      <c r="E1136">
        <v>70</v>
      </c>
      <c r="F1136" s="6">
        <v>409.54</v>
      </c>
      <c r="G1136" s="6">
        <v>0</v>
      </c>
      <c r="H1136" s="6">
        <v>0</v>
      </c>
      <c r="I1136" s="6">
        <v>0</v>
      </c>
      <c r="J1136" s="6">
        <v>409.54</v>
      </c>
    </row>
    <row r="1137" spans="2:10" ht="18.75">
      <c r="B1137">
        <v>18</v>
      </c>
      <c r="C1137" s="5">
        <v>46139</v>
      </c>
      <c r="D1137" t="s">
        <v>142</v>
      </c>
      <c r="E1137">
        <v>39</v>
      </c>
      <c r="F1137" s="6">
        <v>194.39</v>
      </c>
      <c r="G1137" s="6">
        <v>0</v>
      </c>
      <c r="H1137" s="6">
        <v>0</v>
      </c>
      <c r="I1137" s="6">
        <v>0</v>
      </c>
      <c r="J1137" s="6">
        <v>194.39</v>
      </c>
    </row>
    <row r="1138" spans="2:10" ht="18.75">
      <c r="B1138">
        <v>18</v>
      </c>
      <c r="C1138" s="5">
        <v>46139</v>
      </c>
      <c r="D1138" t="s">
        <v>130</v>
      </c>
      <c r="E1138">
        <v>71</v>
      </c>
      <c r="F1138" s="6">
        <v>350.25</v>
      </c>
      <c r="G1138" s="6">
        <v>0</v>
      </c>
      <c r="H1138" s="6">
        <v>0</v>
      </c>
      <c r="I1138" s="6">
        <v>0</v>
      </c>
      <c r="J1138" s="6">
        <v>350.25</v>
      </c>
    </row>
    <row r="1139" spans="2:10" ht="18.75">
      <c r="B1139">
        <v>18</v>
      </c>
      <c r="C1139" s="5">
        <v>46139</v>
      </c>
      <c r="D1139" t="s">
        <v>132</v>
      </c>
      <c r="E1139">
        <v>54</v>
      </c>
      <c r="F1139" s="6">
        <v>182.7</v>
      </c>
      <c r="G1139" s="6">
        <v>0</v>
      </c>
      <c r="H1139" s="6">
        <v>0</v>
      </c>
      <c r="I1139" s="6">
        <v>0</v>
      </c>
      <c r="J1139" s="6">
        <v>182.7</v>
      </c>
    </row>
    <row r="1140" spans="2:10" ht="18.75">
      <c r="B1140">
        <v>18</v>
      </c>
      <c r="C1140" s="5">
        <v>46139</v>
      </c>
      <c r="D1140" t="s">
        <v>133</v>
      </c>
      <c r="E1140">
        <v>73</v>
      </c>
      <c r="F1140" s="6">
        <v>423.95</v>
      </c>
      <c r="G1140" s="6">
        <v>0</v>
      </c>
      <c r="H1140" s="6">
        <v>0</v>
      </c>
      <c r="I1140" s="6">
        <v>0</v>
      </c>
      <c r="J1140" s="6">
        <v>423.95</v>
      </c>
    </row>
    <row r="1141" spans="2:10" ht="18.75">
      <c r="B1141">
        <v>18</v>
      </c>
      <c r="C1141" s="5">
        <v>46139</v>
      </c>
      <c r="D1141" t="s">
        <v>116</v>
      </c>
      <c r="E1141">
        <v>19</v>
      </c>
      <c r="F1141" s="6">
        <v>68.3</v>
      </c>
      <c r="G1141" s="6">
        <v>0</v>
      </c>
      <c r="H1141" s="6">
        <v>0</v>
      </c>
      <c r="I1141" s="6">
        <v>0</v>
      </c>
      <c r="J1141" s="6">
        <v>68.3</v>
      </c>
    </row>
    <row r="1142" spans="2:10" ht="18.75">
      <c r="B1142">
        <v>18</v>
      </c>
      <c r="C1142" s="5">
        <v>46139</v>
      </c>
      <c r="D1142" t="s">
        <v>118</v>
      </c>
      <c r="E1142">
        <v>63</v>
      </c>
      <c r="F1142" s="6">
        <v>231.45</v>
      </c>
      <c r="G1142" s="6">
        <v>0</v>
      </c>
      <c r="H1142" s="6">
        <v>4.26</v>
      </c>
      <c r="I1142" s="6">
        <v>0</v>
      </c>
      <c r="J1142" s="6">
        <v>231.45</v>
      </c>
    </row>
    <row r="1143" spans="2:10" ht="18.75">
      <c r="B1143">
        <v>18</v>
      </c>
      <c r="C1143" s="5">
        <v>46139</v>
      </c>
      <c r="D1143" t="s">
        <v>125</v>
      </c>
      <c r="E1143">
        <v>13</v>
      </c>
      <c r="F1143" s="6">
        <v>57.51</v>
      </c>
      <c r="G1143" s="6">
        <v>0</v>
      </c>
      <c r="H1143" s="6">
        <v>0</v>
      </c>
      <c r="I1143" s="6">
        <v>0</v>
      </c>
      <c r="J1143" s="6">
        <v>57.51</v>
      </c>
    </row>
    <row r="1144" spans="2:10" ht="18.75">
      <c r="B1144">
        <v>18</v>
      </c>
      <c r="C1144" s="5">
        <v>46139</v>
      </c>
      <c r="D1144" t="s">
        <v>111</v>
      </c>
      <c r="E1144">
        <v>50</v>
      </c>
      <c r="F1144" s="6">
        <v>178.92</v>
      </c>
      <c r="G1144" s="6">
        <v>0</v>
      </c>
      <c r="H1144" s="6">
        <v>0</v>
      </c>
      <c r="I1144" s="6">
        <v>0</v>
      </c>
      <c r="J1144" s="6">
        <v>178.92</v>
      </c>
    </row>
    <row r="1145" spans="2:10" ht="18.75">
      <c r="B1145">
        <v>18</v>
      </c>
      <c r="C1145" s="5">
        <v>46139</v>
      </c>
      <c r="D1145" t="s">
        <v>131</v>
      </c>
      <c r="E1145">
        <v>64</v>
      </c>
      <c r="F1145" s="6">
        <v>287.31</v>
      </c>
      <c r="G1145" s="6">
        <v>0</v>
      </c>
      <c r="H1145" s="6">
        <v>0</v>
      </c>
      <c r="I1145" s="6">
        <v>2.2000000000000002</v>
      </c>
      <c r="J1145" s="6">
        <v>289.51</v>
      </c>
    </row>
    <row r="1146" spans="2:10" ht="18.75">
      <c r="B1146">
        <v>18</v>
      </c>
      <c r="C1146" s="5">
        <v>46139</v>
      </c>
      <c r="D1146" t="s">
        <v>127</v>
      </c>
      <c r="E1146">
        <v>71</v>
      </c>
      <c r="F1146" s="6">
        <v>338.74</v>
      </c>
      <c r="G1146" s="6">
        <v>0</v>
      </c>
      <c r="H1146" s="6">
        <v>1.2</v>
      </c>
      <c r="I1146" s="6">
        <v>0</v>
      </c>
      <c r="J1146" s="6">
        <v>338.74</v>
      </c>
    </row>
    <row r="1147" spans="2:10" ht="18.75">
      <c r="B1147">
        <v>18</v>
      </c>
      <c r="C1147" s="5">
        <v>46139</v>
      </c>
      <c r="D1147" t="s">
        <v>120</v>
      </c>
      <c r="E1147">
        <v>24</v>
      </c>
      <c r="F1147" s="6">
        <v>98.35</v>
      </c>
      <c r="G1147" s="6">
        <v>0</v>
      </c>
      <c r="H1147" s="6">
        <v>0</v>
      </c>
      <c r="I1147" s="6">
        <v>0</v>
      </c>
      <c r="J1147" s="6">
        <v>98.35</v>
      </c>
    </row>
    <row r="1148" spans="2:10" ht="18.75">
      <c r="B1148">
        <v>18</v>
      </c>
      <c r="C1148" s="5">
        <v>46139</v>
      </c>
      <c r="D1148" t="s">
        <v>114</v>
      </c>
      <c r="E1148">
        <v>73</v>
      </c>
      <c r="F1148" s="6">
        <v>311.91000000000003</v>
      </c>
      <c r="G1148" s="6">
        <v>0</v>
      </c>
      <c r="H1148" s="6">
        <v>2.92</v>
      </c>
      <c r="I1148" s="6">
        <v>105.11</v>
      </c>
      <c r="J1148" s="6">
        <v>417.02</v>
      </c>
    </row>
    <row r="1149" spans="2:10" ht="18.75">
      <c r="B1149">
        <v>18</v>
      </c>
      <c r="C1149" s="5">
        <v>46139</v>
      </c>
      <c r="D1149" t="s">
        <v>144</v>
      </c>
      <c r="E1149">
        <v>77</v>
      </c>
      <c r="F1149" s="6">
        <v>295.56</v>
      </c>
      <c r="G1149" s="6">
        <v>0</v>
      </c>
      <c r="H1149" s="6">
        <v>6.24</v>
      </c>
      <c r="I1149" s="6">
        <v>0</v>
      </c>
      <c r="J1149" s="6">
        <v>295.56</v>
      </c>
    </row>
    <row r="1150" spans="2:10" ht="18.75">
      <c r="B1150">
        <v>18</v>
      </c>
      <c r="C1150" s="5">
        <v>46139</v>
      </c>
      <c r="D1150" t="s">
        <v>126</v>
      </c>
      <c r="E1150">
        <v>32</v>
      </c>
      <c r="F1150" s="6">
        <v>151.25</v>
      </c>
      <c r="G1150" s="6">
        <v>0</v>
      </c>
      <c r="H1150" s="6">
        <v>1.1200000000000001</v>
      </c>
      <c r="I1150" s="6">
        <v>1.98</v>
      </c>
      <c r="J1150" s="6">
        <v>153.22999999999999</v>
      </c>
    </row>
    <row r="1151" spans="2:10" ht="18.75">
      <c r="B1151">
        <v>18</v>
      </c>
      <c r="C1151" s="5">
        <v>46139</v>
      </c>
      <c r="D1151" t="s">
        <v>113</v>
      </c>
      <c r="E1151">
        <v>90</v>
      </c>
      <c r="F1151" s="6">
        <v>326.42</v>
      </c>
      <c r="G1151" s="6">
        <v>6.8</v>
      </c>
      <c r="H1151" s="6">
        <v>0</v>
      </c>
      <c r="I1151" s="6">
        <v>2.48</v>
      </c>
      <c r="J1151" s="6">
        <v>322.10000000000002</v>
      </c>
    </row>
    <row r="1152" spans="2:10" ht="18.75">
      <c r="B1152">
        <v>18</v>
      </c>
      <c r="C1152" s="5">
        <v>46139</v>
      </c>
      <c r="D1152" t="s">
        <v>145</v>
      </c>
      <c r="E1152">
        <v>31</v>
      </c>
      <c r="F1152" s="6">
        <v>160.59</v>
      </c>
      <c r="G1152" s="6">
        <v>0</v>
      </c>
      <c r="H1152" s="6">
        <v>0</v>
      </c>
      <c r="I1152" s="6">
        <v>0</v>
      </c>
      <c r="J1152" s="6">
        <v>160.59</v>
      </c>
    </row>
    <row r="1153" spans="2:10" ht="18.75">
      <c r="B1153">
        <v>18</v>
      </c>
      <c r="C1153" s="5">
        <v>46139</v>
      </c>
      <c r="D1153" t="s">
        <v>135</v>
      </c>
      <c r="E1153">
        <v>16</v>
      </c>
      <c r="F1153" s="6">
        <v>44.71</v>
      </c>
      <c r="G1153" s="6">
        <v>0</v>
      </c>
      <c r="H1153" s="6">
        <v>0</v>
      </c>
      <c r="I1153" s="6">
        <v>12.24</v>
      </c>
      <c r="J1153" s="6">
        <v>56.95</v>
      </c>
    </row>
    <row r="1154" spans="2:10" ht="18.75">
      <c r="B1154">
        <v>18</v>
      </c>
      <c r="C1154" s="5">
        <v>46139</v>
      </c>
      <c r="D1154" t="s">
        <v>137</v>
      </c>
      <c r="E1154">
        <v>11</v>
      </c>
      <c r="F1154" s="6">
        <v>43.09</v>
      </c>
      <c r="G1154" s="6">
        <v>0</v>
      </c>
      <c r="H1154" s="6">
        <v>0</v>
      </c>
      <c r="I1154" s="6">
        <v>28.74</v>
      </c>
      <c r="J1154" s="6">
        <v>71.83</v>
      </c>
    </row>
    <row r="1155" spans="2:10" ht="18.75">
      <c r="B1155">
        <v>20</v>
      </c>
      <c r="C1155" s="5">
        <v>46153</v>
      </c>
      <c r="D1155" t="s">
        <v>139</v>
      </c>
      <c r="E1155">
        <v>49</v>
      </c>
      <c r="F1155" s="6">
        <v>195.36</v>
      </c>
      <c r="G1155" s="6">
        <v>0</v>
      </c>
      <c r="H1155" s="6">
        <v>1.9</v>
      </c>
      <c r="I1155" s="6">
        <v>0</v>
      </c>
      <c r="J1155" s="6">
        <v>195.36</v>
      </c>
    </row>
    <row r="1156" spans="2:10" ht="18.75">
      <c r="B1156">
        <v>20</v>
      </c>
      <c r="C1156" s="5">
        <v>46153</v>
      </c>
      <c r="D1156" t="s">
        <v>118</v>
      </c>
      <c r="E1156">
        <v>41</v>
      </c>
      <c r="F1156" s="6">
        <v>165.98</v>
      </c>
      <c r="G1156" s="6">
        <v>0</v>
      </c>
      <c r="H1156" s="6">
        <v>4.47</v>
      </c>
      <c r="I1156" s="6">
        <v>0</v>
      </c>
      <c r="J1156" s="6">
        <v>165.98</v>
      </c>
    </row>
    <row r="1157" spans="2:10" ht="18.75">
      <c r="B1157">
        <v>20</v>
      </c>
      <c r="C1157" s="5">
        <v>46153</v>
      </c>
      <c r="D1157" t="s">
        <v>143</v>
      </c>
      <c r="E1157">
        <v>387</v>
      </c>
      <c r="F1157" s="6">
        <v>1727.43</v>
      </c>
      <c r="G1157" s="6">
        <v>0</v>
      </c>
      <c r="H1157" s="6">
        <v>28.42</v>
      </c>
      <c r="I1157" s="6">
        <v>0</v>
      </c>
      <c r="J1157" s="6">
        <v>1727.43</v>
      </c>
    </row>
    <row r="1158" spans="2:10" ht="18.75">
      <c r="B1158">
        <v>20</v>
      </c>
      <c r="C1158" s="5">
        <v>46153</v>
      </c>
      <c r="D1158" t="s">
        <v>147</v>
      </c>
      <c r="E1158">
        <v>91</v>
      </c>
      <c r="F1158" s="6">
        <v>423.83</v>
      </c>
      <c r="G1158" s="6">
        <v>0</v>
      </c>
      <c r="H1158" s="6">
        <v>10.63</v>
      </c>
      <c r="I1158" s="6">
        <v>0</v>
      </c>
      <c r="J1158" s="6">
        <v>423.83</v>
      </c>
    </row>
    <row r="1159" spans="2:10" ht="18.75">
      <c r="B1159">
        <v>20</v>
      </c>
      <c r="C1159" s="5">
        <v>46153</v>
      </c>
      <c r="D1159" t="s">
        <v>121</v>
      </c>
      <c r="E1159">
        <v>60</v>
      </c>
      <c r="F1159" s="6">
        <v>209.91</v>
      </c>
      <c r="G1159" s="6">
        <v>0</v>
      </c>
      <c r="H1159" s="6">
        <v>8.9</v>
      </c>
      <c r="I1159" s="6">
        <v>0</v>
      </c>
      <c r="J1159" s="6">
        <v>209.91</v>
      </c>
    </row>
    <row r="1160" spans="2:10" ht="18.75">
      <c r="B1160">
        <v>20</v>
      </c>
      <c r="C1160" s="5">
        <v>46153</v>
      </c>
      <c r="D1160" t="s">
        <v>124</v>
      </c>
      <c r="E1160">
        <v>94</v>
      </c>
      <c r="F1160" s="6">
        <v>335.47</v>
      </c>
      <c r="G1160" s="6">
        <v>0</v>
      </c>
      <c r="H1160" s="6">
        <v>0</v>
      </c>
      <c r="I1160" s="6">
        <v>0</v>
      </c>
      <c r="J1160" s="6">
        <v>335.47</v>
      </c>
    </row>
    <row r="1161" spans="2:10" ht="18.75">
      <c r="B1161">
        <v>20</v>
      </c>
      <c r="C1161" s="5">
        <v>46153</v>
      </c>
      <c r="D1161" t="s">
        <v>145</v>
      </c>
      <c r="E1161">
        <v>35</v>
      </c>
      <c r="F1161" s="6">
        <v>197.92</v>
      </c>
      <c r="G1161" s="6">
        <v>0</v>
      </c>
      <c r="H1161" s="6">
        <v>0</v>
      </c>
      <c r="I1161" s="6">
        <v>2.38</v>
      </c>
      <c r="J1161" s="6">
        <v>200.3</v>
      </c>
    </row>
    <row r="1162" spans="2:10" ht="18.75">
      <c r="B1162">
        <v>20</v>
      </c>
      <c r="C1162" s="5">
        <v>46153</v>
      </c>
      <c r="D1162" t="s">
        <v>117</v>
      </c>
      <c r="E1162">
        <v>37</v>
      </c>
      <c r="F1162" s="6">
        <v>180.93</v>
      </c>
      <c r="G1162" s="6">
        <v>0</v>
      </c>
      <c r="H1162" s="6">
        <v>12.61</v>
      </c>
      <c r="I1162" s="6">
        <v>0</v>
      </c>
      <c r="J1162" s="6">
        <v>180.93</v>
      </c>
    </row>
    <row r="1163" spans="2:10" ht="18.75">
      <c r="B1163">
        <v>20</v>
      </c>
      <c r="C1163" s="5">
        <v>46153</v>
      </c>
      <c r="D1163" t="s">
        <v>151</v>
      </c>
      <c r="E1163">
        <v>120</v>
      </c>
      <c r="F1163" s="6">
        <v>647.99</v>
      </c>
      <c r="G1163" s="6">
        <v>0</v>
      </c>
      <c r="H1163" s="6">
        <v>0</v>
      </c>
      <c r="I1163" s="6">
        <v>0</v>
      </c>
      <c r="J1163" s="6">
        <v>647.99</v>
      </c>
    </row>
    <row r="1164" spans="2:10" ht="18.75">
      <c r="B1164">
        <v>20</v>
      </c>
      <c r="C1164" s="5">
        <v>46153</v>
      </c>
      <c r="D1164" t="s">
        <v>114</v>
      </c>
      <c r="E1164">
        <v>71</v>
      </c>
      <c r="F1164" s="6">
        <v>286.31</v>
      </c>
      <c r="G1164" s="6">
        <v>0</v>
      </c>
      <c r="H1164" s="6">
        <v>3.75</v>
      </c>
      <c r="I1164" s="6">
        <v>96.9</v>
      </c>
      <c r="J1164" s="6">
        <v>383.21</v>
      </c>
    </row>
    <row r="1165" spans="2:10" ht="18.75">
      <c r="B1165">
        <v>20</v>
      </c>
      <c r="C1165" s="5">
        <v>46153</v>
      </c>
      <c r="D1165" t="s">
        <v>112</v>
      </c>
      <c r="E1165">
        <v>14</v>
      </c>
      <c r="F1165" s="6">
        <v>42.94</v>
      </c>
      <c r="G1165" s="6">
        <v>0</v>
      </c>
      <c r="H1165" s="6">
        <v>0</v>
      </c>
      <c r="I1165" s="6">
        <v>0</v>
      </c>
      <c r="J1165" s="6">
        <v>42.94</v>
      </c>
    </row>
    <row r="1166" spans="2:10" ht="18.75">
      <c r="B1166">
        <v>20</v>
      </c>
      <c r="C1166" s="5">
        <v>46153</v>
      </c>
      <c r="D1166" t="s">
        <v>129</v>
      </c>
      <c r="E1166">
        <v>144</v>
      </c>
      <c r="F1166" s="6">
        <v>2.19</v>
      </c>
      <c r="G1166" s="6">
        <v>0</v>
      </c>
      <c r="H1166" s="6">
        <v>0</v>
      </c>
      <c r="I1166" s="6">
        <v>584.66999999999996</v>
      </c>
      <c r="J1166" s="6">
        <v>586.86</v>
      </c>
    </row>
    <row r="1167" spans="2:10" ht="18.75">
      <c r="B1167">
        <v>20</v>
      </c>
      <c r="C1167" s="5">
        <v>46153</v>
      </c>
      <c r="D1167" t="s">
        <v>141</v>
      </c>
      <c r="E1167">
        <v>180</v>
      </c>
      <c r="F1167" s="6">
        <v>634.91999999999996</v>
      </c>
      <c r="G1167" s="6">
        <v>0</v>
      </c>
      <c r="H1167" s="6">
        <v>3.6</v>
      </c>
      <c r="I1167" s="6">
        <v>0</v>
      </c>
      <c r="J1167" s="6">
        <v>634.91999999999996</v>
      </c>
    </row>
    <row r="1168" spans="2:10" ht="18.75">
      <c r="B1168">
        <v>20</v>
      </c>
      <c r="C1168" s="5">
        <v>46153</v>
      </c>
      <c r="D1168" t="s">
        <v>122</v>
      </c>
      <c r="E1168">
        <v>48</v>
      </c>
      <c r="F1168" s="6">
        <v>257.86</v>
      </c>
      <c r="G1168" s="6">
        <v>0</v>
      </c>
      <c r="H1168" s="6">
        <v>0</v>
      </c>
      <c r="I1168" s="6">
        <v>0</v>
      </c>
      <c r="J1168" s="6">
        <v>257.86</v>
      </c>
    </row>
    <row r="1169" spans="2:10" ht="18.75">
      <c r="B1169">
        <v>20</v>
      </c>
      <c r="C1169" s="5">
        <v>46153</v>
      </c>
      <c r="D1169" t="s">
        <v>146</v>
      </c>
      <c r="E1169">
        <v>137</v>
      </c>
      <c r="F1169" s="6">
        <v>792.86</v>
      </c>
      <c r="G1169" s="6">
        <v>0</v>
      </c>
      <c r="H1169" s="6">
        <v>11.8</v>
      </c>
      <c r="I1169" s="6">
        <v>0</v>
      </c>
      <c r="J1169" s="6">
        <v>792.86</v>
      </c>
    </row>
    <row r="1170" spans="2:10" ht="18.75">
      <c r="B1170">
        <v>20</v>
      </c>
      <c r="C1170" s="5">
        <v>46153</v>
      </c>
      <c r="D1170" t="s">
        <v>119</v>
      </c>
      <c r="E1170">
        <v>116</v>
      </c>
      <c r="F1170" s="6">
        <v>449.63</v>
      </c>
      <c r="G1170" s="6">
        <v>0</v>
      </c>
      <c r="H1170" s="6">
        <v>14.25</v>
      </c>
      <c r="I1170" s="6">
        <v>0</v>
      </c>
      <c r="J1170" s="6">
        <v>449.63</v>
      </c>
    </row>
    <row r="1171" spans="2:10" ht="18.75">
      <c r="B1171">
        <v>20</v>
      </c>
      <c r="C1171" s="5">
        <v>46153</v>
      </c>
      <c r="D1171" t="s">
        <v>144</v>
      </c>
      <c r="E1171">
        <v>178</v>
      </c>
      <c r="F1171" s="6">
        <v>751.32</v>
      </c>
      <c r="G1171" s="6">
        <v>0</v>
      </c>
      <c r="H1171" s="6">
        <v>24.89</v>
      </c>
      <c r="I1171" s="6">
        <v>2.34</v>
      </c>
      <c r="J1171" s="6">
        <v>753.66</v>
      </c>
    </row>
    <row r="1172" spans="2:10" ht="18.75">
      <c r="B1172">
        <v>20</v>
      </c>
      <c r="C1172" s="5">
        <v>46153</v>
      </c>
      <c r="D1172" t="s">
        <v>113</v>
      </c>
      <c r="E1172">
        <v>74</v>
      </c>
      <c r="F1172" s="6">
        <v>263.88</v>
      </c>
      <c r="G1172" s="6">
        <v>0</v>
      </c>
      <c r="H1172" s="6">
        <v>2.98</v>
      </c>
      <c r="I1172" s="6">
        <v>7.31</v>
      </c>
      <c r="J1172" s="6">
        <v>271.19</v>
      </c>
    </row>
    <row r="1173" spans="2:10" ht="18.75">
      <c r="B1173">
        <v>20</v>
      </c>
      <c r="C1173" s="5">
        <v>46153</v>
      </c>
      <c r="D1173" t="s">
        <v>130</v>
      </c>
      <c r="E1173">
        <v>68</v>
      </c>
      <c r="F1173" s="6">
        <v>323.93</v>
      </c>
      <c r="G1173" s="6">
        <v>0</v>
      </c>
      <c r="H1173" s="6">
        <v>10.89</v>
      </c>
      <c r="I1173" s="6">
        <v>0</v>
      </c>
      <c r="J1173" s="6">
        <v>323.93</v>
      </c>
    </row>
    <row r="1174" spans="2:10" ht="18.75">
      <c r="B1174">
        <v>20</v>
      </c>
      <c r="C1174" s="5">
        <v>46153</v>
      </c>
      <c r="D1174" t="s">
        <v>115</v>
      </c>
      <c r="E1174">
        <v>78</v>
      </c>
      <c r="F1174" s="6">
        <v>234</v>
      </c>
      <c r="G1174" s="6">
        <v>0</v>
      </c>
      <c r="H1174" s="6">
        <v>0</v>
      </c>
      <c r="I1174" s="6">
        <v>0</v>
      </c>
      <c r="J1174" s="6">
        <v>234</v>
      </c>
    </row>
    <row r="1175" spans="2:10" ht="18.75">
      <c r="B1175">
        <v>20</v>
      </c>
      <c r="C1175" s="5">
        <v>46153</v>
      </c>
      <c r="D1175" t="s">
        <v>138</v>
      </c>
      <c r="E1175">
        <v>74</v>
      </c>
      <c r="F1175" s="6">
        <v>368.48</v>
      </c>
      <c r="G1175" s="6">
        <v>0</v>
      </c>
      <c r="H1175" s="6">
        <v>5.74</v>
      </c>
      <c r="I1175" s="6">
        <v>0</v>
      </c>
      <c r="J1175" s="6">
        <v>368.48</v>
      </c>
    </row>
    <row r="1176" spans="2:10" ht="18.75">
      <c r="B1176">
        <v>20</v>
      </c>
      <c r="C1176" s="5">
        <v>46153</v>
      </c>
      <c r="D1176" t="s">
        <v>133</v>
      </c>
      <c r="E1176">
        <v>60</v>
      </c>
      <c r="F1176" s="6">
        <v>358.29</v>
      </c>
      <c r="G1176" s="6">
        <v>0</v>
      </c>
      <c r="H1176" s="6">
        <v>5.54</v>
      </c>
      <c r="I1176" s="6">
        <v>0</v>
      </c>
      <c r="J1176" s="6">
        <v>358.29</v>
      </c>
    </row>
    <row r="1177" spans="2:10" ht="18.75">
      <c r="B1177">
        <v>20</v>
      </c>
      <c r="C1177" s="5">
        <v>46153</v>
      </c>
      <c r="D1177" t="s">
        <v>134</v>
      </c>
      <c r="E1177">
        <v>65</v>
      </c>
      <c r="F1177" s="6">
        <v>372.97</v>
      </c>
      <c r="G1177" s="6">
        <v>0</v>
      </c>
      <c r="H1177" s="6">
        <v>8.5</v>
      </c>
      <c r="I1177" s="6">
        <v>0</v>
      </c>
      <c r="J1177" s="6">
        <v>372.97</v>
      </c>
    </row>
    <row r="1178" spans="2:10" ht="18.75">
      <c r="B1178">
        <v>20</v>
      </c>
      <c r="C1178" s="5">
        <v>46153</v>
      </c>
      <c r="D1178" t="s">
        <v>111</v>
      </c>
      <c r="E1178">
        <v>50</v>
      </c>
      <c r="F1178" s="6">
        <v>191.75</v>
      </c>
      <c r="G1178" s="6">
        <v>0</v>
      </c>
      <c r="H1178" s="6">
        <v>8.91</v>
      </c>
      <c r="I1178" s="6">
        <v>0</v>
      </c>
      <c r="J1178" s="6">
        <v>191.75</v>
      </c>
    </row>
    <row r="1179" spans="2:10" ht="18.75">
      <c r="B1179">
        <v>20</v>
      </c>
      <c r="C1179" s="5">
        <v>46153</v>
      </c>
      <c r="D1179" t="s">
        <v>126</v>
      </c>
      <c r="E1179">
        <v>55</v>
      </c>
      <c r="F1179" s="6">
        <v>197.75</v>
      </c>
      <c r="G1179" s="6">
        <v>0</v>
      </c>
      <c r="H1179" s="6">
        <v>5.68</v>
      </c>
      <c r="I1179" s="6">
        <v>1.98</v>
      </c>
      <c r="J1179" s="6">
        <v>199.73</v>
      </c>
    </row>
    <row r="1180" spans="2:10" ht="18.75">
      <c r="B1180">
        <v>20</v>
      </c>
      <c r="C1180" s="5">
        <v>46153</v>
      </c>
      <c r="D1180" t="s">
        <v>120</v>
      </c>
      <c r="E1180">
        <v>24</v>
      </c>
      <c r="F1180" s="6">
        <v>110.18</v>
      </c>
      <c r="G1180" s="6">
        <v>0</v>
      </c>
      <c r="H1180" s="6">
        <v>1.58</v>
      </c>
      <c r="I1180" s="6">
        <v>0</v>
      </c>
      <c r="J1180" s="6">
        <v>110.18</v>
      </c>
    </row>
    <row r="1181" spans="2:10" ht="18.75">
      <c r="B1181">
        <v>20</v>
      </c>
      <c r="C1181" s="5">
        <v>46153</v>
      </c>
      <c r="D1181" t="s">
        <v>142</v>
      </c>
      <c r="E1181">
        <v>28</v>
      </c>
      <c r="F1181" s="6">
        <v>131.55000000000001</v>
      </c>
      <c r="G1181" s="6">
        <v>0</v>
      </c>
      <c r="H1181" s="6">
        <v>0.46</v>
      </c>
      <c r="I1181" s="6">
        <v>0</v>
      </c>
      <c r="J1181" s="6">
        <v>131.55000000000001</v>
      </c>
    </row>
    <row r="1182" spans="2:10" ht="18.75">
      <c r="B1182">
        <v>20</v>
      </c>
      <c r="C1182" s="5">
        <v>46153</v>
      </c>
      <c r="D1182" t="s">
        <v>128</v>
      </c>
      <c r="E1182">
        <v>33</v>
      </c>
      <c r="F1182" s="6">
        <v>157.75</v>
      </c>
      <c r="G1182" s="6">
        <v>0</v>
      </c>
      <c r="H1182" s="6">
        <v>5.63</v>
      </c>
      <c r="I1182" s="6">
        <v>0</v>
      </c>
      <c r="J1182" s="6">
        <v>157.75</v>
      </c>
    </row>
    <row r="1183" spans="2:10" ht="18.75">
      <c r="B1183">
        <v>20</v>
      </c>
      <c r="C1183" s="5">
        <v>46153</v>
      </c>
      <c r="D1183" t="s">
        <v>136</v>
      </c>
      <c r="E1183">
        <v>34</v>
      </c>
      <c r="F1183" s="6">
        <v>114.09</v>
      </c>
      <c r="G1183" s="6">
        <v>0</v>
      </c>
      <c r="H1183" s="6">
        <v>0.46</v>
      </c>
      <c r="I1183" s="6">
        <v>38.14</v>
      </c>
      <c r="J1183" s="6">
        <v>152.22999999999999</v>
      </c>
    </row>
    <row r="1184" spans="2:10" ht="18.75">
      <c r="B1184">
        <v>20</v>
      </c>
      <c r="C1184" s="5">
        <v>46153</v>
      </c>
      <c r="D1184" t="s">
        <v>131</v>
      </c>
      <c r="E1184">
        <v>42</v>
      </c>
      <c r="F1184" s="6">
        <v>237.09</v>
      </c>
      <c r="G1184" s="6">
        <v>0</v>
      </c>
      <c r="H1184" s="6">
        <v>5.82</v>
      </c>
      <c r="I1184" s="6">
        <v>0</v>
      </c>
      <c r="J1184" s="6">
        <v>237.09</v>
      </c>
    </row>
    <row r="1185" spans="2:10" ht="18.75">
      <c r="B1185">
        <v>20</v>
      </c>
      <c r="C1185" s="5">
        <v>46153</v>
      </c>
      <c r="D1185" t="s">
        <v>127</v>
      </c>
      <c r="E1185">
        <v>42</v>
      </c>
      <c r="F1185" s="6">
        <v>223.57</v>
      </c>
      <c r="G1185" s="6">
        <v>0</v>
      </c>
      <c r="H1185" s="6">
        <v>3.7</v>
      </c>
      <c r="I1185" s="6">
        <v>0</v>
      </c>
      <c r="J1185" s="6">
        <v>223.57</v>
      </c>
    </row>
    <row r="1186" spans="2:10" ht="18.75">
      <c r="B1186">
        <v>20</v>
      </c>
      <c r="C1186" s="5">
        <v>46153</v>
      </c>
      <c r="D1186" t="s">
        <v>150</v>
      </c>
      <c r="E1186">
        <v>15</v>
      </c>
      <c r="F1186" s="6">
        <v>82.14</v>
      </c>
      <c r="G1186" s="6">
        <v>0</v>
      </c>
      <c r="H1186" s="6">
        <v>1.79</v>
      </c>
      <c r="I1186" s="6">
        <v>0</v>
      </c>
      <c r="J1186" s="6">
        <v>82.14</v>
      </c>
    </row>
    <row r="1187" spans="2:10" ht="18.75">
      <c r="B1187">
        <v>20</v>
      </c>
      <c r="C1187" s="5">
        <v>46153</v>
      </c>
      <c r="D1187" t="s">
        <v>132</v>
      </c>
      <c r="E1187">
        <v>57</v>
      </c>
      <c r="F1187" s="6">
        <v>231.47</v>
      </c>
      <c r="G1187" s="6">
        <v>0</v>
      </c>
      <c r="H1187" s="6">
        <v>3.06</v>
      </c>
      <c r="I1187" s="6">
        <v>0</v>
      </c>
      <c r="J1187" s="6">
        <v>231.47</v>
      </c>
    </row>
    <row r="1188" spans="2:10" ht="18.75">
      <c r="B1188">
        <v>20</v>
      </c>
      <c r="C1188" s="5">
        <v>46153</v>
      </c>
      <c r="D1188" t="s">
        <v>116</v>
      </c>
      <c r="E1188">
        <v>20</v>
      </c>
      <c r="F1188" s="6">
        <v>51.28</v>
      </c>
      <c r="G1188" s="6">
        <v>0</v>
      </c>
      <c r="H1188" s="6">
        <v>4.46</v>
      </c>
      <c r="I1188" s="6">
        <v>0</v>
      </c>
      <c r="J1188" s="6">
        <v>51.28</v>
      </c>
    </row>
    <row r="1189" spans="2:10" ht="18.75">
      <c r="B1189">
        <v>20</v>
      </c>
      <c r="C1189" s="5">
        <v>46153</v>
      </c>
      <c r="D1189" t="s">
        <v>125</v>
      </c>
      <c r="E1189">
        <v>17</v>
      </c>
      <c r="F1189" s="6">
        <v>103.67</v>
      </c>
      <c r="G1189" s="6">
        <v>0</v>
      </c>
      <c r="H1189" s="6">
        <v>0</v>
      </c>
      <c r="I1189" s="6">
        <v>0</v>
      </c>
      <c r="J1189" s="6">
        <v>103.67</v>
      </c>
    </row>
    <row r="1190" spans="2:10" ht="18.75">
      <c r="B1190">
        <v>20</v>
      </c>
      <c r="C1190" s="5">
        <v>46153</v>
      </c>
      <c r="D1190" t="s">
        <v>137</v>
      </c>
      <c r="E1190">
        <v>22</v>
      </c>
      <c r="F1190" s="6">
        <v>72.349999999999994</v>
      </c>
      <c r="G1190" s="6">
        <v>0</v>
      </c>
      <c r="H1190" s="6">
        <v>0.95</v>
      </c>
      <c r="I1190" s="6">
        <v>38.96</v>
      </c>
      <c r="J1190" s="6">
        <v>111.31</v>
      </c>
    </row>
    <row r="1191" spans="2:10" ht="18.75">
      <c r="B1191">
        <v>20</v>
      </c>
      <c r="C1191" s="5">
        <v>46153</v>
      </c>
      <c r="D1191" t="s">
        <v>123</v>
      </c>
      <c r="E1191">
        <v>149</v>
      </c>
      <c r="F1191" s="6">
        <v>558.12</v>
      </c>
      <c r="G1191" s="6">
        <v>6.3</v>
      </c>
      <c r="H1191" s="6">
        <v>1.85</v>
      </c>
      <c r="I1191" s="6">
        <v>0</v>
      </c>
      <c r="J1191" s="6">
        <v>551.82000000000005</v>
      </c>
    </row>
    <row r="1192" spans="2:10" ht="18.75">
      <c r="B1192">
        <v>20</v>
      </c>
      <c r="C1192" s="5">
        <v>46153</v>
      </c>
      <c r="D1192" t="s">
        <v>148</v>
      </c>
      <c r="E1192">
        <v>27</v>
      </c>
      <c r="F1192" s="6">
        <v>111.71</v>
      </c>
      <c r="G1192" s="6">
        <v>0</v>
      </c>
      <c r="H1192" s="6">
        <v>6.75</v>
      </c>
      <c r="I1192" s="6">
        <v>0</v>
      </c>
      <c r="J1192" s="6">
        <v>111.71</v>
      </c>
    </row>
    <row r="1193" spans="2:10" ht="18.75">
      <c r="B1193">
        <v>20</v>
      </c>
      <c r="C1193" s="5">
        <v>46153</v>
      </c>
      <c r="D1193" t="s">
        <v>216</v>
      </c>
      <c r="E1193">
        <v>124</v>
      </c>
      <c r="F1193" s="6">
        <v>515.67999999999995</v>
      </c>
      <c r="G1193" s="6">
        <v>0</v>
      </c>
      <c r="H1193" s="6">
        <v>86.72</v>
      </c>
      <c r="I1193" s="6">
        <v>2.34</v>
      </c>
      <c r="J1193" s="6">
        <v>518.02</v>
      </c>
    </row>
    <row r="1194" spans="2:10" ht="18.75">
      <c r="B1194">
        <v>20</v>
      </c>
      <c r="C1194" s="5">
        <v>46153</v>
      </c>
      <c r="D1194" t="s">
        <v>135</v>
      </c>
      <c r="E1194">
        <v>17</v>
      </c>
      <c r="F1194" s="6">
        <v>48.42</v>
      </c>
      <c r="G1194" s="6">
        <v>0</v>
      </c>
      <c r="H1194" s="6">
        <v>1.38</v>
      </c>
      <c r="I1194" s="6">
        <v>10.220000000000001</v>
      </c>
      <c r="J1194" s="6">
        <v>58.64</v>
      </c>
    </row>
    <row r="1195" spans="2:10" ht="18.75">
      <c r="B1195">
        <v>19</v>
      </c>
      <c r="C1195" s="5">
        <v>46146</v>
      </c>
      <c r="D1195" t="s">
        <v>147</v>
      </c>
      <c r="E1195">
        <v>121</v>
      </c>
      <c r="F1195" s="6">
        <v>617.82000000000005</v>
      </c>
      <c r="G1195" s="6">
        <v>0</v>
      </c>
      <c r="H1195" s="6">
        <v>10.039999999999999</v>
      </c>
      <c r="I1195" s="6">
        <v>0</v>
      </c>
      <c r="J1195" s="6">
        <v>617.82000000000005</v>
      </c>
    </row>
    <row r="1196" spans="2:10" ht="18.75">
      <c r="B1196">
        <v>19</v>
      </c>
      <c r="C1196" s="5">
        <v>46146</v>
      </c>
      <c r="D1196" t="s">
        <v>139</v>
      </c>
      <c r="E1196">
        <v>55</v>
      </c>
      <c r="F1196" s="6">
        <v>246.2</v>
      </c>
      <c r="G1196" s="6">
        <v>0</v>
      </c>
      <c r="H1196" s="6">
        <v>1.67</v>
      </c>
      <c r="I1196" s="6">
        <v>0</v>
      </c>
      <c r="J1196" s="6">
        <v>246.2</v>
      </c>
    </row>
    <row r="1197" spans="2:10" ht="18.75">
      <c r="B1197">
        <v>19</v>
      </c>
      <c r="C1197" s="5">
        <v>46146</v>
      </c>
      <c r="D1197" t="s">
        <v>151</v>
      </c>
      <c r="E1197">
        <v>223</v>
      </c>
      <c r="F1197" s="6">
        <v>1224.75</v>
      </c>
      <c r="G1197" s="6">
        <v>0</v>
      </c>
      <c r="H1197" s="6">
        <v>13</v>
      </c>
      <c r="I1197" s="6">
        <v>1</v>
      </c>
      <c r="J1197" s="6">
        <v>1225.75</v>
      </c>
    </row>
    <row r="1198" spans="2:10" ht="18.75">
      <c r="B1198">
        <v>19</v>
      </c>
      <c r="C1198" s="5">
        <v>46146</v>
      </c>
      <c r="D1198" t="s">
        <v>121</v>
      </c>
      <c r="E1198">
        <v>48</v>
      </c>
      <c r="F1198" s="6">
        <v>152.41999999999999</v>
      </c>
      <c r="G1198" s="6">
        <v>0</v>
      </c>
      <c r="H1198" s="6">
        <v>1.2</v>
      </c>
      <c r="I1198" s="6">
        <v>0</v>
      </c>
      <c r="J1198" s="6">
        <v>152.41999999999999</v>
      </c>
    </row>
    <row r="1199" spans="2:10" ht="18.75">
      <c r="B1199">
        <v>19</v>
      </c>
      <c r="C1199" s="5">
        <v>46146</v>
      </c>
      <c r="D1199" t="s">
        <v>124</v>
      </c>
      <c r="E1199">
        <v>167</v>
      </c>
      <c r="F1199" s="6">
        <v>626.61</v>
      </c>
      <c r="G1199" s="6">
        <v>0</v>
      </c>
      <c r="H1199" s="6">
        <v>13.29</v>
      </c>
      <c r="I1199" s="6">
        <v>0</v>
      </c>
      <c r="J1199" s="6">
        <v>626.61</v>
      </c>
    </row>
    <row r="1200" spans="2:10" ht="18.75">
      <c r="B1200">
        <v>19</v>
      </c>
      <c r="C1200" s="5">
        <v>46146</v>
      </c>
      <c r="D1200" t="s">
        <v>143</v>
      </c>
      <c r="E1200">
        <v>578</v>
      </c>
      <c r="F1200" s="6">
        <v>2563.7800000000002</v>
      </c>
      <c r="G1200" s="6">
        <v>10.199999999999999</v>
      </c>
      <c r="H1200" s="6">
        <v>13.76</v>
      </c>
      <c r="I1200" s="6">
        <v>0</v>
      </c>
      <c r="J1200" s="6">
        <v>2553.58</v>
      </c>
    </row>
    <row r="1201" spans="2:10" ht="18.75">
      <c r="B1201">
        <v>19</v>
      </c>
      <c r="C1201" s="5">
        <v>46146</v>
      </c>
      <c r="D1201" t="s">
        <v>120</v>
      </c>
      <c r="E1201">
        <v>37</v>
      </c>
      <c r="F1201" s="6">
        <v>160.94999999999999</v>
      </c>
      <c r="G1201" s="6">
        <v>0</v>
      </c>
      <c r="H1201" s="6">
        <v>7.23</v>
      </c>
      <c r="I1201" s="6">
        <v>0</v>
      </c>
      <c r="J1201" s="6">
        <v>160.94999999999999</v>
      </c>
    </row>
    <row r="1202" spans="2:10" ht="18.75">
      <c r="B1202">
        <v>19</v>
      </c>
      <c r="C1202" s="5">
        <v>46146</v>
      </c>
      <c r="D1202" t="s">
        <v>130</v>
      </c>
      <c r="E1202">
        <v>89</v>
      </c>
      <c r="F1202" s="6">
        <v>423.85</v>
      </c>
      <c r="G1202" s="6">
        <v>0</v>
      </c>
      <c r="H1202" s="6">
        <v>16.5</v>
      </c>
      <c r="I1202" s="6">
        <v>0</v>
      </c>
      <c r="J1202" s="6">
        <v>423.85</v>
      </c>
    </row>
    <row r="1203" spans="2:10" ht="18.75">
      <c r="B1203">
        <v>19</v>
      </c>
      <c r="C1203" s="5">
        <v>46146</v>
      </c>
      <c r="D1203" t="s">
        <v>138</v>
      </c>
      <c r="E1203">
        <v>110</v>
      </c>
      <c r="F1203" s="6">
        <v>600.07000000000005</v>
      </c>
      <c r="G1203" s="6">
        <v>0</v>
      </c>
      <c r="H1203" s="6">
        <v>25.4</v>
      </c>
      <c r="I1203" s="6">
        <v>0</v>
      </c>
      <c r="J1203" s="6">
        <v>600.07000000000005</v>
      </c>
    </row>
    <row r="1204" spans="2:10" ht="18.75">
      <c r="B1204">
        <v>19</v>
      </c>
      <c r="C1204" s="5">
        <v>46146</v>
      </c>
      <c r="D1204" t="s">
        <v>119</v>
      </c>
      <c r="E1204">
        <v>117</v>
      </c>
      <c r="F1204" s="6">
        <v>488.06</v>
      </c>
      <c r="G1204" s="6">
        <v>0</v>
      </c>
      <c r="H1204" s="6">
        <v>12.31</v>
      </c>
      <c r="I1204" s="6">
        <v>0</v>
      </c>
      <c r="J1204" s="6">
        <v>488.06</v>
      </c>
    </row>
    <row r="1205" spans="2:10" ht="18.75">
      <c r="B1205">
        <v>19</v>
      </c>
      <c r="C1205" s="5">
        <v>46146</v>
      </c>
      <c r="D1205" t="s">
        <v>144</v>
      </c>
      <c r="E1205">
        <v>87</v>
      </c>
      <c r="F1205" s="6">
        <v>310.75</v>
      </c>
      <c r="G1205" s="6">
        <v>4</v>
      </c>
      <c r="H1205" s="6">
        <v>9.18</v>
      </c>
      <c r="I1205" s="6">
        <v>0</v>
      </c>
      <c r="J1205" s="6">
        <v>306.75</v>
      </c>
    </row>
    <row r="1206" spans="2:10" ht="18.75">
      <c r="B1206">
        <v>19</v>
      </c>
      <c r="C1206" s="5">
        <v>46146</v>
      </c>
      <c r="D1206" t="s">
        <v>123</v>
      </c>
      <c r="E1206">
        <v>180</v>
      </c>
      <c r="F1206" s="6">
        <v>722.47</v>
      </c>
      <c r="G1206" s="6">
        <v>0</v>
      </c>
      <c r="H1206" s="6">
        <v>27.67</v>
      </c>
      <c r="I1206" s="6">
        <v>0</v>
      </c>
      <c r="J1206" s="6">
        <v>722.47</v>
      </c>
    </row>
    <row r="1207" spans="2:10" ht="18.75">
      <c r="B1207">
        <v>19</v>
      </c>
      <c r="C1207" s="5">
        <v>46146</v>
      </c>
      <c r="D1207" t="s">
        <v>146</v>
      </c>
      <c r="E1207">
        <v>137</v>
      </c>
      <c r="F1207" s="6">
        <v>765.69</v>
      </c>
      <c r="G1207" s="6">
        <v>0</v>
      </c>
      <c r="H1207" s="6">
        <v>36</v>
      </c>
      <c r="I1207" s="6">
        <v>0</v>
      </c>
      <c r="J1207" s="6">
        <v>765.69</v>
      </c>
    </row>
    <row r="1208" spans="2:10" ht="18.75">
      <c r="B1208">
        <v>19</v>
      </c>
      <c r="C1208" s="5">
        <v>46146</v>
      </c>
      <c r="D1208" t="s">
        <v>141</v>
      </c>
      <c r="E1208">
        <v>189</v>
      </c>
      <c r="F1208" s="6">
        <v>646.99</v>
      </c>
      <c r="G1208" s="6">
        <v>2.8</v>
      </c>
      <c r="H1208" s="6">
        <v>21.93</v>
      </c>
      <c r="I1208" s="6">
        <v>2.38</v>
      </c>
      <c r="J1208" s="6">
        <v>646.57000000000005</v>
      </c>
    </row>
    <row r="1209" spans="2:10" ht="18.75">
      <c r="B1209">
        <v>19</v>
      </c>
      <c r="C1209" s="5">
        <v>46146</v>
      </c>
      <c r="D1209" t="s">
        <v>148</v>
      </c>
      <c r="E1209">
        <v>27</v>
      </c>
      <c r="F1209" s="6">
        <v>126.31</v>
      </c>
      <c r="G1209" s="6">
        <v>0</v>
      </c>
      <c r="H1209" s="6">
        <v>6.54</v>
      </c>
      <c r="I1209" s="6">
        <v>2.38</v>
      </c>
      <c r="J1209" s="6">
        <v>128.69</v>
      </c>
    </row>
    <row r="1210" spans="2:10" ht="18.75">
      <c r="B1210">
        <v>19</v>
      </c>
      <c r="C1210" s="5">
        <v>46146</v>
      </c>
      <c r="D1210" t="s">
        <v>112</v>
      </c>
      <c r="E1210">
        <v>28</v>
      </c>
      <c r="F1210" s="6">
        <v>103.37</v>
      </c>
      <c r="G1210" s="6">
        <v>0</v>
      </c>
      <c r="H1210" s="6">
        <v>2.2599999999999998</v>
      </c>
      <c r="I1210" s="6">
        <v>0</v>
      </c>
      <c r="J1210" s="6">
        <v>103.37</v>
      </c>
    </row>
    <row r="1211" spans="2:10" ht="18.75">
      <c r="B1211">
        <v>19</v>
      </c>
      <c r="C1211" s="5">
        <v>46146</v>
      </c>
      <c r="D1211" t="s">
        <v>129</v>
      </c>
      <c r="E1211">
        <v>148</v>
      </c>
      <c r="F1211" s="6">
        <v>43.63</v>
      </c>
      <c r="G1211" s="6">
        <v>0</v>
      </c>
      <c r="H1211" s="6">
        <v>7.38</v>
      </c>
      <c r="I1211" s="6">
        <v>577.5</v>
      </c>
      <c r="J1211" s="6">
        <v>621.13</v>
      </c>
    </row>
    <row r="1212" spans="2:10" ht="18.75">
      <c r="B1212">
        <v>19</v>
      </c>
      <c r="C1212" s="5">
        <v>46146</v>
      </c>
      <c r="D1212" t="s">
        <v>118</v>
      </c>
      <c r="E1212">
        <v>51</v>
      </c>
      <c r="F1212" s="6">
        <v>201.87</v>
      </c>
      <c r="G1212" s="6">
        <v>0</v>
      </c>
      <c r="H1212" s="6">
        <v>8.33</v>
      </c>
      <c r="I1212" s="6">
        <v>0</v>
      </c>
      <c r="J1212" s="6">
        <v>201.87</v>
      </c>
    </row>
    <row r="1213" spans="2:10" ht="18.75">
      <c r="B1213">
        <v>19</v>
      </c>
      <c r="C1213" s="5">
        <v>46146</v>
      </c>
      <c r="D1213" t="s">
        <v>115</v>
      </c>
      <c r="E1213">
        <v>67</v>
      </c>
      <c r="F1213" s="6">
        <v>201</v>
      </c>
      <c r="G1213" s="6">
        <v>0</v>
      </c>
      <c r="H1213" s="6">
        <v>0</v>
      </c>
      <c r="I1213" s="6">
        <v>0</v>
      </c>
      <c r="J1213" s="6">
        <v>201</v>
      </c>
    </row>
    <row r="1214" spans="2:10" ht="18.75">
      <c r="B1214">
        <v>19</v>
      </c>
      <c r="C1214" s="5">
        <v>46146</v>
      </c>
      <c r="D1214" t="s">
        <v>111</v>
      </c>
      <c r="E1214">
        <v>51</v>
      </c>
      <c r="F1214" s="6">
        <v>210.94</v>
      </c>
      <c r="G1214" s="6">
        <v>9.9</v>
      </c>
      <c r="H1214" s="6">
        <v>4.33</v>
      </c>
      <c r="I1214" s="6">
        <v>0</v>
      </c>
      <c r="J1214" s="6">
        <v>201.04</v>
      </c>
    </row>
    <row r="1215" spans="2:10" ht="18.75">
      <c r="B1215">
        <v>19</v>
      </c>
      <c r="C1215" s="5">
        <v>46146</v>
      </c>
      <c r="D1215" t="s">
        <v>122</v>
      </c>
      <c r="E1215">
        <v>48</v>
      </c>
      <c r="F1215" s="6">
        <v>263.67</v>
      </c>
      <c r="G1215" s="6">
        <v>0</v>
      </c>
      <c r="H1215" s="6">
        <v>18.05</v>
      </c>
      <c r="I1215" s="6">
        <v>0</v>
      </c>
      <c r="J1215" s="6">
        <v>263.67</v>
      </c>
    </row>
    <row r="1216" spans="2:10" ht="18.75">
      <c r="B1216">
        <v>19</v>
      </c>
      <c r="C1216" s="5">
        <v>46146</v>
      </c>
      <c r="D1216" t="s">
        <v>117</v>
      </c>
      <c r="E1216">
        <v>45</v>
      </c>
      <c r="F1216" s="6">
        <v>214.17</v>
      </c>
      <c r="G1216" s="6">
        <v>0</v>
      </c>
      <c r="H1216" s="6">
        <v>7.59</v>
      </c>
      <c r="I1216" s="6">
        <v>0</v>
      </c>
      <c r="J1216" s="6">
        <v>214.17</v>
      </c>
    </row>
    <row r="1217" spans="2:10" ht="18.75">
      <c r="B1217">
        <v>19</v>
      </c>
      <c r="C1217" s="5">
        <v>46146</v>
      </c>
      <c r="D1217" t="s">
        <v>133</v>
      </c>
      <c r="E1217">
        <v>88</v>
      </c>
      <c r="F1217" s="6">
        <v>494.28</v>
      </c>
      <c r="G1217" s="6">
        <v>0</v>
      </c>
      <c r="H1217" s="6">
        <v>22.42</v>
      </c>
      <c r="I1217" s="6">
        <v>0</v>
      </c>
      <c r="J1217" s="6">
        <v>494.28</v>
      </c>
    </row>
    <row r="1218" spans="2:10" ht="18.75">
      <c r="B1218">
        <v>19</v>
      </c>
      <c r="C1218" s="5">
        <v>46146</v>
      </c>
      <c r="D1218" t="s">
        <v>131</v>
      </c>
      <c r="E1218">
        <v>80</v>
      </c>
      <c r="F1218" s="6">
        <v>417.93</v>
      </c>
      <c r="G1218" s="6">
        <v>0</v>
      </c>
      <c r="H1218" s="6">
        <v>10.45</v>
      </c>
      <c r="I1218" s="6">
        <v>0</v>
      </c>
      <c r="J1218" s="6">
        <v>417.93</v>
      </c>
    </row>
    <row r="1219" spans="2:10" ht="18.75">
      <c r="B1219">
        <v>19</v>
      </c>
      <c r="C1219" s="5">
        <v>46146</v>
      </c>
      <c r="D1219" t="s">
        <v>128</v>
      </c>
      <c r="E1219">
        <v>42</v>
      </c>
      <c r="F1219" s="6">
        <v>168.05</v>
      </c>
      <c r="G1219" s="6">
        <v>0</v>
      </c>
      <c r="H1219" s="6">
        <v>8.89</v>
      </c>
      <c r="I1219" s="6">
        <v>2.38</v>
      </c>
      <c r="J1219" s="6">
        <v>170.43</v>
      </c>
    </row>
    <row r="1220" spans="2:10" ht="18.75">
      <c r="B1220">
        <v>19</v>
      </c>
      <c r="C1220" s="5">
        <v>46146</v>
      </c>
      <c r="D1220" t="s">
        <v>114</v>
      </c>
      <c r="E1220">
        <v>96</v>
      </c>
      <c r="F1220" s="6">
        <v>407.19</v>
      </c>
      <c r="G1220" s="6">
        <v>0</v>
      </c>
      <c r="H1220" s="6">
        <v>13.17</v>
      </c>
      <c r="I1220" s="6">
        <v>140.44</v>
      </c>
      <c r="J1220" s="6">
        <v>547.63</v>
      </c>
    </row>
    <row r="1221" spans="2:10" ht="18.75">
      <c r="B1221">
        <v>19</v>
      </c>
      <c r="C1221" s="5">
        <v>46146</v>
      </c>
      <c r="D1221" t="s">
        <v>135</v>
      </c>
      <c r="E1221">
        <v>15</v>
      </c>
      <c r="F1221" s="6">
        <v>55.21</v>
      </c>
      <c r="G1221" s="6">
        <v>0</v>
      </c>
      <c r="H1221" s="6">
        <v>6.43</v>
      </c>
      <c r="I1221" s="6">
        <v>11.58</v>
      </c>
      <c r="J1221" s="6">
        <v>66.790000000000006</v>
      </c>
    </row>
    <row r="1222" spans="2:10" ht="18.75">
      <c r="B1222">
        <v>19</v>
      </c>
      <c r="C1222" s="5">
        <v>46146</v>
      </c>
      <c r="D1222" t="s">
        <v>134</v>
      </c>
      <c r="E1222">
        <v>80</v>
      </c>
      <c r="F1222" s="6">
        <v>423.38</v>
      </c>
      <c r="G1222" s="6">
        <v>0</v>
      </c>
      <c r="H1222" s="6">
        <v>24.04</v>
      </c>
      <c r="I1222" s="6">
        <v>0</v>
      </c>
      <c r="J1222" s="6">
        <v>423.38</v>
      </c>
    </row>
    <row r="1223" spans="2:10" ht="18.75">
      <c r="B1223">
        <v>19</v>
      </c>
      <c r="C1223" s="5">
        <v>46146</v>
      </c>
      <c r="D1223" t="s">
        <v>142</v>
      </c>
      <c r="E1223">
        <v>60</v>
      </c>
      <c r="F1223" s="6">
        <v>266.98</v>
      </c>
      <c r="G1223" s="6">
        <v>2.2000000000000002</v>
      </c>
      <c r="H1223" s="6">
        <v>9.3800000000000008</v>
      </c>
      <c r="I1223" s="6">
        <v>0</v>
      </c>
      <c r="J1223" s="6">
        <v>264.77999999999997</v>
      </c>
    </row>
    <row r="1224" spans="2:10" ht="18.75">
      <c r="B1224">
        <v>19</v>
      </c>
      <c r="C1224" s="5">
        <v>46146</v>
      </c>
      <c r="D1224" t="s">
        <v>132</v>
      </c>
      <c r="E1224">
        <v>45</v>
      </c>
      <c r="F1224" s="6">
        <v>158.29</v>
      </c>
      <c r="G1224" s="6">
        <v>0</v>
      </c>
      <c r="H1224" s="6">
        <v>5.47</v>
      </c>
      <c r="I1224" s="6">
        <v>0</v>
      </c>
      <c r="J1224" s="6">
        <v>158.29</v>
      </c>
    </row>
    <row r="1225" spans="2:10" ht="18.75">
      <c r="B1225">
        <v>19</v>
      </c>
      <c r="C1225" s="5">
        <v>46146</v>
      </c>
      <c r="D1225" t="s">
        <v>137</v>
      </c>
      <c r="E1225">
        <v>19</v>
      </c>
      <c r="F1225" s="6">
        <v>59.69</v>
      </c>
      <c r="G1225" s="6">
        <v>0</v>
      </c>
      <c r="H1225" s="6">
        <v>3.82</v>
      </c>
      <c r="I1225" s="6">
        <v>39.82</v>
      </c>
      <c r="J1225" s="6">
        <v>99.51</v>
      </c>
    </row>
    <row r="1226" spans="2:10" ht="18.75">
      <c r="B1226">
        <v>19</v>
      </c>
      <c r="C1226" s="5">
        <v>46146</v>
      </c>
      <c r="D1226" t="s">
        <v>145</v>
      </c>
      <c r="E1226">
        <v>52</v>
      </c>
      <c r="F1226" s="6">
        <v>298.33999999999997</v>
      </c>
      <c r="G1226" s="6">
        <v>0</v>
      </c>
      <c r="H1226" s="6">
        <v>9.61</v>
      </c>
      <c r="I1226" s="6">
        <v>0</v>
      </c>
      <c r="J1226" s="6">
        <v>298.33999999999997</v>
      </c>
    </row>
    <row r="1227" spans="2:10" ht="18.75">
      <c r="B1227">
        <v>19</v>
      </c>
      <c r="C1227" s="5">
        <v>46146</v>
      </c>
      <c r="D1227" t="s">
        <v>116</v>
      </c>
      <c r="E1227">
        <v>45</v>
      </c>
      <c r="F1227" s="6">
        <v>143.6</v>
      </c>
      <c r="G1227" s="6">
        <v>0</v>
      </c>
      <c r="H1227" s="6">
        <v>27.44</v>
      </c>
      <c r="I1227" s="6">
        <v>0</v>
      </c>
      <c r="J1227" s="6">
        <v>143.6</v>
      </c>
    </row>
    <row r="1228" spans="2:10" ht="18.75">
      <c r="B1228">
        <v>19</v>
      </c>
      <c r="C1228" s="5">
        <v>46146</v>
      </c>
      <c r="D1228" t="s">
        <v>150</v>
      </c>
      <c r="E1228">
        <v>15</v>
      </c>
      <c r="F1228" s="6">
        <v>85.79</v>
      </c>
      <c r="G1228" s="6">
        <v>0</v>
      </c>
      <c r="H1228" s="6">
        <v>1</v>
      </c>
      <c r="I1228" s="6">
        <v>0</v>
      </c>
      <c r="J1228" s="6">
        <v>85.79</v>
      </c>
    </row>
    <row r="1229" spans="2:10" ht="18.75">
      <c r="B1229">
        <v>19</v>
      </c>
      <c r="C1229" s="5">
        <v>46146</v>
      </c>
      <c r="D1229" t="s">
        <v>113</v>
      </c>
      <c r="E1229">
        <v>90</v>
      </c>
      <c r="F1229" s="6">
        <v>315.17</v>
      </c>
      <c r="G1229" s="6">
        <v>0</v>
      </c>
      <c r="H1229" s="6">
        <v>3</v>
      </c>
      <c r="I1229" s="6">
        <v>3.53</v>
      </c>
      <c r="J1229" s="6">
        <v>318.7</v>
      </c>
    </row>
    <row r="1230" spans="2:10" ht="18.75">
      <c r="B1230">
        <v>19</v>
      </c>
      <c r="C1230" s="5">
        <v>46146</v>
      </c>
      <c r="D1230" t="s">
        <v>127</v>
      </c>
      <c r="E1230">
        <v>56</v>
      </c>
      <c r="F1230" s="6">
        <v>286.8</v>
      </c>
      <c r="G1230" s="6">
        <v>0</v>
      </c>
      <c r="H1230" s="6">
        <v>6.69</v>
      </c>
      <c r="I1230" s="6">
        <v>0</v>
      </c>
      <c r="J1230" s="6">
        <v>286.8</v>
      </c>
    </row>
    <row r="1231" spans="2:10" ht="18.75">
      <c r="B1231">
        <v>19</v>
      </c>
      <c r="C1231" s="5">
        <v>46146</v>
      </c>
      <c r="D1231" t="s">
        <v>136</v>
      </c>
      <c r="E1231">
        <v>33</v>
      </c>
      <c r="F1231" s="6">
        <v>90.45</v>
      </c>
      <c r="G1231" s="6">
        <v>0</v>
      </c>
      <c r="H1231" s="6">
        <v>7.97</v>
      </c>
      <c r="I1231" s="6">
        <v>54.84</v>
      </c>
      <c r="J1231" s="6">
        <v>145.29</v>
      </c>
    </row>
    <row r="1232" spans="2:10" ht="18.75">
      <c r="B1232">
        <v>19</v>
      </c>
      <c r="C1232" s="5">
        <v>46146</v>
      </c>
      <c r="D1232" t="s">
        <v>125</v>
      </c>
      <c r="E1232">
        <v>14</v>
      </c>
      <c r="F1232" s="6">
        <v>55.05</v>
      </c>
      <c r="G1232" s="6">
        <v>0</v>
      </c>
      <c r="H1232" s="6">
        <v>3.6</v>
      </c>
      <c r="I1232" s="6">
        <v>0</v>
      </c>
      <c r="J1232" s="6">
        <v>55.05</v>
      </c>
    </row>
    <row r="1233" spans="2:10" ht="18.75">
      <c r="B1233">
        <v>19</v>
      </c>
      <c r="C1233" s="5">
        <v>46146</v>
      </c>
      <c r="D1233" t="s">
        <v>126</v>
      </c>
      <c r="E1233">
        <v>42</v>
      </c>
      <c r="F1233" s="6">
        <v>164.43</v>
      </c>
      <c r="G1233" s="6">
        <v>0</v>
      </c>
      <c r="H1233" s="6">
        <v>8.7100000000000009</v>
      </c>
      <c r="I1233" s="6">
        <v>0</v>
      </c>
      <c r="J1233" s="6">
        <v>164.43</v>
      </c>
    </row>
    <row r="1234" spans="2:10" ht="18.75">
      <c r="B1234">
        <v>22</v>
      </c>
      <c r="C1234" s="5">
        <v>46167</v>
      </c>
      <c r="D1234" t="s">
        <v>143</v>
      </c>
      <c r="E1234">
        <v>278</v>
      </c>
      <c r="F1234" s="6">
        <v>1238.0899999999999</v>
      </c>
      <c r="G1234" s="6">
        <v>0</v>
      </c>
      <c r="H1234" s="6">
        <v>16.04</v>
      </c>
      <c r="I1234" s="6">
        <v>0</v>
      </c>
      <c r="J1234" s="6">
        <v>1238.0899999999999</v>
      </c>
    </row>
    <row r="1235" spans="2:10" ht="18.75">
      <c r="B1235">
        <v>22</v>
      </c>
      <c r="C1235" s="5">
        <v>46167</v>
      </c>
      <c r="D1235" t="s">
        <v>139</v>
      </c>
      <c r="E1235">
        <v>58</v>
      </c>
      <c r="F1235" s="6">
        <v>234</v>
      </c>
      <c r="G1235" s="6">
        <v>5.99</v>
      </c>
      <c r="H1235" s="6">
        <v>9.3800000000000008</v>
      </c>
      <c r="I1235" s="6">
        <v>0</v>
      </c>
      <c r="J1235" s="6">
        <v>228.01</v>
      </c>
    </row>
    <row r="1236" spans="2:10" ht="18.75">
      <c r="B1236">
        <v>22</v>
      </c>
      <c r="C1236" s="5">
        <v>46167</v>
      </c>
      <c r="D1236" t="s">
        <v>123</v>
      </c>
      <c r="E1236">
        <v>145</v>
      </c>
      <c r="F1236" s="6">
        <v>561.09</v>
      </c>
      <c r="G1236" s="6">
        <v>0</v>
      </c>
      <c r="H1236" s="6">
        <v>13.22</v>
      </c>
      <c r="I1236" s="6">
        <v>0</v>
      </c>
      <c r="J1236" s="6">
        <v>561.09</v>
      </c>
    </row>
    <row r="1237" spans="2:10" ht="18.75">
      <c r="B1237">
        <v>22</v>
      </c>
      <c r="C1237" s="5">
        <v>46167</v>
      </c>
      <c r="D1237" t="s">
        <v>216</v>
      </c>
      <c r="E1237">
        <v>121</v>
      </c>
      <c r="F1237" s="6">
        <v>460.46</v>
      </c>
      <c r="G1237" s="6">
        <v>0</v>
      </c>
      <c r="H1237" s="6">
        <v>10.27</v>
      </c>
      <c r="I1237" s="6">
        <v>0</v>
      </c>
      <c r="J1237" s="6">
        <v>460.46</v>
      </c>
    </row>
    <row r="1238" spans="2:10" ht="18.75">
      <c r="B1238">
        <v>22</v>
      </c>
      <c r="C1238" s="5">
        <v>46167</v>
      </c>
      <c r="D1238" t="s">
        <v>144</v>
      </c>
      <c r="E1238">
        <v>246</v>
      </c>
      <c r="F1238" s="6">
        <v>1116.51</v>
      </c>
      <c r="G1238" s="6">
        <v>0</v>
      </c>
      <c r="H1238" s="6">
        <v>34.76</v>
      </c>
      <c r="I1238" s="6">
        <v>0</v>
      </c>
      <c r="J1238" s="6">
        <v>1116.51</v>
      </c>
    </row>
    <row r="1239" spans="2:10" ht="18.75">
      <c r="B1239">
        <v>22</v>
      </c>
      <c r="C1239" s="5">
        <v>46167</v>
      </c>
      <c r="D1239" t="s">
        <v>124</v>
      </c>
      <c r="E1239">
        <v>126</v>
      </c>
      <c r="F1239" s="6">
        <v>455.72</v>
      </c>
      <c r="G1239" s="6">
        <v>0</v>
      </c>
      <c r="H1239" s="6">
        <v>8.83</v>
      </c>
      <c r="I1239" s="6">
        <v>0</v>
      </c>
      <c r="J1239" s="6">
        <v>455.72</v>
      </c>
    </row>
    <row r="1240" spans="2:10" ht="18.75">
      <c r="B1240">
        <v>22</v>
      </c>
      <c r="C1240" s="5">
        <v>46167</v>
      </c>
      <c r="D1240" t="s">
        <v>118</v>
      </c>
      <c r="E1240">
        <v>59</v>
      </c>
      <c r="F1240" s="6">
        <v>202.14</v>
      </c>
      <c r="G1240" s="6">
        <v>0</v>
      </c>
      <c r="H1240" s="6">
        <v>5.75</v>
      </c>
      <c r="I1240" s="6">
        <v>0</v>
      </c>
      <c r="J1240" s="6">
        <v>202.14</v>
      </c>
    </row>
    <row r="1241" spans="2:10" ht="18.75">
      <c r="B1241">
        <v>22</v>
      </c>
      <c r="C1241" s="5">
        <v>46167</v>
      </c>
      <c r="D1241" t="s">
        <v>115</v>
      </c>
      <c r="E1241">
        <v>58</v>
      </c>
      <c r="F1241" s="6">
        <v>174</v>
      </c>
      <c r="G1241" s="6">
        <v>0</v>
      </c>
      <c r="H1241" s="6">
        <v>0</v>
      </c>
      <c r="I1241" s="6">
        <v>0</v>
      </c>
      <c r="J1241" s="6">
        <v>174</v>
      </c>
    </row>
    <row r="1242" spans="2:10" ht="18.75">
      <c r="B1242">
        <v>22</v>
      </c>
      <c r="C1242" s="5">
        <v>46167</v>
      </c>
      <c r="D1242" t="s">
        <v>113</v>
      </c>
      <c r="E1242">
        <v>81</v>
      </c>
      <c r="F1242" s="6">
        <v>260.81</v>
      </c>
      <c r="G1242" s="6">
        <v>0</v>
      </c>
      <c r="H1242" s="6">
        <v>3.4</v>
      </c>
      <c r="I1242" s="6">
        <v>3.76</v>
      </c>
      <c r="J1242" s="6">
        <v>264.57</v>
      </c>
    </row>
    <row r="1243" spans="2:10" ht="18.75">
      <c r="B1243">
        <v>22</v>
      </c>
      <c r="C1243" s="5">
        <v>46167</v>
      </c>
      <c r="D1243" t="s">
        <v>129</v>
      </c>
      <c r="E1243">
        <v>125</v>
      </c>
      <c r="F1243" s="6">
        <v>6.8</v>
      </c>
      <c r="G1243" s="6">
        <v>0</v>
      </c>
      <c r="H1243" s="6">
        <v>3.64</v>
      </c>
      <c r="I1243" s="6">
        <v>464.41</v>
      </c>
      <c r="J1243" s="6">
        <v>471.21</v>
      </c>
    </row>
    <row r="1244" spans="2:10" ht="18.75">
      <c r="B1244">
        <v>22</v>
      </c>
      <c r="C1244" s="5">
        <v>46167</v>
      </c>
      <c r="D1244" t="s">
        <v>151</v>
      </c>
      <c r="E1244">
        <v>186</v>
      </c>
      <c r="F1244" s="6">
        <v>968.30000000000098</v>
      </c>
      <c r="G1244" s="6">
        <v>0</v>
      </c>
      <c r="H1244" s="6">
        <v>13.69</v>
      </c>
      <c r="I1244" s="6">
        <v>2.2000000000000002</v>
      </c>
      <c r="J1244" s="6">
        <v>970.50000000000102</v>
      </c>
    </row>
    <row r="1245" spans="2:10" ht="18.75">
      <c r="B1245">
        <v>22</v>
      </c>
      <c r="C1245" s="5">
        <v>46167</v>
      </c>
      <c r="D1245" t="s">
        <v>147</v>
      </c>
      <c r="E1245">
        <v>101</v>
      </c>
      <c r="F1245" s="6">
        <v>509.7</v>
      </c>
      <c r="G1245" s="6">
        <v>0</v>
      </c>
      <c r="H1245" s="6">
        <v>16.13</v>
      </c>
      <c r="I1245" s="6">
        <v>0</v>
      </c>
      <c r="J1245" s="6">
        <v>509.7</v>
      </c>
    </row>
    <row r="1246" spans="2:10" ht="18.75">
      <c r="B1246">
        <v>22</v>
      </c>
      <c r="C1246" s="5">
        <v>46167</v>
      </c>
      <c r="D1246" t="s">
        <v>117</v>
      </c>
      <c r="E1246">
        <v>41</v>
      </c>
      <c r="F1246" s="6">
        <v>199</v>
      </c>
      <c r="G1246" s="6">
        <v>0</v>
      </c>
      <c r="H1246" s="6">
        <v>9.51</v>
      </c>
      <c r="I1246" s="6">
        <v>0</v>
      </c>
      <c r="J1246" s="6">
        <v>199</v>
      </c>
    </row>
    <row r="1247" spans="2:10" ht="18.75">
      <c r="B1247">
        <v>22</v>
      </c>
      <c r="C1247" s="5">
        <v>46167</v>
      </c>
      <c r="D1247" t="s">
        <v>134</v>
      </c>
      <c r="E1247">
        <v>64</v>
      </c>
      <c r="F1247" s="6">
        <v>354.37</v>
      </c>
      <c r="G1247" s="6">
        <v>0</v>
      </c>
      <c r="H1247" s="6">
        <v>14.03</v>
      </c>
      <c r="I1247" s="6">
        <v>0</v>
      </c>
      <c r="J1247" s="6">
        <v>354.37</v>
      </c>
    </row>
    <row r="1248" spans="2:10" ht="18.75">
      <c r="B1248">
        <v>22</v>
      </c>
      <c r="C1248" s="5">
        <v>46167</v>
      </c>
      <c r="D1248" t="s">
        <v>133</v>
      </c>
      <c r="E1248">
        <v>69</v>
      </c>
      <c r="F1248" s="6">
        <v>380.89</v>
      </c>
      <c r="G1248" s="6">
        <v>0</v>
      </c>
      <c r="H1248" s="6">
        <v>8.44</v>
      </c>
      <c r="I1248" s="6">
        <v>0</v>
      </c>
      <c r="J1248" s="6">
        <v>380.89</v>
      </c>
    </row>
    <row r="1249" spans="2:10" ht="18.75">
      <c r="B1249">
        <v>22</v>
      </c>
      <c r="C1249" s="5">
        <v>46167</v>
      </c>
      <c r="D1249" t="s">
        <v>121</v>
      </c>
      <c r="E1249">
        <v>38</v>
      </c>
      <c r="F1249" s="6">
        <v>96.87</v>
      </c>
      <c r="G1249" s="6">
        <v>0</v>
      </c>
      <c r="H1249" s="6">
        <v>0</v>
      </c>
      <c r="I1249" s="6">
        <v>0</v>
      </c>
      <c r="J1249" s="6">
        <v>96.87</v>
      </c>
    </row>
    <row r="1250" spans="2:10" ht="18.75">
      <c r="B1250">
        <v>22</v>
      </c>
      <c r="C1250" s="5">
        <v>46167</v>
      </c>
      <c r="D1250" t="s">
        <v>141</v>
      </c>
      <c r="E1250">
        <v>171</v>
      </c>
      <c r="F1250" s="6">
        <v>590.73000000000104</v>
      </c>
      <c r="G1250" s="6">
        <v>0</v>
      </c>
      <c r="H1250" s="6">
        <v>20</v>
      </c>
      <c r="I1250" s="6">
        <v>0</v>
      </c>
      <c r="J1250" s="6">
        <v>590.73000000000104</v>
      </c>
    </row>
    <row r="1251" spans="2:10" ht="18.75">
      <c r="B1251">
        <v>22</v>
      </c>
      <c r="C1251" s="5">
        <v>46167</v>
      </c>
      <c r="D1251" t="s">
        <v>131</v>
      </c>
      <c r="E1251">
        <v>74</v>
      </c>
      <c r="F1251" s="6">
        <v>335.87</v>
      </c>
      <c r="G1251" s="6">
        <v>0</v>
      </c>
      <c r="H1251" s="6">
        <v>12.97</v>
      </c>
      <c r="I1251" s="6">
        <v>0</v>
      </c>
      <c r="J1251" s="6">
        <v>335.87</v>
      </c>
    </row>
    <row r="1252" spans="2:10" ht="18.75">
      <c r="B1252">
        <v>22</v>
      </c>
      <c r="C1252" s="5">
        <v>46167</v>
      </c>
      <c r="D1252" t="s">
        <v>132</v>
      </c>
      <c r="E1252">
        <v>62</v>
      </c>
      <c r="F1252" s="6">
        <v>244</v>
      </c>
      <c r="G1252" s="6">
        <v>0</v>
      </c>
      <c r="H1252" s="6">
        <v>14.41</v>
      </c>
      <c r="I1252" s="6">
        <v>0</v>
      </c>
      <c r="J1252" s="6">
        <v>244</v>
      </c>
    </row>
    <row r="1253" spans="2:10" ht="18.75">
      <c r="B1253">
        <v>22</v>
      </c>
      <c r="C1253" s="5">
        <v>46167</v>
      </c>
      <c r="D1253" t="s">
        <v>122</v>
      </c>
      <c r="E1253">
        <v>60</v>
      </c>
      <c r="F1253" s="6">
        <v>317.37</v>
      </c>
      <c r="G1253" s="6">
        <v>0</v>
      </c>
      <c r="H1253" s="6">
        <v>16.93</v>
      </c>
      <c r="I1253" s="6">
        <v>0</v>
      </c>
      <c r="J1253" s="6">
        <v>317.37</v>
      </c>
    </row>
    <row r="1254" spans="2:10" ht="18.75">
      <c r="B1254">
        <v>22</v>
      </c>
      <c r="C1254" s="5">
        <v>46167</v>
      </c>
      <c r="D1254" t="s">
        <v>130</v>
      </c>
      <c r="E1254">
        <v>99</v>
      </c>
      <c r="F1254" s="6">
        <v>447.07</v>
      </c>
      <c r="G1254" s="6">
        <v>0</v>
      </c>
      <c r="H1254" s="6">
        <v>14.93</v>
      </c>
      <c r="I1254" s="6">
        <v>0</v>
      </c>
      <c r="J1254" s="6">
        <v>447.07</v>
      </c>
    </row>
    <row r="1255" spans="2:10" ht="18.75">
      <c r="B1255">
        <v>22</v>
      </c>
      <c r="C1255" s="5">
        <v>46167</v>
      </c>
      <c r="D1255" t="s">
        <v>136</v>
      </c>
      <c r="E1255">
        <v>39</v>
      </c>
      <c r="F1255" s="6">
        <v>113.61</v>
      </c>
      <c r="G1255" s="6">
        <v>0</v>
      </c>
      <c r="H1255" s="6">
        <v>9.1999999999999993</v>
      </c>
      <c r="I1255" s="6">
        <v>48.02</v>
      </c>
      <c r="J1255" s="6">
        <v>161.63</v>
      </c>
    </row>
    <row r="1256" spans="2:10" ht="18.75">
      <c r="B1256">
        <v>22</v>
      </c>
      <c r="C1256" s="5">
        <v>46167</v>
      </c>
      <c r="D1256" t="s">
        <v>138</v>
      </c>
      <c r="E1256">
        <v>98</v>
      </c>
      <c r="F1256" s="6">
        <v>516.52</v>
      </c>
      <c r="G1256" s="6">
        <v>0</v>
      </c>
      <c r="H1256" s="6">
        <v>23.45</v>
      </c>
      <c r="I1256" s="6">
        <v>0</v>
      </c>
      <c r="J1256" s="6">
        <v>516.52</v>
      </c>
    </row>
    <row r="1257" spans="2:10" ht="18.75">
      <c r="B1257">
        <v>22</v>
      </c>
      <c r="C1257" s="5">
        <v>46167</v>
      </c>
      <c r="D1257" t="s">
        <v>125</v>
      </c>
      <c r="E1257">
        <v>28</v>
      </c>
      <c r="F1257" s="6">
        <v>105.54</v>
      </c>
      <c r="G1257" s="6">
        <v>0</v>
      </c>
      <c r="H1257" s="6">
        <v>2.0699999999999998</v>
      </c>
      <c r="I1257" s="6">
        <v>0</v>
      </c>
      <c r="J1257" s="6">
        <v>105.54</v>
      </c>
    </row>
    <row r="1258" spans="2:10" ht="18.75">
      <c r="B1258">
        <v>22</v>
      </c>
      <c r="C1258" s="5">
        <v>46167</v>
      </c>
      <c r="D1258" t="s">
        <v>119</v>
      </c>
      <c r="E1258">
        <v>125</v>
      </c>
      <c r="F1258" s="6">
        <v>479.95</v>
      </c>
      <c r="G1258" s="6">
        <v>3.05</v>
      </c>
      <c r="H1258" s="6">
        <v>14.41</v>
      </c>
      <c r="I1258" s="6">
        <v>0</v>
      </c>
      <c r="J1258" s="6">
        <v>476.9</v>
      </c>
    </row>
    <row r="1259" spans="2:10" ht="18.75">
      <c r="B1259">
        <v>22</v>
      </c>
      <c r="C1259" s="5">
        <v>46167</v>
      </c>
      <c r="D1259" t="s">
        <v>146</v>
      </c>
      <c r="E1259">
        <v>168</v>
      </c>
      <c r="F1259" s="6">
        <v>890.29</v>
      </c>
      <c r="G1259" s="6">
        <v>0</v>
      </c>
      <c r="H1259" s="6">
        <v>17.09</v>
      </c>
      <c r="I1259" s="6">
        <v>0</v>
      </c>
      <c r="J1259" s="6">
        <v>890.29</v>
      </c>
    </row>
    <row r="1260" spans="2:10" ht="18.75">
      <c r="B1260">
        <v>22</v>
      </c>
      <c r="C1260" s="5">
        <v>46167</v>
      </c>
      <c r="D1260" t="s">
        <v>142</v>
      </c>
      <c r="E1260">
        <v>43</v>
      </c>
      <c r="F1260" s="6">
        <v>193.25</v>
      </c>
      <c r="G1260" s="6">
        <v>0</v>
      </c>
      <c r="H1260" s="6">
        <v>8.19</v>
      </c>
      <c r="I1260" s="6">
        <v>0</v>
      </c>
      <c r="J1260" s="6">
        <v>193.25</v>
      </c>
    </row>
    <row r="1261" spans="2:10" ht="18.75">
      <c r="B1261">
        <v>22</v>
      </c>
      <c r="C1261" s="5">
        <v>46167</v>
      </c>
      <c r="D1261" t="s">
        <v>145</v>
      </c>
      <c r="E1261">
        <v>32</v>
      </c>
      <c r="F1261" s="6">
        <v>192.89</v>
      </c>
      <c r="G1261" s="6">
        <v>0</v>
      </c>
      <c r="H1261" s="6">
        <v>1.55</v>
      </c>
      <c r="I1261" s="6">
        <v>0</v>
      </c>
      <c r="J1261" s="6">
        <v>192.89</v>
      </c>
    </row>
    <row r="1262" spans="2:10" ht="18.75">
      <c r="B1262">
        <v>22</v>
      </c>
      <c r="C1262" s="5">
        <v>46167</v>
      </c>
      <c r="D1262" t="s">
        <v>127</v>
      </c>
      <c r="E1262">
        <v>55</v>
      </c>
      <c r="F1262" s="6">
        <v>300.75</v>
      </c>
      <c r="G1262" s="6">
        <v>0</v>
      </c>
      <c r="H1262" s="6">
        <v>8.7799999999999994</v>
      </c>
      <c r="I1262" s="6">
        <v>0</v>
      </c>
      <c r="J1262" s="6">
        <v>300.75</v>
      </c>
    </row>
    <row r="1263" spans="2:10" ht="18.75">
      <c r="B1263">
        <v>22</v>
      </c>
      <c r="C1263" s="5">
        <v>46167</v>
      </c>
      <c r="D1263" t="s">
        <v>114</v>
      </c>
      <c r="E1263">
        <v>77</v>
      </c>
      <c r="F1263" s="6">
        <v>301.5</v>
      </c>
      <c r="G1263" s="6">
        <v>0</v>
      </c>
      <c r="H1263" s="6">
        <v>12.4</v>
      </c>
      <c r="I1263" s="6">
        <v>104.86</v>
      </c>
      <c r="J1263" s="6">
        <v>406.36</v>
      </c>
    </row>
    <row r="1264" spans="2:10" ht="18.75">
      <c r="B1264">
        <v>22</v>
      </c>
      <c r="C1264" s="5">
        <v>46167</v>
      </c>
      <c r="D1264" t="s">
        <v>128</v>
      </c>
      <c r="E1264">
        <v>36</v>
      </c>
      <c r="F1264" s="6">
        <v>147.05000000000001</v>
      </c>
      <c r="G1264" s="6">
        <v>0</v>
      </c>
      <c r="H1264" s="6">
        <v>11.28</v>
      </c>
      <c r="I1264" s="6">
        <v>0</v>
      </c>
      <c r="J1264" s="6">
        <v>147.05000000000001</v>
      </c>
    </row>
    <row r="1265" spans="2:10" ht="18.75">
      <c r="B1265">
        <v>22</v>
      </c>
      <c r="C1265" s="5">
        <v>46167</v>
      </c>
      <c r="D1265" t="s">
        <v>126</v>
      </c>
      <c r="E1265">
        <v>42</v>
      </c>
      <c r="F1265" s="6">
        <v>141.84</v>
      </c>
      <c r="G1265" s="6">
        <v>0</v>
      </c>
      <c r="H1265" s="6">
        <v>3.86</v>
      </c>
      <c r="I1265" s="6">
        <v>0</v>
      </c>
      <c r="J1265" s="6">
        <v>141.84</v>
      </c>
    </row>
    <row r="1266" spans="2:10" ht="18.75">
      <c r="B1266">
        <v>22</v>
      </c>
      <c r="C1266" s="5">
        <v>46167</v>
      </c>
      <c r="D1266" t="s">
        <v>111</v>
      </c>
      <c r="E1266">
        <v>57</v>
      </c>
      <c r="F1266" s="6">
        <v>193.44</v>
      </c>
      <c r="G1266" s="6">
        <v>0</v>
      </c>
      <c r="H1266" s="6">
        <v>10.61</v>
      </c>
      <c r="I1266" s="6">
        <v>0</v>
      </c>
      <c r="J1266" s="6">
        <v>193.44</v>
      </c>
    </row>
    <row r="1267" spans="2:10" ht="18.75">
      <c r="B1267">
        <v>22</v>
      </c>
      <c r="C1267" s="5">
        <v>46167</v>
      </c>
      <c r="D1267" t="s">
        <v>112</v>
      </c>
      <c r="E1267">
        <v>36</v>
      </c>
      <c r="F1267" s="6">
        <v>96.49</v>
      </c>
      <c r="G1267" s="6">
        <v>0</v>
      </c>
      <c r="H1267" s="6">
        <v>0</v>
      </c>
      <c r="I1267" s="6">
        <v>0</v>
      </c>
      <c r="J1267" s="6">
        <v>96.49</v>
      </c>
    </row>
    <row r="1268" spans="2:10" ht="18.75">
      <c r="B1268">
        <v>22</v>
      </c>
      <c r="C1268" s="5">
        <v>46167</v>
      </c>
      <c r="D1268" t="s">
        <v>148</v>
      </c>
      <c r="E1268">
        <v>20</v>
      </c>
      <c r="F1268" s="6">
        <v>94.99</v>
      </c>
      <c r="G1268" s="6">
        <v>0</v>
      </c>
      <c r="H1268" s="6">
        <v>4.2</v>
      </c>
      <c r="I1268" s="6">
        <v>0</v>
      </c>
      <c r="J1268" s="6">
        <v>94.99</v>
      </c>
    </row>
    <row r="1269" spans="2:10" ht="18.75">
      <c r="B1269">
        <v>22</v>
      </c>
      <c r="C1269" s="5">
        <v>46167</v>
      </c>
      <c r="D1269" t="s">
        <v>150</v>
      </c>
      <c r="E1269">
        <v>11</v>
      </c>
      <c r="F1269" s="6">
        <v>65.56</v>
      </c>
      <c r="G1269" s="6">
        <v>0</v>
      </c>
      <c r="H1269" s="6">
        <v>2.38</v>
      </c>
      <c r="I1269" s="6">
        <v>0</v>
      </c>
      <c r="J1269" s="6">
        <v>65.56</v>
      </c>
    </row>
    <row r="1270" spans="2:10" ht="18.75">
      <c r="B1270">
        <v>22</v>
      </c>
      <c r="C1270" s="5">
        <v>46167</v>
      </c>
      <c r="D1270" t="s">
        <v>116</v>
      </c>
      <c r="E1270">
        <v>30</v>
      </c>
      <c r="F1270" s="6">
        <v>108.29</v>
      </c>
      <c r="G1270" s="6">
        <v>0</v>
      </c>
      <c r="H1270" s="6">
        <v>0.59</v>
      </c>
      <c r="I1270" s="6">
        <v>0</v>
      </c>
      <c r="J1270" s="6">
        <v>108.29</v>
      </c>
    </row>
    <row r="1271" spans="2:10" ht="18.75">
      <c r="B1271">
        <v>22</v>
      </c>
      <c r="C1271" s="5">
        <v>46167</v>
      </c>
      <c r="D1271" t="s">
        <v>120</v>
      </c>
      <c r="E1271">
        <v>20</v>
      </c>
      <c r="F1271" s="6">
        <v>68.08</v>
      </c>
      <c r="G1271" s="6">
        <v>0</v>
      </c>
      <c r="H1271" s="6">
        <v>2.35</v>
      </c>
      <c r="I1271" s="6">
        <v>0</v>
      </c>
      <c r="J1271" s="6">
        <v>68.08</v>
      </c>
    </row>
    <row r="1272" spans="2:10" ht="18.75">
      <c r="B1272">
        <v>22</v>
      </c>
      <c r="C1272" s="5">
        <v>46167</v>
      </c>
      <c r="D1272" t="s">
        <v>137</v>
      </c>
      <c r="E1272">
        <v>13</v>
      </c>
      <c r="F1272" s="6">
        <v>43.46</v>
      </c>
      <c r="G1272" s="6">
        <v>0</v>
      </c>
      <c r="H1272" s="6">
        <v>0.92</v>
      </c>
      <c r="I1272" s="6">
        <v>28.08</v>
      </c>
      <c r="J1272" s="6">
        <v>71.540000000000006</v>
      </c>
    </row>
    <row r="1273" spans="2:10" ht="18.75">
      <c r="B1273">
        <v>22</v>
      </c>
      <c r="C1273" s="5">
        <v>46167</v>
      </c>
      <c r="D1273" t="s">
        <v>135</v>
      </c>
      <c r="E1273">
        <v>2</v>
      </c>
      <c r="F1273" s="6">
        <v>8.5</v>
      </c>
      <c r="G1273" s="6">
        <v>0</v>
      </c>
      <c r="H1273" s="6">
        <v>0</v>
      </c>
      <c r="I1273" s="6">
        <v>0</v>
      </c>
      <c r="J1273" s="6">
        <v>8.5</v>
      </c>
    </row>
    <row r="1274" spans="2:10" ht="18.75">
      <c r="B1274">
        <v>23</v>
      </c>
      <c r="C1274" s="5">
        <v>46174</v>
      </c>
      <c r="D1274" t="s">
        <v>124</v>
      </c>
      <c r="E1274">
        <v>162</v>
      </c>
      <c r="F1274" s="6">
        <v>620.83999999999992</v>
      </c>
      <c r="G1274" s="6">
        <v>0</v>
      </c>
      <c r="H1274" s="6">
        <v>19.559999999999999</v>
      </c>
      <c r="I1274" s="6">
        <v>0</v>
      </c>
      <c r="J1274" s="6">
        <v>620.83999999999992</v>
      </c>
    </row>
    <row r="1275" spans="2:10" ht="18.75">
      <c r="B1275">
        <v>23</v>
      </c>
      <c r="C1275" s="5">
        <v>46174</v>
      </c>
      <c r="D1275" t="s">
        <v>121</v>
      </c>
      <c r="E1275">
        <v>42</v>
      </c>
      <c r="F1275" s="6">
        <v>120.98000000000002</v>
      </c>
      <c r="G1275" s="6">
        <v>0</v>
      </c>
      <c r="H1275" s="6">
        <v>2.81</v>
      </c>
      <c r="I1275" s="6">
        <v>0</v>
      </c>
      <c r="J1275" s="6">
        <v>120.98000000000002</v>
      </c>
    </row>
    <row r="1276" spans="2:10" ht="18.75">
      <c r="B1276">
        <v>23</v>
      </c>
      <c r="C1276" s="5">
        <v>46174</v>
      </c>
      <c r="D1276" t="s">
        <v>129</v>
      </c>
      <c r="E1276">
        <v>125</v>
      </c>
      <c r="F1276" s="6">
        <v>0</v>
      </c>
      <c r="G1276" s="6">
        <v>0</v>
      </c>
      <c r="H1276" s="6">
        <v>7.71</v>
      </c>
      <c r="I1276" s="6">
        <v>480.73999999999978</v>
      </c>
      <c r="J1276" s="6">
        <v>480.73999999999978</v>
      </c>
    </row>
    <row r="1277" spans="2:10" ht="18.75">
      <c r="B1277">
        <v>23</v>
      </c>
      <c r="C1277" s="5">
        <v>46174</v>
      </c>
      <c r="D1277" t="s">
        <v>131</v>
      </c>
      <c r="E1277">
        <v>81</v>
      </c>
      <c r="F1277" s="6">
        <v>415.66999999999979</v>
      </c>
      <c r="G1277" s="6">
        <v>0</v>
      </c>
      <c r="H1277" s="6">
        <v>4.3899999999999997</v>
      </c>
      <c r="I1277" s="6">
        <v>0</v>
      </c>
      <c r="J1277" s="6">
        <v>415.66999999999979</v>
      </c>
    </row>
    <row r="1278" spans="2:10" ht="18.75">
      <c r="B1278">
        <v>23</v>
      </c>
      <c r="C1278" s="5">
        <v>46174</v>
      </c>
      <c r="D1278" t="s">
        <v>151</v>
      </c>
      <c r="E1278">
        <v>222</v>
      </c>
      <c r="F1278" s="6">
        <v>1169.9700000000016</v>
      </c>
      <c r="G1278" s="6">
        <v>0</v>
      </c>
      <c r="H1278" s="6">
        <v>5.4</v>
      </c>
      <c r="I1278" s="6">
        <v>0</v>
      </c>
      <c r="J1278" s="6">
        <v>1169.9700000000016</v>
      </c>
    </row>
    <row r="1279" spans="2:10" ht="18.75">
      <c r="B1279">
        <v>23</v>
      </c>
      <c r="C1279" s="5">
        <v>46174</v>
      </c>
      <c r="D1279" t="s">
        <v>123</v>
      </c>
      <c r="E1279">
        <v>146</v>
      </c>
      <c r="F1279" s="6">
        <v>543.7199999999998</v>
      </c>
      <c r="G1279" s="6">
        <v>0</v>
      </c>
      <c r="H1279" s="6">
        <v>31.29999999999999</v>
      </c>
      <c r="I1279" s="6">
        <v>0</v>
      </c>
      <c r="J1279" s="6">
        <v>543.7199999999998</v>
      </c>
    </row>
    <row r="1280" spans="2:10" ht="18.75">
      <c r="B1280">
        <v>23</v>
      </c>
      <c r="C1280" s="5">
        <v>46174</v>
      </c>
      <c r="D1280" t="s">
        <v>118</v>
      </c>
      <c r="E1280">
        <v>56</v>
      </c>
      <c r="F1280" s="6">
        <v>195.83999999999986</v>
      </c>
      <c r="G1280" s="6">
        <v>0</v>
      </c>
      <c r="H1280" s="6">
        <v>10.469999999999999</v>
      </c>
      <c r="I1280" s="6">
        <v>0</v>
      </c>
      <c r="J1280" s="6">
        <v>195.83999999999986</v>
      </c>
    </row>
    <row r="1281" spans="2:10" ht="18.75">
      <c r="B1281">
        <v>23</v>
      </c>
      <c r="C1281" s="5">
        <v>46174</v>
      </c>
      <c r="D1281" t="s">
        <v>117</v>
      </c>
      <c r="E1281">
        <v>85</v>
      </c>
      <c r="F1281" s="6">
        <v>441.23999999999984</v>
      </c>
      <c r="G1281" s="6">
        <v>6.93</v>
      </c>
      <c r="H1281" s="6">
        <v>30.64</v>
      </c>
      <c r="I1281" s="6">
        <v>0</v>
      </c>
      <c r="J1281" s="6">
        <v>434.30999999999983</v>
      </c>
    </row>
    <row r="1282" spans="2:10" ht="18.75">
      <c r="B1282">
        <v>23</v>
      </c>
      <c r="C1282" s="5">
        <v>46174</v>
      </c>
      <c r="D1282" t="s">
        <v>144</v>
      </c>
      <c r="E1282">
        <v>348</v>
      </c>
      <c r="F1282" s="6">
        <v>1589.5300000000016</v>
      </c>
      <c r="G1282" s="6">
        <v>0</v>
      </c>
      <c r="H1282" s="6">
        <v>15.48</v>
      </c>
      <c r="I1282" s="6">
        <v>0</v>
      </c>
      <c r="J1282" s="6">
        <v>1589.5300000000016</v>
      </c>
    </row>
    <row r="1283" spans="2:10" ht="18.75">
      <c r="B1283">
        <v>23</v>
      </c>
      <c r="C1283" s="5">
        <v>46174</v>
      </c>
      <c r="D1283" t="s">
        <v>115</v>
      </c>
      <c r="E1283">
        <v>76</v>
      </c>
      <c r="F1283" s="6">
        <v>228</v>
      </c>
      <c r="G1283" s="6">
        <v>0</v>
      </c>
      <c r="H1283" s="6">
        <v>0</v>
      </c>
      <c r="I1283" s="6">
        <v>0</v>
      </c>
      <c r="J1283" s="6">
        <v>228</v>
      </c>
    </row>
    <row r="1284" spans="2:10" ht="18.75">
      <c r="B1284">
        <v>23</v>
      </c>
      <c r="C1284" s="5">
        <v>46174</v>
      </c>
      <c r="D1284" t="s">
        <v>147</v>
      </c>
      <c r="E1284">
        <v>120</v>
      </c>
      <c r="F1284" s="6">
        <v>582.16999999999985</v>
      </c>
      <c r="G1284" s="6">
        <v>0</v>
      </c>
      <c r="H1284" s="6">
        <v>12.57</v>
      </c>
      <c r="I1284" s="6">
        <v>0</v>
      </c>
      <c r="J1284" s="6">
        <v>582.16999999999985</v>
      </c>
    </row>
    <row r="1285" spans="2:10" ht="18.75">
      <c r="B1285">
        <v>23</v>
      </c>
      <c r="C1285" s="5">
        <v>46174</v>
      </c>
      <c r="D1285" t="s">
        <v>143</v>
      </c>
      <c r="E1285">
        <v>302</v>
      </c>
      <c r="F1285" s="6">
        <v>1319.6600000000021</v>
      </c>
      <c r="G1285" s="6">
        <v>0</v>
      </c>
      <c r="H1285" s="6">
        <v>31.62</v>
      </c>
      <c r="I1285" s="6">
        <v>0</v>
      </c>
      <c r="J1285" s="6">
        <v>1319.6600000000021</v>
      </c>
    </row>
    <row r="1286" spans="2:10" ht="18.75">
      <c r="B1286">
        <v>23</v>
      </c>
      <c r="C1286" s="5">
        <v>46174</v>
      </c>
      <c r="D1286" t="s">
        <v>146</v>
      </c>
      <c r="E1286">
        <v>199</v>
      </c>
      <c r="F1286" s="6">
        <v>1117.600000000001</v>
      </c>
      <c r="G1286" s="6">
        <v>6.3</v>
      </c>
      <c r="H1286" s="6">
        <v>8.68</v>
      </c>
      <c r="I1286" s="6">
        <v>0</v>
      </c>
      <c r="J1286" s="6">
        <v>1111.3000000000011</v>
      </c>
    </row>
    <row r="1287" spans="2:10" ht="18.75">
      <c r="B1287">
        <v>23</v>
      </c>
      <c r="C1287" s="5">
        <v>46174</v>
      </c>
      <c r="D1287" t="s">
        <v>136</v>
      </c>
      <c r="E1287">
        <v>50</v>
      </c>
      <c r="F1287" s="6">
        <v>139</v>
      </c>
      <c r="G1287" s="6">
        <v>0</v>
      </c>
      <c r="H1287" s="6">
        <v>1.9500000000000002</v>
      </c>
      <c r="I1287" s="6">
        <v>63.599999999999994</v>
      </c>
      <c r="J1287" s="6">
        <v>202.6</v>
      </c>
    </row>
    <row r="1288" spans="2:10" ht="18.75">
      <c r="B1288">
        <v>23</v>
      </c>
      <c r="C1288" s="5">
        <v>46174</v>
      </c>
      <c r="D1288" t="s">
        <v>133</v>
      </c>
      <c r="E1288">
        <v>112</v>
      </c>
      <c r="F1288" s="6">
        <v>633.6600000000002</v>
      </c>
      <c r="G1288" s="6">
        <v>0</v>
      </c>
      <c r="H1288" s="6">
        <v>19.73</v>
      </c>
      <c r="I1288" s="6">
        <v>0</v>
      </c>
      <c r="J1288" s="6">
        <v>633.6600000000002</v>
      </c>
    </row>
    <row r="1289" spans="2:10" ht="18.75">
      <c r="B1289">
        <v>23</v>
      </c>
      <c r="C1289" s="5">
        <v>46174</v>
      </c>
      <c r="D1289" t="s">
        <v>134</v>
      </c>
      <c r="E1289">
        <v>107</v>
      </c>
      <c r="F1289" s="6">
        <v>606.86999999999989</v>
      </c>
      <c r="G1289" s="6">
        <v>0</v>
      </c>
      <c r="H1289" s="6">
        <v>18.02</v>
      </c>
      <c r="I1289" s="6">
        <v>0</v>
      </c>
      <c r="J1289" s="6">
        <v>606.86999999999989</v>
      </c>
    </row>
    <row r="1290" spans="2:10" ht="18.75">
      <c r="B1290">
        <v>23</v>
      </c>
      <c r="C1290" s="5">
        <v>46174</v>
      </c>
      <c r="D1290" t="s">
        <v>132</v>
      </c>
      <c r="E1290">
        <v>80</v>
      </c>
      <c r="F1290" s="6">
        <v>307.26999999999981</v>
      </c>
      <c r="G1290" s="6">
        <v>8.9</v>
      </c>
      <c r="H1290" s="6">
        <v>1.32</v>
      </c>
      <c r="I1290" s="6">
        <v>0</v>
      </c>
      <c r="J1290" s="6">
        <v>298.36999999999983</v>
      </c>
    </row>
    <row r="1291" spans="2:10" ht="18.75">
      <c r="B1291">
        <v>23</v>
      </c>
      <c r="C1291" s="5">
        <v>46174</v>
      </c>
      <c r="D1291" t="s">
        <v>216</v>
      </c>
      <c r="E1291">
        <v>97</v>
      </c>
      <c r="F1291" s="6">
        <v>403.59999999999997</v>
      </c>
      <c r="G1291" s="6">
        <v>0</v>
      </c>
      <c r="H1291" s="6">
        <v>3.12</v>
      </c>
      <c r="I1291" s="6">
        <v>0</v>
      </c>
      <c r="J1291" s="6">
        <v>403.59999999999997</v>
      </c>
    </row>
    <row r="1292" spans="2:10" ht="18.75">
      <c r="B1292">
        <v>23</v>
      </c>
      <c r="C1292" s="5">
        <v>46174</v>
      </c>
      <c r="D1292" t="s">
        <v>114</v>
      </c>
      <c r="E1292">
        <v>90</v>
      </c>
      <c r="F1292" s="6">
        <v>390.42</v>
      </c>
      <c r="G1292" s="6">
        <v>0</v>
      </c>
      <c r="H1292" s="6">
        <v>7.6800000000000006</v>
      </c>
      <c r="I1292" s="6">
        <v>132.93999999999997</v>
      </c>
      <c r="J1292" s="6">
        <v>523.36</v>
      </c>
    </row>
    <row r="1293" spans="2:10" ht="18.75">
      <c r="B1293">
        <v>23</v>
      </c>
      <c r="C1293" s="5">
        <v>46174</v>
      </c>
      <c r="D1293" t="s">
        <v>119</v>
      </c>
      <c r="E1293">
        <v>116</v>
      </c>
      <c r="F1293" s="6">
        <v>451.12999999999982</v>
      </c>
      <c r="G1293" s="6">
        <v>0</v>
      </c>
      <c r="H1293" s="6">
        <v>3.7100000000000004</v>
      </c>
      <c r="I1293" s="6">
        <v>0</v>
      </c>
      <c r="J1293" s="6">
        <v>451.12999999999982</v>
      </c>
    </row>
    <row r="1294" spans="2:10" ht="18.75">
      <c r="B1294">
        <v>23</v>
      </c>
      <c r="C1294" s="5">
        <v>46174</v>
      </c>
      <c r="D1294" t="s">
        <v>138</v>
      </c>
      <c r="E1294">
        <v>132</v>
      </c>
      <c r="F1294" s="6">
        <v>718.3599999999999</v>
      </c>
      <c r="G1294" s="6">
        <v>4.99</v>
      </c>
      <c r="H1294" s="6">
        <v>28.06</v>
      </c>
      <c r="I1294" s="6">
        <v>0</v>
      </c>
      <c r="J1294" s="6">
        <v>713.36999999999989</v>
      </c>
    </row>
    <row r="1295" spans="2:10" ht="18.75">
      <c r="B1295">
        <v>23</v>
      </c>
      <c r="C1295" s="5">
        <v>46174</v>
      </c>
      <c r="D1295" t="s">
        <v>130</v>
      </c>
      <c r="E1295">
        <v>109</v>
      </c>
      <c r="F1295" s="6">
        <v>492.29999999999978</v>
      </c>
      <c r="G1295" s="6">
        <v>0</v>
      </c>
      <c r="H1295" s="6">
        <v>4.99</v>
      </c>
      <c r="I1295" s="6">
        <v>0</v>
      </c>
      <c r="J1295" s="6">
        <v>492.29999999999978</v>
      </c>
    </row>
    <row r="1296" spans="2:10" ht="18.75">
      <c r="B1296">
        <v>23</v>
      </c>
      <c r="C1296" s="5">
        <v>46174</v>
      </c>
      <c r="D1296" t="s">
        <v>139</v>
      </c>
      <c r="E1296">
        <v>72</v>
      </c>
      <c r="F1296" s="6">
        <v>337.86999999999995</v>
      </c>
      <c r="G1296" s="6">
        <v>0</v>
      </c>
      <c r="H1296" s="6">
        <v>9.3300000000000018</v>
      </c>
      <c r="I1296" s="6">
        <v>0</v>
      </c>
      <c r="J1296" s="6">
        <v>337.86999999999995</v>
      </c>
    </row>
    <row r="1297" spans="2:10" ht="18.75">
      <c r="B1297">
        <v>23</v>
      </c>
      <c r="C1297" s="5">
        <v>46174</v>
      </c>
      <c r="D1297" t="s">
        <v>122</v>
      </c>
      <c r="E1297">
        <v>76</v>
      </c>
      <c r="F1297" s="6">
        <v>396.37000000000012</v>
      </c>
      <c r="G1297" s="6">
        <v>0</v>
      </c>
      <c r="H1297" s="6">
        <v>2.33</v>
      </c>
      <c r="I1297" s="6">
        <v>0</v>
      </c>
      <c r="J1297" s="6">
        <v>396.37000000000012</v>
      </c>
    </row>
    <row r="1298" spans="2:10" ht="18.75">
      <c r="B1298">
        <v>23</v>
      </c>
      <c r="C1298" s="5">
        <v>46174</v>
      </c>
      <c r="D1298" t="s">
        <v>142</v>
      </c>
      <c r="E1298">
        <v>57</v>
      </c>
      <c r="F1298" s="6">
        <v>292.97999999999996</v>
      </c>
      <c r="G1298" s="6">
        <v>0</v>
      </c>
      <c r="H1298" s="6">
        <v>8.2799999999999994</v>
      </c>
      <c r="I1298" s="6">
        <v>0</v>
      </c>
      <c r="J1298" s="6">
        <v>292.97999999999996</v>
      </c>
    </row>
    <row r="1299" spans="2:10" ht="18.75">
      <c r="B1299">
        <v>23</v>
      </c>
      <c r="C1299" s="5">
        <v>46174</v>
      </c>
      <c r="D1299" t="s">
        <v>113</v>
      </c>
      <c r="E1299">
        <v>113</v>
      </c>
      <c r="F1299" s="6">
        <v>418.6099999999999</v>
      </c>
      <c r="G1299" s="6">
        <v>0</v>
      </c>
      <c r="H1299" s="6">
        <v>7.52</v>
      </c>
      <c r="I1299" s="6">
        <v>0</v>
      </c>
      <c r="J1299" s="6">
        <v>418.6099999999999</v>
      </c>
    </row>
    <row r="1300" spans="2:10" ht="18.75">
      <c r="B1300">
        <v>23</v>
      </c>
      <c r="C1300" s="5">
        <v>46174</v>
      </c>
      <c r="D1300" t="s">
        <v>120</v>
      </c>
      <c r="E1300">
        <v>26</v>
      </c>
      <c r="F1300" s="6">
        <v>98.350000000000009</v>
      </c>
      <c r="G1300" s="6">
        <v>0</v>
      </c>
      <c r="H1300" s="6">
        <v>0.98</v>
      </c>
      <c r="I1300" s="6">
        <v>0</v>
      </c>
      <c r="J1300" s="6">
        <v>98.350000000000009</v>
      </c>
    </row>
    <row r="1301" spans="2:10" ht="18.75">
      <c r="B1301">
        <v>23</v>
      </c>
      <c r="C1301" s="5">
        <v>46174</v>
      </c>
      <c r="D1301" t="s">
        <v>111</v>
      </c>
      <c r="E1301">
        <v>63</v>
      </c>
      <c r="F1301" s="6">
        <v>233.79999999999978</v>
      </c>
      <c r="G1301" s="6">
        <v>0</v>
      </c>
      <c r="H1301" s="6">
        <v>2.21</v>
      </c>
      <c r="I1301" s="6">
        <v>0</v>
      </c>
      <c r="J1301" s="6">
        <v>233.79999999999978</v>
      </c>
    </row>
    <row r="1302" spans="2:10" ht="18.75">
      <c r="B1302">
        <v>23</v>
      </c>
      <c r="C1302" s="5">
        <v>46174</v>
      </c>
      <c r="D1302" t="s">
        <v>135</v>
      </c>
      <c r="E1302">
        <v>19</v>
      </c>
      <c r="F1302" s="6">
        <v>62.5</v>
      </c>
      <c r="G1302" s="6">
        <v>0</v>
      </c>
      <c r="H1302" s="6">
        <v>1.05</v>
      </c>
      <c r="I1302" s="6">
        <v>12.340000000000003</v>
      </c>
      <c r="J1302" s="6">
        <v>74.84</v>
      </c>
    </row>
    <row r="1303" spans="2:10" ht="18.75">
      <c r="B1303">
        <v>23</v>
      </c>
      <c r="C1303" s="5">
        <v>46174</v>
      </c>
      <c r="D1303" t="s">
        <v>126</v>
      </c>
      <c r="E1303">
        <v>63</v>
      </c>
      <c r="F1303" s="6">
        <v>236.86999999999992</v>
      </c>
      <c r="G1303" s="6">
        <v>0</v>
      </c>
      <c r="H1303" s="6">
        <v>4.4700000000000006</v>
      </c>
      <c r="I1303" s="6">
        <v>1.98</v>
      </c>
      <c r="J1303" s="6">
        <v>238.84999999999991</v>
      </c>
    </row>
    <row r="1304" spans="2:10" ht="18.75">
      <c r="B1304">
        <v>23</v>
      </c>
      <c r="C1304" s="5">
        <v>46174</v>
      </c>
      <c r="D1304" t="s">
        <v>141</v>
      </c>
      <c r="E1304">
        <v>199</v>
      </c>
      <c r="F1304" s="6">
        <v>712.6200000000008</v>
      </c>
      <c r="G1304" s="6">
        <v>0</v>
      </c>
      <c r="H1304" s="6">
        <v>3.88</v>
      </c>
      <c r="I1304" s="6">
        <v>0</v>
      </c>
      <c r="J1304" s="6">
        <v>712.6200000000008</v>
      </c>
    </row>
    <row r="1305" spans="2:10" ht="18.75">
      <c r="B1305">
        <v>23</v>
      </c>
      <c r="C1305" s="5">
        <v>46174</v>
      </c>
      <c r="D1305" t="s">
        <v>127</v>
      </c>
      <c r="E1305">
        <v>79</v>
      </c>
      <c r="F1305" s="6">
        <v>419.7800000000002</v>
      </c>
      <c r="G1305" s="6">
        <v>0</v>
      </c>
      <c r="H1305" s="6">
        <v>10.6</v>
      </c>
      <c r="I1305" s="6">
        <v>0</v>
      </c>
      <c r="J1305" s="6">
        <v>419.7800000000002</v>
      </c>
    </row>
    <row r="1306" spans="2:10" ht="18.75">
      <c r="B1306">
        <v>23</v>
      </c>
      <c r="C1306" s="5">
        <v>46174</v>
      </c>
      <c r="D1306" t="s">
        <v>112</v>
      </c>
      <c r="E1306">
        <v>27</v>
      </c>
      <c r="F1306" s="6">
        <v>80.450000000000017</v>
      </c>
      <c r="G1306" s="6">
        <v>0</v>
      </c>
      <c r="H1306" s="6">
        <v>0</v>
      </c>
      <c r="I1306" s="6">
        <v>0</v>
      </c>
      <c r="J1306" s="6">
        <v>80.450000000000017</v>
      </c>
    </row>
    <row r="1307" spans="2:10" ht="18.75">
      <c r="B1307">
        <v>23</v>
      </c>
      <c r="C1307" s="5">
        <v>46174</v>
      </c>
      <c r="D1307" t="s">
        <v>150</v>
      </c>
      <c r="E1307">
        <v>22</v>
      </c>
      <c r="F1307" s="6">
        <v>132.54</v>
      </c>
      <c r="G1307" s="6">
        <v>0</v>
      </c>
      <c r="H1307" s="6">
        <v>3.75</v>
      </c>
      <c r="I1307" s="6">
        <v>0</v>
      </c>
      <c r="J1307" s="6">
        <v>132.54</v>
      </c>
    </row>
    <row r="1308" spans="2:10" ht="18.75">
      <c r="B1308">
        <v>23</v>
      </c>
      <c r="C1308" s="5">
        <v>46174</v>
      </c>
      <c r="D1308" t="s">
        <v>148</v>
      </c>
      <c r="E1308">
        <v>19</v>
      </c>
      <c r="F1308" s="6">
        <v>103.19999999999999</v>
      </c>
      <c r="G1308" s="6">
        <v>0</v>
      </c>
      <c r="H1308" s="6">
        <v>6.57</v>
      </c>
      <c r="I1308" s="6">
        <v>0</v>
      </c>
      <c r="J1308" s="6">
        <v>103.19999999999999</v>
      </c>
    </row>
    <row r="1309" spans="2:10" ht="18.75">
      <c r="B1309">
        <v>23</v>
      </c>
      <c r="C1309" s="5">
        <v>46174</v>
      </c>
      <c r="D1309" t="s">
        <v>128</v>
      </c>
      <c r="E1309">
        <v>58</v>
      </c>
      <c r="F1309" s="6">
        <v>257.40000000000003</v>
      </c>
      <c r="G1309" s="6">
        <v>0</v>
      </c>
      <c r="H1309" s="6">
        <v>16.57</v>
      </c>
      <c r="I1309" s="6">
        <v>0</v>
      </c>
      <c r="J1309" s="6">
        <v>257.40000000000003</v>
      </c>
    </row>
    <row r="1310" spans="2:10" ht="18.75">
      <c r="B1310">
        <v>23</v>
      </c>
      <c r="C1310" s="5">
        <v>46174</v>
      </c>
      <c r="D1310" t="s">
        <v>145</v>
      </c>
      <c r="E1310">
        <v>47</v>
      </c>
      <c r="F1310" s="6">
        <v>275.22999999999996</v>
      </c>
      <c r="G1310" s="6">
        <v>0</v>
      </c>
      <c r="H1310" s="6">
        <v>6.7100000000000009</v>
      </c>
      <c r="I1310" s="6">
        <v>0</v>
      </c>
      <c r="J1310" s="6">
        <v>275.22999999999996</v>
      </c>
    </row>
    <row r="1311" spans="2:10" ht="18.75">
      <c r="B1311">
        <v>23</v>
      </c>
      <c r="C1311" s="5">
        <v>46174</v>
      </c>
      <c r="D1311" t="s">
        <v>116</v>
      </c>
      <c r="E1311">
        <v>43</v>
      </c>
      <c r="F1311" s="6">
        <v>155.38</v>
      </c>
      <c r="G1311" s="6">
        <v>2.7</v>
      </c>
      <c r="H1311" s="6">
        <v>7.0900000000000007</v>
      </c>
      <c r="I1311" s="6">
        <v>0</v>
      </c>
      <c r="J1311" s="6">
        <v>152.68</v>
      </c>
    </row>
    <row r="1312" spans="2:10" ht="18.75">
      <c r="B1312">
        <v>23</v>
      </c>
      <c r="C1312" s="5">
        <v>46174</v>
      </c>
      <c r="D1312" t="s">
        <v>125</v>
      </c>
      <c r="E1312">
        <v>28</v>
      </c>
      <c r="F1312" s="6">
        <v>140.18</v>
      </c>
      <c r="G1312" s="6">
        <v>0</v>
      </c>
      <c r="H1312" s="6">
        <v>3.46</v>
      </c>
      <c r="I1312" s="6">
        <v>0</v>
      </c>
      <c r="J1312" s="6">
        <v>140.18</v>
      </c>
    </row>
    <row r="1313" spans="2:10" ht="18.75">
      <c r="B1313">
        <v>23</v>
      </c>
      <c r="C1313" s="5">
        <v>46174</v>
      </c>
      <c r="D1313" t="s">
        <v>137</v>
      </c>
      <c r="E1313">
        <v>21</v>
      </c>
      <c r="F1313" s="6">
        <v>66.599999999999994</v>
      </c>
      <c r="G1313" s="6">
        <v>0</v>
      </c>
      <c r="H1313" s="6">
        <v>3.1500000000000004</v>
      </c>
      <c r="I1313" s="6">
        <v>43.419999999999995</v>
      </c>
      <c r="J1313" s="6">
        <v>110.01999999999998</v>
      </c>
    </row>
    <row r="1314" spans="2:10" ht="18.75">
      <c r="B1314">
        <v>23</v>
      </c>
      <c r="C1314" s="5">
        <v>46174</v>
      </c>
      <c r="D1314" t="s">
        <v>218</v>
      </c>
      <c r="E1314">
        <v>3</v>
      </c>
      <c r="F1314" s="6">
        <v>4.5</v>
      </c>
      <c r="G1314" s="6">
        <v>0</v>
      </c>
      <c r="H1314" s="6">
        <v>0</v>
      </c>
      <c r="I1314" s="6">
        <v>0</v>
      </c>
      <c r="J1314" s="6">
        <v>4.5</v>
      </c>
    </row>
    <row r="1315" spans="2:10" ht="18.75">
      <c r="B1315">
        <v>24</v>
      </c>
      <c r="C1315" s="5">
        <v>46181</v>
      </c>
      <c r="D1315" t="s">
        <v>144</v>
      </c>
      <c r="E1315">
        <v>360</v>
      </c>
      <c r="F1315" s="6">
        <v>1625.820000000004</v>
      </c>
      <c r="G1315" s="6">
        <v>0</v>
      </c>
      <c r="H1315" s="6">
        <v>48.139999999999993</v>
      </c>
      <c r="I1315" s="6">
        <v>0</v>
      </c>
      <c r="J1315" s="6">
        <v>1625.820000000004</v>
      </c>
    </row>
    <row r="1316" spans="2:10" ht="18.75">
      <c r="B1316">
        <v>24</v>
      </c>
      <c r="C1316" s="5">
        <v>46181</v>
      </c>
      <c r="D1316" t="s">
        <v>130</v>
      </c>
      <c r="E1316">
        <v>112</v>
      </c>
      <c r="F1316" s="6">
        <v>513.36</v>
      </c>
      <c r="G1316" s="6">
        <v>0</v>
      </c>
      <c r="H1316" s="6">
        <v>25.870000000000005</v>
      </c>
      <c r="I1316" s="6">
        <v>0</v>
      </c>
      <c r="J1316" s="6">
        <v>513.36</v>
      </c>
    </row>
    <row r="1317" spans="2:10" ht="18.75">
      <c r="B1317">
        <v>24</v>
      </c>
      <c r="C1317" s="5">
        <v>46181</v>
      </c>
      <c r="D1317" t="s">
        <v>122</v>
      </c>
      <c r="E1317">
        <v>84</v>
      </c>
      <c r="F1317" s="6">
        <v>419.96999999999997</v>
      </c>
      <c r="G1317" s="6">
        <v>0</v>
      </c>
      <c r="H1317" s="6">
        <v>24.24</v>
      </c>
      <c r="I1317" s="6">
        <v>0</v>
      </c>
      <c r="J1317" s="6">
        <v>419.96999999999997</v>
      </c>
    </row>
    <row r="1318" spans="2:10" ht="18.75">
      <c r="B1318">
        <v>24</v>
      </c>
      <c r="C1318" s="5">
        <v>46181</v>
      </c>
      <c r="D1318" t="s">
        <v>147</v>
      </c>
      <c r="E1318">
        <v>116</v>
      </c>
      <c r="F1318" s="6">
        <v>510.1</v>
      </c>
      <c r="G1318" s="6">
        <v>4.95</v>
      </c>
      <c r="H1318" s="6">
        <v>42.48</v>
      </c>
      <c r="I1318" s="6">
        <v>0</v>
      </c>
      <c r="J1318" s="6">
        <v>505.15000000000003</v>
      </c>
    </row>
    <row r="1319" spans="2:10" ht="18.75">
      <c r="B1319">
        <v>24</v>
      </c>
      <c r="C1319" s="5">
        <v>46181</v>
      </c>
      <c r="D1319" t="s">
        <v>146</v>
      </c>
      <c r="E1319">
        <v>159</v>
      </c>
      <c r="F1319" s="6">
        <v>1010.32</v>
      </c>
      <c r="G1319" s="6">
        <v>4.99</v>
      </c>
      <c r="H1319" s="6">
        <v>35.839999999999996</v>
      </c>
      <c r="I1319" s="6">
        <v>0</v>
      </c>
      <c r="J1319" s="6">
        <v>1005.33</v>
      </c>
    </row>
    <row r="1320" spans="2:10" ht="18.75">
      <c r="B1320">
        <v>24</v>
      </c>
      <c r="C1320" s="5">
        <v>46181</v>
      </c>
      <c r="D1320" t="s">
        <v>143</v>
      </c>
      <c r="E1320">
        <v>212</v>
      </c>
      <c r="F1320" s="6">
        <v>861.87000000000091</v>
      </c>
      <c r="G1320" s="6">
        <v>0</v>
      </c>
      <c r="H1320" s="6">
        <v>58.409999999999989</v>
      </c>
      <c r="I1320" s="6">
        <v>0</v>
      </c>
      <c r="J1320" s="6">
        <v>861.87000000000091</v>
      </c>
    </row>
    <row r="1321" spans="2:10" ht="18.75">
      <c r="B1321">
        <v>24</v>
      </c>
      <c r="C1321" s="5">
        <v>46181</v>
      </c>
      <c r="D1321" t="s">
        <v>115</v>
      </c>
      <c r="E1321">
        <v>90</v>
      </c>
      <c r="F1321" s="6">
        <v>270</v>
      </c>
      <c r="G1321" s="6">
        <v>0</v>
      </c>
      <c r="H1321" s="6">
        <v>0</v>
      </c>
      <c r="I1321" s="6">
        <v>0</v>
      </c>
      <c r="J1321" s="6">
        <v>270</v>
      </c>
    </row>
    <row r="1322" spans="2:10" ht="18.75">
      <c r="B1322">
        <v>24</v>
      </c>
      <c r="C1322" s="5">
        <v>46181</v>
      </c>
      <c r="D1322" t="s">
        <v>124</v>
      </c>
      <c r="E1322">
        <v>188</v>
      </c>
      <c r="F1322" s="6">
        <v>718.35000000000036</v>
      </c>
      <c r="G1322" s="6">
        <v>0</v>
      </c>
      <c r="H1322" s="6">
        <v>32.25</v>
      </c>
      <c r="I1322" s="6">
        <v>0</v>
      </c>
      <c r="J1322" s="6">
        <v>718.35000000000036</v>
      </c>
    </row>
    <row r="1323" spans="2:10" ht="18.75">
      <c r="B1323">
        <v>24</v>
      </c>
      <c r="C1323" s="5">
        <v>46181</v>
      </c>
      <c r="D1323" t="s">
        <v>151</v>
      </c>
      <c r="E1323">
        <v>215</v>
      </c>
      <c r="F1323" s="6">
        <v>1145.9200000000019</v>
      </c>
      <c r="G1323" s="6">
        <v>0</v>
      </c>
      <c r="H1323" s="6">
        <v>33.159999999999997</v>
      </c>
      <c r="I1323" s="6">
        <v>0</v>
      </c>
      <c r="J1323" s="6">
        <v>1145.9200000000019</v>
      </c>
    </row>
    <row r="1324" spans="2:10" ht="18.75">
      <c r="B1324">
        <v>24</v>
      </c>
      <c r="C1324" s="5">
        <v>46181</v>
      </c>
      <c r="D1324" t="s">
        <v>113</v>
      </c>
      <c r="E1324">
        <v>108</v>
      </c>
      <c r="F1324" s="6">
        <v>371.62</v>
      </c>
      <c r="G1324" s="6">
        <v>0</v>
      </c>
      <c r="H1324" s="6">
        <v>13.8</v>
      </c>
      <c r="I1324" s="6">
        <v>2.48</v>
      </c>
      <c r="J1324" s="6">
        <v>374.1</v>
      </c>
    </row>
    <row r="1325" spans="2:10" ht="18.75">
      <c r="B1325">
        <v>24</v>
      </c>
      <c r="C1325" s="5">
        <v>46181</v>
      </c>
      <c r="D1325" t="s">
        <v>129</v>
      </c>
      <c r="E1325">
        <v>137</v>
      </c>
      <c r="F1325" s="6">
        <v>18.16</v>
      </c>
      <c r="G1325" s="6">
        <v>0</v>
      </c>
      <c r="H1325" s="6">
        <v>18.71</v>
      </c>
      <c r="I1325" s="6">
        <v>556.41000000000008</v>
      </c>
      <c r="J1325" s="6">
        <v>574.57000000000005</v>
      </c>
    </row>
    <row r="1326" spans="2:10" ht="18.75">
      <c r="B1326">
        <v>24</v>
      </c>
      <c r="C1326" s="5">
        <v>46181</v>
      </c>
      <c r="D1326" t="s">
        <v>111</v>
      </c>
      <c r="E1326">
        <v>78</v>
      </c>
      <c r="F1326" s="6">
        <v>272.60999999999996</v>
      </c>
      <c r="G1326" s="6">
        <v>0</v>
      </c>
      <c r="H1326" s="6">
        <v>8.7900000000000009</v>
      </c>
      <c r="I1326" s="6">
        <v>0</v>
      </c>
      <c r="J1326" s="6">
        <v>272.60999999999996</v>
      </c>
    </row>
    <row r="1327" spans="2:10" ht="18.75">
      <c r="B1327">
        <v>24</v>
      </c>
      <c r="C1327" s="5">
        <v>46181</v>
      </c>
      <c r="D1327" t="s">
        <v>141</v>
      </c>
      <c r="E1327">
        <v>194</v>
      </c>
      <c r="F1327" s="6">
        <v>669.65000000000055</v>
      </c>
      <c r="G1327" s="6">
        <v>0</v>
      </c>
      <c r="H1327" s="6">
        <v>28.919999999999991</v>
      </c>
      <c r="I1327" s="6">
        <v>0</v>
      </c>
      <c r="J1327" s="6">
        <v>669.65000000000055</v>
      </c>
    </row>
    <row r="1328" spans="2:10" ht="18.75">
      <c r="B1328">
        <v>24</v>
      </c>
      <c r="C1328" s="5">
        <v>46181</v>
      </c>
      <c r="D1328" t="s">
        <v>133</v>
      </c>
      <c r="E1328">
        <v>89</v>
      </c>
      <c r="F1328" s="6">
        <v>494.69000000000011</v>
      </c>
      <c r="G1328" s="6">
        <v>0</v>
      </c>
      <c r="H1328" s="6">
        <v>41.069999999999993</v>
      </c>
      <c r="I1328" s="6">
        <v>0</v>
      </c>
      <c r="J1328" s="6">
        <v>494.69000000000011</v>
      </c>
    </row>
    <row r="1329" spans="2:10" ht="18.75">
      <c r="B1329">
        <v>24</v>
      </c>
      <c r="C1329" s="5">
        <v>46181</v>
      </c>
      <c r="D1329" t="s">
        <v>112</v>
      </c>
      <c r="E1329">
        <v>15</v>
      </c>
      <c r="F1329" s="6">
        <v>74.680000000000007</v>
      </c>
      <c r="G1329" s="6">
        <v>0</v>
      </c>
      <c r="H1329" s="6">
        <v>0</v>
      </c>
      <c r="I1329" s="6">
        <v>0</v>
      </c>
      <c r="J1329" s="6">
        <v>74.680000000000007</v>
      </c>
    </row>
    <row r="1330" spans="2:10" ht="18.75">
      <c r="B1330">
        <v>24</v>
      </c>
      <c r="C1330" s="5">
        <v>46181</v>
      </c>
      <c r="D1330" t="s">
        <v>138</v>
      </c>
      <c r="E1330">
        <v>134</v>
      </c>
      <c r="F1330" s="6">
        <v>729</v>
      </c>
      <c r="G1330" s="6">
        <v>0</v>
      </c>
      <c r="H1330" s="6">
        <v>47.409999999999989</v>
      </c>
      <c r="I1330" s="6">
        <v>0</v>
      </c>
      <c r="J1330" s="6">
        <v>729</v>
      </c>
    </row>
    <row r="1331" spans="2:10" ht="18.75">
      <c r="B1331">
        <v>24</v>
      </c>
      <c r="C1331" s="5">
        <v>46181</v>
      </c>
      <c r="D1331" t="s">
        <v>119</v>
      </c>
      <c r="E1331">
        <v>100</v>
      </c>
      <c r="F1331" s="6">
        <v>363.78999999999991</v>
      </c>
      <c r="G1331" s="6">
        <v>0</v>
      </c>
      <c r="H1331" s="6">
        <v>16.68</v>
      </c>
      <c r="I1331" s="6">
        <v>0</v>
      </c>
      <c r="J1331" s="6">
        <v>363.78999999999991</v>
      </c>
    </row>
    <row r="1332" spans="2:10" ht="18.75">
      <c r="B1332">
        <v>24</v>
      </c>
      <c r="C1332" s="5">
        <v>46181</v>
      </c>
      <c r="D1332" t="s">
        <v>134</v>
      </c>
      <c r="E1332">
        <v>108</v>
      </c>
      <c r="F1332" s="6">
        <v>595.28000000000009</v>
      </c>
      <c r="G1332" s="6">
        <v>0</v>
      </c>
      <c r="H1332" s="6">
        <v>30.019999999999996</v>
      </c>
      <c r="I1332" s="6">
        <v>0</v>
      </c>
      <c r="J1332" s="6">
        <v>595.28000000000009</v>
      </c>
    </row>
    <row r="1333" spans="2:10" ht="18.75">
      <c r="B1333">
        <v>24</v>
      </c>
      <c r="C1333" s="5">
        <v>46181</v>
      </c>
      <c r="D1333" t="s">
        <v>128</v>
      </c>
      <c r="E1333">
        <v>68</v>
      </c>
      <c r="F1333" s="6">
        <v>311.81</v>
      </c>
      <c r="G1333" s="6">
        <v>0</v>
      </c>
      <c r="H1333" s="6">
        <v>1.82</v>
      </c>
      <c r="I1333" s="6">
        <v>0</v>
      </c>
      <c r="J1333" s="6">
        <v>311.81</v>
      </c>
    </row>
    <row r="1334" spans="2:10" ht="18.75">
      <c r="B1334">
        <v>24</v>
      </c>
      <c r="C1334" s="5">
        <v>46181</v>
      </c>
      <c r="D1334" t="s">
        <v>135</v>
      </c>
      <c r="E1334">
        <v>20</v>
      </c>
      <c r="F1334" s="6">
        <v>65.22</v>
      </c>
      <c r="G1334" s="6">
        <v>0</v>
      </c>
      <c r="H1334" s="6">
        <v>6.9</v>
      </c>
      <c r="I1334" s="6">
        <v>15.840000000000002</v>
      </c>
      <c r="J1334" s="6">
        <v>81.06</v>
      </c>
    </row>
    <row r="1335" spans="2:10" ht="18.75">
      <c r="B1335">
        <v>24</v>
      </c>
      <c r="C1335" s="5">
        <v>46181</v>
      </c>
      <c r="D1335" t="s">
        <v>125</v>
      </c>
      <c r="E1335">
        <v>19</v>
      </c>
      <c r="F1335" s="6">
        <v>113.68999999999998</v>
      </c>
      <c r="G1335" s="6">
        <v>0</v>
      </c>
      <c r="H1335" s="6">
        <v>2.2400000000000002</v>
      </c>
      <c r="I1335" s="6">
        <v>0</v>
      </c>
      <c r="J1335" s="6">
        <v>113.68999999999998</v>
      </c>
    </row>
    <row r="1336" spans="2:10" ht="18.75">
      <c r="B1336">
        <v>24</v>
      </c>
      <c r="C1336" s="5">
        <v>46181</v>
      </c>
      <c r="D1336" t="s">
        <v>132</v>
      </c>
      <c r="E1336">
        <v>80</v>
      </c>
      <c r="F1336" s="6">
        <v>307.78999999999996</v>
      </c>
      <c r="G1336" s="6">
        <v>0</v>
      </c>
      <c r="H1336" s="6">
        <v>11.09</v>
      </c>
      <c r="I1336" s="6">
        <v>0</v>
      </c>
      <c r="J1336" s="6">
        <v>307.78999999999996</v>
      </c>
    </row>
    <row r="1337" spans="2:10" ht="18.75">
      <c r="B1337">
        <v>24</v>
      </c>
      <c r="C1337" s="5">
        <v>46181</v>
      </c>
      <c r="D1337" t="s">
        <v>216</v>
      </c>
      <c r="E1337">
        <v>165</v>
      </c>
      <c r="F1337" s="6">
        <v>678.44000000000017</v>
      </c>
      <c r="G1337" s="6">
        <v>0</v>
      </c>
      <c r="H1337" s="6">
        <v>25.829999999999991</v>
      </c>
      <c r="I1337" s="6">
        <v>0</v>
      </c>
      <c r="J1337" s="6">
        <v>678.44000000000017</v>
      </c>
    </row>
    <row r="1338" spans="2:10" ht="18.75">
      <c r="B1338">
        <v>24</v>
      </c>
      <c r="C1338" s="5">
        <v>46181</v>
      </c>
      <c r="D1338" t="s">
        <v>118</v>
      </c>
      <c r="E1338">
        <v>51</v>
      </c>
      <c r="F1338" s="6">
        <v>202.7999999999999</v>
      </c>
      <c r="G1338" s="6">
        <v>0</v>
      </c>
      <c r="H1338" s="6">
        <v>15.569999999999999</v>
      </c>
      <c r="I1338" s="6">
        <v>0</v>
      </c>
      <c r="J1338" s="6">
        <v>202.7999999999999</v>
      </c>
    </row>
    <row r="1339" spans="2:10" ht="18.75">
      <c r="B1339">
        <v>24</v>
      </c>
      <c r="C1339" s="5">
        <v>46181</v>
      </c>
      <c r="D1339" t="s">
        <v>117</v>
      </c>
      <c r="E1339">
        <v>62</v>
      </c>
      <c r="F1339" s="6">
        <v>298.38999999999987</v>
      </c>
      <c r="G1339" s="6">
        <v>0</v>
      </c>
      <c r="H1339" s="6">
        <v>25.169999999999998</v>
      </c>
      <c r="I1339" s="6">
        <v>0</v>
      </c>
      <c r="J1339" s="6">
        <v>298.38999999999987</v>
      </c>
    </row>
    <row r="1340" spans="2:10" ht="18.75">
      <c r="B1340">
        <v>24</v>
      </c>
      <c r="C1340" s="5">
        <v>46181</v>
      </c>
      <c r="D1340" t="s">
        <v>131</v>
      </c>
      <c r="E1340">
        <v>78</v>
      </c>
      <c r="F1340" s="6">
        <v>385.42</v>
      </c>
      <c r="G1340" s="6">
        <v>0</v>
      </c>
      <c r="H1340" s="6">
        <v>19.470000000000002</v>
      </c>
      <c r="I1340" s="6">
        <v>0</v>
      </c>
      <c r="J1340" s="6">
        <v>385.42</v>
      </c>
    </row>
    <row r="1341" spans="2:10" ht="18.75">
      <c r="B1341">
        <v>24</v>
      </c>
      <c r="C1341" s="5">
        <v>46181</v>
      </c>
      <c r="D1341" t="s">
        <v>114</v>
      </c>
      <c r="E1341">
        <v>89</v>
      </c>
      <c r="F1341" s="6">
        <v>386.67999999999995</v>
      </c>
      <c r="G1341" s="6">
        <v>0</v>
      </c>
      <c r="H1341" s="6">
        <v>35.329999999999991</v>
      </c>
      <c r="I1341" s="6">
        <v>140.87999999999997</v>
      </c>
      <c r="J1341" s="6">
        <v>527.55999999999995</v>
      </c>
    </row>
    <row r="1342" spans="2:10" ht="18.75">
      <c r="B1342">
        <v>24</v>
      </c>
      <c r="C1342" s="5">
        <v>46181</v>
      </c>
      <c r="D1342" t="s">
        <v>136</v>
      </c>
      <c r="E1342">
        <v>48</v>
      </c>
      <c r="F1342" s="6">
        <v>151.25</v>
      </c>
      <c r="G1342" s="6">
        <v>0</v>
      </c>
      <c r="H1342" s="6">
        <v>7.41</v>
      </c>
      <c r="I1342" s="6">
        <v>73.240000000000023</v>
      </c>
      <c r="J1342" s="6">
        <v>224.49</v>
      </c>
    </row>
    <row r="1343" spans="2:10" ht="18.75">
      <c r="B1343">
        <v>24</v>
      </c>
      <c r="C1343" s="5">
        <v>46181</v>
      </c>
      <c r="D1343" t="s">
        <v>120</v>
      </c>
      <c r="E1343">
        <v>22</v>
      </c>
      <c r="F1343" s="6">
        <v>87.840000000000018</v>
      </c>
      <c r="G1343" s="6">
        <v>0</v>
      </c>
      <c r="H1343" s="6">
        <v>2.35</v>
      </c>
      <c r="I1343" s="6">
        <v>0</v>
      </c>
      <c r="J1343" s="6">
        <v>87.840000000000018</v>
      </c>
    </row>
    <row r="1344" spans="2:10" ht="18.75">
      <c r="B1344">
        <v>24</v>
      </c>
      <c r="C1344" s="5">
        <v>46181</v>
      </c>
      <c r="D1344" t="s">
        <v>127</v>
      </c>
      <c r="E1344">
        <v>78</v>
      </c>
      <c r="F1344" s="6">
        <v>388.07000000000028</v>
      </c>
      <c r="G1344" s="6">
        <v>0</v>
      </c>
      <c r="H1344" s="6">
        <v>4.1900000000000004</v>
      </c>
      <c r="I1344" s="6">
        <v>0</v>
      </c>
      <c r="J1344" s="6">
        <v>388.07000000000028</v>
      </c>
    </row>
    <row r="1345" spans="2:10" ht="18.75">
      <c r="B1345">
        <v>24</v>
      </c>
      <c r="C1345" s="5">
        <v>46181</v>
      </c>
      <c r="D1345" t="s">
        <v>142</v>
      </c>
      <c r="E1345">
        <v>35</v>
      </c>
      <c r="F1345" s="6">
        <v>182.32999999999993</v>
      </c>
      <c r="G1345" s="6">
        <v>0</v>
      </c>
      <c r="H1345" s="6">
        <v>9.3099999999999987</v>
      </c>
      <c r="I1345" s="6">
        <v>0</v>
      </c>
      <c r="J1345" s="6">
        <v>182.32999999999993</v>
      </c>
    </row>
    <row r="1346" spans="2:10" ht="18.75">
      <c r="B1346">
        <v>24</v>
      </c>
      <c r="C1346" s="5">
        <v>46181</v>
      </c>
      <c r="D1346" t="s">
        <v>116</v>
      </c>
      <c r="E1346">
        <v>37</v>
      </c>
      <c r="F1346" s="6">
        <v>130.70999999999998</v>
      </c>
      <c r="G1346" s="6">
        <v>0</v>
      </c>
      <c r="H1346" s="6">
        <v>2.2799999999999998</v>
      </c>
      <c r="I1346" s="6">
        <v>0</v>
      </c>
      <c r="J1346" s="6">
        <v>130.70999999999998</v>
      </c>
    </row>
    <row r="1347" spans="2:10" ht="18.75">
      <c r="B1347">
        <v>24</v>
      </c>
      <c r="C1347" s="5">
        <v>46181</v>
      </c>
      <c r="D1347" t="s">
        <v>145</v>
      </c>
      <c r="E1347">
        <v>41</v>
      </c>
      <c r="F1347" s="6">
        <v>245.17</v>
      </c>
      <c r="G1347" s="6">
        <v>0</v>
      </c>
      <c r="H1347" s="6">
        <v>14.959999999999997</v>
      </c>
      <c r="I1347" s="6">
        <v>0</v>
      </c>
      <c r="J1347" s="6">
        <v>245.17</v>
      </c>
    </row>
    <row r="1348" spans="2:10" ht="18.75">
      <c r="B1348">
        <v>24</v>
      </c>
      <c r="C1348" s="5">
        <v>46181</v>
      </c>
      <c r="D1348" t="s">
        <v>126</v>
      </c>
      <c r="E1348">
        <v>53</v>
      </c>
      <c r="F1348" s="6">
        <v>195.79000000000005</v>
      </c>
      <c r="G1348" s="6">
        <v>0</v>
      </c>
      <c r="H1348" s="6">
        <v>16.82</v>
      </c>
      <c r="I1348" s="6">
        <v>1.98</v>
      </c>
      <c r="J1348" s="6">
        <v>197.77000000000004</v>
      </c>
    </row>
    <row r="1349" spans="2:10" ht="18.75">
      <c r="B1349">
        <v>24</v>
      </c>
      <c r="C1349" s="5">
        <v>46181</v>
      </c>
      <c r="D1349" t="s">
        <v>123</v>
      </c>
      <c r="E1349">
        <v>154</v>
      </c>
      <c r="F1349" s="6">
        <v>601.80000000000018</v>
      </c>
      <c r="G1349" s="6">
        <v>0</v>
      </c>
      <c r="H1349" s="6">
        <v>36.239999999999995</v>
      </c>
      <c r="I1349" s="6">
        <v>0</v>
      </c>
      <c r="J1349" s="6">
        <v>601.80000000000018</v>
      </c>
    </row>
    <row r="1350" spans="2:10" ht="18.75">
      <c r="B1350">
        <v>24</v>
      </c>
      <c r="C1350" s="5">
        <v>46181</v>
      </c>
      <c r="D1350" t="s">
        <v>148</v>
      </c>
      <c r="E1350">
        <v>22</v>
      </c>
      <c r="F1350" s="6">
        <v>134.07</v>
      </c>
      <c r="G1350" s="6">
        <v>0</v>
      </c>
      <c r="H1350" s="6">
        <v>3.02</v>
      </c>
      <c r="I1350" s="6">
        <v>0</v>
      </c>
      <c r="J1350" s="6">
        <v>134.07</v>
      </c>
    </row>
    <row r="1351" spans="2:10" ht="18.75">
      <c r="B1351">
        <v>24</v>
      </c>
      <c r="C1351" s="5">
        <v>46181</v>
      </c>
      <c r="D1351" t="s">
        <v>150</v>
      </c>
      <c r="E1351">
        <v>18</v>
      </c>
      <c r="F1351" s="6">
        <v>93.56</v>
      </c>
      <c r="G1351" s="6">
        <v>0</v>
      </c>
      <c r="H1351" s="6">
        <v>6.0100000000000007</v>
      </c>
      <c r="I1351" s="6">
        <v>0</v>
      </c>
      <c r="J1351" s="6">
        <v>93.56</v>
      </c>
    </row>
    <row r="1352" spans="2:10" ht="18.75">
      <c r="B1352">
        <v>24</v>
      </c>
      <c r="C1352" s="5">
        <v>46181</v>
      </c>
      <c r="D1352" t="s">
        <v>139</v>
      </c>
      <c r="E1352">
        <v>72</v>
      </c>
      <c r="F1352" s="6">
        <v>309.03999999999991</v>
      </c>
      <c r="G1352" s="6">
        <v>0</v>
      </c>
      <c r="H1352" s="6">
        <v>21.139999999999997</v>
      </c>
      <c r="I1352" s="6">
        <v>0</v>
      </c>
      <c r="J1352" s="6">
        <v>309.03999999999991</v>
      </c>
    </row>
    <row r="1353" spans="2:10" ht="18.75">
      <c r="B1353">
        <v>24</v>
      </c>
      <c r="C1353" s="5">
        <v>46181</v>
      </c>
      <c r="D1353" t="s">
        <v>137</v>
      </c>
      <c r="E1353">
        <v>24</v>
      </c>
      <c r="F1353" s="6">
        <v>72.309999999999974</v>
      </c>
      <c r="G1353" s="6">
        <v>0</v>
      </c>
      <c r="H1353" s="6">
        <v>6.84</v>
      </c>
      <c r="I1353" s="6">
        <v>45.16</v>
      </c>
      <c r="J1353" s="6">
        <v>117.46999999999997</v>
      </c>
    </row>
    <row r="1354" spans="2:10" ht="18.75">
      <c r="B1354">
        <v>24</v>
      </c>
      <c r="C1354" s="5">
        <v>46181</v>
      </c>
      <c r="D1354" t="s">
        <v>218</v>
      </c>
      <c r="E1354">
        <v>20</v>
      </c>
      <c r="F1354" s="6">
        <v>125.11</v>
      </c>
      <c r="G1354" s="6">
        <v>0</v>
      </c>
      <c r="H1354" s="6">
        <v>2.27</v>
      </c>
      <c r="I1354" s="6">
        <v>0</v>
      </c>
      <c r="J1354" s="6">
        <v>125.11</v>
      </c>
    </row>
    <row r="1355" spans="2:10" ht="18.75">
      <c r="B1355">
        <v>24</v>
      </c>
      <c r="C1355" s="5">
        <v>46181</v>
      </c>
      <c r="D1355" t="s">
        <v>121</v>
      </c>
      <c r="E1355">
        <v>31</v>
      </c>
      <c r="F1355" s="6">
        <v>101.60000000000001</v>
      </c>
      <c r="G1355" s="6">
        <v>0</v>
      </c>
      <c r="H1355" s="6">
        <v>6.6400000000000006</v>
      </c>
      <c r="I1355" s="6">
        <v>0</v>
      </c>
      <c r="J1355" s="6">
        <v>101.60000000000001</v>
      </c>
    </row>
    <row r="1356" spans="2:10" ht="18.75">
      <c r="B1356">
        <v>25</v>
      </c>
      <c r="C1356" s="5">
        <v>46188</v>
      </c>
      <c r="D1356" t="s">
        <v>130</v>
      </c>
      <c r="E1356">
        <v>111</v>
      </c>
      <c r="F1356" s="6">
        <v>544.45000000000016</v>
      </c>
      <c r="G1356" s="6">
        <v>0</v>
      </c>
      <c r="H1356" s="6">
        <v>12.23</v>
      </c>
      <c r="I1356" s="6">
        <v>0</v>
      </c>
      <c r="J1356" s="6">
        <v>544.45000000000016</v>
      </c>
    </row>
    <row r="1357" spans="2:10" ht="18.75">
      <c r="B1357">
        <v>25</v>
      </c>
      <c r="C1357" s="5">
        <v>46188</v>
      </c>
      <c r="D1357" t="s">
        <v>139</v>
      </c>
      <c r="E1357">
        <v>73</v>
      </c>
      <c r="F1357" s="6">
        <v>314.53999999999996</v>
      </c>
      <c r="G1357" s="6">
        <v>0</v>
      </c>
      <c r="H1357" s="6">
        <v>6.75</v>
      </c>
      <c r="I1357" s="6">
        <v>0</v>
      </c>
      <c r="J1357" s="6">
        <v>314.53999999999996</v>
      </c>
    </row>
    <row r="1358" spans="2:10" ht="18.75">
      <c r="B1358">
        <v>25</v>
      </c>
      <c r="C1358" s="5">
        <v>46188</v>
      </c>
      <c r="D1358" t="s">
        <v>115</v>
      </c>
      <c r="E1358">
        <v>69</v>
      </c>
      <c r="F1358" s="6">
        <v>222.69</v>
      </c>
      <c r="G1358" s="6">
        <v>0</v>
      </c>
      <c r="H1358" s="6">
        <v>0</v>
      </c>
      <c r="I1358" s="6">
        <v>0</v>
      </c>
      <c r="J1358" s="6">
        <v>222.69</v>
      </c>
    </row>
    <row r="1359" spans="2:10" ht="18.75">
      <c r="B1359">
        <v>25</v>
      </c>
      <c r="C1359" s="5">
        <v>46188</v>
      </c>
      <c r="D1359" t="s">
        <v>151</v>
      </c>
      <c r="E1359">
        <v>213</v>
      </c>
      <c r="F1359" s="6">
        <v>1126.9300000000005</v>
      </c>
      <c r="G1359" s="6">
        <v>45.910000000000004</v>
      </c>
      <c r="H1359" s="6">
        <v>3.4800000000000004</v>
      </c>
      <c r="I1359" s="6">
        <v>0</v>
      </c>
      <c r="J1359" s="6">
        <v>1081.0200000000004</v>
      </c>
    </row>
    <row r="1360" spans="2:10" ht="18.75">
      <c r="B1360">
        <v>25</v>
      </c>
      <c r="C1360" s="5">
        <v>46188</v>
      </c>
      <c r="D1360" t="s">
        <v>123</v>
      </c>
      <c r="E1360">
        <v>154</v>
      </c>
      <c r="F1360" s="6">
        <v>642.1500000000002</v>
      </c>
      <c r="G1360" s="6">
        <v>0</v>
      </c>
      <c r="H1360" s="6">
        <v>9.09</v>
      </c>
      <c r="I1360" s="6">
        <v>0</v>
      </c>
      <c r="J1360" s="6">
        <v>642.1500000000002</v>
      </c>
    </row>
    <row r="1361" spans="2:10" ht="18.75">
      <c r="B1361">
        <v>25</v>
      </c>
      <c r="C1361" s="5">
        <v>46188</v>
      </c>
      <c r="D1361" t="s">
        <v>118</v>
      </c>
      <c r="E1361">
        <v>50</v>
      </c>
      <c r="F1361" s="6">
        <v>185.10999999999999</v>
      </c>
      <c r="G1361" s="6">
        <v>0</v>
      </c>
      <c r="H1361" s="6">
        <v>5.5200000000000005</v>
      </c>
      <c r="I1361" s="6">
        <v>0</v>
      </c>
      <c r="J1361" s="6">
        <v>185.10999999999999</v>
      </c>
    </row>
    <row r="1362" spans="2:10" ht="18.75">
      <c r="B1362">
        <v>25</v>
      </c>
      <c r="C1362" s="5">
        <v>46188</v>
      </c>
      <c r="D1362" t="s">
        <v>124</v>
      </c>
      <c r="E1362">
        <v>126</v>
      </c>
      <c r="F1362" s="6">
        <v>455.5299999999998</v>
      </c>
      <c r="G1362" s="6">
        <v>0</v>
      </c>
      <c r="H1362" s="6">
        <v>6.78</v>
      </c>
      <c r="I1362" s="6">
        <v>0</v>
      </c>
      <c r="J1362" s="6">
        <v>455.5299999999998</v>
      </c>
    </row>
    <row r="1363" spans="2:10" ht="18.75">
      <c r="B1363">
        <v>25</v>
      </c>
      <c r="C1363" s="5">
        <v>46188</v>
      </c>
      <c r="D1363" t="s">
        <v>146</v>
      </c>
      <c r="E1363">
        <v>175</v>
      </c>
      <c r="F1363" s="6">
        <v>1122.5200000000009</v>
      </c>
      <c r="G1363" s="6">
        <v>0</v>
      </c>
      <c r="H1363" s="6">
        <v>0.83000000000000007</v>
      </c>
      <c r="I1363" s="6">
        <v>0</v>
      </c>
      <c r="J1363" s="6">
        <v>1122.5200000000009</v>
      </c>
    </row>
    <row r="1364" spans="2:10" ht="18.75">
      <c r="B1364">
        <v>25</v>
      </c>
      <c r="C1364" s="5">
        <v>46188</v>
      </c>
      <c r="D1364" t="s">
        <v>129</v>
      </c>
      <c r="E1364">
        <v>126</v>
      </c>
      <c r="F1364" s="6">
        <v>14.669999999999998</v>
      </c>
      <c r="G1364" s="6">
        <v>0</v>
      </c>
      <c r="H1364" s="6">
        <v>5.46</v>
      </c>
      <c r="I1364" s="6">
        <v>512.17999999999972</v>
      </c>
      <c r="J1364" s="6">
        <v>526.84999999999968</v>
      </c>
    </row>
    <row r="1365" spans="2:10" ht="18.75">
      <c r="B1365">
        <v>25</v>
      </c>
      <c r="C1365" s="5">
        <v>46188</v>
      </c>
      <c r="D1365" t="s">
        <v>147</v>
      </c>
      <c r="E1365">
        <v>100</v>
      </c>
      <c r="F1365" s="6">
        <v>480.1099999999999</v>
      </c>
      <c r="G1365" s="6">
        <v>0</v>
      </c>
      <c r="H1365" s="6">
        <v>13.06</v>
      </c>
      <c r="I1365" s="6">
        <v>2.4900000000000002</v>
      </c>
      <c r="J1365" s="6">
        <v>482.59999999999991</v>
      </c>
    </row>
    <row r="1366" spans="2:10" ht="18.75">
      <c r="B1366">
        <v>25</v>
      </c>
      <c r="C1366" s="5">
        <v>46188</v>
      </c>
      <c r="D1366" t="s">
        <v>134</v>
      </c>
      <c r="E1366">
        <v>101</v>
      </c>
      <c r="F1366" s="6">
        <v>549.2600000000001</v>
      </c>
      <c r="G1366" s="6">
        <v>0</v>
      </c>
      <c r="H1366" s="6">
        <v>16.23</v>
      </c>
      <c r="I1366" s="6">
        <v>0</v>
      </c>
      <c r="J1366" s="6">
        <v>549.2600000000001</v>
      </c>
    </row>
    <row r="1367" spans="2:10" ht="18.75">
      <c r="B1367">
        <v>25</v>
      </c>
      <c r="C1367" s="5">
        <v>46188</v>
      </c>
      <c r="D1367" t="s">
        <v>143</v>
      </c>
      <c r="E1367">
        <v>185</v>
      </c>
      <c r="F1367" s="6">
        <v>775.59000000000106</v>
      </c>
      <c r="G1367" s="6">
        <v>9.6</v>
      </c>
      <c r="H1367" s="6">
        <v>6.65</v>
      </c>
      <c r="I1367" s="6">
        <v>0</v>
      </c>
      <c r="J1367" s="6">
        <v>765.99000000000103</v>
      </c>
    </row>
    <row r="1368" spans="2:10" ht="18.75">
      <c r="B1368">
        <v>25</v>
      </c>
      <c r="C1368" s="5">
        <v>46188</v>
      </c>
      <c r="D1368" t="s">
        <v>141</v>
      </c>
      <c r="E1368">
        <v>198</v>
      </c>
      <c r="F1368" s="6">
        <v>720.92000000000087</v>
      </c>
      <c r="G1368" s="6">
        <v>0</v>
      </c>
      <c r="H1368" s="6">
        <v>13.110000000000001</v>
      </c>
      <c r="I1368" s="6">
        <v>0</v>
      </c>
      <c r="J1368" s="6">
        <v>720.92000000000087</v>
      </c>
    </row>
    <row r="1369" spans="2:10" ht="18.75">
      <c r="B1369">
        <v>25</v>
      </c>
      <c r="C1369" s="5">
        <v>46188</v>
      </c>
      <c r="D1369" t="s">
        <v>216</v>
      </c>
      <c r="E1369">
        <v>145</v>
      </c>
      <c r="F1369" s="6">
        <v>588.61000000000058</v>
      </c>
      <c r="G1369" s="6">
        <v>0</v>
      </c>
      <c r="H1369" s="6">
        <v>3.7</v>
      </c>
      <c r="I1369" s="6">
        <v>0</v>
      </c>
      <c r="J1369" s="6">
        <v>588.61000000000058</v>
      </c>
    </row>
    <row r="1370" spans="2:10" ht="18.75">
      <c r="B1370">
        <v>25</v>
      </c>
      <c r="C1370" s="5">
        <v>46188</v>
      </c>
      <c r="D1370" t="s">
        <v>138</v>
      </c>
      <c r="E1370">
        <v>138</v>
      </c>
      <c r="F1370" s="6">
        <v>731.73</v>
      </c>
      <c r="G1370" s="6">
        <v>0</v>
      </c>
      <c r="H1370" s="6">
        <v>21.779999999999998</v>
      </c>
      <c r="I1370" s="6">
        <v>0</v>
      </c>
      <c r="J1370" s="6">
        <v>731.73</v>
      </c>
    </row>
    <row r="1371" spans="2:10" ht="18.75">
      <c r="B1371">
        <v>25</v>
      </c>
      <c r="C1371" s="5">
        <v>46188</v>
      </c>
      <c r="D1371" t="s">
        <v>121</v>
      </c>
      <c r="E1371">
        <v>39</v>
      </c>
      <c r="F1371" s="6">
        <v>108.53000000000002</v>
      </c>
      <c r="G1371" s="6">
        <v>0</v>
      </c>
      <c r="H1371" s="6">
        <v>0</v>
      </c>
      <c r="I1371" s="6">
        <v>2.4</v>
      </c>
      <c r="J1371" s="6">
        <v>110.93000000000002</v>
      </c>
    </row>
    <row r="1372" spans="2:10" ht="18.75">
      <c r="B1372">
        <v>25</v>
      </c>
      <c r="C1372" s="5">
        <v>46188</v>
      </c>
      <c r="D1372" t="s">
        <v>144</v>
      </c>
      <c r="E1372">
        <v>306</v>
      </c>
      <c r="F1372" s="6">
        <v>1332.8900000000012</v>
      </c>
      <c r="G1372" s="6">
        <v>0</v>
      </c>
      <c r="H1372" s="6">
        <v>14.440000000000001</v>
      </c>
      <c r="I1372" s="6">
        <v>0</v>
      </c>
      <c r="J1372" s="6">
        <v>1332.8900000000012</v>
      </c>
    </row>
    <row r="1373" spans="2:10" ht="18.75">
      <c r="B1373">
        <v>25</v>
      </c>
      <c r="C1373" s="5">
        <v>46188</v>
      </c>
      <c r="D1373" t="s">
        <v>136</v>
      </c>
      <c r="E1373">
        <v>42</v>
      </c>
      <c r="F1373" s="6">
        <v>134.51000000000005</v>
      </c>
      <c r="G1373" s="6">
        <v>0</v>
      </c>
      <c r="H1373" s="6">
        <v>6.24</v>
      </c>
      <c r="I1373" s="6">
        <v>49.440000000000005</v>
      </c>
      <c r="J1373" s="6">
        <v>183.95000000000005</v>
      </c>
    </row>
    <row r="1374" spans="2:10" ht="18.75">
      <c r="B1374">
        <v>25</v>
      </c>
      <c r="C1374" s="5">
        <v>46188</v>
      </c>
      <c r="D1374" t="s">
        <v>133</v>
      </c>
      <c r="E1374">
        <v>99</v>
      </c>
      <c r="F1374" s="6">
        <v>555.29999999999995</v>
      </c>
      <c r="G1374" s="6">
        <v>0</v>
      </c>
      <c r="H1374" s="6">
        <v>8.5</v>
      </c>
      <c r="I1374" s="6">
        <v>0</v>
      </c>
      <c r="J1374" s="6">
        <v>555.29999999999995</v>
      </c>
    </row>
    <row r="1375" spans="2:10" ht="18.75">
      <c r="B1375">
        <v>25</v>
      </c>
      <c r="C1375" s="5">
        <v>46188</v>
      </c>
      <c r="D1375" t="s">
        <v>132</v>
      </c>
      <c r="E1375">
        <v>78</v>
      </c>
      <c r="F1375" s="6">
        <v>281.76999999999992</v>
      </c>
      <c r="G1375" s="6">
        <v>0</v>
      </c>
      <c r="H1375" s="6">
        <v>13.020000000000001</v>
      </c>
      <c r="I1375" s="6">
        <v>0</v>
      </c>
      <c r="J1375" s="6">
        <v>281.76999999999992</v>
      </c>
    </row>
    <row r="1376" spans="2:10" ht="18.75">
      <c r="B1376">
        <v>25</v>
      </c>
      <c r="C1376" s="5">
        <v>46188</v>
      </c>
      <c r="D1376" t="s">
        <v>111</v>
      </c>
      <c r="E1376">
        <v>50</v>
      </c>
      <c r="F1376" s="6">
        <v>178.15999999999991</v>
      </c>
      <c r="G1376" s="6">
        <v>0</v>
      </c>
      <c r="H1376" s="6">
        <v>1.1000000000000001</v>
      </c>
      <c r="I1376" s="6">
        <v>0</v>
      </c>
      <c r="J1376" s="6">
        <v>178.15999999999991</v>
      </c>
    </row>
    <row r="1377" spans="2:10" ht="18.75">
      <c r="B1377">
        <v>25</v>
      </c>
      <c r="C1377" s="5">
        <v>46188</v>
      </c>
      <c r="D1377" t="s">
        <v>117</v>
      </c>
      <c r="E1377">
        <v>76</v>
      </c>
      <c r="F1377" s="6">
        <v>393.46</v>
      </c>
      <c r="G1377" s="6">
        <v>0</v>
      </c>
      <c r="H1377" s="6">
        <v>14.130000000000003</v>
      </c>
      <c r="I1377" s="6">
        <v>0</v>
      </c>
      <c r="J1377" s="6">
        <v>393.46</v>
      </c>
    </row>
    <row r="1378" spans="2:10" ht="18.75">
      <c r="B1378">
        <v>25</v>
      </c>
      <c r="C1378" s="5">
        <v>46188</v>
      </c>
      <c r="D1378" t="s">
        <v>113</v>
      </c>
      <c r="E1378">
        <v>132</v>
      </c>
      <c r="F1378" s="6">
        <v>443.43999999999988</v>
      </c>
      <c r="G1378" s="6">
        <v>0</v>
      </c>
      <c r="H1378" s="6">
        <v>8.41</v>
      </c>
      <c r="I1378" s="6">
        <v>1.26</v>
      </c>
      <c r="J1378" s="6">
        <v>444.69999999999987</v>
      </c>
    </row>
    <row r="1379" spans="2:10" ht="18.75">
      <c r="B1379">
        <v>25</v>
      </c>
      <c r="C1379" s="5">
        <v>46188</v>
      </c>
      <c r="D1379" t="s">
        <v>116</v>
      </c>
      <c r="E1379">
        <v>40</v>
      </c>
      <c r="F1379" s="6">
        <v>146.37999999999997</v>
      </c>
      <c r="G1379" s="6">
        <v>0</v>
      </c>
      <c r="H1379" s="6">
        <v>4.66</v>
      </c>
      <c r="I1379" s="6">
        <v>0</v>
      </c>
      <c r="J1379" s="6">
        <v>146.37999999999997</v>
      </c>
    </row>
    <row r="1380" spans="2:10" ht="18.75">
      <c r="B1380">
        <v>25</v>
      </c>
      <c r="C1380" s="5">
        <v>46188</v>
      </c>
      <c r="D1380" t="s">
        <v>131</v>
      </c>
      <c r="E1380">
        <v>72</v>
      </c>
      <c r="F1380" s="6">
        <v>378.16000000000008</v>
      </c>
      <c r="G1380" s="6">
        <v>0</v>
      </c>
      <c r="H1380" s="6">
        <v>16.14</v>
      </c>
      <c r="I1380" s="6">
        <v>0</v>
      </c>
      <c r="J1380" s="6">
        <v>378.16000000000008</v>
      </c>
    </row>
    <row r="1381" spans="2:10" ht="18.75">
      <c r="B1381">
        <v>25</v>
      </c>
      <c r="C1381" s="5">
        <v>46188</v>
      </c>
      <c r="D1381" t="s">
        <v>119</v>
      </c>
      <c r="E1381">
        <v>145</v>
      </c>
      <c r="F1381" s="6">
        <v>562.4100000000002</v>
      </c>
      <c r="G1381" s="6">
        <v>0</v>
      </c>
      <c r="H1381" s="6">
        <v>8.89</v>
      </c>
      <c r="I1381" s="6">
        <v>0</v>
      </c>
      <c r="J1381" s="6">
        <v>562.4100000000002</v>
      </c>
    </row>
    <row r="1382" spans="2:10" ht="18.75">
      <c r="B1382">
        <v>25</v>
      </c>
      <c r="C1382" s="5">
        <v>46188</v>
      </c>
      <c r="D1382" t="s">
        <v>122</v>
      </c>
      <c r="E1382">
        <v>81</v>
      </c>
      <c r="F1382" s="6">
        <v>435.90000000000015</v>
      </c>
      <c r="G1382" s="6">
        <v>0</v>
      </c>
      <c r="H1382" s="6">
        <v>16.91</v>
      </c>
      <c r="I1382" s="6">
        <v>0</v>
      </c>
      <c r="J1382" s="6">
        <v>435.90000000000015</v>
      </c>
    </row>
    <row r="1383" spans="2:10" ht="18.75">
      <c r="B1383">
        <v>25</v>
      </c>
      <c r="C1383" s="5">
        <v>46188</v>
      </c>
      <c r="D1383" t="s">
        <v>125</v>
      </c>
      <c r="E1383">
        <v>16</v>
      </c>
      <c r="F1383" s="6">
        <v>96.469999999999985</v>
      </c>
      <c r="G1383" s="6">
        <v>0</v>
      </c>
      <c r="H1383" s="6">
        <v>1.2</v>
      </c>
      <c r="I1383" s="6">
        <v>0</v>
      </c>
      <c r="J1383" s="6">
        <v>96.469999999999985</v>
      </c>
    </row>
    <row r="1384" spans="2:10" ht="18.75">
      <c r="B1384">
        <v>25</v>
      </c>
      <c r="C1384" s="5">
        <v>46188</v>
      </c>
      <c r="D1384" t="s">
        <v>114</v>
      </c>
      <c r="E1384">
        <v>68</v>
      </c>
      <c r="F1384" s="6">
        <v>281.82000000000005</v>
      </c>
      <c r="G1384" s="6">
        <v>6.74</v>
      </c>
      <c r="H1384" s="6">
        <v>14.110000000000003</v>
      </c>
      <c r="I1384" s="6">
        <v>98.80999999999996</v>
      </c>
      <c r="J1384" s="6">
        <v>373.89</v>
      </c>
    </row>
    <row r="1385" spans="2:10" ht="18.75">
      <c r="B1385">
        <v>25</v>
      </c>
      <c r="C1385" s="5">
        <v>46188</v>
      </c>
      <c r="D1385" t="s">
        <v>127</v>
      </c>
      <c r="E1385">
        <v>72</v>
      </c>
      <c r="F1385" s="6">
        <v>381.16999999999996</v>
      </c>
      <c r="G1385" s="6">
        <v>0</v>
      </c>
      <c r="H1385" s="6">
        <v>4.53</v>
      </c>
      <c r="I1385" s="6">
        <v>0</v>
      </c>
      <c r="J1385" s="6">
        <v>381.16999999999996</v>
      </c>
    </row>
    <row r="1386" spans="2:10" ht="18.75">
      <c r="B1386">
        <v>25</v>
      </c>
      <c r="C1386" s="5">
        <v>46188</v>
      </c>
      <c r="D1386" t="s">
        <v>120</v>
      </c>
      <c r="E1386">
        <v>26</v>
      </c>
      <c r="F1386" s="6">
        <v>114.15</v>
      </c>
      <c r="G1386" s="6">
        <v>0</v>
      </c>
      <c r="H1386" s="6">
        <v>0</v>
      </c>
      <c r="I1386" s="6">
        <v>0</v>
      </c>
      <c r="J1386" s="6">
        <v>114.15</v>
      </c>
    </row>
    <row r="1387" spans="2:10" ht="18.75">
      <c r="B1387">
        <v>25</v>
      </c>
      <c r="C1387" s="5">
        <v>46188</v>
      </c>
      <c r="D1387" t="s">
        <v>128</v>
      </c>
      <c r="E1387">
        <v>54</v>
      </c>
      <c r="F1387" s="6">
        <v>261.76</v>
      </c>
      <c r="G1387" s="6">
        <v>0</v>
      </c>
      <c r="H1387" s="6">
        <v>5.53</v>
      </c>
      <c r="I1387" s="6">
        <v>0</v>
      </c>
      <c r="J1387" s="6">
        <v>261.76</v>
      </c>
    </row>
    <row r="1388" spans="2:10" ht="18.75">
      <c r="B1388">
        <v>25</v>
      </c>
      <c r="C1388" s="5">
        <v>46188</v>
      </c>
      <c r="D1388" t="s">
        <v>112</v>
      </c>
      <c r="E1388">
        <v>25</v>
      </c>
      <c r="F1388" s="6">
        <v>91.060000000000016</v>
      </c>
      <c r="G1388" s="6">
        <v>0</v>
      </c>
      <c r="H1388" s="6">
        <v>0</v>
      </c>
      <c r="I1388" s="6">
        <v>0</v>
      </c>
      <c r="J1388" s="6">
        <v>91.060000000000016</v>
      </c>
    </row>
    <row r="1389" spans="2:10" ht="18.75">
      <c r="B1389">
        <v>25</v>
      </c>
      <c r="C1389" s="5">
        <v>46188</v>
      </c>
      <c r="D1389" t="s">
        <v>145</v>
      </c>
      <c r="E1389">
        <v>28</v>
      </c>
      <c r="F1389" s="6">
        <v>146.58999999999995</v>
      </c>
      <c r="G1389" s="6">
        <v>0</v>
      </c>
      <c r="H1389" s="6">
        <v>2.4900000000000002</v>
      </c>
      <c r="I1389" s="6">
        <v>0</v>
      </c>
      <c r="J1389" s="6">
        <v>146.58999999999995</v>
      </c>
    </row>
    <row r="1390" spans="2:10" ht="18.75">
      <c r="B1390">
        <v>25</v>
      </c>
      <c r="C1390" s="5">
        <v>46188</v>
      </c>
      <c r="D1390" t="s">
        <v>135</v>
      </c>
      <c r="E1390">
        <v>15</v>
      </c>
      <c r="F1390" s="6">
        <v>51.48</v>
      </c>
      <c r="G1390" s="6">
        <v>0</v>
      </c>
      <c r="H1390" s="6">
        <v>1.53</v>
      </c>
      <c r="I1390" s="6">
        <v>10.46</v>
      </c>
      <c r="J1390" s="6">
        <v>61.94</v>
      </c>
    </row>
    <row r="1391" spans="2:10" ht="18.75">
      <c r="B1391">
        <v>25</v>
      </c>
      <c r="C1391" s="5">
        <v>46188</v>
      </c>
      <c r="D1391" t="s">
        <v>148</v>
      </c>
      <c r="E1391">
        <v>17</v>
      </c>
      <c r="F1391" s="6">
        <v>88.55</v>
      </c>
      <c r="G1391" s="6">
        <v>0</v>
      </c>
      <c r="H1391" s="6">
        <v>9.31</v>
      </c>
      <c r="I1391" s="6">
        <v>0</v>
      </c>
      <c r="J1391" s="6">
        <v>88.55</v>
      </c>
    </row>
    <row r="1392" spans="2:10" ht="18.75">
      <c r="B1392">
        <v>25</v>
      </c>
      <c r="C1392" s="5">
        <v>46188</v>
      </c>
      <c r="D1392" t="s">
        <v>137</v>
      </c>
      <c r="E1392">
        <v>26</v>
      </c>
      <c r="F1392" s="6">
        <v>83.78</v>
      </c>
      <c r="G1392" s="6">
        <v>0</v>
      </c>
      <c r="H1392" s="6">
        <v>0.49</v>
      </c>
      <c r="I1392" s="6">
        <v>50.399999999999984</v>
      </c>
      <c r="J1392" s="6">
        <v>134.17999999999998</v>
      </c>
    </row>
    <row r="1393" spans="2:10" ht="18.75">
      <c r="B1393">
        <v>25</v>
      </c>
      <c r="C1393" s="5">
        <v>46188</v>
      </c>
      <c r="D1393" t="s">
        <v>150</v>
      </c>
      <c r="E1393">
        <v>24</v>
      </c>
      <c r="F1393" s="6">
        <v>140.21</v>
      </c>
      <c r="G1393" s="6">
        <v>0</v>
      </c>
      <c r="H1393" s="6">
        <v>1.8</v>
      </c>
      <c r="I1393" s="6">
        <v>0</v>
      </c>
      <c r="J1393" s="6">
        <v>140.21</v>
      </c>
    </row>
    <row r="1394" spans="2:10" ht="18.75">
      <c r="B1394">
        <v>25</v>
      </c>
      <c r="C1394" s="5">
        <v>46188</v>
      </c>
      <c r="D1394" t="s">
        <v>142</v>
      </c>
      <c r="E1394">
        <v>42</v>
      </c>
      <c r="F1394" s="6">
        <v>179.76999999999998</v>
      </c>
      <c r="G1394" s="6">
        <v>0</v>
      </c>
      <c r="H1394" s="6">
        <v>16.890000000000004</v>
      </c>
      <c r="I1394" s="6">
        <v>0</v>
      </c>
      <c r="J1394" s="6">
        <v>179.76999999999998</v>
      </c>
    </row>
    <row r="1395" spans="2:10" ht="18.75">
      <c r="B1395">
        <v>25</v>
      </c>
      <c r="C1395" s="5">
        <v>46188</v>
      </c>
      <c r="D1395" t="s">
        <v>126</v>
      </c>
      <c r="E1395">
        <v>49</v>
      </c>
      <c r="F1395" s="6">
        <v>172.86</v>
      </c>
      <c r="G1395" s="6">
        <v>0</v>
      </c>
      <c r="H1395" s="6">
        <v>1.7100000000000002</v>
      </c>
      <c r="I1395" s="6">
        <v>1.98</v>
      </c>
      <c r="J1395" s="6">
        <v>174.84</v>
      </c>
    </row>
    <row r="1396" spans="2:10" ht="18.75">
      <c r="B1396">
        <v>25</v>
      </c>
      <c r="C1396" s="5">
        <v>46188</v>
      </c>
      <c r="D1396" t="s">
        <v>218</v>
      </c>
      <c r="E1396">
        <v>12</v>
      </c>
      <c r="F1396" s="6">
        <v>69.400000000000006</v>
      </c>
      <c r="G1396" s="6">
        <v>0</v>
      </c>
      <c r="H1396" s="6">
        <v>5.14</v>
      </c>
      <c r="I1396" s="6">
        <v>0</v>
      </c>
      <c r="J1396" s="6">
        <v>69.400000000000006</v>
      </c>
    </row>
    <row r="1397" spans="2:10" ht="18.75">
      <c r="B1397">
        <v>26</v>
      </c>
      <c r="C1397" s="5">
        <v>46195</v>
      </c>
      <c r="D1397" t="s">
        <v>139</v>
      </c>
      <c r="E1397">
        <v>87</v>
      </c>
      <c r="F1397" s="6">
        <v>358.78</v>
      </c>
      <c r="G1397" s="6">
        <v>0</v>
      </c>
      <c r="H1397" s="6">
        <v>7.42</v>
      </c>
      <c r="I1397" s="6">
        <v>0</v>
      </c>
      <c r="J1397" s="6">
        <v>358.78</v>
      </c>
    </row>
    <row r="1398" spans="2:10" ht="18.75">
      <c r="B1398">
        <v>26</v>
      </c>
      <c r="C1398" s="5">
        <v>46195</v>
      </c>
      <c r="D1398" t="s">
        <v>144</v>
      </c>
      <c r="E1398">
        <v>363</v>
      </c>
      <c r="F1398" s="6">
        <v>1656.7400000000011</v>
      </c>
      <c r="G1398" s="6">
        <v>0</v>
      </c>
      <c r="H1398" s="6">
        <v>19.29</v>
      </c>
      <c r="I1398" s="6">
        <v>0</v>
      </c>
      <c r="J1398" s="6">
        <v>1656.7400000000011</v>
      </c>
    </row>
    <row r="1399" spans="2:10" ht="18.75">
      <c r="B1399">
        <v>26</v>
      </c>
      <c r="C1399" s="5">
        <v>46195</v>
      </c>
      <c r="D1399" t="s">
        <v>118</v>
      </c>
      <c r="E1399">
        <v>57</v>
      </c>
      <c r="F1399" s="6">
        <v>213.48000000000002</v>
      </c>
      <c r="G1399" s="6">
        <v>0</v>
      </c>
      <c r="H1399" s="6">
        <v>7.5</v>
      </c>
      <c r="I1399" s="6">
        <v>0</v>
      </c>
      <c r="J1399" s="6">
        <v>213.48000000000002</v>
      </c>
    </row>
    <row r="1400" spans="2:10" ht="18.75">
      <c r="B1400">
        <v>26</v>
      </c>
      <c r="C1400" s="5">
        <v>46195</v>
      </c>
      <c r="D1400" t="s">
        <v>143</v>
      </c>
      <c r="E1400">
        <v>196</v>
      </c>
      <c r="F1400" s="6">
        <v>868.47000000000139</v>
      </c>
      <c r="G1400" s="6">
        <v>0</v>
      </c>
      <c r="H1400" s="6">
        <v>13.160000000000002</v>
      </c>
      <c r="I1400" s="6">
        <v>0</v>
      </c>
      <c r="J1400" s="6">
        <v>868.47000000000139</v>
      </c>
    </row>
    <row r="1401" spans="2:10" ht="18.75">
      <c r="B1401">
        <v>26</v>
      </c>
      <c r="C1401" s="5">
        <v>46195</v>
      </c>
      <c r="D1401" t="s">
        <v>151</v>
      </c>
      <c r="E1401">
        <v>240</v>
      </c>
      <c r="F1401" s="6">
        <v>1301.3700000000008</v>
      </c>
      <c r="G1401" s="6">
        <v>0</v>
      </c>
      <c r="H1401" s="6">
        <v>20.189999999999998</v>
      </c>
      <c r="I1401" s="6">
        <v>0</v>
      </c>
      <c r="J1401" s="6">
        <v>1301.3700000000008</v>
      </c>
    </row>
    <row r="1402" spans="2:10" ht="18.75">
      <c r="B1402">
        <v>26</v>
      </c>
      <c r="C1402" s="5">
        <v>46195</v>
      </c>
      <c r="D1402" t="s">
        <v>146</v>
      </c>
      <c r="E1402">
        <v>154</v>
      </c>
      <c r="F1402" s="6">
        <v>923.63000000000022</v>
      </c>
      <c r="G1402" s="6">
        <v>0</v>
      </c>
      <c r="H1402" s="6">
        <v>32.049999999999997</v>
      </c>
      <c r="I1402" s="6">
        <v>0</v>
      </c>
      <c r="J1402" s="6">
        <v>923.63000000000022</v>
      </c>
    </row>
    <row r="1403" spans="2:10" ht="18.75">
      <c r="B1403">
        <v>26</v>
      </c>
      <c r="C1403" s="5">
        <v>46195</v>
      </c>
      <c r="D1403" t="s">
        <v>121</v>
      </c>
      <c r="E1403">
        <v>44</v>
      </c>
      <c r="F1403" s="6">
        <v>148.94999999999996</v>
      </c>
      <c r="G1403" s="6">
        <v>6.3</v>
      </c>
      <c r="H1403" s="6">
        <v>4.46</v>
      </c>
      <c r="I1403" s="6">
        <v>0</v>
      </c>
      <c r="J1403" s="6">
        <v>142.64999999999995</v>
      </c>
    </row>
    <row r="1404" spans="2:10" ht="18.75">
      <c r="B1404">
        <v>26</v>
      </c>
      <c r="C1404" s="5">
        <v>46195</v>
      </c>
      <c r="D1404" t="s">
        <v>124</v>
      </c>
      <c r="E1404">
        <v>188</v>
      </c>
      <c r="F1404" s="6">
        <v>711.50000000000023</v>
      </c>
      <c r="G1404" s="6">
        <v>0</v>
      </c>
      <c r="H1404" s="6">
        <v>5.8200000000000012</v>
      </c>
      <c r="I1404" s="6">
        <v>0</v>
      </c>
      <c r="J1404" s="6">
        <v>711.50000000000023</v>
      </c>
    </row>
    <row r="1405" spans="2:10" ht="18.75">
      <c r="B1405">
        <v>26</v>
      </c>
      <c r="C1405" s="5">
        <v>46195</v>
      </c>
      <c r="D1405" t="s">
        <v>123</v>
      </c>
      <c r="E1405">
        <v>161</v>
      </c>
      <c r="F1405" s="6">
        <v>645.09000000000015</v>
      </c>
      <c r="G1405" s="6">
        <v>0</v>
      </c>
      <c r="H1405" s="6">
        <v>18.029999999999998</v>
      </c>
      <c r="I1405" s="6">
        <v>0</v>
      </c>
      <c r="J1405" s="6">
        <v>645.09000000000015</v>
      </c>
    </row>
    <row r="1406" spans="2:10" ht="18.75">
      <c r="B1406">
        <v>26</v>
      </c>
      <c r="C1406" s="5">
        <v>46195</v>
      </c>
      <c r="D1406" t="s">
        <v>141</v>
      </c>
      <c r="E1406">
        <v>215</v>
      </c>
      <c r="F1406" s="6">
        <v>795.57000000000141</v>
      </c>
      <c r="G1406" s="6">
        <v>0</v>
      </c>
      <c r="H1406" s="6">
        <v>8.23</v>
      </c>
      <c r="I1406" s="6">
        <v>0</v>
      </c>
      <c r="J1406" s="6">
        <v>795.57000000000141</v>
      </c>
    </row>
    <row r="1407" spans="2:10" ht="18.75">
      <c r="B1407">
        <v>26</v>
      </c>
      <c r="C1407" s="5">
        <v>46195</v>
      </c>
      <c r="D1407" t="s">
        <v>113</v>
      </c>
      <c r="E1407">
        <v>102</v>
      </c>
      <c r="F1407" s="6">
        <v>330.8599999999999</v>
      </c>
      <c r="G1407" s="6">
        <v>0</v>
      </c>
      <c r="H1407" s="6">
        <v>5.43</v>
      </c>
      <c r="I1407" s="6">
        <v>0</v>
      </c>
      <c r="J1407" s="6">
        <v>330.8599999999999</v>
      </c>
    </row>
    <row r="1408" spans="2:10" ht="18.75">
      <c r="B1408">
        <v>26</v>
      </c>
      <c r="C1408" s="5">
        <v>46195</v>
      </c>
      <c r="D1408" t="s">
        <v>112</v>
      </c>
      <c r="E1408">
        <v>26</v>
      </c>
      <c r="F1408" s="6">
        <v>82.560000000000016</v>
      </c>
      <c r="G1408" s="6">
        <v>0</v>
      </c>
      <c r="H1408" s="6">
        <v>0.33</v>
      </c>
      <c r="I1408" s="6">
        <v>0</v>
      </c>
      <c r="J1408" s="6">
        <v>82.560000000000016</v>
      </c>
    </row>
    <row r="1409" spans="2:10" ht="18.75">
      <c r="B1409">
        <v>26</v>
      </c>
      <c r="C1409" s="5">
        <v>46195</v>
      </c>
      <c r="D1409" t="s">
        <v>147</v>
      </c>
      <c r="E1409">
        <v>115</v>
      </c>
      <c r="F1409" s="6">
        <v>562.24</v>
      </c>
      <c r="G1409" s="6">
        <v>0</v>
      </c>
      <c r="H1409" s="6">
        <v>11.34</v>
      </c>
      <c r="I1409" s="6">
        <v>0</v>
      </c>
      <c r="J1409" s="6">
        <v>562.24</v>
      </c>
    </row>
    <row r="1410" spans="2:10" ht="18.75">
      <c r="B1410">
        <v>26</v>
      </c>
      <c r="C1410" s="5">
        <v>46195</v>
      </c>
      <c r="D1410" t="s">
        <v>119</v>
      </c>
      <c r="E1410">
        <v>133</v>
      </c>
      <c r="F1410" s="6">
        <v>486.94999999999982</v>
      </c>
      <c r="G1410" s="6">
        <v>0</v>
      </c>
      <c r="H1410" s="6">
        <v>17.330000000000002</v>
      </c>
      <c r="I1410" s="6">
        <v>0</v>
      </c>
      <c r="J1410" s="6">
        <v>486.94999999999982</v>
      </c>
    </row>
    <row r="1411" spans="2:10" ht="18.75">
      <c r="B1411">
        <v>26</v>
      </c>
      <c r="C1411" s="5">
        <v>46195</v>
      </c>
      <c r="D1411" t="s">
        <v>129</v>
      </c>
      <c r="E1411">
        <v>148</v>
      </c>
      <c r="F1411" s="6">
        <v>3.4400000000000004</v>
      </c>
      <c r="G1411" s="6">
        <v>0</v>
      </c>
      <c r="H1411" s="6">
        <v>9.2100000000000009</v>
      </c>
      <c r="I1411" s="6">
        <v>557.33999999999992</v>
      </c>
      <c r="J1411" s="6">
        <v>560.78</v>
      </c>
    </row>
    <row r="1412" spans="2:10" ht="18.75">
      <c r="B1412">
        <v>26</v>
      </c>
      <c r="C1412" s="5">
        <v>46195</v>
      </c>
      <c r="D1412" t="s">
        <v>122</v>
      </c>
      <c r="E1412">
        <v>80</v>
      </c>
      <c r="F1412" s="6">
        <v>436.06</v>
      </c>
      <c r="G1412" s="6">
        <v>0</v>
      </c>
      <c r="H1412" s="6">
        <v>3.79</v>
      </c>
      <c r="I1412" s="6">
        <v>0</v>
      </c>
      <c r="J1412" s="6">
        <v>436.06</v>
      </c>
    </row>
    <row r="1413" spans="2:10" ht="18.75">
      <c r="B1413">
        <v>26</v>
      </c>
      <c r="C1413" s="5">
        <v>46195</v>
      </c>
      <c r="D1413" t="s">
        <v>117</v>
      </c>
      <c r="E1413">
        <v>78</v>
      </c>
      <c r="F1413" s="6">
        <v>347.04999999999995</v>
      </c>
      <c r="G1413" s="6">
        <v>0</v>
      </c>
      <c r="H1413" s="6">
        <v>15.440000000000001</v>
      </c>
      <c r="I1413" s="6">
        <v>0</v>
      </c>
      <c r="J1413" s="6">
        <v>347.04999999999995</v>
      </c>
    </row>
    <row r="1414" spans="2:10" ht="18.75">
      <c r="B1414">
        <v>26</v>
      </c>
      <c r="C1414" s="5">
        <v>46195</v>
      </c>
      <c r="D1414" t="s">
        <v>128</v>
      </c>
      <c r="E1414">
        <v>66</v>
      </c>
      <c r="F1414" s="6">
        <v>295.12</v>
      </c>
      <c r="G1414" s="6">
        <v>0</v>
      </c>
      <c r="H1414" s="6">
        <v>6.2</v>
      </c>
      <c r="I1414" s="6">
        <v>0</v>
      </c>
      <c r="J1414" s="6">
        <v>295.12</v>
      </c>
    </row>
    <row r="1415" spans="2:10" ht="18.75">
      <c r="B1415">
        <v>26</v>
      </c>
      <c r="C1415" s="5">
        <v>46195</v>
      </c>
      <c r="D1415" t="s">
        <v>132</v>
      </c>
      <c r="E1415">
        <v>85</v>
      </c>
      <c r="F1415" s="6">
        <v>291.09999999999985</v>
      </c>
      <c r="G1415" s="6">
        <v>2</v>
      </c>
      <c r="H1415" s="6">
        <v>9.41</v>
      </c>
      <c r="I1415" s="6">
        <v>0</v>
      </c>
      <c r="J1415" s="6">
        <v>289.09999999999985</v>
      </c>
    </row>
    <row r="1416" spans="2:10" ht="18.75">
      <c r="B1416">
        <v>26</v>
      </c>
      <c r="C1416" s="5">
        <v>46195</v>
      </c>
      <c r="D1416" t="s">
        <v>136</v>
      </c>
      <c r="E1416">
        <v>54</v>
      </c>
      <c r="F1416" s="6">
        <v>183.86999999999998</v>
      </c>
      <c r="G1416" s="6">
        <v>0</v>
      </c>
      <c r="H1416" s="6">
        <v>15.120000000000001</v>
      </c>
      <c r="I1416" s="6">
        <v>73.7</v>
      </c>
      <c r="J1416" s="6">
        <v>257.57</v>
      </c>
    </row>
    <row r="1417" spans="2:10" ht="18.75">
      <c r="B1417">
        <v>26</v>
      </c>
      <c r="C1417" s="5">
        <v>46195</v>
      </c>
      <c r="D1417" t="s">
        <v>216</v>
      </c>
      <c r="E1417">
        <v>180</v>
      </c>
      <c r="F1417" s="6">
        <v>725.94000000000051</v>
      </c>
      <c r="G1417" s="6">
        <v>0</v>
      </c>
      <c r="H1417" s="6">
        <v>10.39</v>
      </c>
      <c r="I1417" s="6">
        <v>0</v>
      </c>
      <c r="J1417" s="6">
        <v>725.94000000000051</v>
      </c>
    </row>
    <row r="1418" spans="2:10" ht="18.75">
      <c r="B1418">
        <v>26</v>
      </c>
      <c r="C1418" s="5">
        <v>46195</v>
      </c>
      <c r="D1418" t="s">
        <v>134</v>
      </c>
      <c r="E1418">
        <v>91</v>
      </c>
      <c r="F1418" s="6">
        <v>545.2399999999999</v>
      </c>
      <c r="G1418" s="6">
        <v>0</v>
      </c>
      <c r="H1418" s="6">
        <v>17.259999999999998</v>
      </c>
      <c r="I1418" s="6">
        <v>0</v>
      </c>
      <c r="J1418" s="6">
        <v>545.2399999999999</v>
      </c>
    </row>
    <row r="1419" spans="2:10" ht="18.75">
      <c r="B1419">
        <v>26</v>
      </c>
      <c r="C1419" s="5">
        <v>46195</v>
      </c>
      <c r="D1419" t="s">
        <v>130</v>
      </c>
      <c r="E1419">
        <v>117</v>
      </c>
      <c r="F1419" s="6">
        <v>519.2399999999999</v>
      </c>
      <c r="G1419" s="6">
        <v>0</v>
      </c>
      <c r="H1419" s="6">
        <v>26.56</v>
      </c>
      <c r="I1419" s="6">
        <v>0</v>
      </c>
      <c r="J1419" s="6">
        <v>519.2399999999999</v>
      </c>
    </row>
    <row r="1420" spans="2:10" ht="18.75">
      <c r="B1420">
        <v>26</v>
      </c>
      <c r="C1420" s="5">
        <v>46195</v>
      </c>
      <c r="D1420" t="s">
        <v>131</v>
      </c>
      <c r="E1420">
        <v>70</v>
      </c>
      <c r="F1420" s="6">
        <v>338.55999999999995</v>
      </c>
      <c r="G1420" s="6">
        <v>0</v>
      </c>
      <c r="H1420" s="6">
        <v>11.71</v>
      </c>
      <c r="I1420" s="6">
        <v>0</v>
      </c>
      <c r="J1420" s="6">
        <v>338.55999999999995</v>
      </c>
    </row>
    <row r="1421" spans="2:10" ht="18.75">
      <c r="B1421">
        <v>26</v>
      </c>
      <c r="C1421" s="5">
        <v>46195</v>
      </c>
      <c r="D1421" t="s">
        <v>135</v>
      </c>
      <c r="E1421">
        <v>14</v>
      </c>
      <c r="F1421" s="6">
        <v>41.499999999999993</v>
      </c>
      <c r="G1421" s="6">
        <v>0</v>
      </c>
      <c r="H1421" s="6">
        <v>0.49</v>
      </c>
      <c r="I1421" s="6">
        <v>12.060000000000002</v>
      </c>
      <c r="J1421" s="6">
        <v>53.559999999999995</v>
      </c>
    </row>
    <row r="1422" spans="2:10" ht="18.75">
      <c r="B1422">
        <v>26</v>
      </c>
      <c r="C1422" s="5">
        <v>46195</v>
      </c>
      <c r="D1422" t="s">
        <v>218</v>
      </c>
      <c r="E1422">
        <v>20</v>
      </c>
      <c r="F1422" s="6">
        <v>117.48000000000002</v>
      </c>
      <c r="G1422" s="6">
        <v>0</v>
      </c>
      <c r="H1422" s="6">
        <v>13.100000000000001</v>
      </c>
      <c r="I1422" s="6">
        <v>0</v>
      </c>
      <c r="J1422" s="6">
        <v>117.48000000000002</v>
      </c>
    </row>
    <row r="1423" spans="2:10" ht="18.75">
      <c r="B1423">
        <v>26</v>
      </c>
      <c r="C1423" s="5">
        <v>46195</v>
      </c>
      <c r="D1423" t="s">
        <v>138</v>
      </c>
      <c r="E1423">
        <v>158</v>
      </c>
      <c r="F1423" s="6">
        <v>827.67000000000007</v>
      </c>
      <c r="G1423" s="6">
        <v>0</v>
      </c>
      <c r="H1423" s="6">
        <v>51.38000000000001</v>
      </c>
      <c r="I1423" s="6">
        <v>0</v>
      </c>
      <c r="J1423" s="6">
        <v>827.67000000000007</v>
      </c>
    </row>
    <row r="1424" spans="2:10" ht="18.75">
      <c r="B1424">
        <v>26</v>
      </c>
      <c r="C1424" s="5">
        <v>46195</v>
      </c>
      <c r="D1424" t="s">
        <v>114</v>
      </c>
      <c r="E1424">
        <v>125</v>
      </c>
      <c r="F1424" s="6">
        <v>514.20999999999992</v>
      </c>
      <c r="G1424" s="6">
        <v>0</v>
      </c>
      <c r="H1424" s="6">
        <v>24.279999999999994</v>
      </c>
      <c r="I1424" s="6">
        <v>183.15000000000018</v>
      </c>
      <c r="J1424" s="6">
        <v>697.36000000000013</v>
      </c>
    </row>
    <row r="1425" spans="2:10" ht="18.75">
      <c r="B1425">
        <v>26</v>
      </c>
      <c r="C1425" s="5">
        <v>46195</v>
      </c>
      <c r="D1425" t="s">
        <v>115</v>
      </c>
      <c r="E1425">
        <v>83</v>
      </c>
      <c r="F1425" s="6">
        <v>283.88</v>
      </c>
      <c r="G1425" s="6">
        <v>0</v>
      </c>
      <c r="H1425" s="6">
        <v>0</v>
      </c>
      <c r="I1425" s="6">
        <v>0</v>
      </c>
      <c r="J1425" s="6">
        <v>283.88</v>
      </c>
    </row>
    <row r="1426" spans="2:10" ht="18.75">
      <c r="B1426">
        <v>26</v>
      </c>
      <c r="C1426" s="5">
        <v>46195</v>
      </c>
      <c r="D1426" t="s">
        <v>127</v>
      </c>
      <c r="E1426">
        <v>83</v>
      </c>
      <c r="F1426" s="6">
        <v>443.93000000000023</v>
      </c>
      <c r="G1426" s="6">
        <v>0</v>
      </c>
      <c r="H1426" s="6">
        <v>3.8600000000000003</v>
      </c>
      <c r="I1426" s="6">
        <v>0</v>
      </c>
      <c r="J1426" s="6">
        <v>443.93000000000023</v>
      </c>
    </row>
    <row r="1427" spans="2:10" ht="18.75">
      <c r="B1427">
        <v>26</v>
      </c>
      <c r="C1427" s="5">
        <v>46195</v>
      </c>
      <c r="D1427" t="s">
        <v>126</v>
      </c>
      <c r="E1427">
        <v>85</v>
      </c>
      <c r="F1427" s="6">
        <v>314.78999999999985</v>
      </c>
      <c r="G1427" s="6">
        <v>0</v>
      </c>
      <c r="H1427" s="6">
        <v>5.69</v>
      </c>
      <c r="I1427" s="6">
        <v>0</v>
      </c>
      <c r="J1427" s="6">
        <v>314.78999999999985</v>
      </c>
    </row>
    <row r="1428" spans="2:10" ht="18.75">
      <c r="B1428">
        <v>26</v>
      </c>
      <c r="C1428" s="5">
        <v>46195</v>
      </c>
      <c r="D1428" t="s">
        <v>133</v>
      </c>
      <c r="E1428">
        <v>93</v>
      </c>
      <c r="F1428" s="6">
        <v>536.1</v>
      </c>
      <c r="G1428" s="6">
        <v>0</v>
      </c>
      <c r="H1428" s="6">
        <v>27.649999999999995</v>
      </c>
      <c r="I1428" s="6">
        <v>0</v>
      </c>
      <c r="J1428" s="6">
        <v>536.1</v>
      </c>
    </row>
    <row r="1429" spans="2:10" ht="18.75">
      <c r="B1429">
        <v>26</v>
      </c>
      <c r="C1429" s="5">
        <v>46195</v>
      </c>
      <c r="D1429" t="s">
        <v>111</v>
      </c>
      <c r="E1429">
        <v>55</v>
      </c>
      <c r="F1429" s="6">
        <v>177.08999999999997</v>
      </c>
      <c r="G1429" s="6">
        <v>0</v>
      </c>
      <c r="H1429" s="6">
        <v>9.89</v>
      </c>
      <c r="I1429" s="6">
        <v>0</v>
      </c>
      <c r="J1429" s="6">
        <v>177.08999999999997</v>
      </c>
    </row>
    <row r="1430" spans="2:10" ht="18.75">
      <c r="B1430">
        <v>26</v>
      </c>
      <c r="C1430" s="5">
        <v>46195</v>
      </c>
      <c r="D1430" t="s">
        <v>142</v>
      </c>
      <c r="E1430">
        <v>37</v>
      </c>
      <c r="F1430" s="6">
        <v>167.80999999999997</v>
      </c>
      <c r="G1430" s="6">
        <v>0</v>
      </c>
      <c r="H1430" s="6">
        <v>4.17</v>
      </c>
      <c r="I1430" s="6">
        <v>0</v>
      </c>
      <c r="J1430" s="6">
        <v>167.80999999999997</v>
      </c>
    </row>
    <row r="1431" spans="2:10" ht="18.75">
      <c r="B1431">
        <v>26</v>
      </c>
      <c r="C1431" s="5">
        <v>46195</v>
      </c>
      <c r="D1431" t="s">
        <v>120</v>
      </c>
      <c r="E1431">
        <v>23</v>
      </c>
      <c r="F1431" s="6">
        <v>104.78</v>
      </c>
      <c r="G1431" s="6">
        <v>0</v>
      </c>
      <c r="H1431" s="6">
        <v>3.08</v>
      </c>
      <c r="I1431" s="6">
        <v>0</v>
      </c>
      <c r="J1431" s="6">
        <v>104.78</v>
      </c>
    </row>
    <row r="1432" spans="2:10" ht="18.75">
      <c r="B1432">
        <v>26</v>
      </c>
      <c r="C1432" s="5">
        <v>46195</v>
      </c>
      <c r="D1432" t="s">
        <v>145</v>
      </c>
      <c r="E1432">
        <v>26</v>
      </c>
      <c r="F1432" s="6">
        <v>125.58</v>
      </c>
      <c r="G1432" s="6">
        <v>0</v>
      </c>
      <c r="H1432" s="6">
        <v>0.33</v>
      </c>
      <c r="I1432" s="6">
        <v>0</v>
      </c>
      <c r="J1432" s="6">
        <v>125.58</v>
      </c>
    </row>
    <row r="1433" spans="2:10" ht="18.75">
      <c r="B1433">
        <v>26</v>
      </c>
      <c r="C1433" s="5">
        <v>46195</v>
      </c>
      <c r="D1433" t="s">
        <v>150</v>
      </c>
      <c r="E1433">
        <v>24</v>
      </c>
      <c r="F1433" s="6">
        <v>134.52999999999997</v>
      </c>
      <c r="G1433" s="6">
        <v>0</v>
      </c>
      <c r="H1433" s="6">
        <v>6.6</v>
      </c>
      <c r="I1433" s="6">
        <v>0</v>
      </c>
      <c r="J1433" s="6">
        <v>134.52999999999997</v>
      </c>
    </row>
    <row r="1434" spans="2:10" ht="18.75">
      <c r="B1434">
        <v>26</v>
      </c>
      <c r="C1434" s="5">
        <v>46195</v>
      </c>
      <c r="D1434" t="s">
        <v>125</v>
      </c>
      <c r="E1434">
        <v>24</v>
      </c>
      <c r="F1434" s="6">
        <v>119.06999999999998</v>
      </c>
      <c r="G1434" s="6">
        <v>0</v>
      </c>
      <c r="H1434" s="6">
        <v>3.39</v>
      </c>
      <c r="I1434" s="6">
        <v>0</v>
      </c>
      <c r="J1434" s="6">
        <v>119.06999999999998</v>
      </c>
    </row>
    <row r="1435" spans="2:10" ht="18.75">
      <c r="B1435">
        <v>26</v>
      </c>
      <c r="C1435" s="5">
        <v>46195</v>
      </c>
      <c r="D1435" t="s">
        <v>148</v>
      </c>
      <c r="E1435">
        <v>22</v>
      </c>
      <c r="F1435" s="6">
        <v>118.05000000000001</v>
      </c>
      <c r="G1435" s="6">
        <v>0</v>
      </c>
      <c r="H1435" s="6">
        <v>7.7700000000000005</v>
      </c>
      <c r="I1435" s="6">
        <v>0</v>
      </c>
      <c r="J1435" s="6">
        <v>118.05000000000001</v>
      </c>
    </row>
    <row r="1436" spans="2:10" ht="18.75">
      <c r="B1436">
        <v>26</v>
      </c>
      <c r="C1436" s="5">
        <v>46195</v>
      </c>
      <c r="D1436" t="s">
        <v>116</v>
      </c>
      <c r="E1436">
        <v>40</v>
      </c>
      <c r="F1436" s="6">
        <v>130.52000000000001</v>
      </c>
      <c r="G1436" s="6">
        <v>0</v>
      </c>
      <c r="H1436" s="6">
        <v>2.87</v>
      </c>
      <c r="I1436" s="6">
        <v>0</v>
      </c>
      <c r="J1436" s="6">
        <v>130.52000000000001</v>
      </c>
    </row>
    <row r="1437" spans="2:10" ht="18.75">
      <c r="B1437">
        <v>26</v>
      </c>
      <c r="C1437" s="5">
        <v>46195</v>
      </c>
      <c r="D1437" t="s">
        <v>137</v>
      </c>
      <c r="E1437">
        <v>31</v>
      </c>
      <c r="F1437" s="6">
        <v>101.28000000000002</v>
      </c>
      <c r="G1437" s="6">
        <v>0</v>
      </c>
      <c r="H1437" s="6">
        <v>11.55</v>
      </c>
      <c r="I1437" s="6">
        <v>69.72</v>
      </c>
      <c r="J1437" s="6">
        <v>171</v>
      </c>
    </row>
    <row r="1438" spans="2:10" ht="18.75"/>
    <row r="1439" spans="2:10" ht="18.75"/>
    <row r="1440" spans="2:10" ht="18.75"/>
    <row r="1441" ht="18.75"/>
    <row r="1442" ht="18.75"/>
    <row r="1443" ht="18.75"/>
    <row r="1444" ht="18.75"/>
    <row r="1445" ht="18.75"/>
    <row r="1446" ht="18.75"/>
    <row r="1447" ht="18.75"/>
    <row r="1448" ht="18.75"/>
    <row r="1449" ht="18.75"/>
    <row r="1450" ht="18.75"/>
    <row r="1451" ht="18.75"/>
    <row r="1452" ht="18.75"/>
    <row r="1453" ht="18.75"/>
    <row r="1454" ht="18.75"/>
    <row r="1455" ht="18.75"/>
    <row r="1456" ht="18.75"/>
    <row r="1457" ht="18.75"/>
    <row r="1458" ht="18.75"/>
    <row r="1459" ht="18.75"/>
    <row r="1460" ht="18.75"/>
    <row r="1461" ht="18.75"/>
    <row r="1462" ht="18.75"/>
    <row r="1463" ht="18.75"/>
    <row r="1464" ht="18.75"/>
    <row r="1465" ht="18.75"/>
    <row r="1466" ht="18.75"/>
    <row r="1467" ht="18.75"/>
    <row r="1468" ht="18.75"/>
    <row r="1469" ht="18.75"/>
    <row r="1470" ht="18.75"/>
    <row r="1471" ht="18.75"/>
    <row r="1472" ht="18.75"/>
    <row r="1473" ht="18.75"/>
    <row r="1474" ht="18.75"/>
    <row r="1475" ht="18.75"/>
    <row r="1476" ht="18.75"/>
    <row r="1477" ht="18.75"/>
    <row r="1478" ht="18.75"/>
    <row r="1479" ht="18.75"/>
    <row r="1480" ht="18.75"/>
    <row r="1481" ht="18.75"/>
    <row r="1482" ht="18.75"/>
    <row r="1483" ht="18.75"/>
    <row r="1484" ht="18.75"/>
    <row r="1485" ht="18.75"/>
    <row r="1486" ht="18.75"/>
    <row r="1487" ht="18.75"/>
    <row r="1488" ht="18.75"/>
    <row r="1489" ht="18.75"/>
    <row r="1490" ht="18.75"/>
    <row r="1491" ht="18.75"/>
    <row r="1492" ht="18.75"/>
    <row r="1493" ht="18.75"/>
    <row r="1494" ht="18.75"/>
    <row r="1495" ht="18.75"/>
    <row r="1496" ht="18.75"/>
    <row r="1497" ht="18.75"/>
    <row r="1498" ht="18.75"/>
    <row r="1499" ht="18.75"/>
    <row r="1500" ht="18.75"/>
    <row r="1501" ht="18.75"/>
    <row r="1502" ht="18.75"/>
    <row r="1503" ht="18.75"/>
    <row r="1504" ht="18.75"/>
    <row r="1505" ht="18.75"/>
    <row r="1506" ht="18.75"/>
    <row r="1507" ht="18.75"/>
    <row r="1508" ht="18.75"/>
    <row r="1509" ht="18.75"/>
    <row r="1510" ht="18.75"/>
    <row r="1511" ht="18.75"/>
    <row r="1512" ht="18.75"/>
    <row r="1513" ht="18.75"/>
    <row r="1514" ht="18.75"/>
    <row r="1515" ht="18.75"/>
    <row r="1516" ht="18.75"/>
    <row r="1517" ht="18.75"/>
    <row r="1518" ht="18.75"/>
    <row r="1519" ht="18.75"/>
    <row r="1520" ht="18.75"/>
    <row r="1521" ht="18.75"/>
    <row r="1522" ht="18.75"/>
    <row r="1523" ht="18.75"/>
    <row r="1524" ht="18.75"/>
    <row r="1525" ht="18.75"/>
    <row r="1526" ht="18.75"/>
    <row r="1527" ht="18.75"/>
    <row r="1528" ht="18.75"/>
    <row r="1529" ht="18.75"/>
    <row r="1530" ht="18.75"/>
    <row r="1531" ht="18.75"/>
    <row r="1532" ht="18.75"/>
    <row r="1533" ht="18.75"/>
    <row r="1534" ht="18.75"/>
    <row r="1535" ht="18.75"/>
    <row r="1536" ht="18.75"/>
    <row r="1537" ht="18.75"/>
    <row r="1538" ht="18.75"/>
    <row r="1539" ht="18.75"/>
    <row r="1540" ht="18.75"/>
    <row r="1541" ht="18.75"/>
    <row r="1542" ht="18.75"/>
    <row r="1543" ht="18.75"/>
    <row r="1544" ht="18.75"/>
    <row r="1545" ht="18.75"/>
    <row r="1546" ht="18.75"/>
    <row r="1547" ht="18.75"/>
    <row r="1548" ht="18.75"/>
    <row r="1549" ht="18.75"/>
    <row r="1550" ht="18.75"/>
    <row r="1551" ht="18.75"/>
    <row r="1552" ht="18.75"/>
    <row r="1553" ht="18.75"/>
    <row r="1554" ht="18.75"/>
    <row r="1555" ht="18.75"/>
    <row r="1556" ht="18.75"/>
    <row r="1557" ht="18.75"/>
    <row r="1558" ht="18.75"/>
    <row r="1559" ht="18.75"/>
    <row r="1560" ht="18.75"/>
    <row r="1561" ht="18.75"/>
    <row r="1562" ht="18.75"/>
    <row r="1563" ht="18.75"/>
    <row r="1564" ht="18.75"/>
    <row r="1565" ht="18.75"/>
    <row r="1566" ht="18.75"/>
    <row r="1567" ht="18.75"/>
    <row r="1568" ht="18.75"/>
    <row r="1569" ht="18.75"/>
    <row r="1570" ht="18.75"/>
    <row r="1571" ht="18.75"/>
    <row r="1572" ht="18.75"/>
    <row r="1573" ht="18.75"/>
    <row r="1574" ht="18.75"/>
    <row r="1575" ht="18.75"/>
    <row r="1576" ht="18.75"/>
    <row r="1577" ht="18.75"/>
    <row r="1578" ht="18.75"/>
    <row r="1579" ht="18.75"/>
    <row r="1580" ht="18.75"/>
    <row r="1581" ht="18.75"/>
    <row r="1582" ht="18.75"/>
    <row r="1583" ht="18.75"/>
    <row r="1584" ht="18.75"/>
    <row r="1585" ht="18.75"/>
    <row r="1586" ht="18.75"/>
    <row r="1587" ht="18.75"/>
    <row r="1588" ht="18.75"/>
    <row r="1589" ht="18.75"/>
    <row r="1590" ht="18.75"/>
    <row r="1591" ht="18.75"/>
    <row r="1592" ht="18.75"/>
    <row r="1593" ht="18.75"/>
    <row r="1594" ht="18.75"/>
    <row r="1595" ht="18.75"/>
    <row r="1596" ht="18.75"/>
    <row r="1597" ht="18.75"/>
    <row r="1598" ht="18.75"/>
    <row r="1599" ht="18.75"/>
    <row r="1600" ht="18.75"/>
    <row r="1601" ht="18.75"/>
    <row r="1602" ht="18.75"/>
    <row r="1603" ht="18.75"/>
    <row r="1604" ht="18.75"/>
    <row r="1605" ht="18.75"/>
    <row r="1606" ht="18.75"/>
    <row r="1607" ht="18.75"/>
    <row r="1608" ht="18.75"/>
    <row r="1609" ht="18.75"/>
    <row r="1610" ht="18.75"/>
    <row r="1611" ht="18.75"/>
    <row r="1612" ht="18.75"/>
    <row r="1613" ht="18.75"/>
    <row r="1614" ht="18.75"/>
    <row r="1615" ht="18.75"/>
    <row r="1616" ht="18.75"/>
    <row r="1617" ht="18.75"/>
    <row r="1618" ht="18.75"/>
    <row r="1619" ht="18.75"/>
    <row r="1620" ht="18.75"/>
    <row r="1621" ht="18.75"/>
    <row r="1622" ht="18.75"/>
    <row r="1623" ht="18.75"/>
    <row r="1624" ht="18.75"/>
    <row r="1625" ht="18.75"/>
    <row r="1626" ht="18.75"/>
    <row r="1627" ht="18.75"/>
    <row r="1628" ht="18.75"/>
    <row r="1629" ht="18.75"/>
    <row r="1630" ht="18.75"/>
    <row r="1631" ht="18.75"/>
    <row r="1632" ht="18.75"/>
    <row r="1633" ht="18.75"/>
    <row r="1634" ht="18.75"/>
    <row r="1635" ht="18.75"/>
    <row r="1636" ht="18.75"/>
    <row r="1637" ht="18.75"/>
    <row r="1638" ht="18.75"/>
    <row r="1639" ht="18.75"/>
    <row r="1640" ht="18.75"/>
    <row r="1641" ht="18.75"/>
    <row r="1642" ht="18.75"/>
    <row r="1643" ht="18.75"/>
    <row r="1644" ht="18.75"/>
    <row r="1645" ht="18.75"/>
    <row r="1646" ht="18.75"/>
    <row r="1647" ht="18.75"/>
    <row r="1648" ht="18.75"/>
    <row r="1649" ht="18.75"/>
    <row r="1650" ht="18.75"/>
    <row r="1651" ht="18.75"/>
    <row r="1652" ht="18.75"/>
    <row r="1653" ht="18.75"/>
    <row r="1654" ht="18.75"/>
    <row r="1655" ht="18.75"/>
    <row r="1656" ht="18.75"/>
    <row r="1657" ht="18.75"/>
    <row r="1658" ht="18.75"/>
    <row r="1659" ht="18.75"/>
    <row r="1660" ht="18.75"/>
    <row r="1661" ht="18.75"/>
    <row r="1662" ht="18.75"/>
    <row r="1663" ht="18.75"/>
    <row r="1664" ht="18.75"/>
    <row r="1665" ht="18.75"/>
    <row r="1666" ht="18.75"/>
    <row r="1667" ht="18.75"/>
    <row r="1668" ht="18.75"/>
    <row r="1669" ht="18.75"/>
    <row r="1670" ht="18.75"/>
    <row r="1671" ht="18.75"/>
    <row r="1672" ht="18.75"/>
    <row r="1673" ht="18.75"/>
    <row r="1674" ht="18.75"/>
    <row r="1675" ht="18.75"/>
    <row r="1676" ht="18.75"/>
    <row r="1677" ht="18.75"/>
    <row r="1678" ht="18.75"/>
    <row r="1679" ht="18.75"/>
    <row r="1680" ht="18.75"/>
    <row r="1681" ht="18.75"/>
    <row r="1682" ht="18.75"/>
    <row r="1683" ht="18.75"/>
    <row r="1684" ht="18.75"/>
    <row r="1685" ht="18.75"/>
    <row r="1686" ht="18.75"/>
    <row r="1687" ht="18.75"/>
    <row r="1688" ht="18.75"/>
    <row r="1689" ht="18.75"/>
    <row r="1690" ht="18.75"/>
    <row r="1691" ht="18.75"/>
    <row r="1692" ht="18.75"/>
    <row r="1693" ht="18.75"/>
    <row r="1694" ht="18.75"/>
    <row r="1695" ht="18.75"/>
    <row r="1696" ht="18.75"/>
    <row r="1697" ht="18.75"/>
    <row r="1698" ht="18.75"/>
    <row r="1699" ht="18.75"/>
    <row r="1700" ht="18.75"/>
    <row r="1701" ht="18.75"/>
    <row r="1702" ht="18.75"/>
    <row r="1703" ht="18.75"/>
    <row r="1704" ht="18.75"/>
    <row r="1705" ht="18.75"/>
    <row r="1706" ht="18.75"/>
    <row r="1707" ht="18.75"/>
    <row r="1708" ht="18.75"/>
    <row r="1709" ht="18.75"/>
    <row r="1710" ht="18.75"/>
    <row r="1711" ht="18.75"/>
    <row r="1712" ht="18.75"/>
    <row r="1713" ht="18.75"/>
    <row r="1714" ht="18.75"/>
    <row r="1715" ht="18.75"/>
    <row r="1716" ht="18.75"/>
    <row r="1717" ht="18.75"/>
    <row r="1718" ht="18.75"/>
    <row r="1719" ht="18.75"/>
    <row r="1720" ht="18.75"/>
    <row r="1721" ht="18.75"/>
    <row r="1722" ht="18.75"/>
    <row r="1723" ht="18.75"/>
    <row r="1724" ht="18.75"/>
    <row r="1725" ht="18.75"/>
    <row r="1726" ht="18.75"/>
    <row r="1727" ht="18.75"/>
    <row r="1728" ht="18.75"/>
    <row r="1729" ht="18.75"/>
    <row r="1730" ht="18.75"/>
    <row r="1731" ht="18.75"/>
    <row r="1732" ht="18.75"/>
    <row r="1733" ht="18.75"/>
    <row r="1734" ht="18.75"/>
    <row r="1735" ht="18.75"/>
    <row r="1736" ht="18.75"/>
    <row r="1737" ht="18.75"/>
    <row r="1738" ht="18.75"/>
    <row r="1739" ht="18.75"/>
    <row r="1740" ht="18.75"/>
    <row r="1741" ht="18.75"/>
    <row r="1742" ht="18.75"/>
    <row r="1743" ht="18.75"/>
    <row r="1744" ht="18.75"/>
    <row r="1745" ht="18.75"/>
    <row r="1746" ht="18.75"/>
    <row r="1747" ht="18.75"/>
    <row r="1748" ht="18.75"/>
    <row r="1749" ht="18.75"/>
    <row r="1750" ht="18.75"/>
    <row r="1751" ht="18.75"/>
    <row r="1752" ht="18.75"/>
    <row r="1753" ht="18.75"/>
    <row r="1754" ht="18.75"/>
    <row r="1755" ht="18.75"/>
    <row r="1756" ht="18.75"/>
    <row r="1757" ht="18.75"/>
    <row r="1758" ht="18.75"/>
    <row r="1759" ht="18.75"/>
    <row r="1760" ht="18.75"/>
    <row r="1761" ht="18.75"/>
    <row r="1762" ht="18.75"/>
    <row r="1763" ht="18.75"/>
    <row r="1764" ht="18.75"/>
    <row r="1765" ht="18.75"/>
    <row r="1766" ht="18.75"/>
    <row r="1767" ht="18.75"/>
    <row r="1768" ht="18.75"/>
    <row r="1769" ht="18.75"/>
    <row r="1770" ht="18.75"/>
    <row r="1771" ht="18.75"/>
    <row r="1772" ht="18.75"/>
    <row r="1773" ht="18.75"/>
    <row r="1774" ht="18.75"/>
    <row r="1775" ht="18.75"/>
    <row r="1776" ht="18.75"/>
    <row r="1777" ht="18.75"/>
    <row r="1778" ht="18.75"/>
    <row r="1779" ht="18.75"/>
    <row r="1780" ht="18.75"/>
    <row r="1781" ht="18.75"/>
    <row r="1782" ht="18.75"/>
    <row r="1783" ht="18.75"/>
    <row r="1784" ht="18.75"/>
    <row r="1785" ht="18.75"/>
    <row r="1786" ht="18.75"/>
    <row r="1787" ht="18.75"/>
    <row r="1788" ht="18.75"/>
    <row r="1789" ht="18.75"/>
    <row r="1790" ht="18.75"/>
    <row r="1791" ht="18.75"/>
    <row r="1792" ht="18.75"/>
    <row r="1793" ht="18.75"/>
    <row r="1794" ht="18.75"/>
    <row r="1795" ht="18.75"/>
    <row r="1796" ht="18.75"/>
    <row r="1797" ht="18.75"/>
    <row r="1798" ht="18.75"/>
    <row r="1799" ht="18.75"/>
    <row r="1800" ht="18.75"/>
    <row r="1801" ht="18.75"/>
    <row r="1802" ht="18.75"/>
    <row r="1803" ht="18.75"/>
    <row r="1804" ht="18.75"/>
    <row r="1805" ht="18.75"/>
    <row r="1806" ht="18.75"/>
    <row r="1807" ht="18.75"/>
    <row r="1808" ht="18.75"/>
    <row r="1809" ht="18.75"/>
    <row r="1810" ht="18.75"/>
    <row r="1811" ht="18.75"/>
    <row r="1812" ht="18.75"/>
    <row r="1813" ht="18.75"/>
    <row r="1814" ht="18.75"/>
    <row r="1815" ht="18.75"/>
    <row r="1816" ht="18.75"/>
    <row r="1817" ht="18.75"/>
    <row r="1818" ht="18.75"/>
    <row r="1819" ht="18.75"/>
    <row r="1820" ht="18.75"/>
    <row r="1821" ht="18.75"/>
    <row r="1822" ht="18.75"/>
    <row r="1823" ht="18.75"/>
    <row r="1824" ht="18.75"/>
    <row r="1825" ht="18.75"/>
    <row r="1826" ht="18.75"/>
    <row r="1827" ht="18.75"/>
    <row r="1828" ht="18.75"/>
    <row r="1829" ht="18.75"/>
    <row r="1830" ht="18.75"/>
    <row r="1831" ht="18.75"/>
    <row r="1832" ht="18.75"/>
    <row r="1833" ht="18.75"/>
    <row r="1834" ht="18.75"/>
    <row r="1835" ht="18.75"/>
    <row r="1836" ht="18.75"/>
    <row r="1837" ht="18.75"/>
    <row r="1838" ht="18.75"/>
    <row r="1839" ht="18.75"/>
    <row r="1840" ht="18.75"/>
    <row r="1841" ht="18.75"/>
    <row r="1842" ht="18.75"/>
    <row r="1843" ht="18.75"/>
    <row r="1844" ht="18.75"/>
    <row r="1845" ht="18.75"/>
    <row r="1846" ht="18.75"/>
    <row r="1847" ht="18.75"/>
    <row r="1848" ht="18.75"/>
    <row r="1849" ht="18.75"/>
    <row r="1850" ht="18.75"/>
    <row r="1851" ht="18.75"/>
    <row r="1852" ht="18.75"/>
    <row r="1853" ht="18.75"/>
    <row r="1854" ht="18.75"/>
    <row r="1855" ht="18.75"/>
    <row r="1856" ht="18.75"/>
    <row r="1857" ht="18.75"/>
    <row r="1858" ht="18.75"/>
    <row r="1859" ht="18.75"/>
    <row r="1860" ht="18.75"/>
    <row r="1861" ht="18.75"/>
    <row r="1862" ht="18.75"/>
    <row r="1863" ht="18.75"/>
    <row r="1864" ht="18.75"/>
    <row r="1865" ht="18.75"/>
    <row r="1866" ht="18.75"/>
    <row r="1867" ht="18.75"/>
    <row r="1868" ht="18.75"/>
    <row r="1869" ht="18.75"/>
    <row r="1870" ht="18.75"/>
    <row r="1871" ht="18.75"/>
    <row r="1872" ht="18.75"/>
    <row r="1873" ht="18.75"/>
    <row r="1874" ht="18.75"/>
    <row r="1875" ht="18.75"/>
    <row r="1876" ht="18.75"/>
    <row r="1877" ht="18.75"/>
    <row r="1878" ht="18.75"/>
    <row r="1879" ht="18.75"/>
    <row r="1880" ht="18.75"/>
    <row r="1881" ht="18.75"/>
    <row r="1882" ht="18.75"/>
    <row r="1883" ht="18.75"/>
    <row r="1884" ht="18.75"/>
    <row r="1885" ht="18.75"/>
    <row r="1886" ht="18.75"/>
    <row r="1887" ht="18.75"/>
    <row r="1888" ht="18.75"/>
    <row r="1889" ht="18.75"/>
    <row r="1890" ht="18.75"/>
    <row r="1891" ht="18.75"/>
    <row r="1892" ht="18.75"/>
    <row r="1893" ht="18.75"/>
    <row r="1894" ht="18.75"/>
    <row r="1895" ht="18.75"/>
    <row r="1896" ht="18.75"/>
    <row r="1897" ht="18.75"/>
    <row r="1898" ht="18.75"/>
    <row r="1899" ht="18.75"/>
    <row r="1900" ht="18.75"/>
    <row r="1901" ht="18.75"/>
    <row r="1902" ht="18.75"/>
    <row r="1903" ht="18.75"/>
    <row r="1904" ht="18.75"/>
    <row r="1905" ht="18.75"/>
    <row r="1906" ht="18.75"/>
    <row r="1907" ht="18.75"/>
    <row r="1908" ht="18.75"/>
    <row r="1909" ht="18.75"/>
    <row r="1910" ht="18.75"/>
    <row r="1911" ht="18.75"/>
    <row r="1912" ht="18.75"/>
    <row r="1913" ht="18.75"/>
    <row r="1914" ht="18.75"/>
    <row r="1915" ht="18.75"/>
    <row r="1916" ht="18.75"/>
    <row r="1917" ht="18.75"/>
    <row r="1918" ht="18.75"/>
    <row r="1919" ht="18.75"/>
    <row r="1920" ht="18.75"/>
    <row r="1921" ht="18.75"/>
    <row r="1922" ht="18.75"/>
    <row r="1923" ht="18.75"/>
    <row r="1924" ht="18.75"/>
    <row r="1925" ht="18.75"/>
    <row r="1926" ht="18.75"/>
    <row r="1927" ht="18.75"/>
    <row r="1928" ht="18.75"/>
    <row r="1929" ht="18.75"/>
    <row r="1930" ht="18.75"/>
    <row r="1931" ht="18.75"/>
    <row r="1932" ht="18.75"/>
    <row r="1933" ht="18.75"/>
    <row r="1934" ht="18.75"/>
    <row r="1935" ht="18.75"/>
    <row r="1936" ht="18.75"/>
    <row r="1937" ht="18.75"/>
    <row r="1938" ht="18.75"/>
    <row r="1939" ht="18.75"/>
    <row r="1940" ht="18.75"/>
    <row r="1941" ht="18.75"/>
    <row r="1942" ht="18.75"/>
    <row r="1943" ht="18.75"/>
    <row r="1944" ht="18.75"/>
    <row r="1945" ht="18.75"/>
    <row r="1946" ht="18.75"/>
    <row r="1947" ht="18.75"/>
    <row r="1948" ht="18.75"/>
    <row r="1949" ht="18.75"/>
    <row r="1950" ht="18.75"/>
    <row r="1951" ht="18.75"/>
    <row r="1952" ht="18.75"/>
    <row r="1953" ht="18.75"/>
    <row r="1954" ht="18.75"/>
    <row r="1955" ht="18.75"/>
    <row r="1956" ht="18.75"/>
    <row r="1957" ht="18.75"/>
    <row r="1958" ht="18.75"/>
    <row r="1959" ht="18.75"/>
    <row r="1960" ht="18.75"/>
    <row r="1961" ht="18.75"/>
    <row r="1962" ht="18.75"/>
    <row r="1963" ht="18.75"/>
    <row r="1964" ht="18.75"/>
    <row r="1965" ht="18.75"/>
    <row r="1966" ht="18.75"/>
    <row r="1967" ht="18.75"/>
    <row r="1968" ht="18.75"/>
    <row r="1969" ht="18.75"/>
    <row r="1970" ht="18.75"/>
    <row r="1971" ht="18.75"/>
    <row r="1972" ht="18.75"/>
    <row r="1973" ht="18.75"/>
    <row r="1974" ht="18.75"/>
    <row r="1975" ht="18.75"/>
    <row r="1976" ht="18.75"/>
    <row r="1977" ht="18.75"/>
    <row r="1978" ht="18.75"/>
    <row r="1979" ht="18.75"/>
    <row r="1980" ht="18.75"/>
    <row r="1981" ht="18.75"/>
    <row r="1982" ht="18.75"/>
    <row r="1983" ht="18.75"/>
    <row r="1984" ht="18.75"/>
    <row r="1985" ht="18.75"/>
    <row r="1986" ht="18.75"/>
    <row r="1987" ht="18.75"/>
    <row r="1988" ht="18.75"/>
    <row r="1989" ht="18.75"/>
    <row r="1990" ht="18.75"/>
    <row r="1991" ht="18.75"/>
    <row r="1992" ht="18.75"/>
    <row r="1993" ht="18.75"/>
    <row r="1994" ht="18.75"/>
    <row r="1995" ht="18.75"/>
    <row r="1996" ht="18.75"/>
    <row r="1997" ht="18.75"/>
    <row r="1998" ht="18.75"/>
    <row r="1999" ht="18.75"/>
    <row r="2000" ht="18.75"/>
    <row r="2001" ht="18.75"/>
    <row r="2002" ht="18.75"/>
    <row r="2003" ht="18.75"/>
    <row r="2004" ht="18.75"/>
    <row r="2005" ht="18.75"/>
    <row r="2006" ht="18.75"/>
    <row r="2007" ht="18.75"/>
    <row r="2008" ht="18.75"/>
    <row r="2009" ht="18.75"/>
    <row r="2010" ht="18.75"/>
    <row r="2011" ht="18.75"/>
    <row r="2012" ht="18.75"/>
    <row r="2013" ht="18.75"/>
    <row r="2014" ht="18.75"/>
    <row r="2015" ht="18.75"/>
    <row r="2016" ht="18.75"/>
    <row r="2017" ht="18.75"/>
    <row r="2018" ht="18.75"/>
    <row r="2019" ht="18.75"/>
    <row r="2020" ht="18.75"/>
    <row r="2021" ht="18.75"/>
    <row r="2022" ht="18.75"/>
    <row r="2023" ht="18.75"/>
    <row r="2024" ht="18.75"/>
    <row r="2025" ht="18.75"/>
    <row r="2026" ht="18.75"/>
    <row r="2027" ht="18.75"/>
    <row r="2028" ht="18.75"/>
    <row r="2029" ht="18.75"/>
    <row r="2030" ht="18.75"/>
    <row r="2031" ht="18.75"/>
    <row r="2032" ht="18.75"/>
    <row r="2033" ht="18.75"/>
    <row r="2034" ht="18.75"/>
    <row r="2035" ht="18.75"/>
    <row r="2036" ht="18.75"/>
    <row r="2037" ht="18.75"/>
    <row r="2038" ht="18.75"/>
    <row r="2039" ht="18.75"/>
    <row r="2040" ht="18.75"/>
    <row r="2041" ht="18.75"/>
    <row r="2042" ht="18.75"/>
    <row r="2043" ht="18.75"/>
    <row r="2044" ht="18.75"/>
    <row r="2045" ht="18.75"/>
    <row r="2046" ht="18.75"/>
    <row r="2047" ht="18.75"/>
    <row r="2048" ht="18.75"/>
    <row r="2049" ht="18.75"/>
    <row r="2050" ht="18.75"/>
    <row r="2051" ht="18.75"/>
    <row r="2052" ht="18.75"/>
    <row r="2053" ht="18.75"/>
    <row r="2054" ht="18.75"/>
    <row r="2055" ht="18.75"/>
    <row r="2056" ht="18.75"/>
    <row r="2057" ht="18.75"/>
    <row r="2058" ht="18.75"/>
    <row r="2059" ht="18.75"/>
    <row r="2060" ht="18.75"/>
    <row r="2061" ht="18.75"/>
    <row r="2062" ht="18.75"/>
    <row r="2063" ht="18.75"/>
    <row r="2064" ht="18.75"/>
    <row r="2065" ht="18.75"/>
    <row r="2066" ht="18.75"/>
    <row r="2067" ht="18.75"/>
    <row r="2068" ht="18.75"/>
    <row r="2069" ht="18.75"/>
    <row r="2070" ht="18.75"/>
    <row r="2071" ht="18.75"/>
    <row r="2072" ht="18.75"/>
    <row r="2073" ht="18.75"/>
    <row r="2074" ht="18.75"/>
    <row r="2075" ht="18.75"/>
    <row r="2076" ht="18.75"/>
    <row r="2077" ht="18.75"/>
    <row r="2078" ht="18.75"/>
    <row r="2079" ht="18.75"/>
    <row r="2080" ht="18.75"/>
    <row r="2081" ht="18.75"/>
    <row r="2082" ht="18.75"/>
    <row r="2083" ht="18.75"/>
    <row r="2084" ht="18.75"/>
    <row r="2085" ht="18.75"/>
    <row r="2086" ht="18.75"/>
    <row r="2087" ht="18.75"/>
    <row r="2088" ht="18.75"/>
    <row r="2089" ht="18.75"/>
    <row r="2090" ht="18.75"/>
    <row r="2091" ht="18.75"/>
    <row r="2092" ht="18.75"/>
    <row r="2093" ht="18.75"/>
    <row r="2094" ht="18.75"/>
    <row r="2095" ht="18.75"/>
    <row r="2096" ht="18.75"/>
    <row r="2097" ht="18.75"/>
    <row r="2098" ht="18.75"/>
    <row r="2099" ht="18.75"/>
    <row r="2100" ht="18.75"/>
    <row r="2101" ht="18.75"/>
    <row r="2102" ht="18.75"/>
    <row r="2103" ht="18.75"/>
    <row r="2104" ht="18.75"/>
    <row r="2105" ht="18.75"/>
    <row r="2106" ht="18.75"/>
    <row r="2107" ht="18.75"/>
    <row r="2108" ht="18.75"/>
    <row r="2109" ht="18.75"/>
    <row r="2110" ht="18.75"/>
    <row r="2111" ht="18.75"/>
    <row r="2112" ht="18.75"/>
    <row r="2113" ht="18.75"/>
    <row r="2114" ht="18.75"/>
    <row r="2115" ht="18.75"/>
    <row r="2116" ht="18.75"/>
    <row r="2117" ht="18.75"/>
    <row r="2118" ht="18.75"/>
    <row r="2119" ht="18.75"/>
    <row r="2120" ht="18.75"/>
    <row r="2121" ht="18.75"/>
    <row r="2122" ht="18.75"/>
    <row r="2123" ht="18.75"/>
    <row r="2124" ht="18.75"/>
    <row r="2125" ht="18.75"/>
    <row r="2126" ht="18.75"/>
    <row r="2127" ht="18.75"/>
    <row r="2128" ht="18.75"/>
    <row r="2129" ht="18.75"/>
    <row r="2130" ht="18.75"/>
    <row r="2131" ht="18.75"/>
    <row r="2132" ht="18.75"/>
    <row r="2133" ht="18.75"/>
    <row r="2134" ht="18.75"/>
    <row r="2135" ht="18.75"/>
    <row r="2136" ht="18.75"/>
    <row r="2137" ht="18.75"/>
    <row r="2138" ht="18.75"/>
    <row r="2139" ht="18.75"/>
    <row r="2140" ht="18.75"/>
    <row r="2141" ht="18.75"/>
    <row r="2142" ht="18.75"/>
    <row r="2143" ht="18.75"/>
    <row r="2144" ht="18.75"/>
    <row r="2145" ht="18.75"/>
    <row r="2146" ht="18.75"/>
    <row r="2147" ht="18.75"/>
    <row r="2148" ht="18.75"/>
    <row r="2149" ht="18.75"/>
    <row r="2150" ht="18.75"/>
    <row r="2151" ht="18.75"/>
    <row r="2152" ht="18.75"/>
    <row r="2153" ht="18.75"/>
    <row r="2154" ht="18.75"/>
    <row r="2155" ht="18.75"/>
    <row r="2156" ht="18.75"/>
    <row r="2157" ht="18.75"/>
    <row r="2158" ht="18.75"/>
    <row r="2159" ht="18.75"/>
    <row r="2160" ht="18.75"/>
    <row r="2161" ht="18.75"/>
    <row r="2162" ht="18.75"/>
    <row r="2163" ht="18.75"/>
    <row r="2164" ht="18.75"/>
    <row r="2165" ht="18.75"/>
    <row r="2166" ht="18.75"/>
    <row r="2167" ht="18.75"/>
    <row r="2168" ht="18.75"/>
    <row r="2169" ht="18.75"/>
    <row r="2170" ht="18.75"/>
    <row r="2171" ht="18.75"/>
    <row r="2172" ht="18.75"/>
    <row r="2173" ht="18.75"/>
    <row r="2174" ht="18.75"/>
    <row r="2175" ht="18.75"/>
    <row r="2176" ht="18.75"/>
    <row r="2177" ht="18.75"/>
    <row r="2178" ht="18.75"/>
    <row r="2179" ht="18.75"/>
    <row r="2180" ht="18.75"/>
    <row r="2181" ht="18.75"/>
    <row r="2182" ht="18.75"/>
    <row r="2183" ht="18.75"/>
    <row r="2184" ht="18.75"/>
    <row r="2185" ht="18.75"/>
    <row r="2186" ht="18.75"/>
    <row r="2187" ht="18.75"/>
    <row r="2188" ht="18.75"/>
    <row r="2189" ht="18.75"/>
    <row r="2190" ht="18.75"/>
    <row r="2191" ht="18.75"/>
    <row r="2192" ht="18.75"/>
    <row r="2193" ht="18.75"/>
    <row r="2194" ht="18.75"/>
    <row r="2195" ht="18.75"/>
    <row r="2196" ht="18.75"/>
    <row r="2197" ht="18.75"/>
    <row r="2198" ht="18.75"/>
    <row r="2199" ht="18.75"/>
    <row r="2200" ht="18.75"/>
    <row r="2201" ht="18.75"/>
    <row r="2202" ht="18.75"/>
    <row r="2203" ht="18.75"/>
    <row r="2204" ht="18.75"/>
    <row r="2205" ht="18.75"/>
    <row r="2206" ht="18.75"/>
    <row r="2207" ht="18.75"/>
    <row r="2208" ht="18.75"/>
  </sheetData>
  <mergeCells count="2">
    <mergeCell ref="B1:AD1"/>
    <mergeCell ref="AH1:BJ1"/>
  </mergeCells>
  <phoneticPr fontId="5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E429-260A-4D21-B96C-87FD4C1AA5DC}">
  <sheetPr codeName="Sheet10"/>
  <dimension ref="C2:J891"/>
  <sheetViews>
    <sheetView showGridLines="0" topLeftCell="A562" workbookViewId="0">
      <selection activeCell="E570" sqref="E570"/>
    </sheetView>
  </sheetViews>
  <sheetFormatPr defaultColWidth="8.69921875" defaultRowHeight="18.95"/>
  <cols>
    <col min="3" max="3" width="29.3984375" customWidth="1"/>
    <col min="4" max="4" width="14" bestFit="1" customWidth="1"/>
    <col min="5" max="5" width="11" customWidth="1"/>
    <col min="9" max="9" width="27.3984375" bestFit="1" customWidth="1"/>
  </cols>
  <sheetData>
    <row r="2" spans="3:10">
      <c r="H2" s="96" t="s">
        <v>234</v>
      </c>
      <c r="I2" s="96"/>
    </row>
    <row r="3" spans="3:10">
      <c r="C3" t="s">
        <v>31</v>
      </c>
      <c r="D3" t="s">
        <v>235</v>
      </c>
      <c r="E3" t="s">
        <v>236</v>
      </c>
    </row>
    <row r="4" spans="3:10">
      <c r="C4" t="s">
        <v>111</v>
      </c>
      <c r="D4" t="s">
        <v>237</v>
      </c>
      <c r="E4" s="16">
        <f t="shared" ref="E4:E67" si="0">100/$J$14/100</f>
        <v>2.7027027027027025E-2</v>
      </c>
      <c r="G4" s="97" t="s">
        <v>238</v>
      </c>
      <c r="I4" t="s">
        <v>214</v>
      </c>
    </row>
    <row r="5" spans="3:10">
      <c r="C5" t="s">
        <v>111</v>
      </c>
      <c r="D5" t="s">
        <v>239</v>
      </c>
      <c r="E5" s="16">
        <f t="shared" si="0"/>
        <v>2.7027027027027025E-2</v>
      </c>
      <c r="I5" t="s">
        <v>215</v>
      </c>
    </row>
    <row r="6" spans="3:10">
      <c r="C6" t="s">
        <v>111</v>
      </c>
      <c r="D6" t="s">
        <v>240</v>
      </c>
      <c r="E6" s="16">
        <f t="shared" si="0"/>
        <v>2.7027027027027025E-2</v>
      </c>
      <c r="I6" t="s">
        <v>199</v>
      </c>
    </row>
    <row r="7" spans="3:10">
      <c r="C7" t="s">
        <v>111</v>
      </c>
      <c r="D7" t="s">
        <v>241</v>
      </c>
      <c r="E7" s="16">
        <f t="shared" si="0"/>
        <v>2.7027027027027025E-2</v>
      </c>
      <c r="I7" t="s">
        <v>200</v>
      </c>
    </row>
    <row r="8" spans="3:10">
      <c r="C8" t="s">
        <v>111</v>
      </c>
      <c r="D8" t="s">
        <v>242</v>
      </c>
      <c r="E8" s="16">
        <f t="shared" si="0"/>
        <v>2.7027027027027025E-2</v>
      </c>
      <c r="I8" t="s">
        <v>203</v>
      </c>
    </row>
    <row r="9" spans="3:10">
      <c r="C9" t="s">
        <v>111</v>
      </c>
      <c r="D9" t="s">
        <v>243</v>
      </c>
      <c r="E9" s="16">
        <f t="shared" si="0"/>
        <v>2.7027027027027025E-2</v>
      </c>
      <c r="I9" t="s">
        <v>205</v>
      </c>
    </row>
    <row r="10" spans="3:10">
      <c r="C10" t="s">
        <v>111</v>
      </c>
      <c r="D10" t="s">
        <v>244</v>
      </c>
      <c r="E10" s="16">
        <f t="shared" si="0"/>
        <v>2.7027027027027025E-2</v>
      </c>
      <c r="I10" t="s">
        <v>208</v>
      </c>
    </row>
    <row r="11" spans="3:10">
      <c r="C11" t="s">
        <v>111</v>
      </c>
      <c r="D11" t="s">
        <v>245</v>
      </c>
      <c r="E11" s="16">
        <f t="shared" si="0"/>
        <v>2.7027027027027025E-2</v>
      </c>
      <c r="I11" t="s">
        <v>226</v>
      </c>
    </row>
    <row r="12" spans="3:10">
      <c r="C12" t="s">
        <v>111</v>
      </c>
      <c r="D12" t="s">
        <v>246</v>
      </c>
      <c r="E12" s="16">
        <f t="shared" si="0"/>
        <v>2.7027027027027025E-2</v>
      </c>
      <c r="I12" t="s">
        <v>225</v>
      </c>
    </row>
    <row r="13" spans="3:10">
      <c r="C13" t="s">
        <v>111</v>
      </c>
      <c r="D13" t="s">
        <v>247</v>
      </c>
      <c r="E13" s="16">
        <f t="shared" si="0"/>
        <v>2.7027027027027025E-2</v>
      </c>
      <c r="I13" t="s">
        <v>210</v>
      </c>
    </row>
    <row r="14" spans="3:10">
      <c r="C14" t="s">
        <v>111</v>
      </c>
      <c r="D14" t="s">
        <v>103</v>
      </c>
      <c r="E14" s="16">
        <f t="shared" si="0"/>
        <v>2.7027027027027025E-2</v>
      </c>
      <c r="I14" t="s">
        <v>211</v>
      </c>
      <c r="J14">
        <v>37</v>
      </c>
    </row>
    <row r="15" spans="3:10">
      <c r="C15" t="s">
        <v>111</v>
      </c>
      <c r="D15" t="s">
        <v>248</v>
      </c>
      <c r="E15" s="16">
        <f t="shared" si="0"/>
        <v>2.7027027027027025E-2</v>
      </c>
      <c r="I15" t="s">
        <v>213</v>
      </c>
      <c r="J15">
        <v>37</v>
      </c>
    </row>
    <row r="16" spans="3:10">
      <c r="C16" t="s">
        <v>112</v>
      </c>
      <c r="D16" t="s">
        <v>237</v>
      </c>
      <c r="E16" s="16">
        <f t="shared" si="0"/>
        <v>2.7027027027027025E-2</v>
      </c>
    </row>
    <row r="17" spans="3:5">
      <c r="C17" t="s">
        <v>112</v>
      </c>
      <c r="D17" t="s">
        <v>239</v>
      </c>
      <c r="E17" s="16">
        <f t="shared" si="0"/>
        <v>2.7027027027027025E-2</v>
      </c>
    </row>
    <row r="18" spans="3:5">
      <c r="C18" t="s">
        <v>112</v>
      </c>
      <c r="D18" t="s">
        <v>240</v>
      </c>
      <c r="E18" s="16">
        <f t="shared" si="0"/>
        <v>2.7027027027027025E-2</v>
      </c>
    </row>
    <row r="19" spans="3:5">
      <c r="C19" t="s">
        <v>112</v>
      </c>
      <c r="D19" t="s">
        <v>241</v>
      </c>
      <c r="E19" s="16">
        <f t="shared" si="0"/>
        <v>2.7027027027027025E-2</v>
      </c>
    </row>
    <row r="20" spans="3:5">
      <c r="C20" t="s">
        <v>112</v>
      </c>
      <c r="D20" t="s">
        <v>242</v>
      </c>
      <c r="E20" s="16">
        <f t="shared" si="0"/>
        <v>2.7027027027027025E-2</v>
      </c>
    </row>
    <row r="21" spans="3:5">
      <c r="C21" t="s">
        <v>112</v>
      </c>
      <c r="D21" t="s">
        <v>243</v>
      </c>
      <c r="E21" s="16">
        <f t="shared" si="0"/>
        <v>2.7027027027027025E-2</v>
      </c>
    </row>
    <row r="22" spans="3:5">
      <c r="C22" t="s">
        <v>112</v>
      </c>
      <c r="D22" t="s">
        <v>244</v>
      </c>
      <c r="E22" s="16">
        <f t="shared" si="0"/>
        <v>2.7027027027027025E-2</v>
      </c>
    </row>
    <row r="23" spans="3:5">
      <c r="C23" t="s">
        <v>112</v>
      </c>
      <c r="D23" t="s">
        <v>245</v>
      </c>
      <c r="E23" s="16">
        <f t="shared" si="0"/>
        <v>2.7027027027027025E-2</v>
      </c>
    </row>
    <row r="24" spans="3:5">
      <c r="C24" t="s">
        <v>112</v>
      </c>
      <c r="D24" t="s">
        <v>246</v>
      </c>
      <c r="E24" s="16">
        <f t="shared" si="0"/>
        <v>2.7027027027027025E-2</v>
      </c>
    </row>
    <row r="25" spans="3:5">
      <c r="C25" t="s">
        <v>112</v>
      </c>
      <c r="D25" t="s">
        <v>247</v>
      </c>
      <c r="E25" s="16">
        <f t="shared" si="0"/>
        <v>2.7027027027027025E-2</v>
      </c>
    </row>
    <row r="26" spans="3:5">
      <c r="C26" t="s">
        <v>112</v>
      </c>
      <c r="D26" t="s">
        <v>103</v>
      </c>
      <c r="E26" s="16">
        <f t="shared" si="0"/>
        <v>2.7027027027027025E-2</v>
      </c>
    </row>
    <row r="27" spans="3:5">
      <c r="C27" t="s">
        <v>112</v>
      </c>
      <c r="D27" t="s">
        <v>248</v>
      </c>
      <c r="E27" s="16">
        <f t="shared" si="0"/>
        <v>2.7027027027027025E-2</v>
      </c>
    </row>
    <row r="28" spans="3:5">
      <c r="C28" t="s">
        <v>113</v>
      </c>
      <c r="D28" t="s">
        <v>237</v>
      </c>
      <c r="E28" s="16">
        <f t="shared" si="0"/>
        <v>2.7027027027027025E-2</v>
      </c>
    </row>
    <row r="29" spans="3:5">
      <c r="C29" t="s">
        <v>113</v>
      </c>
      <c r="D29" t="s">
        <v>239</v>
      </c>
      <c r="E29" s="16">
        <f t="shared" si="0"/>
        <v>2.7027027027027025E-2</v>
      </c>
    </row>
    <row r="30" spans="3:5">
      <c r="C30" t="s">
        <v>113</v>
      </c>
      <c r="D30" t="s">
        <v>240</v>
      </c>
      <c r="E30" s="16">
        <f t="shared" si="0"/>
        <v>2.7027027027027025E-2</v>
      </c>
    </row>
    <row r="31" spans="3:5">
      <c r="C31" t="s">
        <v>113</v>
      </c>
      <c r="D31" t="s">
        <v>241</v>
      </c>
      <c r="E31" s="16">
        <f t="shared" si="0"/>
        <v>2.7027027027027025E-2</v>
      </c>
    </row>
    <row r="32" spans="3:5">
      <c r="C32" t="s">
        <v>113</v>
      </c>
      <c r="D32" t="s">
        <v>242</v>
      </c>
      <c r="E32" s="16">
        <f t="shared" si="0"/>
        <v>2.7027027027027025E-2</v>
      </c>
    </row>
    <row r="33" spans="3:5">
      <c r="C33" t="s">
        <v>113</v>
      </c>
      <c r="D33" t="s">
        <v>243</v>
      </c>
      <c r="E33" s="16">
        <f t="shared" si="0"/>
        <v>2.7027027027027025E-2</v>
      </c>
    </row>
    <row r="34" spans="3:5">
      <c r="C34" t="s">
        <v>113</v>
      </c>
      <c r="D34" t="s">
        <v>244</v>
      </c>
      <c r="E34" s="16">
        <f t="shared" si="0"/>
        <v>2.7027027027027025E-2</v>
      </c>
    </row>
    <row r="35" spans="3:5">
      <c r="C35" t="s">
        <v>113</v>
      </c>
      <c r="D35" t="s">
        <v>245</v>
      </c>
      <c r="E35" s="16">
        <f t="shared" si="0"/>
        <v>2.7027027027027025E-2</v>
      </c>
    </row>
    <row r="36" spans="3:5">
      <c r="C36" t="s">
        <v>113</v>
      </c>
      <c r="D36" t="s">
        <v>246</v>
      </c>
      <c r="E36" s="16">
        <f t="shared" si="0"/>
        <v>2.7027027027027025E-2</v>
      </c>
    </row>
    <row r="37" spans="3:5">
      <c r="C37" t="s">
        <v>113</v>
      </c>
      <c r="D37" t="s">
        <v>247</v>
      </c>
      <c r="E37" s="16">
        <f t="shared" si="0"/>
        <v>2.7027027027027025E-2</v>
      </c>
    </row>
    <row r="38" spans="3:5">
      <c r="C38" t="s">
        <v>113</v>
      </c>
      <c r="D38" t="s">
        <v>103</v>
      </c>
      <c r="E38" s="16">
        <f t="shared" si="0"/>
        <v>2.7027027027027025E-2</v>
      </c>
    </row>
    <row r="39" spans="3:5">
      <c r="C39" t="s">
        <v>113</v>
      </c>
      <c r="D39" t="s">
        <v>248</v>
      </c>
      <c r="E39" s="16">
        <f t="shared" si="0"/>
        <v>2.7027027027027025E-2</v>
      </c>
    </row>
    <row r="40" spans="3:5">
      <c r="C40" t="s">
        <v>114</v>
      </c>
      <c r="D40" t="s">
        <v>237</v>
      </c>
      <c r="E40" s="16">
        <f t="shared" si="0"/>
        <v>2.7027027027027025E-2</v>
      </c>
    </row>
    <row r="41" spans="3:5">
      <c r="C41" t="s">
        <v>114</v>
      </c>
      <c r="D41" t="s">
        <v>239</v>
      </c>
      <c r="E41" s="16">
        <f t="shared" si="0"/>
        <v>2.7027027027027025E-2</v>
      </c>
    </row>
    <row r="42" spans="3:5">
      <c r="C42" t="s">
        <v>114</v>
      </c>
      <c r="D42" t="s">
        <v>240</v>
      </c>
      <c r="E42" s="16">
        <f t="shared" si="0"/>
        <v>2.7027027027027025E-2</v>
      </c>
    </row>
    <row r="43" spans="3:5">
      <c r="C43" t="s">
        <v>114</v>
      </c>
      <c r="D43" t="s">
        <v>241</v>
      </c>
      <c r="E43" s="16">
        <f t="shared" si="0"/>
        <v>2.7027027027027025E-2</v>
      </c>
    </row>
    <row r="44" spans="3:5">
      <c r="C44" t="s">
        <v>114</v>
      </c>
      <c r="D44" t="s">
        <v>242</v>
      </c>
      <c r="E44" s="16">
        <f t="shared" si="0"/>
        <v>2.7027027027027025E-2</v>
      </c>
    </row>
    <row r="45" spans="3:5">
      <c r="C45" t="s">
        <v>114</v>
      </c>
      <c r="D45" t="s">
        <v>243</v>
      </c>
      <c r="E45" s="16">
        <f t="shared" si="0"/>
        <v>2.7027027027027025E-2</v>
      </c>
    </row>
    <row r="46" spans="3:5">
      <c r="C46" t="s">
        <v>114</v>
      </c>
      <c r="D46" t="s">
        <v>244</v>
      </c>
      <c r="E46" s="16">
        <f t="shared" si="0"/>
        <v>2.7027027027027025E-2</v>
      </c>
    </row>
    <row r="47" spans="3:5">
      <c r="C47" t="s">
        <v>114</v>
      </c>
      <c r="D47" t="s">
        <v>245</v>
      </c>
      <c r="E47" s="16">
        <f t="shared" si="0"/>
        <v>2.7027027027027025E-2</v>
      </c>
    </row>
    <row r="48" spans="3:5">
      <c r="C48" t="s">
        <v>114</v>
      </c>
      <c r="D48" t="s">
        <v>246</v>
      </c>
      <c r="E48" s="16">
        <f t="shared" si="0"/>
        <v>2.7027027027027025E-2</v>
      </c>
    </row>
    <row r="49" spans="3:5">
      <c r="C49" t="s">
        <v>114</v>
      </c>
      <c r="D49" t="s">
        <v>247</v>
      </c>
      <c r="E49" s="16">
        <f t="shared" si="0"/>
        <v>2.7027027027027025E-2</v>
      </c>
    </row>
    <row r="50" spans="3:5">
      <c r="C50" t="s">
        <v>114</v>
      </c>
      <c r="D50" t="s">
        <v>103</v>
      </c>
      <c r="E50" s="16">
        <f t="shared" si="0"/>
        <v>2.7027027027027025E-2</v>
      </c>
    </row>
    <row r="51" spans="3:5">
      <c r="C51" t="s">
        <v>114</v>
      </c>
      <c r="D51" t="s">
        <v>248</v>
      </c>
      <c r="E51" s="16">
        <f t="shared" si="0"/>
        <v>2.7027027027027025E-2</v>
      </c>
    </row>
    <row r="52" spans="3:5">
      <c r="C52" t="s">
        <v>116</v>
      </c>
      <c r="D52" t="s">
        <v>237</v>
      </c>
      <c r="E52" s="16">
        <f t="shared" si="0"/>
        <v>2.7027027027027025E-2</v>
      </c>
    </row>
    <row r="53" spans="3:5">
      <c r="C53" t="s">
        <v>116</v>
      </c>
      <c r="D53" t="s">
        <v>239</v>
      </c>
      <c r="E53" s="16">
        <f t="shared" si="0"/>
        <v>2.7027027027027025E-2</v>
      </c>
    </row>
    <row r="54" spans="3:5">
      <c r="C54" t="s">
        <v>116</v>
      </c>
      <c r="D54" t="s">
        <v>240</v>
      </c>
      <c r="E54" s="16">
        <f t="shared" si="0"/>
        <v>2.7027027027027025E-2</v>
      </c>
    </row>
    <row r="55" spans="3:5">
      <c r="C55" t="s">
        <v>116</v>
      </c>
      <c r="D55" t="s">
        <v>241</v>
      </c>
      <c r="E55" s="16">
        <f t="shared" si="0"/>
        <v>2.7027027027027025E-2</v>
      </c>
    </row>
    <row r="56" spans="3:5">
      <c r="C56" t="s">
        <v>116</v>
      </c>
      <c r="D56" t="s">
        <v>242</v>
      </c>
      <c r="E56" s="16">
        <f t="shared" si="0"/>
        <v>2.7027027027027025E-2</v>
      </c>
    </row>
    <row r="57" spans="3:5">
      <c r="C57" t="s">
        <v>116</v>
      </c>
      <c r="D57" t="s">
        <v>243</v>
      </c>
      <c r="E57" s="16">
        <f t="shared" si="0"/>
        <v>2.7027027027027025E-2</v>
      </c>
    </row>
    <row r="58" spans="3:5">
      <c r="C58" t="s">
        <v>116</v>
      </c>
      <c r="D58" t="s">
        <v>244</v>
      </c>
      <c r="E58" s="16">
        <f t="shared" si="0"/>
        <v>2.7027027027027025E-2</v>
      </c>
    </row>
    <row r="59" spans="3:5">
      <c r="C59" t="s">
        <v>116</v>
      </c>
      <c r="D59" t="s">
        <v>245</v>
      </c>
      <c r="E59" s="16">
        <f t="shared" si="0"/>
        <v>2.7027027027027025E-2</v>
      </c>
    </row>
    <row r="60" spans="3:5">
      <c r="C60" t="s">
        <v>116</v>
      </c>
      <c r="D60" t="s">
        <v>246</v>
      </c>
      <c r="E60" s="16">
        <f t="shared" si="0"/>
        <v>2.7027027027027025E-2</v>
      </c>
    </row>
    <row r="61" spans="3:5">
      <c r="C61" t="s">
        <v>116</v>
      </c>
      <c r="D61" t="s">
        <v>247</v>
      </c>
      <c r="E61" s="16">
        <f t="shared" si="0"/>
        <v>2.7027027027027025E-2</v>
      </c>
    </row>
    <row r="62" spans="3:5">
      <c r="C62" t="s">
        <v>116</v>
      </c>
      <c r="D62" t="s">
        <v>103</v>
      </c>
      <c r="E62" s="16">
        <f t="shared" si="0"/>
        <v>2.7027027027027025E-2</v>
      </c>
    </row>
    <row r="63" spans="3:5">
      <c r="C63" t="s">
        <v>116</v>
      </c>
      <c r="D63" t="s">
        <v>248</v>
      </c>
      <c r="E63" s="16">
        <f t="shared" si="0"/>
        <v>2.7027027027027025E-2</v>
      </c>
    </row>
    <row r="64" spans="3:5">
      <c r="C64" t="s">
        <v>117</v>
      </c>
      <c r="D64" t="s">
        <v>237</v>
      </c>
      <c r="E64" s="16">
        <f t="shared" si="0"/>
        <v>2.7027027027027025E-2</v>
      </c>
    </row>
    <row r="65" spans="3:5">
      <c r="C65" t="s">
        <v>117</v>
      </c>
      <c r="D65" t="s">
        <v>239</v>
      </c>
      <c r="E65" s="16">
        <f t="shared" si="0"/>
        <v>2.7027027027027025E-2</v>
      </c>
    </row>
    <row r="66" spans="3:5">
      <c r="C66" t="s">
        <v>117</v>
      </c>
      <c r="D66" t="s">
        <v>240</v>
      </c>
      <c r="E66" s="16">
        <f t="shared" si="0"/>
        <v>2.7027027027027025E-2</v>
      </c>
    </row>
    <row r="67" spans="3:5">
      <c r="C67" t="s">
        <v>117</v>
      </c>
      <c r="D67" t="s">
        <v>241</v>
      </c>
      <c r="E67" s="16">
        <f t="shared" si="0"/>
        <v>2.7027027027027025E-2</v>
      </c>
    </row>
    <row r="68" spans="3:5">
      <c r="C68" t="s">
        <v>117</v>
      </c>
      <c r="D68" t="s">
        <v>242</v>
      </c>
      <c r="E68" s="16">
        <f t="shared" ref="E68:E131" si="1">100/$J$14/100</f>
        <v>2.7027027027027025E-2</v>
      </c>
    </row>
    <row r="69" spans="3:5">
      <c r="C69" t="s">
        <v>117</v>
      </c>
      <c r="D69" t="s">
        <v>243</v>
      </c>
      <c r="E69" s="16">
        <f t="shared" si="1"/>
        <v>2.7027027027027025E-2</v>
      </c>
    </row>
    <row r="70" spans="3:5">
      <c r="C70" t="s">
        <v>117</v>
      </c>
      <c r="D70" t="s">
        <v>244</v>
      </c>
      <c r="E70" s="16">
        <f t="shared" si="1"/>
        <v>2.7027027027027025E-2</v>
      </c>
    </row>
    <row r="71" spans="3:5">
      <c r="C71" t="s">
        <v>117</v>
      </c>
      <c r="D71" t="s">
        <v>245</v>
      </c>
      <c r="E71" s="16">
        <f t="shared" si="1"/>
        <v>2.7027027027027025E-2</v>
      </c>
    </row>
    <row r="72" spans="3:5">
      <c r="C72" t="s">
        <v>117</v>
      </c>
      <c r="D72" t="s">
        <v>246</v>
      </c>
      <c r="E72" s="16">
        <f t="shared" si="1"/>
        <v>2.7027027027027025E-2</v>
      </c>
    </row>
    <row r="73" spans="3:5">
      <c r="C73" t="s">
        <v>117</v>
      </c>
      <c r="D73" t="s">
        <v>247</v>
      </c>
      <c r="E73" s="16">
        <f t="shared" si="1"/>
        <v>2.7027027027027025E-2</v>
      </c>
    </row>
    <row r="74" spans="3:5">
      <c r="C74" t="s">
        <v>117</v>
      </c>
      <c r="D74" t="s">
        <v>103</v>
      </c>
      <c r="E74" s="16">
        <f t="shared" si="1"/>
        <v>2.7027027027027025E-2</v>
      </c>
    </row>
    <row r="75" spans="3:5">
      <c r="C75" t="s">
        <v>117</v>
      </c>
      <c r="D75" t="s">
        <v>248</v>
      </c>
      <c r="E75" s="16">
        <f t="shared" si="1"/>
        <v>2.7027027027027025E-2</v>
      </c>
    </row>
    <row r="76" spans="3:5">
      <c r="C76" t="s">
        <v>118</v>
      </c>
      <c r="D76" t="s">
        <v>237</v>
      </c>
      <c r="E76" s="16">
        <f t="shared" si="1"/>
        <v>2.7027027027027025E-2</v>
      </c>
    </row>
    <row r="77" spans="3:5">
      <c r="C77" t="s">
        <v>118</v>
      </c>
      <c r="D77" t="s">
        <v>239</v>
      </c>
      <c r="E77" s="16">
        <f t="shared" si="1"/>
        <v>2.7027027027027025E-2</v>
      </c>
    </row>
    <row r="78" spans="3:5">
      <c r="C78" t="s">
        <v>118</v>
      </c>
      <c r="D78" t="s">
        <v>240</v>
      </c>
      <c r="E78" s="16">
        <f t="shared" si="1"/>
        <v>2.7027027027027025E-2</v>
      </c>
    </row>
    <row r="79" spans="3:5">
      <c r="C79" t="s">
        <v>118</v>
      </c>
      <c r="D79" t="s">
        <v>241</v>
      </c>
      <c r="E79" s="16">
        <f t="shared" si="1"/>
        <v>2.7027027027027025E-2</v>
      </c>
    </row>
    <row r="80" spans="3:5">
      <c r="C80" t="s">
        <v>118</v>
      </c>
      <c r="D80" t="s">
        <v>242</v>
      </c>
      <c r="E80" s="16">
        <f t="shared" si="1"/>
        <v>2.7027027027027025E-2</v>
      </c>
    </row>
    <row r="81" spans="3:5">
      <c r="C81" t="s">
        <v>118</v>
      </c>
      <c r="D81" t="s">
        <v>243</v>
      </c>
      <c r="E81" s="16">
        <f t="shared" si="1"/>
        <v>2.7027027027027025E-2</v>
      </c>
    </row>
    <row r="82" spans="3:5">
      <c r="C82" t="s">
        <v>118</v>
      </c>
      <c r="D82" t="s">
        <v>244</v>
      </c>
      <c r="E82" s="16">
        <f t="shared" si="1"/>
        <v>2.7027027027027025E-2</v>
      </c>
    </row>
    <row r="83" spans="3:5">
      <c r="C83" t="s">
        <v>118</v>
      </c>
      <c r="D83" t="s">
        <v>245</v>
      </c>
      <c r="E83" s="16">
        <f t="shared" si="1"/>
        <v>2.7027027027027025E-2</v>
      </c>
    </row>
    <row r="84" spans="3:5">
      <c r="C84" t="s">
        <v>118</v>
      </c>
      <c r="D84" t="s">
        <v>246</v>
      </c>
      <c r="E84" s="16">
        <f t="shared" si="1"/>
        <v>2.7027027027027025E-2</v>
      </c>
    </row>
    <row r="85" spans="3:5">
      <c r="C85" t="s">
        <v>118</v>
      </c>
      <c r="D85" t="s">
        <v>247</v>
      </c>
      <c r="E85" s="16">
        <f t="shared" si="1"/>
        <v>2.7027027027027025E-2</v>
      </c>
    </row>
    <row r="86" spans="3:5">
      <c r="C86" t="s">
        <v>118</v>
      </c>
      <c r="D86" t="s">
        <v>103</v>
      </c>
      <c r="E86" s="16">
        <f t="shared" si="1"/>
        <v>2.7027027027027025E-2</v>
      </c>
    </row>
    <row r="87" spans="3:5">
      <c r="C87" t="s">
        <v>118</v>
      </c>
      <c r="D87" t="s">
        <v>248</v>
      </c>
      <c r="E87" s="16">
        <f t="shared" si="1"/>
        <v>2.7027027027027025E-2</v>
      </c>
    </row>
    <row r="88" spans="3:5">
      <c r="C88" t="s">
        <v>119</v>
      </c>
      <c r="D88" t="s">
        <v>237</v>
      </c>
      <c r="E88" s="16">
        <f t="shared" si="1"/>
        <v>2.7027027027027025E-2</v>
      </c>
    </row>
    <row r="89" spans="3:5">
      <c r="C89" t="s">
        <v>119</v>
      </c>
      <c r="D89" t="s">
        <v>239</v>
      </c>
      <c r="E89" s="16">
        <f t="shared" si="1"/>
        <v>2.7027027027027025E-2</v>
      </c>
    </row>
    <row r="90" spans="3:5">
      <c r="C90" t="s">
        <v>119</v>
      </c>
      <c r="D90" t="s">
        <v>240</v>
      </c>
      <c r="E90" s="16">
        <f t="shared" si="1"/>
        <v>2.7027027027027025E-2</v>
      </c>
    </row>
    <row r="91" spans="3:5">
      <c r="C91" t="s">
        <v>119</v>
      </c>
      <c r="D91" t="s">
        <v>241</v>
      </c>
      <c r="E91" s="16">
        <f t="shared" si="1"/>
        <v>2.7027027027027025E-2</v>
      </c>
    </row>
    <row r="92" spans="3:5">
      <c r="C92" t="s">
        <v>119</v>
      </c>
      <c r="D92" t="s">
        <v>242</v>
      </c>
      <c r="E92" s="16">
        <f t="shared" si="1"/>
        <v>2.7027027027027025E-2</v>
      </c>
    </row>
    <row r="93" spans="3:5">
      <c r="C93" t="s">
        <v>119</v>
      </c>
      <c r="D93" t="s">
        <v>243</v>
      </c>
      <c r="E93" s="16">
        <f t="shared" si="1"/>
        <v>2.7027027027027025E-2</v>
      </c>
    </row>
    <row r="94" spans="3:5">
      <c r="C94" t="s">
        <v>119</v>
      </c>
      <c r="D94" t="s">
        <v>244</v>
      </c>
      <c r="E94" s="16">
        <f t="shared" si="1"/>
        <v>2.7027027027027025E-2</v>
      </c>
    </row>
    <row r="95" spans="3:5">
      <c r="C95" t="s">
        <v>119</v>
      </c>
      <c r="D95" t="s">
        <v>245</v>
      </c>
      <c r="E95" s="16">
        <f t="shared" si="1"/>
        <v>2.7027027027027025E-2</v>
      </c>
    </row>
    <row r="96" spans="3:5">
      <c r="C96" t="s">
        <v>119</v>
      </c>
      <c r="D96" t="s">
        <v>246</v>
      </c>
      <c r="E96" s="16">
        <f t="shared" si="1"/>
        <v>2.7027027027027025E-2</v>
      </c>
    </row>
    <row r="97" spans="3:5">
      <c r="C97" t="s">
        <v>119</v>
      </c>
      <c r="D97" t="s">
        <v>247</v>
      </c>
      <c r="E97" s="16">
        <f t="shared" si="1"/>
        <v>2.7027027027027025E-2</v>
      </c>
    </row>
    <row r="98" spans="3:5">
      <c r="C98" t="s">
        <v>119</v>
      </c>
      <c r="D98" t="s">
        <v>103</v>
      </c>
      <c r="E98" s="16">
        <f t="shared" si="1"/>
        <v>2.7027027027027025E-2</v>
      </c>
    </row>
    <row r="99" spans="3:5">
      <c r="C99" t="s">
        <v>119</v>
      </c>
      <c r="D99" t="s">
        <v>248</v>
      </c>
      <c r="E99" s="16">
        <f t="shared" si="1"/>
        <v>2.7027027027027025E-2</v>
      </c>
    </row>
    <row r="100" spans="3:5">
      <c r="C100" t="s">
        <v>120</v>
      </c>
      <c r="D100" t="s">
        <v>237</v>
      </c>
      <c r="E100" s="16">
        <f t="shared" si="1"/>
        <v>2.7027027027027025E-2</v>
      </c>
    </row>
    <row r="101" spans="3:5">
      <c r="C101" t="s">
        <v>120</v>
      </c>
      <c r="D101" t="s">
        <v>239</v>
      </c>
      <c r="E101" s="16">
        <f t="shared" si="1"/>
        <v>2.7027027027027025E-2</v>
      </c>
    </row>
    <row r="102" spans="3:5">
      <c r="C102" t="s">
        <v>120</v>
      </c>
      <c r="D102" t="s">
        <v>240</v>
      </c>
      <c r="E102" s="16">
        <f t="shared" si="1"/>
        <v>2.7027027027027025E-2</v>
      </c>
    </row>
    <row r="103" spans="3:5">
      <c r="C103" t="s">
        <v>120</v>
      </c>
      <c r="D103" t="s">
        <v>241</v>
      </c>
      <c r="E103" s="16">
        <f t="shared" si="1"/>
        <v>2.7027027027027025E-2</v>
      </c>
    </row>
    <row r="104" spans="3:5">
      <c r="C104" t="s">
        <v>120</v>
      </c>
      <c r="D104" t="s">
        <v>242</v>
      </c>
      <c r="E104" s="16">
        <f t="shared" si="1"/>
        <v>2.7027027027027025E-2</v>
      </c>
    </row>
    <row r="105" spans="3:5">
      <c r="C105" t="s">
        <v>120</v>
      </c>
      <c r="D105" t="s">
        <v>243</v>
      </c>
      <c r="E105" s="16">
        <f t="shared" si="1"/>
        <v>2.7027027027027025E-2</v>
      </c>
    </row>
    <row r="106" spans="3:5">
      <c r="C106" t="s">
        <v>120</v>
      </c>
      <c r="D106" t="s">
        <v>244</v>
      </c>
      <c r="E106" s="16">
        <f t="shared" si="1"/>
        <v>2.7027027027027025E-2</v>
      </c>
    </row>
    <row r="107" spans="3:5">
      <c r="C107" t="s">
        <v>120</v>
      </c>
      <c r="D107" t="s">
        <v>245</v>
      </c>
      <c r="E107" s="16">
        <f t="shared" si="1"/>
        <v>2.7027027027027025E-2</v>
      </c>
    </row>
    <row r="108" spans="3:5">
      <c r="C108" t="s">
        <v>120</v>
      </c>
      <c r="D108" t="s">
        <v>246</v>
      </c>
      <c r="E108" s="16">
        <f t="shared" si="1"/>
        <v>2.7027027027027025E-2</v>
      </c>
    </row>
    <row r="109" spans="3:5">
      <c r="C109" t="s">
        <v>120</v>
      </c>
      <c r="D109" t="s">
        <v>247</v>
      </c>
      <c r="E109" s="16">
        <f t="shared" si="1"/>
        <v>2.7027027027027025E-2</v>
      </c>
    </row>
    <row r="110" spans="3:5">
      <c r="C110" t="s">
        <v>120</v>
      </c>
      <c r="D110" t="s">
        <v>103</v>
      </c>
      <c r="E110" s="16">
        <f t="shared" si="1"/>
        <v>2.7027027027027025E-2</v>
      </c>
    </row>
    <row r="111" spans="3:5">
      <c r="C111" t="s">
        <v>120</v>
      </c>
      <c r="D111" t="s">
        <v>248</v>
      </c>
      <c r="E111" s="16">
        <f t="shared" si="1"/>
        <v>2.7027027027027025E-2</v>
      </c>
    </row>
    <row r="112" spans="3:5">
      <c r="C112" t="s">
        <v>121</v>
      </c>
      <c r="D112" t="s">
        <v>237</v>
      </c>
      <c r="E112" s="16">
        <f t="shared" si="1"/>
        <v>2.7027027027027025E-2</v>
      </c>
    </row>
    <row r="113" spans="3:5">
      <c r="C113" t="s">
        <v>121</v>
      </c>
      <c r="D113" t="s">
        <v>239</v>
      </c>
      <c r="E113" s="16">
        <f t="shared" si="1"/>
        <v>2.7027027027027025E-2</v>
      </c>
    </row>
    <row r="114" spans="3:5">
      <c r="C114" t="s">
        <v>121</v>
      </c>
      <c r="D114" t="s">
        <v>240</v>
      </c>
      <c r="E114" s="16">
        <f t="shared" si="1"/>
        <v>2.7027027027027025E-2</v>
      </c>
    </row>
    <row r="115" spans="3:5">
      <c r="C115" t="s">
        <v>121</v>
      </c>
      <c r="D115" t="s">
        <v>241</v>
      </c>
      <c r="E115" s="16">
        <f t="shared" si="1"/>
        <v>2.7027027027027025E-2</v>
      </c>
    </row>
    <row r="116" spans="3:5">
      <c r="C116" t="s">
        <v>121</v>
      </c>
      <c r="D116" t="s">
        <v>242</v>
      </c>
      <c r="E116" s="16">
        <f t="shared" si="1"/>
        <v>2.7027027027027025E-2</v>
      </c>
    </row>
    <row r="117" spans="3:5">
      <c r="C117" t="s">
        <v>121</v>
      </c>
      <c r="D117" t="s">
        <v>243</v>
      </c>
      <c r="E117" s="16">
        <f t="shared" si="1"/>
        <v>2.7027027027027025E-2</v>
      </c>
    </row>
    <row r="118" spans="3:5">
      <c r="C118" t="s">
        <v>121</v>
      </c>
      <c r="D118" t="s">
        <v>244</v>
      </c>
      <c r="E118" s="16">
        <f t="shared" si="1"/>
        <v>2.7027027027027025E-2</v>
      </c>
    </row>
    <row r="119" spans="3:5">
      <c r="C119" t="s">
        <v>121</v>
      </c>
      <c r="D119" t="s">
        <v>245</v>
      </c>
      <c r="E119" s="16">
        <f t="shared" si="1"/>
        <v>2.7027027027027025E-2</v>
      </c>
    </row>
    <row r="120" spans="3:5">
      <c r="C120" t="s">
        <v>121</v>
      </c>
      <c r="D120" t="s">
        <v>246</v>
      </c>
      <c r="E120" s="16">
        <f t="shared" si="1"/>
        <v>2.7027027027027025E-2</v>
      </c>
    </row>
    <row r="121" spans="3:5">
      <c r="C121" t="s">
        <v>121</v>
      </c>
      <c r="D121" t="s">
        <v>247</v>
      </c>
      <c r="E121" s="16">
        <f t="shared" si="1"/>
        <v>2.7027027027027025E-2</v>
      </c>
    </row>
    <row r="122" spans="3:5">
      <c r="C122" t="s">
        <v>121</v>
      </c>
      <c r="D122" t="s">
        <v>103</v>
      </c>
      <c r="E122" s="16">
        <f t="shared" si="1"/>
        <v>2.7027027027027025E-2</v>
      </c>
    </row>
    <row r="123" spans="3:5">
      <c r="C123" t="s">
        <v>121</v>
      </c>
      <c r="D123" t="s">
        <v>248</v>
      </c>
      <c r="E123" s="16">
        <f t="shared" si="1"/>
        <v>2.7027027027027025E-2</v>
      </c>
    </row>
    <row r="124" spans="3:5">
      <c r="C124" t="s">
        <v>122</v>
      </c>
      <c r="D124" t="s">
        <v>237</v>
      </c>
      <c r="E124" s="16">
        <f t="shared" si="1"/>
        <v>2.7027027027027025E-2</v>
      </c>
    </row>
    <row r="125" spans="3:5">
      <c r="C125" t="s">
        <v>122</v>
      </c>
      <c r="D125" t="s">
        <v>239</v>
      </c>
      <c r="E125" s="16">
        <f t="shared" si="1"/>
        <v>2.7027027027027025E-2</v>
      </c>
    </row>
    <row r="126" spans="3:5">
      <c r="C126" t="s">
        <v>122</v>
      </c>
      <c r="D126" t="s">
        <v>240</v>
      </c>
      <c r="E126" s="16">
        <f t="shared" si="1"/>
        <v>2.7027027027027025E-2</v>
      </c>
    </row>
    <row r="127" spans="3:5">
      <c r="C127" t="s">
        <v>122</v>
      </c>
      <c r="D127" t="s">
        <v>241</v>
      </c>
      <c r="E127" s="16">
        <f t="shared" si="1"/>
        <v>2.7027027027027025E-2</v>
      </c>
    </row>
    <row r="128" spans="3:5">
      <c r="C128" t="s">
        <v>122</v>
      </c>
      <c r="D128" t="s">
        <v>242</v>
      </c>
      <c r="E128" s="16">
        <f t="shared" si="1"/>
        <v>2.7027027027027025E-2</v>
      </c>
    </row>
    <row r="129" spans="3:5">
      <c r="C129" t="s">
        <v>122</v>
      </c>
      <c r="D129" t="s">
        <v>243</v>
      </c>
      <c r="E129" s="16">
        <f t="shared" si="1"/>
        <v>2.7027027027027025E-2</v>
      </c>
    </row>
    <row r="130" spans="3:5">
      <c r="C130" t="s">
        <v>122</v>
      </c>
      <c r="D130" t="s">
        <v>244</v>
      </c>
      <c r="E130" s="16">
        <f t="shared" si="1"/>
        <v>2.7027027027027025E-2</v>
      </c>
    </row>
    <row r="131" spans="3:5">
      <c r="C131" t="s">
        <v>122</v>
      </c>
      <c r="D131" t="s">
        <v>245</v>
      </c>
      <c r="E131" s="16">
        <f t="shared" si="1"/>
        <v>2.7027027027027025E-2</v>
      </c>
    </row>
    <row r="132" spans="3:5">
      <c r="C132" t="s">
        <v>122</v>
      </c>
      <c r="D132" t="s">
        <v>246</v>
      </c>
      <c r="E132" s="16">
        <f t="shared" ref="E132:E195" si="2">100/$J$14/100</f>
        <v>2.7027027027027025E-2</v>
      </c>
    </row>
    <row r="133" spans="3:5">
      <c r="C133" t="s">
        <v>122</v>
      </c>
      <c r="D133" t="s">
        <v>247</v>
      </c>
      <c r="E133" s="16">
        <f t="shared" si="2"/>
        <v>2.7027027027027025E-2</v>
      </c>
    </row>
    <row r="134" spans="3:5">
      <c r="C134" t="s">
        <v>122</v>
      </c>
      <c r="D134" t="s">
        <v>103</v>
      </c>
      <c r="E134" s="16">
        <f t="shared" si="2"/>
        <v>2.7027027027027025E-2</v>
      </c>
    </row>
    <row r="135" spans="3:5">
      <c r="C135" t="s">
        <v>122</v>
      </c>
      <c r="D135" t="s">
        <v>248</v>
      </c>
      <c r="E135" s="16">
        <f t="shared" si="2"/>
        <v>2.7027027027027025E-2</v>
      </c>
    </row>
    <row r="136" spans="3:5">
      <c r="C136" t="s">
        <v>123</v>
      </c>
      <c r="D136" t="s">
        <v>237</v>
      </c>
      <c r="E136" s="16">
        <f t="shared" si="2"/>
        <v>2.7027027027027025E-2</v>
      </c>
    </row>
    <row r="137" spans="3:5">
      <c r="C137" t="s">
        <v>123</v>
      </c>
      <c r="D137" t="s">
        <v>239</v>
      </c>
      <c r="E137" s="16">
        <f t="shared" si="2"/>
        <v>2.7027027027027025E-2</v>
      </c>
    </row>
    <row r="138" spans="3:5">
      <c r="C138" t="s">
        <v>123</v>
      </c>
      <c r="D138" t="s">
        <v>240</v>
      </c>
      <c r="E138" s="16">
        <f t="shared" si="2"/>
        <v>2.7027027027027025E-2</v>
      </c>
    </row>
    <row r="139" spans="3:5">
      <c r="C139" t="s">
        <v>123</v>
      </c>
      <c r="D139" t="s">
        <v>241</v>
      </c>
      <c r="E139" s="16">
        <f t="shared" si="2"/>
        <v>2.7027027027027025E-2</v>
      </c>
    </row>
    <row r="140" spans="3:5">
      <c r="C140" t="s">
        <v>123</v>
      </c>
      <c r="D140" t="s">
        <v>242</v>
      </c>
      <c r="E140" s="16">
        <f t="shared" si="2"/>
        <v>2.7027027027027025E-2</v>
      </c>
    </row>
    <row r="141" spans="3:5">
      <c r="C141" t="s">
        <v>123</v>
      </c>
      <c r="D141" t="s">
        <v>243</v>
      </c>
      <c r="E141" s="16">
        <f t="shared" si="2"/>
        <v>2.7027027027027025E-2</v>
      </c>
    </row>
    <row r="142" spans="3:5">
      <c r="C142" t="s">
        <v>123</v>
      </c>
      <c r="D142" t="s">
        <v>244</v>
      </c>
      <c r="E142" s="16">
        <f t="shared" si="2"/>
        <v>2.7027027027027025E-2</v>
      </c>
    </row>
    <row r="143" spans="3:5">
      <c r="C143" t="s">
        <v>123</v>
      </c>
      <c r="D143" t="s">
        <v>245</v>
      </c>
      <c r="E143" s="16">
        <f t="shared" si="2"/>
        <v>2.7027027027027025E-2</v>
      </c>
    </row>
    <row r="144" spans="3:5">
      <c r="C144" t="s">
        <v>123</v>
      </c>
      <c r="D144" t="s">
        <v>246</v>
      </c>
      <c r="E144" s="16">
        <f t="shared" si="2"/>
        <v>2.7027027027027025E-2</v>
      </c>
    </row>
    <row r="145" spans="3:5">
      <c r="C145" t="s">
        <v>123</v>
      </c>
      <c r="D145" t="s">
        <v>247</v>
      </c>
      <c r="E145" s="16">
        <f t="shared" si="2"/>
        <v>2.7027027027027025E-2</v>
      </c>
    </row>
    <row r="146" spans="3:5">
      <c r="C146" t="s">
        <v>123</v>
      </c>
      <c r="D146" t="s">
        <v>103</v>
      </c>
      <c r="E146" s="16">
        <f t="shared" si="2"/>
        <v>2.7027027027027025E-2</v>
      </c>
    </row>
    <row r="147" spans="3:5">
      <c r="C147" t="s">
        <v>123</v>
      </c>
      <c r="D147" t="s">
        <v>248</v>
      </c>
      <c r="E147" s="16">
        <f t="shared" si="2"/>
        <v>2.7027027027027025E-2</v>
      </c>
    </row>
    <row r="148" spans="3:5">
      <c r="C148" t="s">
        <v>124</v>
      </c>
      <c r="D148" t="s">
        <v>237</v>
      </c>
      <c r="E148" s="16">
        <f t="shared" si="2"/>
        <v>2.7027027027027025E-2</v>
      </c>
    </row>
    <row r="149" spans="3:5">
      <c r="C149" t="s">
        <v>124</v>
      </c>
      <c r="D149" t="s">
        <v>239</v>
      </c>
      <c r="E149" s="16">
        <f t="shared" si="2"/>
        <v>2.7027027027027025E-2</v>
      </c>
    </row>
    <row r="150" spans="3:5">
      <c r="C150" t="s">
        <v>124</v>
      </c>
      <c r="D150" t="s">
        <v>240</v>
      </c>
      <c r="E150" s="16">
        <f t="shared" si="2"/>
        <v>2.7027027027027025E-2</v>
      </c>
    </row>
    <row r="151" spans="3:5">
      <c r="C151" t="s">
        <v>124</v>
      </c>
      <c r="D151" t="s">
        <v>241</v>
      </c>
      <c r="E151" s="16">
        <f t="shared" si="2"/>
        <v>2.7027027027027025E-2</v>
      </c>
    </row>
    <row r="152" spans="3:5">
      <c r="C152" t="s">
        <v>124</v>
      </c>
      <c r="D152" t="s">
        <v>242</v>
      </c>
      <c r="E152" s="16">
        <f t="shared" si="2"/>
        <v>2.7027027027027025E-2</v>
      </c>
    </row>
    <row r="153" spans="3:5">
      <c r="C153" t="s">
        <v>124</v>
      </c>
      <c r="D153" t="s">
        <v>243</v>
      </c>
      <c r="E153" s="16">
        <f t="shared" si="2"/>
        <v>2.7027027027027025E-2</v>
      </c>
    </row>
    <row r="154" spans="3:5">
      <c r="C154" t="s">
        <v>124</v>
      </c>
      <c r="D154" t="s">
        <v>244</v>
      </c>
      <c r="E154" s="16">
        <f t="shared" si="2"/>
        <v>2.7027027027027025E-2</v>
      </c>
    </row>
    <row r="155" spans="3:5">
      <c r="C155" t="s">
        <v>124</v>
      </c>
      <c r="D155" t="s">
        <v>245</v>
      </c>
      <c r="E155" s="16">
        <f t="shared" si="2"/>
        <v>2.7027027027027025E-2</v>
      </c>
    </row>
    <row r="156" spans="3:5">
      <c r="C156" t="s">
        <v>124</v>
      </c>
      <c r="D156" t="s">
        <v>246</v>
      </c>
      <c r="E156" s="16">
        <f t="shared" si="2"/>
        <v>2.7027027027027025E-2</v>
      </c>
    </row>
    <row r="157" spans="3:5">
      <c r="C157" t="s">
        <v>124</v>
      </c>
      <c r="D157" t="s">
        <v>247</v>
      </c>
      <c r="E157" s="16">
        <f t="shared" si="2"/>
        <v>2.7027027027027025E-2</v>
      </c>
    </row>
    <row r="158" spans="3:5">
      <c r="C158" t="s">
        <v>124</v>
      </c>
      <c r="D158" t="s">
        <v>103</v>
      </c>
      <c r="E158" s="16">
        <f t="shared" si="2"/>
        <v>2.7027027027027025E-2</v>
      </c>
    </row>
    <row r="159" spans="3:5">
      <c r="C159" t="s">
        <v>124</v>
      </c>
      <c r="D159" t="s">
        <v>248</v>
      </c>
      <c r="E159" s="16">
        <f t="shared" si="2"/>
        <v>2.7027027027027025E-2</v>
      </c>
    </row>
    <row r="160" spans="3:5">
      <c r="C160" t="s">
        <v>125</v>
      </c>
      <c r="D160" t="s">
        <v>237</v>
      </c>
      <c r="E160" s="16">
        <f t="shared" si="2"/>
        <v>2.7027027027027025E-2</v>
      </c>
    </row>
    <row r="161" spans="3:5">
      <c r="C161" t="s">
        <v>125</v>
      </c>
      <c r="D161" t="s">
        <v>239</v>
      </c>
      <c r="E161" s="16">
        <f t="shared" si="2"/>
        <v>2.7027027027027025E-2</v>
      </c>
    </row>
    <row r="162" spans="3:5">
      <c r="C162" t="s">
        <v>125</v>
      </c>
      <c r="D162" t="s">
        <v>240</v>
      </c>
      <c r="E162" s="16">
        <f t="shared" si="2"/>
        <v>2.7027027027027025E-2</v>
      </c>
    </row>
    <row r="163" spans="3:5">
      <c r="C163" t="s">
        <v>125</v>
      </c>
      <c r="D163" t="s">
        <v>241</v>
      </c>
      <c r="E163" s="16">
        <f t="shared" si="2"/>
        <v>2.7027027027027025E-2</v>
      </c>
    </row>
    <row r="164" spans="3:5">
      <c r="C164" t="s">
        <v>125</v>
      </c>
      <c r="D164" t="s">
        <v>242</v>
      </c>
      <c r="E164" s="16">
        <f t="shared" si="2"/>
        <v>2.7027027027027025E-2</v>
      </c>
    </row>
    <row r="165" spans="3:5">
      <c r="C165" t="s">
        <v>125</v>
      </c>
      <c r="D165" t="s">
        <v>243</v>
      </c>
      <c r="E165" s="16">
        <f t="shared" si="2"/>
        <v>2.7027027027027025E-2</v>
      </c>
    </row>
    <row r="166" spans="3:5">
      <c r="C166" t="s">
        <v>125</v>
      </c>
      <c r="D166" t="s">
        <v>244</v>
      </c>
      <c r="E166" s="16">
        <f t="shared" si="2"/>
        <v>2.7027027027027025E-2</v>
      </c>
    </row>
    <row r="167" spans="3:5">
      <c r="C167" t="s">
        <v>125</v>
      </c>
      <c r="D167" t="s">
        <v>245</v>
      </c>
      <c r="E167" s="16">
        <f t="shared" si="2"/>
        <v>2.7027027027027025E-2</v>
      </c>
    </row>
    <row r="168" spans="3:5">
      <c r="C168" t="s">
        <v>125</v>
      </c>
      <c r="D168" t="s">
        <v>246</v>
      </c>
      <c r="E168" s="16">
        <f t="shared" si="2"/>
        <v>2.7027027027027025E-2</v>
      </c>
    </row>
    <row r="169" spans="3:5">
      <c r="C169" t="s">
        <v>125</v>
      </c>
      <c r="D169" t="s">
        <v>247</v>
      </c>
      <c r="E169" s="16">
        <f t="shared" si="2"/>
        <v>2.7027027027027025E-2</v>
      </c>
    </row>
    <row r="170" spans="3:5">
      <c r="C170" t="s">
        <v>125</v>
      </c>
      <c r="D170" t="s">
        <v>103</v>
      </c>
      <c r="E170" s="16">
        <f t="shared" si="2"/>
        <v>2.7027027027027025E-2</v>
      </c>
    </row>
    <row r="171" spans="3:5">
      <c r="C171" t="s">
        <v>125</v>
      </c>
      <c r="D171" t="s">
        <v>248</v>
      </c>
      <c r="E171" s="16">
        <f t="shared" si="2"/>
        <v>2.7027027027027025E-2</v>
      </c>
    </row>
    <row r="172" spans="3:5">
      <c r="C172" t="s">
        <v>126</v>
      </c>
      <c r="D172" t="s">
        <v>237</v>
      </c>
      <c r="E172" s="16">
        <f t="shared" si="2"/>
        <v>2.7027027027027025E-2</v>
      </c>
    </row>
    <row r="173" spans="3:5">
      <c r="C173" t="s">
        <v>126</v>
      </c>
      <c r="D173" t="s">
        <v>239</v>
      </c>
      <c r="E173" s="16">
        <f t="shared" si="2"/>
        <v>2.7027027027027025E-2</v>
      </c>
    </row>
    <row r="174" spans="3:5">
      <c r="C174" t="s">
        <v>126</v>
      </c>
      <c r="D174" t="s">
        <v>240</v>
      </c>
      <c r="E174" s="16">
        <f t="shared" si="2"/>
        <v>2.7027027027027025E-2</v>
      </c>
    </row>
    <row r="175" spans="3:5">
      <c r="C175" t="s">
        <v>126</v>
      </c>
      <c r="D175" t="s">
        <v>241</v>
      </c>
      <c r="E175" s="16">
        <f t="shared" si="2"/>
        <v>2.7027027027027025E-2</v>
      </c>
    </row>
    <row r="176" spans="3:5">
      <c r="C176" t="s">
        <v>126</v>
      </c>
      <c r="D176" t="s">
        <v>242</v>
      </c>
      <c r="E176" s="16">
        <f t="shared" si="2"/>
        <v>2.7027027027027025E-2</v>
      </c>
    </row>
    <row r="177" spans="3:5">
      <c r="C177" t="s">
        <v>126</v>
      </c>
      <c r="D177" t="s">
        <v>243</v>
      </c>
      <c r="E177" s="16">
        <f t="shared" si="2"/>
        <v>2.7027027027027025E-2</v>
      </c>
    </row>
    <row r="178" spans="3:5">
      <c r="C178" t="s">
        <v>126</v>
      </c>
      <c r="D178" t="s">
        <v>244</v>
      </c>
      <c r="E178" s="16">
        <f t="shared" si="2"/>
        <v>2.7027027027027025E-2</v>
      </c>
    </row>
    <row r="179" spans="3:5">
      <c r="C179" t="s">
        <v>126</v>
      </c>
      <c r="D179" t="s">
        <v>245</v>
      </c>
      <c r="E179" s="16">
        <f t="shared" si="2"/>
        <v>2.7027027027027025E-2</v>
      </c>
    </row>
    <row r="180" spans="3:5">
      <c r="C180" t="s">
        <v>126</v>
      </c>
      <c r="D180" t="s">
        <v>246</v>
      </c>
      <c r="E180" s="16">
        <f t="shared" si="2"/>
        <v>2.7027027027027025E-2</v>
      </c>
    </row>
    <row r="181" spans="3:5">
      <c r="C181" t="s">
        <v>126</v>
      </c>
      <c r="D181" t="s">
        <v>247</v>
      </c>
      <c r="E181" s="16">
        <f t="shared" si="2"/>
        <v>2.7027027027027025E-2</v>
      </c>
    </row>
    <row r="182" spans="3:5">
      <c r="C182" t="s">
        <v>126</v>
      </c>
      <c r="D182" t="s">
        <v>103</v>
      </c>
      <c r="E182" s="16">
        <f t="shared" si="2"/>
        <v>2.7027027027027025E-2</v>
      </c>
    </row>
    <row r="183" spans="3:5">
      <c r="C183" t="s">
        <v>126</v>
      </c>
      <c r="D183" t="s">
        <v>248</v>
      </c>
      <c r="E183" s="16">
        <f t="shared" si="2"/>
        <v>2.7027027027027025E-2</v>
      </c>
    </row>
    <row r="184" spans="3:5">
      <c r="C184" t="s">
        <v>127</v>
      </c>
      <c r="D184" t="s">
        <v>237</v>
      </c>
      <c r="E184" s="16">
        <f t="shared" si="2"/>
        <v>2.7027027027027025E-2</v>
      </c>
    </row>
    <row r="185" spans="3:5">
      <c r="C185" t="s">
        <v>127</v>
      </c>
      <c r="D185" t="s">
        <v>239</v>
      </c>
      <c r="E185" s="16">
        <f t="shared" si="2"/>
        <v>2.7027027027027025E-2</v>
      </c>
    </row>
    <row r="186" spans="3:5">
      <c r="C186" t="s">
        <v>127</v>
      </c>
      <c r="D186" t="s">
        <v>240</v>
      </c>
      <c r="E186" s="16">
        <f t="shared" si="2"/>
        <v>2.7027027027027025E-2</v>
      </c>
    </row>
    <row r="187" spans="3:5">
      <c r="C187" t="s">
        <v>127</v>
      </c>
      <c r="D187" t="s">
        <v>241</v>
      </c>
      <c r="E187" s="16">
        <f t="shared" si="2"/>
        <v>2.7027027027027025E-2</v>
      </c>
    </row>
    <row r="188" spans="3:5">
      <c r="C188" t="s">
        <v>127</v>
      </c>
      <c r="D188" t="s">
        <v>242</v>
      </c>
      <c r="E188" s="16">
        <f t="shared" si="2"/>
        <v>2.7027027027027025E-2</v>
      </c>
    </row>
    <row r="189" spans="3:5">
      <c r="C189" t="s">
        <v>127</v>
      </c>
      <c r="D189" t="s">
        <v>243</v>
      </c>
      <c r="E189" s="16">
        <f t="shared" si="2"/>
        <v>2.7027027027027025E-2</v>
      </c>
    </row>
    <row r="190" spans="3:5">
      <c r="C190" t="s">
        <v>127</v>
      </c>
      <c r="D190" t="s">
        <v>244</v>
      </c>
      <c r="E190" s="16">
        <f t="shared" si="2"/>
        <v>2.7027027027027025E-2</v>
      </c>
    </row>
    <row r="191" spans="3:5">
      <c r="C191" t="s">
        <v>127</v>
      </c>
      <c r="D191" t="s">
        <v>245</v>
      </c>
      <c r="E191" s="16">
        <f t="shared" si="2"/>
        <v>2.7027027027027025E-2</v>
      </c>
    </row>
    <row r="192" spans="3:5">
      <c r="C192" t="s">
        <v>127</v>
      </c>
      <c r="D192" t="s">
        <v>246</v>
      </c>
      <c r="E192" s="16">
        <f t="shared" si="2"/>
        <v>2.7027027027027025E-2</v>
      </c>
    </row>
    <row r="193" spans="3:5">
      <c r="C193" t="s">
        <v>127</v>
      </c>
      <c r="D193" t="s">
        <v>247</v>
      </c>
      <c r="E193" s="16">
        <f t="shared" si="2"/>
        <v>2.7027027027027025E-2</v>
      </c>
    </row>
    <row r="194" spans="3:5">
      <c r="C194" t="s">
        <v>127</v>
      </c>
      <c r="D194" t="s">
        <v>103</v>
      </c>
      <c r="E194" s="16">
        <f t="shared" si="2"/>
        <v>2.7027027027027025E-2</v>
      </c>
    </row>
    <row r="195" spans="3:5">
      <c r="C195" t="s">
        <v>127</v>
      </c>
      <c r="D195" t="s">
        <v>248</v>
      </c>
      <c r="E195" s="16">
        <f t="shared" si="2"/>
        <v>2.7027027027027025E-2</v>
      </c>
    </row>
    <row r="196" spans="3:5">
      <c r="C196" t="s">
        <v>128</v>
      </c>
      <c r="D196" t="s">
        <v>237</v>
      </c>
      <c r="E196" s="16">
        <f t="shared" ref="E196:E259" si="3">100/$J$14/100</f>
        <v>2.7027027027027025E-2</v>
      </c>
    </row>
    <row r="197" spans="3:5">
      <c r="C197" t="s">
        <v>128</v>
      </c>
      <c r="D197" t="s">
        <v>239</v>
      </c>
      <c r="E197" s="16">
        <f t="shared" si="3"/>
        <v>2.7027027027027025E-2</v>
      </c>
    </row>
    <row r="198" spans="3:5">
      <c r="C198" t="s">
        <v>128</v>
      </c>
      <c r="D198" t="s">
        <v>240</v>
      </c>
      <c r="E198" s="16">
        <f t="shared" si="3"/>
        <v>2.7027027027027025E-2</v>
      </c>
    </row>
    <row r="199" spans="3:5">
      <c r="C199" t="s">
        <v>128</v>
      </c>
      <c r="D199" t="s">
        <v>241</v>
      </c>
      <c r="E199" s="16">
        <f t="shared" si="3"/>
        <v>2.7027027027027025E-2</v>
      </c>
    </row>
    <row r="200" spans="3:5">
      <c r="C200" t="s">
        <v>128</v>
      </c>
      <c r="D200" t="s">
        <v>242</v>
      </c>
      <c r="E200" s="16">
        <f t="shared" si="3"/>
        <v>2.7027027027027025E-2</v>
      </c>
    </row>
    <row r="201" spans="3:5">
      <c r="C201" t="s">
        <v>128</v>
      </c>
      <c r="D201" t="s">
        <v>243</v>
      </c>
      <c r="E201" s="16">
        <f t="shared" si="3"/>
        <v>2.7027027027027025E-2</v>
      </c>
    </row>
    <row r="202" spans="3:5">
      <c r="C202" t="s">
        <v>128</v>
      </c>
      <c r="D202" t="s">
        <v>244</v>
      </c>
      <c r="E202" s="16">
        <f t="shared" si="3"/>
        <v>2.7027027027027025E-2</v>
      </c>
    </row>
    <row r="203" spans="3:5">
      <c r="C203" t="s">
        <v>128</v>
      </c>
      <c r="D203" t="s">
        <v>245</v>
      </c>
      <c r="E203" s="16">
        <f t="shared" si="3"/>
        <v>2.7027027027027025E-2</v>
      </c>
    </row>
    <row r="204" spans="3:5">
      <c r="C204" t="s">
        <v>128</v>
      </c>
      <c r="D204" t="s">
        <v>246</v>
      </c>
      <c r="E204" s="16">
        <f t="shared" si="3"/>
        <v>2.7027027027027025E-2</v>
      </c>
    </row>
    <row r="205" spans="3:5">
      <c r="C205" t="s">
        <v>128</v>
      </c>
      <c r="D205" t="s">
        <v>247</v>
      </c>
      <c r="E205" s="16">
        <f t="shared" si="3"/>
        <v>2.7027027027027025E-2</v>
      </c>
    </row>
    <row r="206" spans="3:5">
      <c r="C206" t="s">
        <v>128</v>
      </c>
      <c r="D206" t="s">
        <v>103</v>
      </c>
      <c r="E206" s="16">
        <f t="shared" si="3"/>
        <v>2.7027027027027025E-2</v>
      </c>
    </row>
    <row r="207" spans="3:5">
      <c r="C207" t="s">
        <v>128</v>
      </c>
      <c r="D207" t="s">
        <v>248</v>
      </c>
      <c r="E207" s="16">
        <f t="shared" si="3"/>
        <v>2.7027027027027025E-2</v>
      </c>
    </row>
    <row r="208" spans="3:5">
      <c r="C208" t="s">
        <v>129</v>
      </c>
      <c r="D208" t="s">
        <v>237</v>
      </c>
      <c r="E208" s="16">
        <f t="shared" si="3"/>
        <v>2.7027027027027025E-2</v>
      </c>
    </row>
    <row r="209" spans="3:5">
      <c r="C209" t="s">
        <v>129</v>
      </c>
      <c r="D209" t="s">
        <v>239</v>
      </c>
      <c r="E209" s="16">
        <f t="shared" si="3"/>
        <v>2.7027027027027025E-2</v>
      </c>
    </row>
    <row r="210" spans="3:5">
      <c r="C210" t="s">
        <v>129</v>
      </c>
      <c r="D210" t="s">
        <v>240</v>
      </c>
      <c r="E210" s="16">
        <f t="shared" si="3"/>
        <v>2.7027027027027025E-2</v>
      </c>
    </row>
    <row r="211" spans="3:5">
      <c r="C211" t="s">
        <v>129</v>
      </c>
      <c r="D211" t="s">
        <v>241</v>
      </c>
      <c r="E211" s="16">
        <f t="shared" si="3"/>
        <v>2.7027027027027025E-2</v>
      </c>
    </row>
    <row r="212" spans="3:5">
      <c r="C212" t="s">
        <v>129</v>
      </c>
      <c r="D212" t="s">
        <v>242</v>
      </c>
      <c r="E212" s="16">
        <f t="shared" si="3"/>
        <v>2.7027027027027025E-2</v>
      </c>
    </row>
    <row r="213" spans="3:5">
      <c r="C213" t="s">
        <v>129</v>
      </c>
      <c r="D213" t="s">
        <v>243</v>
      </c>
      <c r="E213" s="16">
        <f t="shared" si="3"/>
        <v>2.7027027027027025E-2</v>
      </c>
    </row>
    <row r="214" spans="3:5">
      <c r="C214" t="s">
        <v>129</v>
      </c>
      <c r="D214" t="s">
        <v>244</v>
      </c>
      <c r="E214" s="16">
        <f t="shared" si="3"/>
        <v>2.7027027027027025E-2</v>
      </c>
    </row>
    <row r="215" spans="3:5">
      <c r="C215" t="s">
        <v>129</v>
      </c>
      <c r="D215" t="s">
        <v>245</v>
      </c>
      <c r="E215" s="16">
        <f t="shared" si="3"/>
        <v>2.7027027027027025E-2</v>
      </c>
    </row>
    <row r="216" spans="3:5">
      <c r="C216" t="s">
        <v>129</v>
      </c>
      <c r="D216" t="s">
        <v>246</v>
      </c>
      <c r="E216" s="16">
        <f t="shared" si="3"/>
        <v>2.7027027027027025E-2</v>
      </c>
    </row>
    <row r="217" spans="3:5">
      <c r="C217" t="s">
        <v>129</v>
      </c>
      <c r="D217" t="s">
        <v>247</v>
      </c>
      <c r="E217" s="16">
        <f t="shared" si="3"/>
        <v>2.7027027027027025E-2</v>
      </c>
    </row>
    <row r="218" spans="3:5">
      <c r="C218" t="s">
        <v>129</v>
      </c>
      <c r="D218" t="s">
        <v>103</v>
      </c>
      <c r="E218" s="16">
        <f t="shared" si="3"/>
        <v>2.7027027027027025E-2</v>
      </c>
    </row>
    <row r="219" spans="3:5">
      <c r="C219" t="s">
        <v>129</v>
      </c>
      <c r="D219" t="s">
        <v>248</v>
      </c>
      <c r="E219" s="16">
        <f t="shared" si="3"/>
        <v>2.7027027027027025E-2</v>
      </c>
    </row>
    <row r="220" spans="3:5">
      <c r="C220" t="s">
        <v>132</v>
      </c>
      <c r="D220" t="s">
        <v>237</v>
      </c>
      <c r="E220" s="16">
        <f t="shared" si="3"/>
        <v>2.7027027027027025E-2</v>
      </c>
    </row>
    <row r="221" spans="3:5">
      <c r="C221" t="s">
        <v>132</v>
      </c>
      <c r="D221" t="s">
        <v>239</v>
      </c>
      <c r="E221" s="16">
        <f t="shared" si="3"/>
        <v>2.7027027027027025E-2</v>
      </c>
    </row>
    <row r="222" spans="3:5">
      <c r="C222" t="s">
        <v>132</v>
      </c>
      <c r="D222" t="s">
        <v>240</v>
      </c>
      <c r="E222" s="16">
        <f t="shared" si="3"/>
        <v>2.7027027027027025E-2</v>
      </c>
    </row>
    <row r="223" spans="3:5">
      <c r="C223" t="s">
        <v>132</v>
      </c>
      <c r="D223" t="s">
        <v>241</v>
      </c>
      <c r="E223" s="16">
        <f t="shared" si="3"/>
        <v>2.7027027027027025E-2</v>
      </c>
    </row>
    <row r="224" spans="3:5">
      <c r="C224" t="s">
        <v>132</v>
      </c>
      <c r="D224" t="s">
        <v>242</v>
      </c>
      <c r="E224" s="16">
        <f t="shared" si="3"/>
        <v>2.7027027027027025E-2</v>
      </c>
    </row>
    <row r="225" spans="3:5">
      <c r="C225" t="s">
        <v>132</v>
      </c>
      <c r="D225" t="s">
        <v>243</v>
      </c>
      <c r="E225" s="16">
        <f t="shared" si="3"/>
        <v>2.7027027027027025E-2</v>
      </c>
    </row>
    <row r="226" spans="3:5">
      <c r="C226" t="s">
        <v>132</v>
      </c>
      <c r="D226" t="s">
        <v>244</v>
      </c>
      <c r="E226" s="16">
        <f t="shared" si="3"/>
        <v>2.7027027027027025E-2</v>
      </c>
    </row>
    <row r="227" spans="3:5">
      <c r="C227" t="s">
        <v>132</v>
      </c>
      <c r="D227" t="s">
        <v>245</v>
      </c>
      <c r="E227" s="16">
        <f t="shared" si="3"/>
        <v>2.7027027027027025E-2</v>
      </c>
    </row>
    <row r="228" spans="3:5">
      <c r="C228" t="s">
        <v>132</v>
      </c>
      <c r="D228" t="s">
        <v>246</v>
      </c>
      <c r="E228" s="16">
        <f t="shared" si="3"/>
        <v>2.7027027027027025E-2</v>
      </c>
    </row>
    <row r="229" spans="3:5">
      <c r="C229" t="s">
        <v>132</v>
      </c>
      <c r="D229" t="s">
        <v>247</v>
      </c>
      <c r="E229" s="16">
        <f t="shared" si="3"/>
        <v>2.7027027027027025E-2</v>
      </c>
    </row>
    <row r="230" spans="3:5">
      <c r="C230" t="s">
        <v>132</v>
      </c>
      <c r="D230" t="s">
        <v>103</v>
      </c>
      <c r="E230" s="16">
        <f t="shared" si="3"/>
        <v>2.7027027027027025E-2</v>
      </c>
    </row>
    <row r="231" spans="3:5">
      <c r="C231" t="s">
        <v>132</v>
      </c>
      <c r="D231" t="s">
        <v>248</v>
      </c>
      <c r="E231" s="16">
        <f t="shared" si="3"/>
        <v>2.7027027027027025E-2</v>
      </c>
    </row>
    <row r="232" spans="3:5">
      <c r="C232" t="s">
        <v>133</v>
      </c>
      <c r="D232" t="s">
        <v>237</v>
      </c>
      <c r="E232" s="16">
        <f t="shared" si="3"/>
        <v>2.7027027027027025E-2</v>
      </c>
    </row>
    <row r="233" spans="3:5">
      <c r="C233" t="s">
        <v>133</v>
      </c>
      <c r="D233" t="s">
        <v>239</v>
      </c>
      <c r="E233" s="16">
        <f t="shared" si="3"/>
        <v>2.7027027027027025E-2</v>
      </c>
    </row>
    <row r="234" spans="3:5">
      <c r="C234" t="s">
        <v>133</v>
      </c>
      <c r="D234" t="s">
        <v>240</v>
      </c>
      <c r="E234" s="16">
        <f t="shared" si="3"/>
        <v>2.7027027027027025E-2</v>
      </c>
    </row>
    <row r="235" spans="3:5">
      <c r="C235" t="s">
        <v>133</v>
      </c>
      <c r="D235" t="s">
        <v>241</v>
      </c>
      <c r="E235" s="16">
        <f t="shared" si="3"/>
        <v>2.7027027027027025E-2</v>
      </c>
    </row>
    <row r="236" spans="3:5">
      <c r="C236" t="s">
        <v>133</v>
      </c>
      <c r="D236" t="s">
        <v>242</v>
      </c>
      <c r="E236" s="16">
        <f t="shared" si="3"/>
        <v>2.7027027027027025E-2</v>
      </c>
    </row>
    <row r="237" spans="3:5">
      <c r="C237" t="s">
        <v>133</v>
      </c>
      <c r="D237" t="s">
        <v>243</v>
      </c>
      <c r="E237" s="16">
        <f t="shared" si="3"/>
        <v>2.7027027027027025E-2</v>
      </c>
    </row>
    <row r="238" spans="3:5">
      <c r="C238" t="s">
        <v>133</v>
      </c>
      <c r="D238" t="s">
        <v>244</v>
      </c>
      <c r="E238" s="16">
        <f t="shared" si="3"/>
        <v>2.7027027027027025E-2</v>
      </c>
    </row>
    <row r="239" spans="3:5">
      <c r="C239" t="s">
        <v>133</v>
      </c>
      <c r="D239" t="s">
        <v>245</v>
      </c>
      <c r="E239" s="16">
        <f t="shared" si="3"/>
        <v>2.7027027027027025E-2</v>
      </c>
    </row>
    <row r="240" spans="3:5">
      <c r="C240" t="s">
        <v>133</v>
      </c>
      <c r="D240" t="s">
        <v>246</v>
      </c>
      <c r="E240" s="16">
        <f t="shared" si="3"/>
        <v>2.7027027027027025E-2</v>
      </c>
    </row>
    <row r="241" spans="3:5">
      <c r="C241" t="s">
        <v>133</v>
      </c>
      <c r="D241" t="s">
        <v>247</v>
      </c>
      <c r="E241" s="16">
        <f t="shared" si="3"/>
        <v>2.7027027027027025E-2</v>
      </c>
    </row>
    <row r="242" spans="3:5">
      <c r="C242" t="s">
        <v>133</v>
      </c>
      <c r="D242" t="s">
        <v>103</v>
      </c>
      <c r="E242" s="16">
        <f t="shared" si="3"/>
        <v>2.7027027027027025E-2</v>
      </c>
    </row>
    <row r="243" spans="3:5">
      <c r="C243" t="s">
        <v>133</v>
      </c>
      <c r="D243" t="s">
        <v>248</v>
      </c>
      <c r="E243" s="16">
        <f t="shared" si="3"/>
        <v>2.7027027027027025E-2</v>
      </c>
    </row>
    <row r="244" spans="3:5">
      <c r="C244" t="s">
        <v>134</v>
      </c>
      <c r="D244" t="s">
        <v>237</v>
      </c>
      <c r="E244" s="16">
        <f t="shared" si="3"/>
        <v>2.7027027027027025E-2</v>
      </c>
    </row>
    <row r="245" spans="3:5">
      <c r="C245" t="s">
        <v>134</v>
      </c>
      <c r="D245" t="s">
        <v>239</v>
      </c>
      <c r="E245" s="16">
        <f t="shared" si="3"/>
        <v>2.7027027027027025E-2</v>
      </c>
    </row>
    <row r="246" spans="3:5">
      <c r="C246" t="s">
        <v>134</v>
      </c>
      <c r="D246" t="s">
        <v>240</v>
      </c>
      <c r="E246" s="16">
        <f t="shared" si="3"/>
        <v>2.7027027027027025E-2</v>
      </c>
    </row>
    <row r="247" spans="3:5">
      <c r="C247" t="s">
        <v>134</v>
      </c>
      <c r="D247" t="s">
        <v>241</v>
      </c>
      <c r="E247" s="16">
        <f t="shared" si="3"/>
        <v>2.7027027027027025E-2</v>
      </c>
    </row>
    <row r="248" spans="3:5">
      <c r="C248" t="s">
        <v>134</v>
      </c>
      <c r="D248" t="s">
        <v>242</v>
      </c>
      <c r="E248" s="16">
        <f t="shared" si="3"/>
        <v>2.7027027027027025E-2</v>
      </c>
    </row>
    <row r="249" spans="3:5">
      <c r="C249" t="s">
        <v>134</v>
      </c>
      <c r="D249" t="s">
        <v>243</v>
      </c>
      <c r="E249" s="16">
        <f t="shared" si="3"/>
        <v>2.7027027027027025E-2</v>
      </c>
    </row>
    <row r="250" spans="3:5">
      <c r="C250" t="s">
        <v>134</v>
      </c>
      <c r="D250" t="s">
        <v>244</v>
      </c>
      <c r="E250" s="16">
        <f t="shared" si="3"/>
        <v>2.7027027027027025E-2</v>
      </c>
    </row>
    <row r="251" spans="3:5">
      <c r="C251" t="s">
        <v>134</v>
      </c>
      <c r="D251" t="s">
        <v>245</v>
      </c>
      <c r="E251" s="16">
        <f t="shared" si="3"/>
        <v>2.7027027027027025E-2</v>
      </c>
    </row>
    <row r="252" spans="3:5">
      <c r="C252" t="s">
        <v>134</v>
      </c>
      <c r="D252" t="s">
        <v>246</v>
      </c>
      <c r="E252" s="16">
        <f t="shared" si="3"/>
        <v>2.7027027027027025E-2</v>
      </c>
    </row>
    <row r="253" spans="3:5">
      <c r="C253" t="s">
        <v>134</v>
      </c>
      <c r="D253" t="s">
        <v>247</v>
      </c>
      <c r="E253" s="16">
        <f t="shared" si="3"/>
        <v>2.7027027027027025E-2</v>
      </c>
    </row>
    <row r="254" spans="3:5">
      <c r="C254" t="s">
        <v>134</v>
      </c>
      <c r="D254" t="s">
        <v>103</v>
      </c>
      <c r="E254" s="16">
        <f t="shared" si="3"/>
        <v>2.7027027027027025E-2</v>
      </c>
    </row>
    <row r="255" spans="3:5">
      <c r="C255" t="s">
        <v>134</v>
      </c>
      <c r="D255" t="s">
        <v>248</v>
      </c>
      <c r="E255" s="16">
        <f t="shared" si="3"/>
        <v>2.7027027027027025E-2</v>
      </c>
    </row>
    <row r="256" spans="3:5">
      <c r="C256" t="s">
        <v>135</v>
      </c>
      <c r="D256" t="s">
        <v>237</v>
      </c>
      <c r="E256" s="16">
        <f t="shared" si="3"/>
        <v>2.7027027027027025E-2</v>
      </c>
    </row>
    <row r="257" spans="3:5">
      <c r="C257" t="s">
        <v>135</v>
      </c>
      <c r="D257" t="s">
        <v>239</v>
      </c>
      <c r="E257" s="16">
        <f t="shared" si="3"/>
        <v>2.7027027027027025E-2</v>
      </c>
    </row>
    <row r="258" spans="3:5">
      <c r="C258" t="s">
        <v>135</v>
      </c>
      <c r="D258" t="s">
        <v>240</v>
      </c>
      <c r="E258" s="16">
        <f t="shared" si="3"/>
        <v>2.7027027027027025E-2</v>
      </c>
    </row>
    <row r="259" spans="3:5">
      <c r="C259" t="s">
        <v>135</v>
      </c>
      <c r="D259" t="s">
        <v>241</v>
      </c>
      <c r="E259" s="16">
        <f t="shared" si="3"/>
        <v>2.7027027027027025E-2</v>
      </c>
    </row>
    <row r="260" spans="3:5">
      <c r="C260" t="s">
        <v>135</v>
      </c>
      <c r="D260" t="s">
        <v>242</v>
      </c>
      <c r="E260" s="16">
        <f t="shared" ref="E260:E323" si="4">100/$J$14/100</f>
        <v>2.7027027027027025E-2</v>
      </c>
    </row>
    <row r="261" spans="3:5">
      <c r="C261" t="s">
        <v>135</v>
      </c>
      <c r="D261" t="s">
        <v>243</v>
      </c>
      <c r="E261" s="16">
        <f t="shared" si="4"/>
        <v>2.7027027027027025E-2</v>
      </c>
    </row>
    <row r="262" spans="3:5">
      <c r="C262" t="s">
        <v>135</v>
      </c>
      <c r="D262" t="s">
        <v>244</v>
      </c>
      <c r="E262" s="16">
        <f t="shared" si="4"/>
        <v>2.7027027027027025E-2</v>
      </c>
    </row>
    <row r="263" spans="3:5">
      <c r="C263" t="s">
        <v>135</v>
      </c>
      <c r="D263" t="s">
        <v>245</v>
      </c>
      <c r="E263" s="16">
        <f t="shared" si="4"/>
        <v>2.7027027027027025E-2</v>
      </c>
    </row>
    <row r="264" spans="3:5">
      <c r="C264" t="s">
        <v>135</v>
      </c>
      <c r="D264" t="s">
        <v>246</v>
      </c>
      <c r="E264" s="16">
        <f t="shared" si="4"/>
        <v>2.7027027027027025E-2</v>
      </c>
    </row>
    <row r="265" spans="3:5">
      <c r="C265" t="s">
        <v>135</v>
      </c>
      <c r="D265" t="s">
        <v>247</v>
      </c>
      <c r="E265" s="16">
        <f t="shared" si="4"/>
        <v>2.7027027027027025E-2</v>
      </c>
    </row>
    <row r="266" spans="3:5">
      <c r="C266" t="s">
        <v>135</v>
      </c>
      <c r="D266" t="s">
        <v>103</v>
      </c>
      <c r="E266" s="16">
        <f t="shared" si="4"/>
        <v>2.7027027027027025E-2</v>
      </c>
    </row>
    <row r="267" spans="3:5">
      <c r="C267" t="s">
        <v>135</v>
      </c>
      <c r="D267" t="s">
        <v>248</v>
      </c>
      <c r="E267" s="16">
        <f t="shared" si="4"/>
        <v>2.7027027027027025E-2</v>
      </c>
    </row>
    <row r="268" spans="3:5">
      <c r="C268" t="s">
        <v>136</v>
      </c>
      <c r="D268" t="s">
        <v>237</v>
      </c>
      <c r="E268" s="16">
        <f t="shared" si="4"/>
        <v>2.7027027027027025E-2</v>
      </c>
    </row>
    <row r="269" spans="3:5">
      <c r="C269" t="s">
        <v>136</v>
      </c>
      <c r="D269" t="s">
        <v>239</v>
      </c>
      <c r="E269" s="16">
        <f t="shared" si="4"/>
        <v>2.7027027027027025E-2</v>
      </c>
    </row>
    <row r="270" spans="3:5">
      <c r="C270" t="s">
        <v>136</v>
      </c>
      <c r="D270" t="s">
        <v>240</v>
      </c>
      <c r="E270" s="16">
        <f t="shared" si="4"/>
        <v>2.7027027027027025E-2</v>
      </c>
    </row>
    <row r="271" spans="3:5">
      <c r="C271" t="s">
        <v>136</v>
      </c>
      <c r="D271" t="s">
        <v>241</v>
      </c>
      <c r="E271" s="16">
        <f t="shared" si="4"/>
        <v>2.7027027027027025E-2</v>
      </c>
    </row>
    <row r="272" spans="3:5">
      <c r="C272" t="s">
        <v>136</v>
      </c>
      <c r="D272" t="s">
        <v>242</v>
      </c>
      <c r="E272" s="16">
        <f t="shared" si="4"/>
        <v>2.7027027027027025E-2</v>
      </c>
    </row>
    <row r="273" spans="3:5">
      <c r="C273" t="s">
        <v>136</v>
      </c>
      <c r="D273" t="s">
        <v>243</v>
      </c>
      <c r="E273" s="16">
        <f t="shared" si="4"/>
        <v>2.7027027027027025E-2</v>
      </c>
    </row>
    <row r="274" spans="3:5">
      <c r="C274" t="s">
        <v>136</v>
      </c>
      <c r="D274" t="s">
        <v>244</v>
      </c>
      <c r="E274" s="16">
        <f t="shared" si="4"/>
        <v>2.7027027027027025E-2</v>
      </c>
    </row>
    <row r="275" spans="3:5">
      <c r="C275" t="s">
        <v>136</v>
      </c>
      <c r="D275" t="s">
        <v>245</v>
      </c>
      <c r="E275" s="16">
        <f t="shared" si="4"/>
        <v>2.7027027027027025E-2</v>
      </c>
    </row>
    <row r="276" spans="3:5">
      <c r="C276" t="s">
        <v>136</v>
      </c>
      <c r="D276" t="s">
        <v>246</v>
      </c>
      <c r="E276" s="16">
        <f t="shared" si="4"/>
        <v>2.7027027027027025E-2</v>
      </c>
    </row>
    <row r="277" spans="3:5">
      <c r="C277" t="s">
        <v>136</v>
      </c>
      <c r="D277" t="s">
        <v>247</v>
      </c>
      <c r="E277" s="16">
        <f t="shared" si="4"/>
        <v>2.7027027027027025E-2</v>
      </c>
    </row>
    <row r="278" spans="3:5">
      <c r="C278" t="s">
        <v>136</v>
      </c>
      <c r="D278" t="s">
        <v>103</v>
      </c>
      <c r="E278" s="16">
        <f t="shared" si="4"/>
        <v>2.7027027027027025E-2</v>
      </c>
    </row>
    <row r="279" spans="3:5">
      <c r="C279" t="s">
        <v>136</v>
      </c>
      <c r="D279" t="s">
        <v>248</v>
      </c>
      <c r="E279" s="16">
        <f t="shared" si="4"/>
        <v>2.7027027027027025E-2</v>
      </c>
    </row>
    <row r="280" spans="3:5">
      <c r="C280" t="s">
        <v>137</v>
      </c>
      <c r="D280" t="s">
        <v>237</v>
      </c>
      <c r="E280" s="16">
        <f t="shared" si="4"/>
        <v>2.7027027027027025E-2</v>
      </c>
    </row>
    <row r="281" spans="3:5">
      <c r="C281" t="s">
        <v>137</v>
      </c>
      <c r="D281" t="s">
        <v>239</v>
      </c>
      <c r="E281" s="16">
        <f t="shared" si="4"/>
        <v>2.7027027027027025E-2</v>
      </c>
    </row>
    <row r="282" spans="3:5">
      <c r="C282" t="s">
        <v>137</v>
      </c>
      <c r="D282" t="s">
        <v>240</v>
      </c>
      <c r="E282" s="16">
        <f t="shared" si="4"/>
        <v>2.7027027027027025E-2</v>
      </c>
    </row>
    <row r="283" spans="3:5">
      <c r="C283" t="s">
        <v>137</v>
      </c>
      <c r="D283" t="s">
        <v>241</v>
      </c>
      <c r="E283" s="16">
        <f t="shared" si="4"/>
        <v>2.7027027027027025E-2</v>
      </c>
    </row>
    <row r="284" spans="3:5">
      <c r="C284" t="s">
        <v>137</v>
      </c>
      <c r="D284" t="s">
        <v>242</v>
      </c>
      <c r="E284" s="16">
        <f t="shared" si="4"/>
        <v>2.7027027027027025E-2</v>
      </c>
    </row>
    <row r="285" spans="3:5">
      <c r="C285" t="s">
        <v>137</v>
      </c>
      <c r="D285" t="s">
        <v>243</v>
      </c>
      <c r="E285" s="16">
        <f t="shared" si="4"/>
        <v>2.7027027027027025E-2</v>
      </c>
    </row>
    <row r="286" spans="3:5">
      <c r="C286" t="s">
        <v>137</v>
      </c>
      <c r="D286" t="s">
        <v>244</v>
      </c>
      <c r="E286" s="16">
        <f t="shared" si="4"/>
        <v>2.7027027027027025E-2</v>
      </c>
    </row>
    <row r="287" spans="3:5">
      <c r="C287" t="s">
        <v>137</v>
      </c>
      <c r="D287" t="s">
        <v>245</v>
      </c>
      <c r="E287" s="16">
        <f t="shared" si="4"/>
        <v>2.7027027027027025E-2</v>
      </c>
    </row>
    <row r="288" spans="3:5">
      <c r="C288" t="s">
        <v>137</v>
      </c>
      <c r="D288" t="s">
        <v>246</v>
      </c>
      <c r="E288" s="16">
        <f t="shared" si="4"/>
        <v>2.7027027027027025E-2</v>
      </c>
    </row>
    <row r="289" spans="3:5">
      <c r="C289" t="s">
        <v>137</v>
      </c>
      <c r="D289" t="s">
        <v>247</v>
      </c>
      <c r="E289" s="16">
        <f t="shared" si="4"/>
        <v>2.7027027027027025E-2</v>
      </c>
    </row>
    <row r="290" spans="3:5">
      <c r="C290" t="s">
        <v>137</v>
      </c>
      <c r="D290" t="s">
        <v>103</v>
      </c>
      <c r="E290" s="16">
        <f t="shared" si="4"/>
        <v>2.7027027027027025E-2</v>
      </c>
    </row>
    <row r="291" spans="3:5">
      <c r="C291" t="s">
        <v>137</v>
      </c>
      <c r="D291" t="s">
        <v>248</v>
      </c>
      <c r="E291" s="16">
        <f t="shared" si="4"/>
        <v>2.7027027027027025E-2</v>
      </c>
    </row>
    <row r="292" spans="3:5">
      <c r="C292" t="s">
        <v>138</v>
      </c>
      <c r="D292" t="s">
        <v>237</v>
      </c>
      <c r="E292" s="16">
        <f t="shared" si="4"/>
        <v>2.7027027027027025E-2</v>
      </c>
    </row>
    <row r="293" spans="3:5">
      <c r="C293" t="s">
        <v>138</v>
      </c>
      <c r="D293" t="s">
        <v>239</v>
      </c>
      <c r="E293" s="16">
        <f t="shared" si="4"/>
        <v>2.7027027027027025E-2</v>
      </c>
    </row>
    <row r="294" spans="3:5">
      <c r="C294" t="s">
        <v>138</v>
      </c>
      <c r="D294" t="s">
        <v>240</v>
      </c>
      <c r="E294" s="16">
        <f t="shared" si="4"/>
        <v>2.7027027027027025E-2</v>
      </c>
    </row>
    <row r="295" spans="3:5">
      <c r="C295" t="s">
        <v>138</v>
      </c>
      <c r="D295" t="s">
        <v>241</v>
      </c>
      <c r="E295" s="16">
        <f t="shared" si="4"/>
        <v>2.7027027027027025E-2</v>
      </c>
    </row>
    <row r="296" spans="3:5">
      <c r="C296" t="s">
        <v>138</v>
      </c>
      <c r="D296" t="s">
        <v>242</v>
      </c>
      <c r="E296" s="16">
        <f t="shared" si="4"/>
        <v>2.7027027027027025E-2</v>
      </c>
    </row>
    <row r="297" spans="3:5">
      <c r="C297" t="s">
        <v>138</v>
      </c>
      <c r="D297" t="s">
        <v>243</v>
      </c>
      <c r="E297" s="16">
        <f t="shared" si="4"/>
        <v>2.7027027027027025E-2</v>
      </c>
    </row>
    <row r="298" spans="3:5">
      <c r="C298" t="s">
        <v>138</v>
      </c>
      <c r="D298" t="s">
        <v>244</v>
      </c>
      <c r="E298" s="16">
        <f t="shared" si="4"/>
        <v>2.7027027027027025E-2</v>
      </c>
    </row>
    <row r="299" spans="3:5">
      <c r="C299" t="s">
        <v>138</v>
      </c>
      <c r="D299" t="s">
        <v>245</v>
      </c>
      <c r="E299" s="16">
        <f t="shared" si="4"/>
        <v>2.7027027027027025E-2</v>
      </c>
    </row>
    <row r="300" spans="3:5">
      <c r="C300" t="s">
        <v>138</v>
      </c>
      <c r="D300" t="s">
        <v>246</v>
      </c>
      <c r="E300" s="16">
        <f t="shared" si="4"/>
        <v>2.7027027027027025E-2</v>
      </c>
    </row>
    <row r="301" spans="3:5">
      <c r="C301" t="s">
        <v>138</v>
      </c>
      <c r="D301" t="s">
        <v>247</v>
      </c>
      <c r="E301" s="16">
        <f t="shared" si="4"/>
        <v>2.7027027027027025E-2</v>
      </c>
    </row>
    <row r="302" spans="3:5">
      <c r="C302" t="s">
        <v>138</v>
      </c>
      <c r="D302" t="s">
        <v>103</v>
      </c>
      <c r="E302" s="16">
        <f t="shared" si="4"/>
        <v>2.7027027027027025E-2</v>
      </c>
    </row>
    <row r="303" spans="3:5">
      <c r="C303" t="s">
        <v>138</v>
      </c>
      <c r="D303" t="s">
        <v>248</v>
      </c>
      <c r="E303" s="16">
        <f t="shared" si="4"/>
        <v>2.7027027027027025E-2</v>
      </c>
    </row>
    <row r="304" spans="3:5">
      <c r="C304" t="s">
        <v>139</v>
      </c>
      <c r="D304" t="s">
        <v>237</v>
      </c>
      <c r="E304" s="16">
        <f t="shared" si="4"/>
        <v>2.7027027027027025E-2</v>
      </c>
    </row>
    <row r="305" spans="3:5">
      <c r="C305" t="s">
        <v>139</v>
      </c>
      <c r="D305" t="s">
        <v>239</v>
      </c>
      <c r="E305" s="16">
        <f t="shared" si="4"/>
        <v>2.7027027027027025E-2</v>
      </c>
    </row>
    <row r="306" spans="3:5">
      <c r="C306" t="s">
        <v>139</v>
      </c>
      <c r="D306" t="s">
        <v>240</v>
      </c>
      <c r="E306" s="16">
        <f t="shared" si="4"/>
        <v>2.7027027027027025E-2</v>
      </c>
    </row>
    <row r="307" spans="3:5">
      <c r="C307" t="s">
        <v>139</v>
      </c>
      <c r="D307" t="s">
        <v>241</v>
      </c>
      <c r="E307" s="16">
        <f t="shared" si="4"/>
        <v>2.7027027027027025E-2</v>
      </c>
    </row>
    <row r="308" spans="3:5">
      <c r="C308" t="s">
        <v>139</v>
      </c>
      <c r="D308" t="s">
        <v>242</v>
      </c>
      <c r="E308" s="16">
        <f t="shared" si="4"/>
        <v>2.7027027027027025E-2</v>
      </c>
    </row>
    <row r="309" spans="3:5">
      <c r="C309" t="s">
        <v>139</v>
      </c>
      <c r="D309" t="s">
        <v>243</v>
      </c>
      <c r="E309" s="16">
        <f t="shared" si="4"/>
        <v>2.7027027027027025E-2</v>
      </c>
    </row>
    <row r="310" spans="3:5">
      <c r="C310" t="s">
        <v>139</v>
      </c>
      <c r="D310" t="s">
        <v>244</v>
      </c>
      <c r="E310" s="16">
        <f t="shared" si="4"/>
        <v>2.7027027027027025E-2</v>
      </c>
    </row>
    <row r="311" spans="3:5">
      <c r="C311" t="s">
        <v>139</v>
      </c>
      <c r="D311" t="s">
        <v>245</v>
      </c>
      <c r="E311" s="16">
        <f t="shared" si="4"/>
        <v>2.7027027027027025E-2</v>
      </c>
    </row>
    <row r="312" spans="3:5">
      <c r="C312" t="s">
        <v>139</v>
      </c>
      <c r="D312" t="s">
        <v>246</v>
      </c>
      <c r="E312" s="16">
        <f t="shared" si="4"/>
        <v>2.7027027027027025E-2</v>
      </c>
    </row>
    <row r="313" spans="3:5">
      <c r="C313" t="s">
        <v>139</v>
      </c>
      <c r="D313" t="s">
        <v>247</v>
      </c>
      <c r="E313" s="16">
        <f t="shared" si="4"/>
        <v>2.7027027027027025E-2</v>
      </c>
    </row>
    <row r="314" spans="3:5">
      <c r="C314" t="s">
        <v>139</v>
      </c>
      <c r="D314" t="s">
        <v>103</v>
      </c>
      <c r="E314" s="16">
        <f t="shared" si="4"/>
        <v>2.7027027027027025E-2</v>
      </c>
    </row>
    <row r="315" spans="3:5">
      <c r="C315" t="s">
        <v>139</v>
      </c>
      <c r="D315" t="s">
        <v>248</v>
      </c>
      <c r="E315" s="16">
        <f t="shared" si="4"/>
        <v>2.7027027027027025E-2</v>
      </c>
    </row>
    <row r="316" spans="3:5">
      <c r="C316" t="s">
        <v>140</v>
      </c>
      <c r="D316" t="s">
        <v>237</v>
      </c>
      <c r="E316" s="16">
        <f t="shared" si="4"/>
        <v>2.7027027027027025E-2</v>
      </c>
    </row>
    <row r="317" spans="3:5">
      <c r="C317" t="s">
        <v>140</v>
      </c>
      <c r="D317" t="s">
        <v>239</v>
      </c>
      <c r="E317" s="16">
        <f t="shared" si="4"/>
        <v>2.7027027027027025E-2</v>
      </c>
    </row>
    <row r="318" spans="3:5">
      <c r="C318" t="s">
        <v>140</v>
      </c>
      <c r="D318" t="s">
        <v>240</v>
      </c>
      <c r="E318" s="16">
        <f t="shared" si="4"/>
        <v>2.7027027027027025E-2</v>
      </c>
    </row>
    <row r="319" spans="3:5">
      <c r="C319" t="s">
        <v>140</v>
      </c>
      <c r="D319" t="s">
        <v>241</v>
      </c>
      <c r="E319" s="16">
        <f t="shared" si="4"/>
        <v>2.7027027027027025E-2</v>
      </c>
    </row>
    <row r="320" spans="3:5">
      <c r="C320" t="s">
        <v>140</v>
      </c>
      <c r="D320" t="s">
        <v>242</v>
      </c>
      <c r="E320" s="16">
        <f t="shared" si="4"/>
        <v>2.7027027027027025E-2</v>
      </c>
    </row>
    <row r="321" spans="3:5">
      <c r="C321" t="s">
        <v>140</v>
      </c>
      <c r="D321" t="s">
        <v>243</v>
      </c>
      <c r="E321" s="16">
        <f t="shared" si="4"/>
        <v>2.7027027027027025E-2</v>
      </c>
    </row>
    <row r="322" spans="3:5">
      <c r="C322" t="s">
        <v>140</v>
      </c>
      <c r="D322" t="s">
        <v>244</v>
      </c>
      <c r="E322" s="16">
        <f t="shared" si="4"/>
        <v>2.7027027027027025E-2</v>
      </c>
    </row>
    <row r="323" spans="3:5">
      <c r="C323" t="s">
        <v>140</v>
      </c>
      <c r="D323" t="s">
        <v>245</v>
      </c>
      <c r="E323" s="16">
        <f t="shared" si="4"/>
        <v>2.7027027027027025E-2</v>
      </c>
    </row>
    <row r="324" spans="3:5">
      <c r="C324" t="s">
        <v>140</v>
      </c>
      <c r="D324" t="s">
        <v>246</v>
      </c>
      <c r="E324" s="16">
        <f t="shared" ref="E324:E387" si="5">100/$J$14/100</f>
        <v>2.7027027027027025E-2</v>
      </c>
    </row>
    <row r="325" spans="3:5">
      <c r="C325" t="s">
        <v>140</v>
      </c>
      <c r="D325" t="s">
        <v>247</v>
      </c>
      <c r="E325" s="16">
        <f t="shared" si="5"/>
        <v>2.7027027027027025E-2</v>
      </c>
    </row>
    <row r="326" spans="3:5">
      <c r="C326" t="s">
        <v>140</v>
      </c>
      <c r="D326" t="s">
        <v>103</v>
      </c>
      <c r="E326" s="16">
        <f t="shared" si="5"/>
        <v>2.7027027027027025E-2</v>
      </c>
    </row>
    <row r="327" spans="3:5">
      <c r="C327" t="s">
        <v>140</v>
      </c>
      <c r="D327" t="s">
        <v>248</v>
      </c>
      <c r="E327" s="16">
        <f t="shared" si="5"/>
        <v>2.7027027027027025E-2</v>
      </c>
    </row>
    <row r="328" spans="3:5">
      <c r="C328" t="s">
        <v>141</v>
      </c>
      <c r="D328" t="s">
        <v>237</v>
      </c>
      <c r="E328" s="16">
        <f t="shared" si="5"/>
        <v>2.7027027027027025E-2</v>
      </c>
    </row>
    <row r="329" spans="3:5">
      <c r="C329" t="s">
        <v>141</v>
      </c>
      <c r="D329" t="s">
        <v>239</v>
      </c>
      <c r="E329" s="16">
        <f t="shared" si="5"/>
        <v>2.7027027027027025E-2</v>
      </c>
    </row>
    <row r="330" spans="3:5">
      <c r="C330" t="s">
        <v>141</v>
      </c>
      <c r="D330" t="s">
        <v>240</v>
      </c>
      <c r="E330" s="16">
        <f t="shared" si="5"/>
        <v>2.7027027027027025E-2</v>
      </c>
    </row>
    <row r="331" spans="3:5">
      <c r="C331" t="s">
        <v>141</v>
      </c>
      <c r="D331" t="s">
        <v>241</v>
      </c>
      <c r="E331" s="16">
        <f t="shared" si="5"/>
        <v>2.7027027027027025E-2</v>
      </c>
    </row>
    <row r="332" spans="3:5">
      <c r="C332" t="s">
        <v>141</v>
      </c>
      <c r="D332" t="s">
        <v>242</v>
      </c>
      <c r="E332" s="16">
        <f t="shared" si="5"/>
        <v>2.7027027027027025E-2</v>
      </c>
    </row>
    <row r="333" spans="3:5">
      <c r="C333" t="s">
        <v>141</v>
      </c>
      <c r="D333" t="s">
        <v>243</v>
      </c>
      <c r="E333" s="16">
        <f t="shared" si="5"/>
        <v>2.7027027027027025E-2</v>
      </c>
    </row>
    <row r="334" spans="3:5">
      <c r="C334" t="s">
        <v>141</v>
      </c>
      <c r="D334" t="s">
        <v>244</v>
      </c>
      <c r="E334" s="16">
        <f t="shared" si="5"/>
        <v>2.7027027027027025E-2</v>
      </c>
    </row>
    <row r="335" spans="3:5">
      <c r="C335" t="s">
        <v>141</v>
      </c>
      <c r="D335" t="s">
        <v>245</v>
      </c>
      <c r="E335" s="16">
        <f t="shared" si="5"/>
        <v>2.7027027027027025E-2</v>
      </c>
    </row>
    <row r="336" spans="3:5">
      <c r="C336" t="s">
        <v>141</v>
      </c>
      <c r="D336" t="s">
        <v>246</v>
      </c>
      <c r="E336" s="16">
        <f t="shared" si="5"/>
        <v>2.7027027027027025E-2</v>
      </c>
    </row>
    <row r="337" spans="3:5">
      <c r="C337" t="s">
        <v>141</v>
      </c>
      <c r="D337" t="s">
        <v>247</v>
      </c>
      <c r="E337" s="16">
        <f t="shared" si="5"/>
        <v>2.7027027027027025E-2</v>
      </c>
    </row>
    <row r="338" spans="3:5">
      <c r="C338" t="s">
        <v>141</v>
      </c>
      <c r="D338" t="s">
        <v>103</v>
      </c>
      <c r="E338" s="16">
        <f t="shared" si="5"/>
        <v>2.7027027027027025E-2</v>
      </c>
    </row>
    <row r="339" spans="3:5">
      <c r="C339" t="s">
        <v>141</v>
      </c>
      <c r="D339" t="s">
        <v>248</v>
      </c>
      <c r="E339" s="16">
        <f t="shared" si="5"/>
        <v>2.7027027027027025E-2</v>
      </c>
    </row>
    <row r="340" spans="3:5">
      <c r="C340" t="s">
        <v>142</v>
      </c>
      <c r="D340" t="s">
        <v>237</v>
      </c>
      <c r="E340" s="16">
        <f t="shared" si="5"/>
        <v>2.7027027027027025E-2</v>
      </c>
    </row>
    <row r="341" spans="3:5">
      <c r="C341" t="s">
        <v>142</v>
      </c>
      <c r="D341" t="s">
        <v>239</v>
      </c>
      <c r="E341" s="16">
        <f t="shared" si="5"/>
        <v>2.7027027027027025E-2</v>
      </c>
    </row>
    <row r="342" spans="3:5">
      <c r="C342" t="s">
        <v>142</v>
      </c>
      <c r="D342" t="s">
        <v>240</v>
      </c>
      <c r="E342" s="16">
        <f t="shared" si="5"/>
        <v>2.7027027027027025E-2</v>
      </c>
    </row>
    <row r="343" spans="3:5">
      <c r="C343" t="s">
        <v>142</v>
      </c>
      <c r="D343" t="s">
        <v>241</v>
      </c>
      <c r="E343" s="16">
        <f t="shared" si="5"/>
        <v>2.7027027027027025E-2</v>
      </c>
    </row>
    <row r="344" spans="3:5">
      <c r="C344" t="s">
        <v>142</v>
      </c>
      <c r="D344" t="s">
        <v>242</v>
      </c>
      <c r="E344" s="16">
        <f t="shared" si="5"/>
        <v>2.7027027027027025E-2</v>
      </c>
    </row>
    <row r="345" spans="3:5">
      <c r="C345" t="s">
        <v>142</v>
      </c>
      <c r="D345" t="s">
        <v>243</v>
      </c>
      <c r="E345" s="16">
        <f t="shared" si="5"/>
        <v>2.7027027027027025E-2</v>
      </c>
    </row>
    <row r="346" spans="3:5">
      <c r="C346" t="s">
        <v>142</v>
      </c>
      <c r="D346" t="s">
        <v>244</v>
      </c>
      <c r="E346" s="16">
        <f t="shared" si="5"/>
        <v>2.7027027027027025E-2</v>
      </c>
    </row>
    <row r="347" spans="3:5">
      <c r="C347" t="s">
        <v>142</v>
      </c>
      <c r="D347" t="s">
        <v>245</v>
      </c>
      <c r="E347" s="16">
        <f t="shared" si="5"/>
        <v>2.7027027027027025E-2</v>
      </c>
    </row>
    <row r="348" spans="3:5">
      <c r="C348" t="s">
        <v>142</v>
      </c>
      <c r="D348" t="s">
        <v>246</v>
      </c>
      <c r="E348" s="16">
        <f t="shared" si="5"/>
        <v>2.7027027027027025E-2</v>
      </c>
    </row>
    <row r="349" spans="3:5">
      <c r="C349" t="s">
        <v>142</v>
      </c>
      <c r="D349" t="s">
        <v>247</v>
      </c>
      <c r="E349" s="16">
        <f t="shared" si="5"/>
        <v>2.7027027027027025E-2</v>
      </c>
    </row>
    <row r="350" spans="3:5">
      <c r="C350" t="s">
        <v>142</v>
      </c>
      <c r="D350" t="s">
        <v>103</v>
      </c>
      <c r="E350" s="16">
        <f t="shared" si="5"/>
        <v>2.7027027027027025E-2</v>
      </c>
    </row>
    <row r="351" spans="3:5">
      <c r="C351" t="s">
        <v>142</v>
      </c>
      <c r="D351" t="s">
        <v>248</v>
      </c>
      <c r="E351" s="16">
        <f t="shared" si="5"/>
        <v>2.7027027027027025E-2</v>
      </c>
    </row>
    <row r="352" spans="3:5">
      <c r="C352" t="s">
        <v>143</v>
      </c>
      <c r="D352" t="s">
        <v>237</v>
      </c>
      <c r="E352" s="16">
        <f t="shared" si="5"/>
        <v>2.7027027027027025E-2</v>
      </c>
    </row>
    <row r="353" spans="3:5">
      <c r="C353" t="s">
        <v>143</v>
      </c>
      <c r="D353" t="s">
        <v>239</v>
      </c>
      <c r="E353" s="16">
        <f t="shared" si="5"/>
        <v>2.7027027027027025E-2</v>
      </c>
    </row>
    <row r="354" spans="3:5">
      <c r="C354" t="s">
        <v>143</v>
      </c>
      <c r="D354" t="s">
        <v>240</v>
      </c>
      <c r="E354" s="16">
        <f t="shared" si="5"/>
        <v>2.7027027027027025E-2</v>
      </c>
    </row>
    <row r="355" spans="3:5">
      <c r="C355" t="s">
        <v>143</v>
      </c>
      <c r="D355" t="s">
        <v>241</v>
      </c>
      <c r="E355" s="16">
        <f t="shared" si="5"/>
        <v>2.7027027027027025E-2</v>
      </c>
    </row>
    <row r="356" spans="3:5">
      <c r="C356" t="s">
        <v>143</v>
      </c>
      <c r="D356" t="s">
        <v>242</v>
      </c>
      <c r="E356" s="16">
        <f t="shared" si="5"/>
        <v>2.7027027027027025E-2</v>
      </c>
    </row>
    <row r="357" spans="3:5">
      <c r="C357" t="s">
        <v>143</v>
      </c>
      <c r="D357" t="s">
        <v>243</v>
      </c>
      <c r="E357" s="16">
        <f t="shared" si="5"/>
        <v>2.7027027027027025E-2</v>
      </c>
    </row>
    <row r="358" spans="3:5">
      <c r="C358" t="s">
        <v>143</v>
      </c>
      <c r="D358" t="s">
        <v>244</v>
      </c>
      <c r="E358" s="16">
        <f t="shared" si="5"/>
        <v>2.7027027027027025E-2</v>
      </c>
    </row>
    <row r="359" spans="3:5">
      <c r="C359" t="s">
        <v>143</v>
      </c>
      <c r="D359" t="s">
        <v>245</v>
      </c>
      <c r="E359" s="16">
        <f t="shared" si="5"/>
        <v>2.7027027027027025E-2</v>
      </c>
    </row>
    <row r="360" spans="3:5">
      <c r="C360" t="s">
        <v>143</v>
      </c>
      <c r="D360" t="s">
        <v>246</v>
      </c>
      <c r="E360" s="16">
        <f t="shared" si="5"/>
        <v>2.7027027027027025E-2</v>
      </c>
    </row>
    <row r="361" spans="3:5">
      <c r="C361" t="s">
        <v>143</v>
      </c>
      <c r="D361" t="s">
        <v>247</v>
      </c>
      <c r="E361" s="16">
        <f t="shared" si="5"/>
        <v>2.7027027027027025E-2</v>
      </c>
    </row>
    <row r="362" spans="3:5">
      <c r="C362" t="s">
        <v>143</v>
      </c>
      <c r="D362" t="s">
        <v>103</v>
      </c>
      <c r="E362" s="16">
        <f t="shared" si="5"/>
        <v>2.7027027027027025E-2</v>
      </c>
    </row>
    <row r="363" spans="3:5">
      <c r="C363" t="s">
        <v>143</v>
      </c>
      <c r="D363" t="s">
        <v>248</v>
      </c>
      <c r="E363" s="16">
        <f t="shared" si="5"/>
        <v>2.7027027027027025E-2</v>
      </c>
    </row>
    <row r="364" spans="3:5">
      <c r="C364" t="s">
        <v>145</v>
      </c>
      <c r="D364" t="s">
        <v>237</v>
      </c>
      <c r="E364" s="16">
        <f t="shared" si="5"/>
        <v>2.7027027027027025E-2</v>
      </c>
    </row>
    <row r="365" spans="3:5">
      <c r="C365" t="s">
        <v>145</v>
      </c>
      <c r="D365" t="s">
        <v>239</v>
      </c>
      <c r="E365" s="16">
        <f t="shared" si="5"/>
        <v>2.7027027027027025E-2</v>
      </c>
    </row>
    <row r="366" spans="3:5">
      <c r="C366" t="s">
        <v>145</v>
      </c>
      <c r="D366" t="s">
        <v>240</v>
      </c>
      <c r="E366" s="16">
        <f t="shared" si="5"/>
        <v>2.7027027027027025E-2</v>
      </c>
    </row>
    <row r="367" spans="3:5">
      <c r="C367" t="s">
        <v>145</v>
      </c>
      <c r="D367" t="s">
        <v>241</v>
      </c>
      <c r="E367" s="16">
        <f t="shared" si="5"/>
        <v>2.7027027027027025E-2</v>
      </c>
    </row>
    <row r="368" spans="3:5">
      <c r="C368" t="s">
        <v>145</v>
      </c>
      <c r="D368" t="s">
        <v>242</v>
      </c>
      <c r="E368" s="16">
        <f t="shared" si="5"/>
        <v>2.7027027027027025E-2</v>
      </c>
    </row>
    <row r="369" spans="3:5">
      <c r="C369" t="s">
        <v>145</v>
      </c>
      <c r="D369" t="s">
        <v>243</v>
      </c>
      <c r="E369" s="16">
        <f t="shared" si="5"/>
        <v>2.7027027027027025E-2</v>
      </c>
    </row>
    <row r="370" spans="3:5">
      <c r="C370" t="s">
        <v>145</v>
      </c>
      <c r="D370" t="s">
        <v>244</v>
      </c>
      <c r="E370" s="16">
        <f t="shared" si="5"/>
        <v>2.7027027027027025E-2</v>
      </c>
    </row>
    <row r="371" spans="3:5">
      <c r="C371" t="s">
        <v>145</v>
      </c>
      <c r="D371" t="s">
        <v>245</v>
      </c>
      <c r="E371" s="16">
        <f t="shared" si="5"/>
        <v>2.7027027027027025E-2</v>
      </c>
    </row>
    <row r="372" spans="3:5">
      <c r="C372" t="s">
        <v>145</v>
      </c>
      <c r="D372" t="s">
        <v>246</v>
      </c>
      <c r="E372" s="16">
        <f t="shared" si="5"/>
        <v>2.7027027027027025E-2</v>
      </c>
    </row>
    <row r="373" spans="3:5">
      <c r="C373" t="s">
        <v>145</v>
      </c>
      <c r="D373" t="s">
        <v>247</v>
      </c>
      <c r="E373" s="16">
        <f t="shared" si="5"/>
        <v>2.7027027027027025E-2</v>
      </c>
    </row>
    <row r="374" spans="3:5">
      <c r="C374" t="s">
        <v>145</v>
      </c>
      <c r="D374" t="s">
        <v>103</v>
      </c>
      <c r="E374" s="16">
        <f t="shared" si="5"/>
        <v>2.7027027027027025E-2</v>
      </c>
    </row>
    <row r="375" spans="3:5">
      <c r="C375" t="s">
        <v>145</v>
      </c>
      <c r="D375" t="s">
        <v>248</v>
      </c>
      <c r="E375" s="16">
        <f t="shared" si="5"/>
        <v>2.7027027027027025E-2</v>
      </c>
    </row>
    <row r="376" spans="3:5">
      <c r="C376" t="s">
        <v>146</v>
      </c>
      <c r="D376" t="s">
        <v>237</v>
      </c>
      <c r="E376" s="16">
        <f t="shared" si="5"/>
        <v>2.7027027027027025E-2</v>
      </c>
    </row>
    <row r="377" spans="3:5">
      <c r="C377" t="s">
        <v>146</v>
      </c>
      <c r="D377" t="s">
        <v>239</v>
      </c>
      <c r="E377" s="16">
        <f t="shared" si="5"/>
        <v>2.7027027027027025E-2</v>
      </c>
    </row>
    <row r="378" spans="3:5">
      <c r="C378" t="s">
        <v>146</v>
      </c>
      <c r="D378" t="s">
        <v>240</v>
      </c>
      <c r="E378" s="16">
        <f t="shared" si="5"/>
        <v>2.7027027027027025E-2</v>
      </c>
    </row>
    <row r="379" spans="3:5">
      <c r="C379" t="s">
        <v>146</v>
      </c>
      <c r="D379" t="s">
        <v>241</v>
      </c>
      <c r="E379" s="16">
        <f t="shared" si="5"/>
        <v>2.7027027027027025E-2</v>
      </c>
    </row>
    <row r="380" spans="3:5">
      <c r="C380" t="s">
        <v>146</v>
      </c>
      <c r="D380" t="s">
        <v>242</v>
      </c>
      <c r="E380" s="16">
        <f t="shared" si="5"/>
        <v>2.7027027027027025E-2</v>
      </c>
    </row>
    <row r="381" spans="3:5">
      <c r="C381" t="s">
        <v>146</v>
      </c>
      <c r="D381" t="s">
        <v>243</v>
      </c>
      <c r="E381" s="16">
        <f t="shared" si="5"/>
        <v>2.7027027027027025E-2</v>
      </c>
    </row>
    <row r="382" spans="3:5">
      <c r="C382" t="s">
        <v>146</v>
      </c>
      <c r="D382" t="s">
        <v>244</v>
      </c>
      <c r="E382" s="16">
        <f t="shared" si="5"/>
        <v>2.7027027027027025E-2</v>
      </c>
    </row>
    <row r="383" spans="3:5">
      <c r="C383" t="s">
        <v>146</v>
      </c>
      <c r="D383" t="s">
        <v>245</v>
      </c>
      <c r="E383" s="16">
        <f t="shared" si="5"/>
        <v>2.7027027027027025E-2</v>
      </c>
    </row>
    <row r="384" spans="3:5">
      <c r="C384" t="s">
        <v>146</v>
      </c>
      <c r="D384" t="s">
        <v>246</v>
      </c>
      <c r="E384" s="16">
        <f t="shared" si="5"/>
        <v>2.7027027027027025E-2</v>
      </c>
    </row>
    <row r="385" spans="3:5">
      <c r="C385" t="s">
        <v>146</v>
      </c>
      <c r="D385" t="s">
        <v>247</v>
      </c>
      <c r="E385" s="16">
        <f t="shared" si="5"/>
        <v>2.7027027027027025E-2</v>
      </c>
    </row>
    <row r="386" spans="3:5">
      <c r="C386" t="s">
        <v>146</v>
      </c>
      <c r="D386" t="s">
        <v>103</v>
      </c>
      <c r="E386" s="16">
        <f t="shared" si="5"/>
        <v>2.7027027027027025E-2</v>
      </c>
    </row>
    <row r="387" spans="3:5">
      <c r="C387" t="s">
        <v>146</v>
      </c>
      <c r="D387" t="s">
        <v>248</v>
      </c>
      <c r="E387" s="16">
        <f t="shared" si="5"/>
        <v>2.7027027027027025E-2</v>
      </c>
    </row>
    <row r="388" spans="3:5">
      <c r="C388" t="s">
        <v>148</v>
      </c>
      <c r="D388" t="s">
        <v>237</v>
      </c>
      <c r="E388" s="16">
        <f t="shared" ref="E388:E447" si="6">100/$J$14/100</f>
        <v>2.7027027027027025E-2</v>
      </c>
    </row>
    <row r="389" spans="3:5">
      <c r="C389" t="s">
        <v>148</v>
      </c>
      <c r="D389" t="s">
        <v>239</v>
      </c>
      <c r="E389" s="16">
        <f t="shared" si="6"/>
        <v>2.7027027027027025E-2</v>
      </c>
    </row>
    <row r="390" spans="3:5">
      <c r="C390" t="s">
        <v>148</v>
      </c>
      <c r="D390" t="s">
        <v>240</v>
      </c>
      <c r="E390" s="16">
        <f t="shared" si="6"/>
        <v>2.7027027027027025E-2</v>
      </c>
    </row>
    <row r="391" spans="3:5">
      <c r="C391" t="s">
        <v>148</v>
      </c>
      <c r="D391" t="s">
        <v>241</v>
      </c>
      <c r="E391" s="16">
        <f t="shared" si="6"/>
        <v>2.7027027027027025E-2</v>
      </c>
    </row>
    <row r="392" spans="3:5">
      <c r="C392" t="s">
        <v>148</v>
      </c>
      <c r="D392" t="s">
        <v>242</v>
      </c>
      <c r="E392" s="16">
        <f t="shared" si="6"/>
        <v>2.7027027027027025E-2</v>
      </c>
    </row>
    <row r="393" spans="3:5">
      <c r="C393" t="s">
        <v>148</v>
      </c>
      <c r="D393" t="s">
        <v>243</v>
      </c>
      <c r="E393" s="16">
        <f t="shared" si="6"/>
        <v>2.7027027027027025E-2</v>
      </c>
    </row>
    <row r="394" spans="3:5">
      <c r="C394" t="s">
        <v>148</v>
      </c>
      <c r="D394" t="s">
        <v>244</v>
      </c>
      <c r="E394" s="16">
        <f t="shared" si="6"/>
        <v>2.7027027027027025E-2</v>
      </c>
    </row>
    <row r="395" spans="3:5">
      <c r="C395" t="s">
        <v>148</v>
      </c>
      <c r="D395" t="s">
        <v>245</v>
      </c>
      <c r="E395" s="16">
        <f t="shared" si="6"/>
        <v>2.7027027027027025E-2</v>
      </c>
    </row>
    <row r="396" spans="3:5">
      <c r="C396" t="s">
        <v>148</v>
      </c>
      <c r="D396" t="s">
        <v>246</v>
      </c>
      <c r="E396" s="16">
        <f t="shared" si="6"/>
        <v>2.7027027027027025E-2</v>
      </c>
    </row>
    <row r="397" spans="3:5">
      <c r="C397" t="s">
        <v>148</v>
      </c>
      <c r="D397" t="s">
        <v>247</v>
      </c>
      <c r="E397" s="16">
        <f t="shared" si="6"/>
        <v>2.7027027027027025E-2</v>
      </c>
    </row>
    <row r="398" spans="3:5">
      <c r="C398" t="s">
        <v>148</v>
      </c>
      <c r="D398" t="s">
        <v>103</v>
      </c>
      <c r="E398" s="16">
        <f t="shared" si="6"/>
        <v>2.7027027027027025E-2</v>
      </c>
    </row>
    <row r="399" spans="3:5">
      <c r="C399" t="s">
        <v>148</v>
      </c>
      <c r="D399" t="s">
        <v>248</v>
      </c>
      <c r="E399" s="16">
        <f t="shared" si="6"/>
        <v>2.7027027027027025E-2</v>
      </c>
    </row>
    <row r="400" spans="3:5">
      <c r="C400" t="s">
        <v>147</v>
      </c>
      <c r="D400" t="s">
        <v>237</v>
      </c>
      <c r="E400" s="16">
        <f t="shared" si="6"/>
        <v>2.7027027027027025E-2</v>
      </c>
    </row>
    <row r="401" spans="3:5">
      <c r="C401" t="s">
        <v>147</v>
      </c>
      <c r="D401" t="s">
        <v>239</v>
      </c>
      <c r="E401" s="16">
        <f t="shared" si="6"/>
        <v>2.7027027027027025E-2</v>
      </c>
    </row>
    <row r="402" spans="3:5">
      <c r="C402" t="s">
        <v>147</v>
      </c>
      <c r="D402" t="s">
        <v>240</v>
      </c>
      <c r="E402" s="16">
        <f t="shared" si="6"/>
        <v>2.7027027027027025E-2</v>
      </c>
    </row>
    <row r="403" spans="3:5">
      <c r="C403" t="s">
        <v>147</v>
      </c>
      <c r="D403" t="s">
        <v>241</v>
      </c>
      <c r="E403" s="16">
        <f t="shared" si="6"/>
        <v>2.7027027027027025E-2</v>
      </c>
    </row>
    <row r="404" spans="3:5">
      <c r="C404" t="s">
        <v>147</v>
      </c>
      <c r="D404" t="s">
        <v>242</v>
      </c>
      <c r="E404" s="16">
        <f t="shared" si="6"/>
        <v>2.7027027027027025E-2</v>
      </c>
    </row>
    <row r="405" spans="3:5">
      <c r="C405" t="s">
        <v>147</v>
      </c>
      <c r="D405" t="s">
        <v>243</v>
      </c>
      <c r="E405" s="16">
        <f t="shared" si="6"/>
        <v>2.7027027027027025E-2</v>
      </c>
    </row>
    <row r="406" spans="3:5">
      <c r="C406" t="s">
        <v>147</v>
      </c>
      <c r="D406" t="s">
        <v>244</v>
      </c>
      <c r="E406" s="16">
        <f t="shared" si="6"/>
        <v>2.7027027027027025E-2</v>
      </c>
    </row>
    <row r="407" spans="3:5">
      <c r="C407" t="s">
        <v>147</v>
      </c>
      <c r="D407" t="s">
        <v>245</v>
      </c>
      <c r="E407" s="16">
        <f t="shared" si="6"/>
        <v>2.7027027027027025E-2</v>
      </c>
    </row>
    <row r="408" spans="3:5">
      <c r="C408" t="s">
        <v>147</v>
      </c>
      <c r="D408" t="s">
        <v>246</v>
      </c>
      <c r="E408" s="16">
        <f t="shared" si="6"/>
        <v>2.7027027027027025E-2</v>
      </c>
    </row>
    <row r="409" spans="3:5">
      <c r="C409" t="s">
        <v>147</v>
      </c>
      <c r="D409" t="s">
        <v>247</v>
      </c>
      <c r="E409" s="16">
        <f t="shared" si="6"/>
        <v>2.7027027027027025E-2</v>
      </c>
    </row>
    <row r="410" spans="3:5">
      <c r="C410" t="s">
        <v>147</v>
      </c>
      <c r="D410" t="s">
        <v>103</v>
      </c>
      <c r="E410" s="16">
        <f t="shared" si="6"/>
        <v>2.7027027027027025E-2</v>
      </c>
    </row>
    <row r="411" spans="3:5">
      <c r="C411" t="s">
        <v>147</v>
      </c>
      <c r="D411" t="s">
        <v>248</v>
      </c>
      <c r="E411" s="16">
        <f t="shared" si="6"/>
        <v>2.7027027027027025E-2</v>
      </c>
    </row>
    <row r="412" spans="3:5">
      <c r="C412" t="s">
        <v>149</v>
      </c>
      <c r="D412" t="s">
        <v>237</v>
      </c>
      <c r="E412" s="16">
        <f t="shared" si="6"/>
        <v>2.7027027027027025E-2</v>
      </c>
    </row>
    <row r="413" spans="3:5">
      <c r="C413" t="s">
        <v>149</v>
      </c>
      <c r="D413" t="s">
        <v>239</v>
      </c>
      <c r="E413" s="16">
        <f t="shared" si="6"/>
        <v>2.7027027027027025E-2</v>
      </c>
    </row>
    <row r="414" spans="3:5">
      <c r="C414" t="s">
        <v>149</v>
      </c>
      <c r="D414" t="s">
        <v>240</v>
      </c>
      <c r="E414" s="16">
        <f t="shared" si="6"/>
        <v>2.7027027027027025E-2</v>
      </c>
    </row>
    <row r="415" spans="3:5">
      <c r="C415" t="s">
        <v>149</v>
      </c>
      <c r="D415" t="s">
        <v>241</v>
      </c>
      <c r="E415" s="16">
        <f t="shared" si="6"/>
        <v>2.7027027027027025E-2</v>
      </c>
    </row>
    <row r="416" spans="3:5">
      <c r="C416" t="s">
        <v>149</v>
      </c>
      <c r="D416" t="s">
        <v>242</v>
      </c>
      <c r="E416" s="16">
        <f t="shared" si="6"/>
        <v>2.7027027027027025E-2</v>
      </c>
    </row>
    <row r="417" spans="3:5">
      <c r="C417" t="s">
        <v>149</v>
      </c>
      <c r="D417" t="s">
        <v>243</v>
      </c>
      <c r="E417" s="16">
        <f t="shared" si="6"/>
        <v>2.7027027027027025E-2</v>
      </c>
    </row>
    <row r="418" spans="3:5">
      <c r="C418" t="s">
        <v>149</v>
      </c>
      <c r="D418" t="s">
        <v>244</v>
      </c>
      <c r="E418" s="16">
        <f t="shared" si="6"/>
        <v>2.7027027027027025E-2</v>
      </c>
    </row>
    <row r="419" spans="3:5">
      <c r="C419" t="s">
        <v>149</v>
      </c>
      <c r="D419" t="s">
        <v>245</v>
      </c>
      <c r="E419" s="16">
        <f t="shared" si="6"/>
        <v>2.7027027027027025E-2</v>
      </c>
    </row>
    <row r="420" spans="3:5">
      <c r="C420" t="s">
        <v>149</v>
      </c>
      <c r="D420" t="s">
        <v>246</v>
      </c>
      <c r="E420" s="16">
        <f t="shared" si="6"/>
        <v>2.7027027027027025E-2</v>
      </c>
    </row>
    <row r="421" spans="3:5">
      <c r="C421" t="s">
        <v>149</v>
      </c>
      <c r="D421" t="s">
        <v>247</v>
      </c>
      <c r="E421" s="16">
        <f t="shared" si="6"/>
        <v>2.7027027027027025E-2</v>
      </c>
    </row>
    <row r="422" spans="3:5">
      <c r="C422" t="s">
        <v>149</v>
      </c>
      <c r="D422" t="s">
        <v>103</v>
      </c>
      <c r="E422" s="16">
        <f t="shared" si="6"/>
        <v>2.7027027027027025E-2</v>
      </c>
    </row>
    <row r="423" spans="3:5">
      <c r="C423" t="s">
        <v>149</v>
      </c>
      <c r="D423" t="s">
        <v>248</v>
      </c>
      <c r="E423" s="16">
        <f t="shared" si="6"/>
        <v>2.7027027027027025E-2</v>
      </c>
    </row>
    <row r="424" spans="3:5">
      <c r="C424" t="s">
        <v>150</v>
      </c>
      <c r="D424" t="s">
        <v>237</v>
      </c>
      <c r="E424" s="16">
        <f t="shared" si="6"/>
        <v>2.7027027027027025E-2</v>
      </c>
    </row>
    <row r="425" spans="3:5">
      <c r="C425" t="s">
        <v>150</v>
      </c>
      <c r="D425" t="s">
        <v>239</v>
      </c>
      <c r="E425" s="16">
        <f t="shared" si="6"/>
        <v>2.7027027027027025E-2</v>
      </c>
    </row>
    <row r="426" spans="3:5">
      <c r="C426" t="s">
        <v>150</v>
      </c>
      <c r="D426" t="s">
        <v>240</v>
      </c>
      <c r="E426" s="16">
        <f t="shared" si="6"/>
        <v>2.7027027027027025E-2</v>
      </c>
    </row>
    <row r="427" spans="3:5">
      <c r="C427" t="s">
        <v>150</v>
      </c>
      <c r="D427" t="s">
        <v>241</v>
      </c>
      <c r="E427" s="16">
        <f t="shared" si="6"/>
        <v>2.7027027027027025E-2</v>
      </c>
    </row>
    <row r="428" spans="3:5">
      <c r="C428" t="s">
        <v>150</v>
      </c>
      <c r="D428" t="s">
        <v>242</v>
      </c>
      <c r="E428" s="16">
        <f t="shared" si="6"/>
        <v>2.7027027027027025E-2</v>
      </c>
    </row>
    <row r="429" spans="3:5">
      <c r="C429" t="s">
        <v>150</v>
      </c>
      <c r="D429" t="s">
        <v>243</v>
      </c>
      <c r="E429" s="16">
        <f t="shared" si="6"/>
        <v>2.7027027027027025E-2</v>
      </c>
    </row>
    <row r="430" spans="3:5">
      <c r="C430" t="s">
        <v>150</v>
      </c>
      <c r="D430" t="s">
        <v>244</v>
      </c>
      <c r="E430" s="16">
        <f t="shared" si="6"/>
        <v>2.7027027027027025E-2</v>
      </c>
    </row>
    <row r="431" spans="3:5">
      <c r="C431" t="s">
        <v>150</v>
      </c>
      <c r="D431" t="s">
        <v>245</v>
      </c>
      <c r="E431" s="16">
        <f t="shared" si="6"/>
        <v>2.7027027027027025E-2</v>
      </c>
    </row>
    <row r="432" spans="3:5">
      <c r="C432" t="s">
        <v>150</v>
      </c>
      <c r="D432" t="s">
        <v>246</v>
      </c>
      <c r="E432" s="16">
        <f t="shared" si="6"/>
        <v>2.7027027027027025E-2</v>
      </c>
    </row>
    <row r="433" spans="3:5">
      <c r="C433" t="s">
        <v>150</v>
      </c>
      <c r="D433" t="s">
        <v>247</v>
      </c>
      <c r="E433" s="16">
        <f t="shared" si="6"/>
        <v>2.7027027027027025E-2</v>
      </c>
    </row>
    <row r="434" spans="3:5">
      <c r="C434" t="s">
        <v>150</v>
      </c>
      <c r="D434" t="s">
        <v>103</v>
      </c>
      <c r="E434" s="16">
        <f t="shared" si="6"/>
        <v>2.7027027027027025E-2</v>
      </c>
    </row>
    <row r="435" spans="3:5">
      <c r="C435" t="s">
        <v>150</v>
      </c>
      <c r="D435" t="s">
        <v>248</v>
      </c>
      <c r="E435" s="16">
        <f t="shared" si="6"/>
        <v>2.7027027027027025E-2</v>
      </c>
    </row>
    <row r="436" spans="3:5">
      <c r="C436" t="s">
        <v>151</v>
      </c>
      <c r="D436" t="s">
        <v>237</v>
      </c>
      <c r="E436" s="16">
        <f t="shared" si="6"/>
        <v>2.7027027027027025E-2</v>
      </c>
    </row>
    <row r="437" spans="3:5">
      <c r="C437" t="s">
        <v>151</v>
      </c>
      <c r="D437" t="s">
        <v>239</v>
      </c>
      <c r="E437" s="16">
        <f t="shared" si="6"/>
        <v>2.7027027027027025E-2</v>
      </c>
    </row>
    <row r="438" spans="3:5">
      <c r="C438" t="s">
        <v>151</v>
      </c>
      <c r="D438" t="s">
        <v>240</v>
      </c>
      <c r="E438" s="16">
        <f t="shared" si="6"/>
        <v>2.7027027027027025E-2</v>
      </c>
    </row>
    <row r="439" spans="3:5">
      <c r="C439" t="s">
        <v>151</v>
      </c>
      <c r="D439" t="s">
        <v>241</v>
      </c>
      <c r="E439" s="16">
        <f t="shared" si="6"/>
        <v>2.7027027027027025E-2</v>
      </c>
    </row>
    <row r="440" spans="3:5">
      <c r="C440" t="s">
        <v>151</v>
      </c>
      <c r="D440" t="s">
        <v>242</v>
      </c>
      <c r="E440" s="16">
        <f t="shared" si="6"/>
        <v>2.7027027027027025E-2</v>
      </c>
    </row>
    <row r="441" spans="3:5">
      <c r="C441" t="s">
        <v>151</v>
      </c>
      <c r="D441" t="s">
        <v>243</v>
      </c>
      <c r="E441" s="16">
        <f t="shared" si="6"/>
        <v>2.7027027027027025E-2</v>
      </c>
    </row>
    <row r="442" spans="3:5">
      <c r="C442" t="s">
        <v>151</v>
      </c>
      <c r="D442" t="s">
        <v>244</v>
      </c>
      <c r="E442" s="16">
        <f t="shared" si="6"/>
        <v>2.7027027027027025E-2</v>
      </c>
    </row>
    <row r="443" spans="3:5">
      <c r="C443" t="s">
        <v>151</v>
      </c>
      <c r="D443" t="s">
        <v>245</v>
      </c>
      <c r="E443" s="16">
        <f t="shared" si="6"/>
        <v>2.7027027027027025E-2</v>
      </c>
    </row>
    <row r="444" spans="3:5">
      <c r="C444" t="s">
        <v>151</v>
      </c>
      <c r="D444" t="s">
        <v>246</v>
      </c>
      <c r="E444" s="16">
        <f>100/$J$14/100</f>
        <v>2.7027027027027025E-2</v>
      </c>
    </row>
    <row r="445" spans="3:5">
      <c r="C445" t="s">
        <v>151</v>
      </c>
      <c r="D445" t="s">
        <v>247</v>
      </c>
      <c r="E445" s="16">
        <f t="shared" si="6"/>
        <v>2.7027027027027025E-2</v>
      </c>
    </row>
    <row r="446" spans="3:5">
      <c r="C446" t="s">
        <v>151</v>
      </c>
      <c r="D446" t="s">
        <v>103</v>
      </c>
      <c r="E446" s="16">
        <f t="shared" si="6"/>
        <v>2.7027027027027025E-2</v>
      </c>
    </row>
    <row r="447" spans="3:5">
      <c r="C447" t="s">
        <v>151</v>
      </c>
      <c r="D447" t="s">
        <v>248</v>
      </c>
      <c r="E447" s="16">
        <f t="shared" si="6"/>
        <v>2.7027027027027025E-2</v>
      </c>
    </row>
    <row r="448" spans="3:5">
      <c r="C448" t="s">
        <v>111</v>
      </c>
      <c r="D448" s="139" t="s">
        <v>249</v>
      </c>
      <c r="E448" s="16">
        <f t="shared" ref="E448:E511" si="7">100/$J$14/100</f>
        <v>2.7027027027027025E-2</v>
      </c>
    </row>
    <row r="449" spans="3:5">
      <c r="C449" t="s">
        <v>111</v>
      </c>
      <c r="D449" s="139" t="s">
        <v>156</v>
      </c>
      <c r="E449" s="16">
        <f t="shared" si="7"/>
        <v>2.7027027027027025E-2</v>
      </c>
    </row>
    <row r="450" spans="3:5">
      <c r="C450" t="s">
        <v>111</v>
      </c>
      <c r="D450" s="139" t="s">
        <v>102</v>
      </c>
      <c r="E450" s="16">
        <f t="shared" si="7"/>
        <v>2.7027027027027025E-2</v>
      </c>
    </row>
    <row r="451" spans="3:5">
      <c r="C451" t="s">
        <v>111</v>
      </c>
      <c r="D451" s="139" t="s">
        <v>104</v>
      </c>
      <c r="E451" s="16">
        <f t="shared" si="7"/>
        <v>2.7027027027027025E-2</v>
      </c>
    </row>
    <row r="452" spans="3:5">
      <c r="C452" t="s">
        <v>111</v>
      </c>
      <c r="D452" s="139" t="s">
        <v>155</v>
      </c>
      <c r="E452" s="16">
        <f t="shared" si="7"/>
        <v>2.7027027027027025E-2</v>
      </c>
    </row>
    <row r="453" spans="3:5">
      <c r="C453" t="s">
        <v>111</v>
      </c>
      <c r="D453" s="139" t="s">
        <v>250</v>
      </c>
      <c r="E453" s="16">
        <f t="shared" si="7"/>
        <v>2.7027027027027025E-2</v>
      </c>
    </row>
    <row r="454" spans="3:5">
      <c r="C454" t="s">
        <v>111</v>
      </c>
      <c r="D454" s="139" t="s">
        <v>251</v>
      </c>
      <c r="E454" s="16">
        <f t="shared" si="7"/>
        <v>2.7027027027027025E-2</v>
      </c>
    </row>
    <row r="455" spans="3:5">
      <c r="C455" t="s">
        <v>111</v>
      </c>
      <c r="D455" s="139" t="s">
        <v>252</v>
      </c>
      <c r="E455" s="16">
        <f t="shared" si="7"/>
        <v>2.7027027027027025E-2</v>
      </c>
    </row>
    <row r="456" spans="3:5">
      <c r="C456" t="s">
        <v>111</v>
      </c>
      <c r="D456" s="139" t="s">
        <v>253</v>
      </c>
      <c r="E456" s="16">
        <f t="shared" si="7"/>
        <v>2.7027027027027025E-2</v>
      </c>
    </row>
    <row r="457" spans="3:5">
      <c r="C457" t="s">
        <v>111</v>
      </c>
      <c r="D457" s="139" t="s">
        <v>254</v>
      </c>
      <c r="E457" s="16">
        <f t="shared" si="7"/>
        <v>2.7027027027027025E-2</v>
      </c>
    </row>
    <row r="458" spans="3:5">
      <c r="C458" t="s">
        <v>111</v>
      </c>
      <c r="D458" s="139" t="s">
        <v>255</v>
      </c>
      <c r="E458" s="16">
        <f t="shared" si="7"/>
        <v>2.7027027027027025E-2</v>
      </c>
    </row>
    <row r="459" spans="3:5">
      <c r="C459" t="s">
        <v>111</v>
      </c>
      <c r="D459" s="139" t="s">
        <v>256</v>
      </c>
      <c r="E459" s="16">
        <f t="shared" si="7"/>
        <v>2.7027027027027025E-2</v>
      </c>
    </row>
    <row r="460" spans="3:5">
      <c r="C460" t="s">
        <v>112</v>
      </c>
      <c r="D460" s="139" t="s">
        <v>249</v>
      </c>
      <c r="E460" s="16">
        <f t="shared" si="7"/>
        <v>2.7027027027027025E-2</v>
      </c>
    </row>
    <row r="461" spans="3:5">
      <c r="C461" t="s">
        <v>112</v>
      </c>
      <c r="D461" s="139" t="s">
        <v>156</v>
      </c>
      <c r="E461" s="16">
        <f t="shared" si="7"/>
        <v>2.7027027027027025E-2</v>
      </c>
    </row>
    <row r="462" spans="3:5">
      <c r="C462" t="s">
        <v>112</v>
      </c>
      <c r="D462" s="139" t="s">
        <v>102</v>
      </c>
      <c r="E462" s="16">
        <f t="shared" si="7"/>
        <v>2.7027027027027025E-2</v>
      </c>
    </row>
    <row r="463" spans="3:5">
      <c r="C463" t="s">
        <v>112</v>
      </c>
      <c r="D463" s="139" t="s">
        <v>104</v>
      </c>
      <c r="E463" s="16">
        <f t="shared" si="7"/>
        <v>2.7027027027027025E-2</v>
      </c>
    </row>
    <row r="464" spans="3:5">
      <c r="C464" t="s">
        <v>112</v>
      </c>
      <c r="D464" s="139" t="s">
        <v>155</v>
      </c>
      <c r="E464" s="16">
        <f t="shared" si="7"/>
        <v>2.7027027027027025E-2</v>
      </c>
    </row>
    <row r="465" spans="3:5">
      <c r="C465" t="s">
        <v>112</v>
      </c>
      <c r="D465" s="139" t="s">
        <v>250</v>
      </c>
      <c r="E465" s="16">
        <f t="shared" si="7"/>
        <v>2.7027027027027025E-2</v>
      </c>
    </row>
    <row r="466" spans="3:5">
      <c r="C466" t="s">
        <v>112</v>
      </c>
      <c r="D466" s="139" t="s">
        <v>251</v>
      </c>
      <c r="E466" s="16">
        <f t="shared" si="7"/>
        <v>2.7027027027027025E-2</v>
      </c>
    </row>
    <row r="467" spans="3:5">
      <c r="C467" t="s">
        <v>112</v>
      </c>
      <c r="D467" s="139" t="s">
        <v>252</v>
      </c>
      <c r="E467" s="16">
        <f t="shared" si="7"/>
        <v>2.7027027027027025E-2</v>
      </c>
    </row>
    <row r="468" spans="3:5">
      <c r="C468" t="s">
        <v>112</v>
      </c>
      <c r="D468" s="139" t="s">
        <v>253</v>
      </c>
      <c r="E468" s="16">
        <f t="shared" si="7"/>
        <v>2.7027027027027025E-2</v>
      </c>
    </row>
    <row r="469" spans="3:5">
      <c r="C469" t="s">
        <v>112</v>
      </c>
      <c r="D469" s="139" t="s">
        <v>254</v>
      </c>
      <c r="E469" s="16">
        <f t="shared" si="7"/>
        <v>2.7027027027027025E-2</v>
      </c>
    </row>
    <row r="470" spans="3:5">
      <c r="C470" t="s">
        <v>112</v>
      </c>
      <c r="D470" s="139" t="s">
        <v>255</v>
      </c>
      <c r="E470" s="16">
        <f t="shared" si="7"/>
        <v>2.7027027027027025E-2</v>
      </c>
    </row>
    <row r="471" spans="3:5">
      <c r="C471" t="s">
        <v>112</v>
      </c>
      <c r="D471" s="139" t="s">
        <v>256</v>
      </c>
      <c r="E471" s="16">
        <f t="shared" si="7"/>
        <v>2.7027027027027025E-2</v>
      </c>
    </row>
    <row r="472" spans="3:5">
      <c r="C472" t="s">
        <v>113</v>
      </c>
      <c r="D472" s="139" t="s">
        <v>249</v>
      </c>
      <c r="E472" s="16">
        <f t="shared" si="7"/>
        <v>2.7027027027027025E-2</v>
      </c>
    </row>
    <row r="473" spans="3:5">
      <c r="C473" t="s">
        <v>113</v>
      </c>
      <c r="D473" s="139" t="s">
        <v>156</v>
      </c>
      <c r="E473" s="16">
        <f t="shared" si="7"/>
        <v>2.7027027027027025E-2</v>
      </c>
    </row>
    <row r="474" spans="3:5">
      <c r="C474" t="s">
        <v>113</v>
      </c>
      <c r="D474" s="139" t="s">
        <v>102</v>
      </c>
      <c r="E474" s="16">
        <f t="shared" si="7"/>
        <v>2.7027027027027025E-2</v>
      </c>
    </row>
    <row r="475" spans="3:5">
      <c r="C475" t="s">
        <v>113</v>
      </c>
      <c r="D475" s="139" t="s">
        <v>104</v>
      </c>
      <c r="E475" s="16">
        <f t="shared" si="7"/>
        <v>2.7027027027027025E-2</v>
      </c>
    </row>
    <row r="476" spans="3:5">
      <c r="C476" t="s">
        <v>113</v>
      </c>
      <c r="D476" s="139" t="s">
        <v>155</v>
      </c>
      <c r="E476" s="16">
        <f t="shared" si="7"/>
        <v>2.7027027027027025E-2</v>
      </c>
    </row>
    <row r="477" spans="3:5">
      <c r="C477" t="s">
        <v>113</v>
      </c>
      <c r="D477" s="139" t="s">
        <v>250</v>
      </c>
      <c r="E477" s="16">
        <f t="shared" si="7"/>
        <v>2.7027027027027025E-2</v>
      </c>
    </row>
    <row r="478" spans="3:5">
      <c r="C478" t="s">
        <v>113</v>
      </c>
      <c r="D478" s="139" t="s">
        <v>251</v>
      </c>
      <c r="E478" s="16">
        <f t="shared" si="7"/>
        <v>2.7027027027027025E-2</v>
      </c>
    </row>
    <row r="479" spans="3:5">
      <c r="C479" t="s">
        <v>113</v>
      </c>
      <c r="D479" s="139" t="s">
        <v>252</v>
      </c>
      <c r="E479" s="16">
        <f t="shared" si="7"/>
        <v>2.7027027027027025E-2</v>
      </c>
    </row>
    <row r="480" spans="3:5">
      <c r="C480" t="s">
        <v>113</v>
      </c>
      <c r="D480" s="139" t="s">
        <v>253</v>
      </c>
      <c r="E480" s="16">
        <f t="shared" si="7"/>
        <v>2.7027027027027025E-2</v>
      </c>
    </row>
    <row r="481" spans="3:5">
      <c r="C481" t="s">
        <v>113</v>
      </c>
      <c r="D481" s="139" t="s">
        <v>254</v>
      </c>
      <c r="E481" s="16">
        <f t="shared" si="7"/>
        <v>2.7027027027027025E-2</v>
      </c>
    </row>
    <row r="482" spans="3:5">
      <c r="C482" t="s">
        <v>113</v>
      </c>
      <c r="D482" s="139" t="s">
        <v>255</v>
      </c>
      <c r="E482" s="16">
        <f t="shared" si="7"/>
        <v>2.7027027027027025E-2</v>
      </c>
    </row>
    <row r="483" spans="3:5">
      <c r="C483" t="s">
        <v>113</v>
      </c>
      <c r="D483" s="139" t="s">
        <v>256</v>
      </c>
      <c r="E483" s="16">
        <f t="shared" si="7"/>
        <v>2.7027027027027025E-2</v>
      </c>
    </row>
    <row r="484" spans="3:5">
      <c r="C484" t="s">
        <v>114</v>
      </c>
      <c r="D484" s="139" t="s">
        <v>249</v>
      </c>
      <c r="E484" s="16">
        <f t="shared" si="7"/>
        <v>2.7027027027027025E-2</v>
      </c>
    </row>
    <row r="485" spans="3:5">
      <c r="C485" t="s">
        <v>114</v>
      </c>
      <c r="D485" s="139" t="s">
        <v>156</v>
      </c>
      <c r="E485" s="16">
        <f t="shared" si="7"/>
        <v>2.7027027027027025E-2</v>
      </c>
    </row>
    <row r="486" spans="3:5">
      <c r="C486" t="s">
        <v>114</v>
      </c>
      <c r="D486" s="139" t="s">
        <v>102</v>
      </c>
      <c r="E486" s="16">
        <f t="shared" si="7"/>
        <v>2.7027027027027025E-2</v>
      </c>
    </row>
    <row r="487" spans="3:5">
      <c r="C487" t="s">
        <v>114</v>
      </c>
      <c r="D487" s="139" t="s">
        <v>104</v>
      </c>
      <c r="E487" s="16">
        <f t="shared" si="7"/>
        <v>2.7027027027027025E-2</v>
      </c>
    </row>
    <row r="488" spans="3:5">
      <c r="C488" t="s">
        <v>114</v>
      </c>
      <c r="D488" s="139" t="s">
        <v>155</v>
      </c>
      <c r="E488" s="16">
        <f t="shared" si="7"/>
        <v>2.7027027027027025E-2</v>
      </c>
    </row>
    <row r="489" spans="3:5">
      <c r="C489" t="s">
        <v>114</v>
      </c>
      <c r="D489" s="139" t="s">
        <v>250</v>
      </c>
      <c r="E489" s="16">
        <f t="shared" si="7"/>
        <v>2.7027027027027025E-2</v>
      </c>
    </row>
    <row r="490" spans="3:5">
      <c r="C490" t="s">
        <v>114</v>
      </c>
      <c r="D490" s="139" t="s">
        <v>251</v>
      </c>
      <c r="E490" s="16">
        <f t="shared" si="7"/>
        <v>2.7027027027027025E-2</v>
      </c>
    </row>
    <row r="491" spans="3:5">
      <c r="C491" t="s">
        <v>114</v>
      </c>
      <c r="D491" s="139" t="s">
        <v>252</v>
      </c>
      <c r="E491" s="16">
        <f t="shared" si="7"/>
        <v>2.7027027027027025E-2</v>
      </c>
    </row>
    <row r="492" spans="3:5">
      <c r="C492" t="s">
        <v>114</v>
      </c>
      <c r="D492" s="139" t="s">
        <v>253</v>
      </c>
      <c r="E492" s="16">
        <f t="shared" si="7"/>
        <v>2.7027027027027025E-2</v>
      </c>
    </row>
    <row r="493" spans="3:5">
      <c r="C493" t="s">
        <v>114</v>
      </c>
      <c r="D493" s="139" t="s">
        <v>254</v>
      </c>
      <c r="E493" s="16">
        <f t="shared" si="7"/>
        <v>2.7027027027027025E-2</v>
      </c>
    </row>
    <row r="494" spans="3:5">
      <c r="C494" t="s">
        <v>114</v>
      </c>
      <c r="D494" s="139" t="s">
        <v>255</v>
      </c>
      <c r="E494" s="16">
        <f t="shared" si="7"/>
        <v>2.7027027027027025E-2</v>
      </c>
    </row>
    <row r="495" spans="3:5">
      <c r="C495" t="s">
        <v>114</v>
      </c>
      <c r="D495" s="139" t="s">
        <v>256</v>
      </c>
      <c r="E495" s="16">
        <f t="shared" si="7"/>
        <v>2.7027027027027025E-2</v>
      </c>
    </row>
    <row r="496" spans="3:5">
      <c r="C496" t="s">
        <v>116</v>
      </c>
      <c r="D496" s="139" t="s">
        <v>249</v>
      </c>
      <c r="E496" s="16">
        <f t="shared" si="7"/>
        <v>2.7027027027027025E-2</v>
      </c>
    </row>
    <row r="497" spans="3:5">
      <c r="C497" t="s">
        <v>116</v>
      </c>
      <c r="D497" s="139" t="s">
        <v>156</v>
      </c>
      <c r="E497" s="16">
        <f t="shared" si="7"/>
        <v>2.7027027027027025E-2</v>
      </c>
    </row>
    <row r="498" spans="3:5">
      <c r="C498" t="s">
        <v>116</v>
      </c>
      <c r="D498" s="139" t="s">
        <v>102</v>
      </c>
      <c r="E498" s="16">
        <f t="shared" si="7"/>
        <v>2.7027027027027025E-2</v>
      </c>
    </row>
    <row r="499" spans="3:5">
      <c r="C499" t="s">
        <v>116</v>
      </c>
      <c r="D499" s="139" t="s">
        <v>104</v>
      </c>
      <c r="E499" s="16">
        <f t="shared" si="7"/>
        <v>2.7027027027027025E-2</v>
      </c>
    </row>
    <row r="500" spans="3:5">
      <c r="C500" t="s">
        <v>116</v>
      </c>
      <c r="D500" s="139" t="s">
        <v>155</v>
      </c>
      <c r="E500" s="16">
        <f t="shared" si="7"/>
        <v>2.7027027027027025E-2</v>
      </c>
    </row>
    <row r="501" spans="3:5">
      <c r="C501" t="s">
        <v>116</v>
      </c>
      <c r="D501" s="139" t="s">
        <v>250</v>
      </c>
      <c r="E501" s="16">
        <f t="shared" si="7"/>
        <v>2.7027027027027025E-2</v>
      </c>
    </row>
    <row r="502" spans="3:5">
      <c r="C502" t="s">
        <v>116</v>
      </c>
      <c r="D502" s="139" t="s">
        <v>251</v>
      </c>
      <c r="E502" s="16">
        <f t="shared" si="7"/>
        <v>2.7027027027027025E-2</v>
      </c>
    </row>
    <row r="503" spans="3:5">
      <c r="C503" t="s">
        <v>116</v>
      </c>
      <c r="D503" s="139" t="s">
        <v>252</v>
      </c>
      <c r="E503" s="16">
        <f t="shared" si="7"/>
        <v>2.7027027027027025E-2</v>
      </c>
    </row>
    <row r="504" spans="3:5">
      <c r="C504" t="s">
        <v>116</v>
      </c>
      <c r="D504" s="139" t="s">
        <v>253</v>
      </c>
      <c r="E504" s="16">
        <f t="shared" si="7"/>
        <v>2.7027027027027025E-2</v>
      </c>
    </row>
    <row r="505" spans="3:5">
      <c r="C505" t="s">
        <v>116</v>
      </c>
      <c r="D505" s="139" t="s">
        <v>254</v>
      </c>
      <c r="E505" s="16">
        <f t="shared" si="7"/>
        <v>2.7027027027027025E-2</v>
      </c>
    </row>
    <row r="506" spans="3:5">
      <c r="C506" t="s">
        <v>116</v>
      </c>
      <c r="D506" s="139" t="s">
        <v>255</v>
      </c>
      <c r="E506" s="16">
        <f t="shared" si="7"/>
        <v>2.7027027027027025E-2</v>
      </c>
    </row>
    <row r="507" spans="3:5">
      <c r="C507" t="s">
        <v>116</v>
      </c>
      <c r="D507" s="139" t="s">
        <v>256</v>
      </c>
      <c r="E507" s="16">
        <f t="shared" si="7"/>
        <v>2.7027027027027025E-2</v>
      </c>
    </row>
    <row r="508" spans="3:5">
      <c r="C508" t="s">
        <v>117</v>
      </c>
      <c r="D508" s="139" t="s">
        <v>249</v>
      </c>
      <c r="E508" s="16">
        <f t="shared" si="7"/>
        <v>2.7027027027027025E-2</v>
      </c>
    </row>
    <row r="509" spans="3:5">
      <c r="C509" t="s">
        <v>117</v>
      </c>
      <c r="D509" s="139" t="s">
        <v>156</v>
      </c>
      <c r="E509" s="16">
        <f t="shared" si="7"/>
        <v>2.7027027027027025E-2</v>
      </c>
    </row>
    <row r="510" spans="3:5">
      <c r="C510" t="s">
        <v>117</v>
      </c>
      <c r="D510" s="139" t="s">
        <v>102</v>
      </c>
      <c r="E510" s="16">
        <f t="shared" si="7"/>
        <v>2.7027027027027025E-2</v>
      </c>
    </row>
    <row r="511" spans="3:5">
      <c r="C511" t="s">
        <v>117</v>
      </c>
      <c r="D511" s="139" t="s">
        <v>104</v>
      </c>
      <c r="E511" s="16">
        <f t="shared" si="7"/>
        <v>2.7027027027027025E-2</v>
      </c>
    </row>
    <row r="512" spans="3:5">
      <c r="C512" t="s">
        <v>117</v>
      </c>
      <c r="D512" s="139" t="s">
        <v>155</v>
      </c>
      <c r="E512" s="16">
        <f t="shared" ref="E512:E575" si="8">100/$J$14/100</f>
        <v>2.7027027027027025E-2</v>
      </c>
    </row>
    <row r="513" spans="3:5">
      <c r="C513" t="s">
        <v>117</v>
      </c>
      <c r="D513" s="139" t="s">
        <v>250</v>
      </c>
      <c r="E513" s="16">
        <f t="shared" si="8"/>
        <v>2.7027027027027025E-2</v>
      </c>
    </row>
    <row r="514" spans="3:5">
      <c r="C514" t="s">
        <v>117</v>
      </c>
      <c r="D514" s="139" t="s">
        <v>251</v>
      </c>
      <c r="E514" s="16">
        <f t="shared" si="8"/>
        <v>2.7027027027027025E-2</v>
      </c>
    </row>
    <row r="515" spans="3:5">
      <c r="C515" t="s">
        <v>117</v>
      </c>
      <c r="D515" s="139" t="s">
        <v>252</v>
      </c>
      <c r="E515" s="16">
        <f t="shared" si="8"/>
        <v>2.7027027027027025E-2</v>
      </c>
    </row>
    <row r="516" spans="3:5">
      <c r="C516" t="s">
        <v>117</v>
      </c>
      <c r="D516" s="139" t="s">
        <v>253</v>
      </c>
      <c r="E516" s="16">
        <f t="shared" si="8"/>
        <v>2.7027027027027025E-2</v>
      </c>
    </row>
    <row r="517" spans="3:5">
      <c r="C517" t="s">
        <v>117</v>
      </c>
      <c r="D517" s="139" t="s">
        <v>254</v>
      </c>
      <c r="E517" s="16">
        <f t="shared" si="8"/>
        <v>2.7027027027027025E-2</v>
      </c>
    </row>
    <row r="518" spans="3:5">
      <c r="C518" t="s">
        <v>117</v>
      </c>
      <c r="D518" s="139" t="s">
        <v>255</v>
      </c>
      <c r="E518" s="16">
        <f t="shared" si="8"/>
        <v>2.7027027027027025E-2</v>
      </c>
    </row>
    <row r="519" spans="3:5">
      <c r="C519" t="s">
        <v>117</v>
      </c>
      <c r="D519" s="139" t="s">
        <v>256</v>
      </c>
      <c r="E519" s="16">
        <f t="shared" si="8"/>
        <v>2.7027027027027025E-2</v>
      </c>
    </row>
    <row r="520" spans="3:5">
      <c r="C520" t="s">
        <v>118</v>
      </c>
      <c r="D520" s="139" t="s">
        <v>249</v>
      </c>
      <c r="E520" s="16">
        <f t="shared" si="8"/>
        <v>2.7027027027027025E-2</v>
      </c>
    </row>
    <row r="521" spans="3:5">
      <c r="C521" t="s">
        <v>118</v>
      </c>
      <c r="D521" s="139" t="s">
        <v>156</v>
      </c>
      <c r="E521" s="16">
        <f t="shared" si="8"/>
        <v>2.7027027027027025E-2</v>
      </c>
    </row>
    <row r="522" spans="3:5">
      <c r="C522" t="s">
        <v>118</v>
      </c>
      <c r="D522" s="139" t="s">
        <v>102</v>
      </c>
      <c r="E522" s="16">
        <f t="shared" si="8"/>
        <v>2.7027027027027025E-2</v>
      </c>
    </row>
    <row r="523" spans="3:5">
      <c r="C523" t="s">
        <v>118</v>
      </c>
      <c r="D523" s="139" t="s">
        <v>104</v>
      </c>
      <c r="E523" s="16">
        <f t="shared" si="8"/>
        <v>2.7027027027027025E-2</v>
      </c>
    </row>
    <row r="524" spans="3:5">
      <c r="C524" t="s">
        <v>118</v>
      </c>
      <c r="D524" s="139" t="s">
        <v>155</v>
      </c>
      <c r="E524" s="16">
        <f t="shared" si="8"/>
        <v>2.7027027027027025E-2</v>
      </c>
    </row>
    <row r="525" spans="3:5">
      <c r="C525" t="s">
        <v>118</v>
      </c>
      <c r="D525" s="139" t="s">
        <v>250</v>
      </c>
      <c r="E525" s="16">
        <f t="shared" si="8"/>
        <v>2.7027027027027025E-2</v>
      </c>
    </row>
    <row r="526" spans="3:5">
      <c r="C526" t="s">
        <v>118</v>
      </c>
      <c r="D526" s="139" t="s">
        <v>251</v>
      </c>
      <c r="E526" s="16">
        <f t="shared" si="8"/>
        <v>2.7027027027027025E-2</v>
      </c>
    </row>
    <row r="527" spans="3:5">
      <c r="C527" t="s">
        <v>118</v>
      </c>
      <c r="D527" s="139" t="s">
        <v>252</v>
      </c>
      <c r="E527" s="16">
        <f t="shared" si="8"/>
        <v>2.7027027027027025E-2</v>
      </c>
    </row>
    <row r="528" spans="3:5">
      <c r="C528" t="s">
        <v>118</v>
      </c>
      <c r="D528" s="139" t="s">
        <v>253</v>
      </c>
      <c r="E528" s="16">
        <f t="shared" si="8"/>
        <v>2.7027027027027025E-2</v>
      </c>
    </row>
    <row r="529" spans="3:5">
      <c r="C529" t="s">
        <v>118</v>
      </c>
      <c r="D529" s="139" t="s">
        <v>254</v>
      </c>
      <c r="E529" s="16">
        <f t="shared" si="8"/>
        <v>2.7027027027027025E-2</v>
      </c>
    </row>
    <row r="530" spans="3:5">
      <c r="C530" t="s">
        <v>118</v>
      </c>
      <c r="D530" s="139" t="s">
        <v>255</v>
      </c>
      <c r="E530" s="16">
        <f t="shared" si="8"/>
        <v>2.7027027027027025E-2</v>
      </c>
    </row>
    <row r="531" spans="3:5">
      <c r="C531" t="s">
        <v>118</v>
      </c>
      <c r="D531" s="139" t="s">
        <v>256</v>
      </c>
      <c r="E531" s="16">
        <f t="shared" si="8"/>
        <v>2.7027027027027025E-2</v>
      </c>
    </row>
    <row r="532" spans="3:5">
      <c r="C532" t="s">
        <v>119</v>
      </c>
      <c r="D532" s="139" t="s">
        <v>249</v>
      </c>
      <c r="E532" s="16">
        <f t="shared" si="8"/>
        <v>2.7027027027027025E-2</v>
      </c>
    </row>
    <row r="533" spans="3:5">
      <c r="C533" t="s">
        <v>119</v>
      </c>
      <c r="D533" s="139" t="s">
        <v>156</v>
      </c>
      <c r="E533" s="16">
        <f t="shared" si="8"/>
        <v>2.7027027027027025E-2</v>
      </c>
    </row>
    <row r="534" spans="3:5">
      <c r="C534" t="s">
        <v>119</v>
      </c>
      <c r="D534" s="139" t="s">
        <v>102</v>
      </c>
      <c r="E534" s="16">
        <f t="shared" si="8"/>
        <v>2.7027027027027025E-2</v>
      </c>
    </row>
    <row r="535" spans="3:5">
      <c r="C535" t="s">
        <v>119</v>
      </c>
      <c r="D535" s="139" t="s">
        <v>104</v>
      </c>
      <c r="E535" s="16">
        <f t="shared" si="8"/>
        <v>2.7027027027027025E-2</v>
      </c>
    </row>
    <row r="536" spans="3:5">
      <c r="C536" t="s">
        <v>119</v>
      </c>
      <c r="D536" s="139" t="s">
        <v>155</v>
      </c>
      <c r="E536" s="16">
        <f t="shared" si="8"/>
        <v>2.7027027027027025E-2</v>
      </c>
    </row>
    <row r="537" spans="3:5">
      <c r="C537" t="s">
        <v>119</v>
      </c>
      <c r="D537" s="139" t="s">
        <v>250</v>
      </c>
      <c r="E537" s="16">
        <f t="shared" si="8"/>
        <v>2.7027027027027025E-2</v>
      </c>
    </row>
    <row r="538" spans="3:5">
      <c r="C538" t="s">
        <v>119</v>
      </c>
      <c r="D538" s="139" t="s">
        <v>251</v>
      </c>
      <c r="E538" s="16">
        <f t="shared" si="8"/>
        <v>2.7027027027027025E-2</v>
      </c>
    </row>
    <row r="539" spans="3:5">
      <c r="C539" t="s">
        <v>119</v>
      </c>
      <c r="D539" s="139" t="s">
        <v>252</v>
      </c>
      <c r="E539" s="16">
        <f t="shared" si="8"/>
        <v>2.7027027027027025E-2</v>
      </c>
    </row>
    <row r="540" spans="3:5">
      <c r="C540" t="s">
        <v>119</v>
      </c>
      <c r="D540" s="139" t="s">
        <v>253</v>
      </c>
      <c r="E540" s="16">
        <f t="shared" si="8"/>
        <v>2.7027027027027025E-2</v>
      </c>
    </row>
    <row r="541" spans="3:5">
      <c r="C541" t="s">
        <v>119</v>
      </c>
      <c r="D541" s="139" t="s">
        <v>254</v>
      </c>
      <c r="E541" s="16">
        <f t="shared" si="8"/>
        <v>2.7027027027027025E-2</v>
      </c>
    </row>
    <row r="542" spans="3:5">
      <c r="C542" t="s">
        <v>119</v>
      </c>
      <c r="D542" s="139" t="s">
        <v>255</v>
      </c>
      <c r="E542" s="16">
        <f t="shared" si="8"/>
        <v>2.7027027027027025E-2</v>
      </c>
    </row>
    <row r="543" spans="3:5">
      <c r="C543" t="s">
        <v>119</v>
      </c>
      <c r="D543" s="139" t="s">
        <v>256</v>
      </c>
      <c r="E543" s="16">
        <f t="shared" si="8"/>
        <v>2.7027027027027025E-2</v>
      </c>
    </row>
    <row r="544" spans="3:5">
      <c r="C544" t="s">
        <v>120</v>
      </c>
      <c r="D544" s="139" t="s">
        <v>249</v>
      </c>
      <c r="E544" s="16">
        <f t="shared" si="8"/>
        <v>2.7027027027027025E-2</v>
      </c>
    </row>
    <row r="545" spans="3:5">
      <c r="C545" t="s">
        <v>120</v>
      </c>
      <c r="D545" s="139" t="s">
        <v>156</v>
      </c>
      <c r="E545" s="16">
        <f t="shared" si="8"/>
        <v>2.7027027027027025E-2</v>
      </c>
    </row>
    <row r="546" spans="3:5">
      <c r="C546" t="s">
        <v>120</v>
      </c>
      <c r="D546" s="139" t="s">
        <v>102</v>
      </c>
      <c r="E546" s="16">
        <f t="shared" si="8"/>
        <v>2.7027027027027025E-2</v>
      </c>
    </row>
    <row r="547" spans="3:5">
      <c r="C547" t="s">
        <v>120</v>
      </c>
      <c r="D547" s="139" t="s">
        <v>104</v>
      </c>
      <c r="E547" s="16">
        <f t="shared" si="8"/>
        <v>2.7027027027027025E-2</v>
      </c>
    </row>
    <row r="548" spans="3:5">
      <c r="C548" t="s">
        <v>120</v>
      </c>
      <c r="D548" s="139" t="s">
        <v>155</v>
      </c>
      <c r="E548" s="16">
        <f t="shared" si="8"/>
        <v>2.7027027027027025E-2</v>
      </c>
    </row>
    <row r="549" spans="3:5">
      <c r="C549" t="s">
        <v>120</v>
      </c>
      <c r="D549" s="139" t="s">
        <v>250</v>
      </c>
      <c r="E549" s="16">
        <f t="shared" si="8"/>
        <v>2.7027027027027025E-2</v>
      </c>
    </row>
    <row r="550" spans="3:5">
      <c r="C550" t="s">
        <v>120</v>
      </c>
      <c r="D550" s="139" t="s">
        <v>251</v>
      </c>
      <c r="E550" s="16">
        <f t="shared" si="8"/>
        <v>2.7027027027027025E-2</v>
      </c>
    </row>
    <row r="551" spans="3:5">
      <c r="C551" t="s">
        <v>120</v>
      </c>
      <c r="D551" s="139" t="s">
        <v>252</v>
      </c>
      <c r="E551" s="16">
        <f t="shared" si="8"/>
        <v>2.7027027027027025E-2</v>
      </c>
    </row>
    <row r="552" spans="3:5">
      <c r="C552" t="s">
        <v>120</v>
      </c>
      <c r="D552" s="139" t="s">
        <v>253</v>
      </c>
      <c r="E552" s="16">
        <f t="shared" si="8"/>
        <v>2.7027027027027025E-2</v>
      </c>
    </row>
    <row r="553" spans="3:5">
      <c r="C553" t="s">
        <v>120</v>
      </c>
      <c r="D553" s="139" t="s">
        <v>254</v>
      </c>
      <c r="E553" s="16">
        <f t="shared" si="8"/>
        <v>2.7027027027027025E-2</v>
      </c>
    </row>
    <row r="554" spans="3:5">
      <c r="C554" t="s">
        <v>120</v>
      </c>
      <c r="D554" s="139" t="s">
        <v>255</v>
      </c>
      <c r="E554" s="16">
        <f t="shared" si="8"/>
        <v>2.7027027027027025E-2</v>
      </c>
    </row>
    <row r="555" spans="3:5">
      <c r="C555" t="s">
        <v>120</v>
      </c>
      <c r="D555" s="139" t="s">
        <v>256</v>
      </c>
      <c r="E555" s="16">
        <f t="shared" si="8"/>
        <v>2.7027027027027025E-2</v>
      </c>
    </row>
    <row r="556" spans="3:5">
      <c r="C556" t="s">
        <v>121</v>
      </c>
      <c r="D556" s="139" t="s">
        <v>249</v>
      </c>
      <c r="E556" s="16">
        <f t="shared" si="8"/>
        <v>2.7027027027027025E-2</v>
      </c>
    </row>
    <row r="557" spans="3:5">
      <c r="C557" t="s">
        <v>121</v>
      </c>
      <c r="D557" s="139" t="s">
        <v>156</v>
      </c>
      <c r="E557" s="16">
        <f t="shared" si="8"/>
        <v>2.7027027027027025E-2</v>
      </c>
    </row>
    <row r="558" spans="3:5">
      <c r="C558" t="s">
        <v>121</v>
      </c>
      <c r="D558" s="139" t="s">
        <v>102</v>
      </c>
      <c r="E558" s="16">
        <f t="shared" si="8"/>
        <v>2.7027027027027025E-2</v>
      </c>
    </row>
    <row r="559" spans="3:5">
      <c r="C559" t="s">
        <v>121</v>
      </c>
      <c r="D559" s="139" t="s">
        <v>104</v>
      </c>
      <c r="E559" s="16">
        <f t="shared" si="8"/>
        <v>2.7027027027027025E-2</v>
      </c>
    </row>
    <row r="560" spans="3:5">
      <c r="C560" t="s">
        <v>121</v>
      </c>
      <c r="D560" s="139" t="s">
        <v>155</v>
      </c>
      <c r="E560" s="16">
        <f t="shared" si="8"/>
        <v>2.7027027027027025E-2</v>
      </c>
    </row>
    <row r="561" spans="3:5">
      <c r="C561" t="s">
        <v>121</v>
      </c>
      <c r="D561" s="139" t="s">
        <v>250</v>
      </c>
      <c r="E561" s="16">
        <f t="shared" si="8"/>
        <v>2.7027027027027025E-2</v>
      </c>
    </row>
    <row r="562" spans="3:5">
      <c r="C562" t="s">
        <v>121</v>
      </c>
      <c r="D562" s="139" t="s">
        <v>251</v>
      </c>
      <c r="E562" s="16">
        <f t="shared" si="8"/>
        <v>2.7027027027027025E-2</v>
      </c>
    </row>
    <row r="563" spans="3:5">
      <c r="C563" t="s">
        <v>121</v>
      </c>
      <c r="D563" s="139" t="s">
        <v>252</v>
      </c>
      <c r="E563" s="16">
        <f t="shared" si="8"/>
        <v>2.7027027027027025E-2</v>
      </c>
    </row>
    <row r="564" spans="3:5">
      <c r="C564" t="s">
        <v>121</v>
      </c>
      <c r="D564" s="139" t="s">
        <v>253</v>
      </c>
      <c r="E564" s="16">
        <f t="shared" si="8"/>
        <v>2.7027027027027025E-2</v>
      </c>
    </row>
    <row r="565" spans="3:5">
      <c r="C565" t="s">
        <v>121</v>
      </c>
      <c r="D565" s="139" t="s">
        <v>254</v>
      </c>
      <c r="E565" s="16">
        <f t="shared" si="8"/>
        <v>2.7027027027027025E-2</v>
      </c>
    </row>
    <row r="566" spans="3:5">
      <c r="C566" t="s">
        <v>121</v>
      </c>
      <c r="D566" s="139" t="s">
        <v>255</v>
      </c>
      <c r="E566" s="16">
        <f t="shared" si="8"/>
        <v>2.7027027027027025E-2</v>
      </c>
    </row>
    <row r="567" spans="3:5">
      <c r="C567" t="s">
        <v>121</v>
      </c>
      <c r="D567" s="139" t="s">
        <v>256</v>
      </c>
      <c r="E567" s="16">
        <f t="shared" si="8"/>
        <v>2.7027027027027025E-2</v>
      </c>
    </row>
    <row r="568" spans="3:5">
      <c r="C568" t="s">
        <v>122</v>
      </c>
      <c r="D568" s="139" t="s">
        <v>249</v>
      </c>
      <c r="E568" s="16">
        <f t="shared" si="8"/>
        <v>2.7027027027027025E-2</v>
      </c>
    </row>
    <row r="569" spans="3:5">
      <c r="C569" t="s">
        <v>122</v>
      </c>
      <c r="D569" s="139" t="s">
        <v>156</v>
      </c>
      <c r="E569" s="16">
        <f t="shared" si="8"/>
        <v>2.7027027027027025E-2</v>
      </c>
    </row>
    <row r="570" spans="3:5">
      <c r="C570" t="s">
        <v>122</v>
      </c>
      <c r="D570" s="139" t="s">
        <v>102</v>
      </c>
      <c r="E570" s="16">
        <f t="shared" si="8"/>
        <v>2.7027027027027025E-2</v>
      </c>
    </row>
    <row r="571" spans="3:5">
      <c r="C571" t="s">
        <v>122</v>
      </c>
      <c r="D571" s="139" t="s">
        <v>104</v>
      </c>
      <c r="E571" s="16">
        <f t="shared" si="8"/>
        <v>2.7027027027027025E-2</v>
      </c>
    </row>
    <row r="572" spans="3:5">
      <c r="C572" t="s">
        <v>122</v>
      </c>
      <c r="D572" s="139" t="s">
        <v>155</v>
      </c>
      <c r="E572" s="16">
        <f t="shared" si="8"/>
        <v>2.7027027027027025E-2</v>
      </c>
    </row>
    <row r="573" spans="3:5">
      <c r="C573" t="s">
        <v>122</v>
      </c>
      <c r="D573" s="139" t="s">
        <v>250</v>
      </c>
      <c r="E573" s="16">
        <f t="shared" si="8"/>
        <v>2.7027027027027025E-2</v>
      </c>
    </row>
    <row r="574" spans="3:5">
      <c r="C574" t="s">
        <v>122</v>
      </c>
      <c r="D574" s="139" t="s">
        <v>251</v>
      </c>
      <c r="E574" s="16">
        <f t="shared" si="8"/>
        <v>2.7027027027027025E-2</v>
      </c>
    </row>
    <row r="575" spans="3:5">
      <c r="C575" t="s">
        <v>122</v>
      </c>
      <c r="D575" s="139" t="s">
        <v>252</v>
      </c>
      <c r="E575" s="16">
        <f t="shared" si="8"/>
        <v>2.7027027027027025E-2</v>
      </c>
    </row>
    <row r="576" spans="3:5">
      <c r="C576" t="s">
        <v>122</v>
      </c>
      <c r="D576" s="139" t="s">
        <v>253</v>
      </c>
      <c r="E576" s="16">
        <f t="shared" ref="E576:E639" si="9">100/$J$14/100</f>
        <v>2.7027027027027025E-2</v>
      </c>
    </row>
    <row r="577" spans="3:5">
      <c r="C577" t="s">
        <v>122</v>
      </c>
      <c r="D577" s="139" t="s">
        <v>254</v>
      </c>
      <c r="E577" s="16">
        <f t="shared" si="9"/>
        <v>2.7027027027027025E-2</v>
      </c>
    </row>
    <row r="578" spans="3:5">
      <c r="C578" t="s">
        <v>122</v>
      </c>
      <c r="D578" s="139" t="s">
        <v>255</v>
      </c>
      <c r="E578" s="16">
        <f t="shared" si="9"/>
        <v>2.7027027027027025E-2</v>
      </c>
    </row>
    <row r="579" spans="3:5">
      <c r="C579" t="s">
        <v>122</v>
      </c>
      <c r="D579" s="139" t="s">
        <v>256</v>
      </c>
      <c r="E579" s="16">
        <f t="shared" si="9"/>
        <v>2.7027027027027025E-2</v>
      </c>
    </row>
    <row r="580" spans="3:5">
      <c r="C580" t="s">
        <v>123</v>
      </c>
      <c r="D580" s="139" t="s">
        <v>249</v>
      </c>
      <c r="E580" s="16">
        <f t="shared" si="9"/>
        <v>2.7027027027027025E-2</v>
      </c>
    </row>
    <row r="581" spans="3:5">
      <c r="C581" t="s">
        <v>123</v>
      </c>
      <c r="D581" s="139" t="s">
        <v>156</v>
      </c>
      <c r="E581" s="16">
        <f t="shared" si="9"/>
        <v>2.7027027027027025E-2</v>
      </c>
    </row>
    <row r="582" spans="3:5">
      <c r="C582" t="s">
        <v>123</v>
      </c>
      <c r="D582" s="139" t="s">
        <v>102</v>
      </c>
      <c r="E582" s="16">
        <f t="shared" si="9"/>
        <v>2.7027027027027025E-2</v>
      </c>
    </row>
    <row r="583" spans="3:5">
      <c r="C583" t="s">
        <v>123</v>
      </c>
      <c r="D583" s="139" t="s">
        <v>104</v>
      </c>
      <c r="E583" s="16">
        <f t="shared" si="9"/>
        <v>2.7027027027027025E-2</v>
      </c>
    </row>
    <row r="584" spans="3:5">
      <c r="C584" t="s">
        <v>123</v>
      </c>
      <c r="D584" s="139" t="s">
        <v>155</v>
      </c>
      <c r="E584" s="16">
        <f t="shared" si="9"/>
        <v>2.7027027027027025E-2</v>
      </c>
    </row>
    <row r="585" spans="3:5">
      <c r="C585" t="s">
        <v>123</v>
      </c>
      <c r="D585" s="139" t="s">
        <v>250</v>
      </c>
      <c r="E585" s="16">
        <f t="shared" si="9"/>
        <v>2.7027027027027025E-2</v>
      </c>
    </row>
    <row r="586" spans="3:5">
      <c r="C586" t="s">
        <v>123</v>
      </c>
      <c r="D586" s="139" t="s">
        <v>251</v>
      </c>
      <c r="E586" s="16">
        <f t="shared" si="9"/>
        <v>2.7027027027027025E-2</v>
      </c>
    </row>
    <row r="587" spans="3:5">
      <c r="C587" t="s">
        <v>123</v>
      </c>
      <c r="D587" s="139" t="s">
        <v>252</v>
      </c>
      <c r="E587" s="16">
        <f t="shared" si="9"/>
        <v>2.7027027027027025E-2</v>
      </c>
    </row>
    <row r="588" spans="3:5">
      <c r="C588" t="s">
        <v>123</v>
      </c>
      <c r="D588" s="139" t="s">
        <v>253</v>
      </c>
      <c r="E588" s="16">
        <f t="shared" si="9"/>
        <v>2.7027027027027025E-2</v>
      </c>
    </row>
    <row r="589" spans="3:5">
      <c r="C589" t="s">
        <v>123</v>
      </c>
      <c r="D589" s="139" t="s">
        <v>254</v>
      </c>
      <c r="E589" s="16">
        <f t="shared" si="9"/>
        <v>2.7027027027027025E-2</v>
      </c>
    </row>
    <row r="590" spans="3:5">
      <c r="C590" t="s">
        <v>123</v>
      </c>
      <c r="D590" s="139" t="s">
        <v>255</v>
      </c>
      <c r="E590" s="16">
        <f t="shared" si="9"/>
        <v>2.7027027027027025E-2</v>
      </c>
    </row>
    <row r="591" spans="3:5">
      <c r="C591" t="s">
        <v>123</v>
      </c>
      <c r="D591" s="139" t="s">
        <v>256</v>
      </c>
      <c r="E591" s="16">
        <f t="shared" si="9"/>
        <v>2.7027027027027025E-2</v>
      </c>
    </row>
    <row r="592" spans="3:5">
      <c r="C592" t="s">
        <v>124</v>
      </c>
      <c r="D592" s="139" t="s">
        <v>249</v>
      </c>
      <c r="E592" s="16">
        <f t="shared" si="9"/>
        <v>2.7027027027027025E-2</v>
      </c>
    </row>
    <row r="593" spans="3:5">
      <c r="C593" t="s">
        <v>124</v>
      </c>
      <c r="D593" s="139" t="s">
        <v>156</v>
      </c>
      <c r="E593" s="16">
        <f t="shared" si="9"/>
        <v>2.7027027027027025E-2</v>
      </c>
    </row>
    <row r="594" spans="3:5">
      <c r="C594" t="s">
        <v>124</v>
      </c>
      <c r="D594" s="139" t="s">
        <v>102</v>
      </c>
      <c r="E594" s="16">
        <f t="shared" si="9"/>
        <v>2.7027027027027025E-2</v>
      </c>
    </row>
    <row r="595" spans="3:5">
      <c r="C595" t="s">
        <v>124</v>
      </c>
      <c r="D595" s="139" t="s">
        <v>104</v>
      </c>
      <c r="E595" s="16">
        <f t="shared" si="9"/>
        <v>2.7027027027027025E-2</v>
      </c>
    </row>
    <row r="596" spans="3:5">
      <c r="C596" t="s">
        <v>124</v>
      </c>
      <c r="D596" s="139" t="s">
        <v>155</v>
      </c>
      <c r="E596" s="16">
        <f t="shared" si="9"/>
        <v>2.7027027027027025E-2</v>
      </c>
    </row>
    <row r="597" spans="3:5">
      <c r="C597" t="s">
        <v>124</v>
      </c>
      <c r="D597" s="139" t="s">
        <v>250</v>
      </c>
      <c r="E597" s="16">
        <f t="shared" si="9"/>
        <v>2.7027027027027025E-2</v>
      </c>
    </row>
    <row r="598" spans="3:5">
      <c r="C598" t="s">
        <v>124</v>
      </c>
      <c r="D598" s="139" t="s">
        <v>251</v>
      </c>
      <c r="E598" s="16">
        <f t="shared" si="9"/>
        <v>2.7027027027027025E-2</v>
      </c>
    </row>
    <row r="599" spans="3:5">
      <c r="C599" t="s">
        <v>124</v>
      </c>
      <c r="D599" s="139" t="s">
        <v>252</v>
      </c>
      <c r="E599" s="16">
        <f t="shared" si="9"/>
        <v>2.7027027027027025E-2</v>
      </c>
    </row>
    <row r="600" spans="3:5">
      <c r="C600" t="s">
        <v>124</v>
      </c>
      <c r="D600" s="139" t="s">
        <v>253</v>
      </c>
      <c r="E600" s="16">
        <f t="shared" si="9"/>
        <v>2.7027027027027025E-2</v>
      </c>
    </row>
    <row r="601" spans="3:5">
      <c r="C601" t="s">
        <v>124</v>
      </c>
      <c r="D601" s="139" t="s">
        <v>254</v>
      </c>
      <c r="E601" s="16">
        <f t="shared" si="9"/>
        <v>2.7027027027027025E-2</v>
      </c>
    </row>
    <row r="602" spans="3:5">
      <c r="C602" t="s">
        <v>124</v>
      </c>
      <c r="D602" s="139" t="s">
        <v>255</v>
      </c>
      <c r="E602" s="16">
        <f t="shared" si="9"/>
        <v>2.7027027027027025E-2</v>
      </c>
    </row>
    <row r="603" spans="3:5">
      <c r="C603" t="s">
        <v>124</v>
      </c>
      <c r="D603" s="139" t="s">
        <v>256</v>
      </c>
      <c r="E603" s="16">
        <f t="shared" si="9"/>
        <v>2.7027027027027025E-2</v>
      </c>
    </row>
    <row r="604" spans="3:5">
      <c r="C604" t="s">
        <v>125</v>
      </c>
      <c r="D604" s="139" t="s">
        <v>249</v>
      </c>
      <c r="E604" s="16">
        <f t="shared" si="9"/>
        <v>2.7027027027027025E-2</v>
      </c>
    </row>
    <row r="605" spans="3:5">
      <c r="C605" t="s">
        <v>125</v>
      </c>
      <c r="D605" s="139" t="s">
        <v>156</v>
      </c>
      <c r="E605" s="16">
        <f t="shared" si="9"/>
        <v>2.7027027027027025E-2</v>
      </c>
    </row>
    <row r="606" spans="3:5">
      <c r="C606" t="s">
        <v>125</v>
      </c>
      <c r="D606" s="139" t="s">
        <v>102</v>
      </c>
      <c r="E606" s="16">
        <f t="shared" si="9"/>
        <v>2.7027027027027025E-2</v>
      </c>
    </row>
    <row r="607" spans="3:5">
      <c r="C607" t="s">
        <v>125</v>
      </c>
      <c r="D607" s="139" t="s">
        <v>104</v>
      </c>
      <c r="E607" s="16">
        <f t="shared" si="9"/>
        <v>2.7027027027027025E-2</v>
      </c>
    </row>
    <row r="608" spans="3:5">
      <c r="C608" t="s">
        <v>125</v>
      </c>
      <c r="D608" s="139" t="s">
        <v>155</v>
      </c>
      <c r="E608" s="16">
        <f t="shared" si="9"/>
        <v>2.7027027027027025E-2</v>
      </c>
    </row>
    <row r="609" spans="3:5">
      <c r="C609" t="s">
        <v>125</v>
      </c>
      <c r="D609" s="139" t="s">
        <v>250</v>
      </c>
      <c r="E609" s="16">
        <f t="shared" si="9"/>
        <v>2.7027027027027025E-2</v>
      </c>
    </row>
    <row r="610" spans="3:5">
      <c r="C610" t="s">
        <v>125</v>
      </c>
      <c r="D610" s="139" t="s">
        <v>251</v>
      </c>
      <c r="E610" s="16">
        <f t="shared" si="9"/>
        <v>2.7027027027027025E-2</v>
      </c>
    </row>
    <row r="611" spans="3:5">
      <c r="C611" t="s">
        <v>125</v>
      </c>
      <c r="D611" s="139" t="s">
        <v>252</v>
      </c>
      <c r="E611" s="16">
        <f t="shared" si="9"/>
        <v>2.7027027027027025E-2</v>
      </c>
    </row>
    <row r="612" spans="3:5">
      <c r="C612" t="s">
        <v>125</v>
      </c>
      <c r="D612" s="139" t="s">
        <v>253</v>
      </c>
      <c r="E612" s="16">
        <f t="shared" si="9"/>
        <v>2.7027027027027025E-2</v>
      </c>
    </row>
    <row r="613" spans="3:5">
      <c r="C613" t="s">
        <v>125</v>
      </c>
      <c r="D613" s="139" t="s">
        <v>254</v>
      </c>
      <c r="E613" s="16">
        <f t="shared" si="9"/>
        <v>2.7027027027027025E-2</v>
      </c>
    </row>
    <row r="614" spans="3:5">
      <c r="C614" t="s">
        <v>125</v>
      </c>
      <c r="D614" s="139" t="s">
        <v>255</v>
      </c>
      <c r="E614" s="16">
        <f t="shared" si="9"/>
        <v>2.7027027027027025E-2</v>
      </c>
    </row>
    <row r="615" spans="3:5">
      <c r="C615" t="s">
        <v>125</v>
      </c>
      <c r="D615" s="139" t="s">
        <v>256</v>
      </c>
      <c r="E615" s="16">
        <f t="shared" si="9"/>
        <v>2.7027027027027025E-2</v>
      </c>
    </row>
    <row r="616" spans="3:5">
      <c r="C616" t="s">
        <v>126</v>
      </c>
      <c r="D616" s="139" t="s">
        <v>249</v>
      </c>
      <c r="E616" s="16">
        <f t="shared" si="9"/>
        <v>2.7027027027027025E-2</v>
      </c>
    </row>
    <row r="617" spans="3:5">
      <c r="C617" t="s">
        <v>126</v>
      </c>
      <c r="D617" s="139" t="s">
        <v>156</v>
      </c>
      <c r="E617" s="16">
        <f t="shared" si="9"/>
        <v>2.7027027027027025E-2</v>
      </c>
    </row>
    <row r="618" spans="3:5">
      <c r="C618" t="s">
        <v>126</v>
      </c>
      <c r="D618" s="139" t="s">
        <v>102</v>
      </c>
      <c r="E618" s="16">
        <f t="shared" si="9"/>
        <v>2.7027027027027025E-2</v>
      </c>
    </row>
    <row r="619" spans="3:5">
      <c r="C619" t="s">
        <v>126</v>
      </c>
      <c r="D619" s="139" t="s">
        <v>104</v>
      </c>
      <c r="E619" s="16">
        <f t="shared" si="9"/>
        <v>2.7027027027027025E-2</v>
      </c>
    </row>
    <row r="620" spans="3:5">
      <c r="C620" t="s">
        <v>126</v>
      </c>
      <c r="D620" s="139" t="s">
        <v>155</v>
      </c>
      <c r="E620" s="16">
        <f t="shared" si="9"/>
        <v>2.7027027027027025E-2</v>
      </c>
    </row>
    <row r="621" spans="3:5">
      <c r="C621" t="s">
        <v>126</v>
      </c>
      <c r="D621" s="139" t="s">
        <v>250</v>
      </c>
      <c r="E621" s="16">
        <f t="shared" si="9"/>
        <v>2.7027027027027025E-2</v>
      </c>
    </row>
    <row r="622" spans="3:5">
      <c r="C622" t="s">
        <v>126</v>
      </c>
      <c r="D622" s="139" t="s">
        <v>251</v>
      </c>
      <c r="E622" s="16">
        <f t="shared" si="9"/>
        <v>2.7027027027027025E-2</v>
      </c>
    </row>
    <row r="623" spans="3:5">
      <c r="C623" t="s">
        <v>126</v>
      </c>
      <c r="D623" s="139" t="s">
        <v>252</v>
      </c>
      <c r="E623" s="16">
        <f t="shared" si="9"/>
        <v>2.7027027027027025E-2</v>
      </c>
    </row>
    <row r="624" spans="3:5">
      <c r="C624" t="s">
        <v>126</v>
      </c>
      <c r="D624" s="139" t="s">
        <v>253</v>
      </c>
      <c r="E624" s="16">
        <f t="shared" si="9"/>
        <v>2.7027027027027025E-2</v>
      </c>
    </row>
    <row r="625" spans="3:5">
      <c r="C625" t="s">
        <v>126</v>
      </c>
      <c r="D625" s="139" t="s">
        <v>254</v>
      </c>
      <c r="E625" s="16">
        <f t="shared" si="9"/>
        <v>2.7027027027027025E-2</v>
      </c>
    </row>
    <row r="626" spans="3:5">
      <c r="C626" t="s">
        <v>126</v>
      </c>
      <c r="D626" s="139" t="s">
        <v>255</v>
      </c>
      <c r="E626" s="16">
        <f t="shared" si="9"/>
        <v>2.7027027027027025E-2</v>
      </c>
    </row>
    <row r="627" spans="3:5">
      <c r="C627" t="s">
        <v>126</v>
      </c>
      <c r="D627" s="139" t="s">
        <v>256</v>
      </c>
      <c r="E627" s="16">
        <f t="shared" si="9"/>
        <v>2.7027027027027025E-2</v>
      </c>
    </row>
    <row r="628" spans="3:5">
      <c r="C628" t="s">
        <v>127</v>
      </c>
      <c r="D628" s="139" t="s">
        <v>249</v>
      </c>
      <c r="E628" s="16">
        <f t="shared" si="9"/>
        <v>2.7027027027027025E-2</v>
      </c>
    </row>
    <row r="629" spans="3:5">
      <c r="C629" t="s">
        <v>127</v>
      </c>
      <c r="D629" s="139" t="s">
        <v>156</v>
      </c>
      <c r="E629" s="16">
        <f t="shared" si="9"/>
        <v>2.7027027027027025E-2</v>
      </c>
    </row>
    <row r="630" spans="3:5">
      <c r="C630" t="s">
        <v>127</v>
      </c>
      <c r="D630" s="139" t="s">
        <v>102</v>
      </c>
      <c r="E630" s="16">
        <f t="shared" si="9"/>
        <v>2.7027027027027025E-2</v>
      </c>
    </row>
    <row r="631" spans="3:5">
      <c r="C631" t="s">
        <v>127</v>
      </c>
      <c r="D631" s="139" t="s">
        <v>104</v>
      </c>
      <c r="E631" s="16">
        <f t="shared" si="9"/>
        <v>2.7027027027027025E-2</v>
      </c>
    </row>
    <row r="632" spans="3:5">
      <c r="C632" t="s">
        <v>127</v>
      </c>
      <c r="D632" s="139" t="s">
        <v>155</v>
      </c>
      <c r="E632" s="16">
        <f t="shared" si="9"/>
        <v>2.7027027027027025E-2</v>
      </c>
    </row>
    <row r="633" spans="3:5">
      <c r="C633" t="s">
        <v>127</v>
      </c>
      <c r="D633" s="139" t="s">
        <v>250</v>
      </c>
      <c r="E633" s="16">
        <f t="shared" si="9"/>
        <v>2.7027027027027025E-2</v>
      </c>
    </row>
    <row r="634" spans="3:5">
      <c r="C634" t="s">
        <v>127</v>
      </c>
      <c r="D634" s="139" t="s">
        <v>251</v>
      </c>
      <c r="E634" s="16">
        <f t="shared" si="9"/>
        <v>2.7027027027027025E-2</v>
      </c>
    </row>
    <row r="635" spans="3:5">
      <c r="C635" t="s">
        <v>127</v>
      </c>
      <c r="D635" s="139" t="s">
        <v>252</v>
      </c>
      <c r="E635" s="16">
        <f t="shared" si="9"/>
        <v>2.7027027027027025E-2</v>
      </c>
    </row>
    <row r="636" spans="3:5">
      <c r="C636" t="s">
        <v>127</v>
      </c>
      <c r="D636" s="139" t="s">
        <v>253</v>
      </c>
      <c r="E636" s="16">
        <f t="shared" si="9"/>
        <v>2.7027027027027025E-2</v>
      </c>
    </row>
    <row r="637" spans="3:5">
      <c r="C637" t="s">
        <v>127</v>
      </c>
      <c r="D637" s="139" t="s">
        <v>254</v>
      </c>
      <c r="E637" s="16">
        <f t="shared" si="9"/>
        <v>2.7027027027027025E-2</v>
      </c>
    </row>
    <row r="638" spans="3:5">
      <c r="C638" t="s">
        <v>127</v>
      </c>
      <c r="D638" s="139" t="s">
        <v>255</v>
      </c>
      <c r="E638" s="16">
        <f t="shared" si="9"/>
        <v>2.7027027027027025E-2</v>
      </c>
    </row>
    <row r="639" spans="3:5">
      <c r="C639" t="s">
        <v>127</v>
      </c>
      <c r="D639" s="139" t="s">
        <v>256</v>
      </c>
      <c r="E639" s="16">
        <f t="shared" si="9"/>
        <v>2.7027027027027025E-2</v>
      </c>
    </row>
    <row r="640" spans="3:5">
      <c r="C640" t="s">
        <v>128</v>
      </c>
      <c r="D640" s="139" t="s">
        <v>249</v>
      </c>
      <c r="E640" s="16">
        <f t="shared" ref="E640:E703" si="10">100/$J$14/100</f>
        <v>2.7027027027027025E-2</v>
      </c>
    </row>
    <row r="641" spans="3:5">
      <c r="C641" t="s">
        <v>128</v>
      </c>
      <c r="D641" s="139" t="s">
        <v>156</v>
      </c>
      <c r="E641" s="16">
        <f t="shared" si="10"/>
        <v>2.7027027027027025E-2</v>
      </c>
    </row>
    <row r="642" spans="3:5">
      <c r="C642" t="s">
        <v>128</v>
      </c>
      <c r="D642" s="139" t="s">
        <v>102</v>
      </c>
      <c r="E642" s="16">
        <f t="shared" si="10"/>
        <v>2.7027027027027025E-2</v>
      </c>
    </row>
    <row r="643" spans="3:5">
      <c r="C643" t="s">
        <v>128</v>
      </c>
      <c r="D643" s="139" t="s">
        <v>104</v>
      </c>
      <c r="E643" s="16">
        <f t="shared" si="10"/>
        <v>2.7027027027027025E-2</v>
      </c>
    </row>
    <row r="644" spans="3:5">
      <c r="C644" t="s">
        <v>128</v>
      </c>
      <c r="D644" s="139" t="s">
        <v>155</v>
      </c>
      <c r="E644" s="16">
        <f t="shared" si="10"/>
        <v>2.7027027027027025E-2</v>
      </c>
    </row>
    <row r="645" spans="3:5">
      <c r="C645" t="s">
        <v>128</v>
      </c>
      <c r="D645" s="139" t="s">
        <v>250</v>
      </c>
      <c r="E645" s="16">
        <f t="shared" si="10"/>
        <v>2.7027027027027025E-2</v>
      </c>
    </row>
    <row r="646" spans="3:5">
      <c r="C646" t="s">
        <v>128</v>
      </c>
      <c r="D646" s="139" t="s">
        <v>251</v>
      </c>
      <c r="E646" s="16">
        <f t="shared" si="10"/>
        <v>2.7027027027027025E-2</v>
      </c>
    </row>
    <row r="647" spans="3:5">
      <c r="C647" t="s">
        <v>128</v>
      </c>
      <c r="D647" s="139" t="s">
        <v>252</v>
      </c>
      <c r="E647" s="16">
        <f t="shared" si="10"/>
        <v>2.7027027027027025E-2</v>
      </c>
    </row>
    <row r="648" spans="3:5">
      <c r="C648" t="s">
        <v>128</v>
      </c>
      <c r="D648" s="139" t="s">
        <v>253</v>
      </c>
      <c r="E648" s="16">
        <f t="shared" si="10"/>
        <v>2.7027027027027025E-2</v>
      </c>
    </row>
    <row r="649" spans="3:5">
      <c r="C649" t="s">
        <v>128</v>
      </c>
      <c r="D649" s="139" t="s">
        <v>254</v>
      </c>
      <c r="E649" s="16">
        <f t="shared" si="10"/>
        <v>2.7027027027027025E-2</v>
      </c>
    </row>
    <row r="650" spans="3:5">
      <c r="C650" t="s">
        <v>128</v>
      </c>
      <c r="D650" s="139" t="s">
        <v>255</v>
      </c>
      <c r="E650" s="16">
        <f t="shared" si="10"/>
        <v>2.7027027027027025E-2</v>
      </c>
    </row>
    <row r="651" spans="3:5">
      <c r="C651" t="s">
        <v>128</v>
      </c>
      <c r="D651" s="139" t="s">
        <v>256</v>
      </c>
      <c r="E651" s="16">
        <f t="shared" si="10"/>
        <v>2.7027027027027025E-2</v>
      </c>
    </row>
    <row r="652" spans="3:5">
      <c r="C652" t="s">
        <v>129</v>
      </c>
      <c r="D652" s="139" t="s">
        <v>249</v>
      </c>
      <c r="E652" s="16">
        <f t="shared" si="10"/>
        <v>2.7027027027027025E-2</v>
      </c>
    </row>
    <row r="653" spans="3:5">
      <c r="C653" t="s">
        <v>129</v>
      </c>
      <c r="D653" s="139" t="s">
        <v>156</v>
      </c>
      <c r="E653" s="16">
        <f t="shared" si="10"/>
        <v>2.7027027027027025E-2</v>
      </c>
    </row>
    <row r="654" spans="3:5">
      <c r="C654" t="s">
        <v>129</v>
      </c>
      <c r="D654" s="139" t="s">
        <v>102</v>
      </c>
      <c r="E654" s="16">
        <f t="shared" si="10"/>
        <v>2.7027027027027025E-2</v>
      </c>
    </row>
    <row r="655" spans="3:5">
      <c r="C655" t="s">
        <v>129</v>
      </c>
      <c r="D655" s="139" t="s">
        <v>104</v>
      </c>
      <c r="E655" s="16">
        <f t="shared" si="10"/>
        <v>2.7027027027027025E-2</v>
      </c>
    </row>
    <row r="656" spans="3:5">
      <c r="C656" t="s">
        <v>129</v>
      </c>
      <c r="D656" s="139" t="s">
        <v>155</v>
      </c>
      <c r="E656" s="16">
        <f t="shared" si="10"/>
        <v>2.7027027027027025E-2</v>
      </c>
    </row>
    <row r="657" spans="3:5">
      <c r="C657" t="s">
        <v>129</v>
      </c>
      <c r="D657" s="139" t="s">
        <v>250</v>
      </c>
      <c r="E657" s="16">
        <f t="shared" si="10"/>
        <v>2.7027027027027025E-2</v>
      </c>
    </row>
    <row r="658" spans="3:5">
      <c r="C658" t="s">
        <v>129</v>
      </c>
      <c r="D658" s="139" t="s">
        <v>251</v>
      </c>
      <c r="E658" s="16">
        <f t="shared" si="10"/>
        <v>2.7027027027027025E-2</v>
      </c>
    </row>
    <row r="659" spans="3:5">
      <c r="C659" t="s">
        <v>129</v>
      </c>
      <c r="D659" s="139" t="s">
        <v>252</v>
      </c>
      <c r="E659" s="16">
        <f t="shared" si="10"/>
        <v>2.7027027027027025E-2</v>
      </c>
    </row>
    <row r="660" spans="3:5">
      <c r="C660" t="s">
        <v>129</v>
      </c>
      <c r="D660" s="139" t="s">
        <v>253</v>
      </c>
      <c r="E660" s="16">
        <f t="shared" si="10"/>
        <v>2.7027027027027025E-2</v>
      </c>
    </row>
    <row r="661" spans="3:5">
      <c r="C661" t="s">
        <v>129</v>
      </c>
      <c r="D661" s="139" t="s">
        <v>254</v>
      </c>
      <c r="E661" s="16">
        <f t="shared" si="10"/>
        <v>2.7027027027027025E-2</v>
      </c>
    </row>
    <row r="662" spans="3:5">
      <c r="C662" t="s">
        <v>129</v>
      </c>
      <c r="D662" s="139" t="s">
        <v>255</v>
      </c>
      <c r="E662" s="16">
        <f t="shared" si="10"/>
        <v>2.7027027027027025E-2</v>
      </c>
    </row>
    <row r="663" spans="3:5">
      <c r="C663" t="s">
        <v>129</v>
      </c>
      <c r="D663" s="139" t="s">
        <v>256</v>
      </c>
      <c r="E663" s="16">
        <f t="shared" si="10"/>
        <v>2.7027027027027025E-2</v>
      </c>
    </row>
    <row r="664" spans="3:5">
      <c r="C664" t="s">
        <v>132</v>
      </c>
      <c r="D664" s="139" t="s">
        <v>249</v>
      </c>
      <c r="E664" s="16">
        <f t="shared" si="10"/>
        <v>2.7027027027027025E-2</v>
      </c>
    </row>
    <row r="665" spans="3:5">
      <c r="C665" t="s">
        <v>132</v>
      </c>
      <c r="D665" s="139" t="s">
        <v>156</v>
      </c>
      <c r="E665" s="16">
        <f t="shared" si="10"/>
        <v>2.7027027027027025E-2</v>
      </c>
    </row>
    <row r="666" spans="3:5">
      <c r="C666" t="s">
        <v>132</v>
      </c>
      <c r="D666" s="139" t="s">
        <v>102</v>
      </c>
      <c r="E666" s="16">
        <f t="shared" si="10"/>
        <v>2.7027027027027025E-2</v>
      </c>
    </row>
    <row r="667" spans="3:5">
      <c r="C667" t="s">
        <v>132</v>
      </c>
      <c r="D667" s="139" t="s">
        <v>104</v>
      </c>
      <c r="E667" s="16">
        <f t="shared" si="10"/>
        <v>2.7027027027027025E-2</v>
      </c>
    </row>
    <row r="668" spans="3:5">
      <c r="C668" t="s">
        <v>132</v>
      </c>
      <c r="D668" s="139" t="s">
        <v>155</v>
      </c>
      <c r="E668" s="16">
        <f t="shared" si="10"/>
        <v>2.7027027027027025E-2</v>
      </c>
    </row>
    <row r="669" spans="3:5">
      <c r="C669" t="s">
        <v>132</v>
      </c>
      <c r="D669" s="139" t="s">
        <v>250</v>
      </c>
      <c r="E669" s="16">
        <f t="shared" si="10"/>
        <v>2.7027027027027025E-2</v>
      </c>
    </row>
    <row r="670" spans="3:5">
      <c r="C670" t="s">
        <v>132</v>
      </c>
      <c r="D670" s="139" t="s">
        <v>251</v>
      </c>
      <c r="E670" s="16">
        <f t="shared" si="10"/>
        <v>2.7027027027027025E-2</v>
      </c>
    </row>
    <row r="671" spans="3:5">
      <c r="C671" t="s">
        <v>132</v>
      </c>
      <c r="D671" s="139" t="s">
        <v>252</v>
      </c>
      <c r="E671" s="16">
        <f t="shared" si="10"/>
        <v>2.7027027027027025E-2</v>
      </c>
    </row>
    <row r="672" spans="3:5">
      <c r="C672" t="s">
        <v>132</v>
      </c>
      <c r="D672" s="139" t="s">
        <v>253</v>
      </c>
      <c r="E672" s="16">
        <f t="shared" si="10"/>
        <v>2.7027027027027025E-2</v>
      </c>
    </row>
    <row r="673" spans="3:5">
      <c r="C673" t="s">
        <v>132</v>
      </c>
      <c r="D673" s="139" t="s">
        <v>254</v>
      </c>
      <c r="E673" s="16">
        <f t="shared" si="10"/>
        <v>2.7027027027027025E-2</v>
      </c>
    </row>
    <row r="674" spans="3:5">
      <c r="C674" t="s">
        <v>132</v>
      </c>
      <c r="D674" s="139" t="s">
        <v>255</v>
      </c>
      <c r="E674" s="16">
        <f t="shared" si="10"/>
        <v>2.7027027027027025E-2</v>
      </c>
    </row>
    <row r="675" spans="3:5">
      <c r="C675" t="s">
        <v>132</v>
      </c>
      <c r="D675" s="139" t="s">
        <v>256</v>
      </c>
      <c r="E675" s="16">
        <f t="shared" si="10"/>
        <v>2.7027027027027025E-2</v>
      </c>
    </row>
    <row r="676" spans="3:5">
      <c r="C676" t="s">
        <v>133</v>
      </c>
      <c r="D676" s="139" t="s">
        <v>249</v>
      </c>
      <c r="E676" s="16">
        <f t="shared" si="10"/>
        <v>2.7027027027027025E-2</v>
      </c>
    </row>
    <row r="677" spans="3:5">
      <c r="C677" t="s">
        <v>133</v>
      </c>
      <c r="D677" s="139" t="s">
        <v>156</v>
      </c>
      <c r="E677" s="16">
        <f t="shared" si="10"/>
        <v>2.7027027027027025E-2</v>
      </c>
    </row>
    <row r="678" spans="3:5">
      <c r="C678" t="s">
        <v>133</v>
      </c>
      <c r="D678" s="139" t="s">
        <v>102</v>
      </c>
      <c r="E678" s="16">
        <f t="shared" si="10"/>
        <v>2.7027027027027025E-2</v>
      </c>
    </row>
    <row r="679" spans="3:5">
      <c r="C679" t="s">
        <v>133</v>
      </c>
      <c r="D679" s="139" t="s">
        <v>104</v>
      </c>
      <c r="E679" s="16">
        <f t="shared" si="10"/>
        <v>2.7027027027027025E-2</v>
      </c>
    </row>
    <row r="680" spans="3:5">
      <c r="C680" t="s">
        <v>133</v>
      </c>
      <c r="D680" s="139" t="s">
        <v>155</v>
      </c>
      <c r="E680" s="16">
        <f t="shared" si="10"/>
        <v>2.7027027027027025E-2</v>
      </c>
    </row>
    <row r="681" spans="3:5">
      <c r="C681" t="s">
        <v>133</v>
      </c>
      <c r="D681" s="139" t="s">
        <v>250</v>
      </c>
      <c r="E681" s="16">
        <f t="shared" si="10"/>
        <v>2.7027027027027025E-2</v>
      </c>
    </row>
    <row r="682" spans="3:5">
      <c r="C682" t="s">
        <v>133</v>
      </c>
      <c r="D682" s="139" t="s">
        <v>251</v>
      </c>
      <c r="E682" s="16">
        <f t="shared" si="10"/>
        <v>2.7027027027027025E-2</v>
      </c>
    </row>
    <row r="683" spans="3:5">
      <c r="C683" t="s">
        <v>133</v>
      </c>
      <c r="D683" s="139" t="s">
        <v>252</v>
      </c>
      <c r="E683" s="16">
        <f t="shared" si="10"/>
        <v>2.7027027027027025E-2</v>
      </c>
    </row>
    <row r="684" spans="3:5">
      <c r="C684" t="s">
        <v>133</v>
      </c>
      <c r="D684" s="139" t="s">
        <v>253</v>
      </c>
      <c r="E684" s="16">
        <f t="shared" si="10"/>
        <v>2.7027027027027025E-2</v>
      </c>
    </row>
    <row r="685" spans="3:5">
      <c r="C685" t="s">
        <v>133</v>
      </c>
      <c r="D685" s="139" t="s">
        <v>254</v>
      </c>
      <c r="E685" s="16">
        <f t="shared" si="10"/>
        <v>2.7027027027027025E-2</v>
      </c>
    </row>
    <row r="686" spans="3:5">
      <c r="C686" t="s">
        <v>133</v>
      </c>
      <c r="D686" s="139" t="s">
        <v>255</v>
      </c>
      <c r="E686" s="16">
        <f t="shared" si="10"/>
        <v>2.7027027027027025E-2</v>
      </c>
    </row>
    <row r="687" spans="3:5">
      <c r="C687" t="s">
        <v>133</v>
      </c>
      <c r="D687" s="139" t="s">
        <v>256</v>
      </c>
      <c r="E687" s="16">
        <f t="shared" si="10"/>
        <v>2.7027027027027025E-2</v>
      </c>
    </row>
    <row r="688" spans="3:5">
      <c r="C688" t="s">
        <v>134</v>
      </c>
      <c r="D688" s="139" t="s">
        <v>249</v>
      </c>
      <c r="E688" s="16">
        <f t="shared" si="10"/>
        <v>2.7027027027027025E-2</v>
      </c>
    </row>
    <row r="689" spans="3:5">
      <c r="C689" t="s">
        <v>134</v>
      </c>
      <c r="D689" s="139" t="s">
        <v>156</v>
      </c>
      <c r="E689" s="16">
        <f t="shared" si="10"/>
        <v>2.7027027027027025E-2</v>
      </c>
    </row>
    <row r="690" spans="3:5">
      <c r="C690" t="s">
        <v>134</v>
      </c>
      <c r="D690" s="139" t="s">
        <v>102</v>
      </c>
      <c r="E690" s="16">
        <f t="shared" si="10"/>
        <v>2.7027027027027025E-2</v>
      </c>
    </row>
    <row r="691" spans="3:5">
      <c r="C691" t="s">
        <v>134</v>
      </c>
      <c r="D691" s="139" t="s">
        <v>104</v>
      </c>
      <c r="E691" s="16">
        <f t="shared" si="10"/>
        <v>2.7027027027027025E-2</v>
      </c>
    </row>
    <row r="692" spans="3:5">
      <c r="C692" t="s">
        <v>134</v>
      </c>
      <c r="D692" s="139" t="s">
        <v>155</v>
      </c>
      <c r="E692" s="16">
        <f t="shared" si="10"/>
        <v>2.7027027027027025E-2</v>
      </c>
    </row>
    <row r="693" spans="3:5">
      <c r="C693" t="s">
        <v>134</v>
      </c>
      <c r="D693" s="139" t="s">
        <v>250</v>
      </c>
      <c r="E693" s="16">
        <f t="shared" si="10"/>
        <v>2.7027027027027025E-2</v>
      </c>
    </row>
    <row r="694" spans="3:5">
      <c r="C694" t="s">
        <v>134</v>
      </c>
      <c r="D694" s="139" t="s">
        <v>251</v>
      </c>
      <c r="E694" s="16">
        <f t="shared" si="10"/>
        <v>2.7027027027027025E-2</v>
      </c>
    </row>
    <row r="695" spans="3:5">
      <c r="C695" t="s">
        <v>134</v>
      </c>
      <c r="D695" s="139" t="s">
        <v>252</v>
      </c>
      <c r="E695" s="16">
        <f t="shared" si="10"/>
        <v>2.7027027027027025E-2</v>
      </c>
    </row>
    <row r="696" spans="3:5">
      <c r="C696" t="s">
        <v>134</v>
      </c>
      <c r="D696" s="139" t="s">
        <v>253</v>
      </c>
      <c r="E696" s="16">
        <f t="shared" si="10"/>
        <v>2.7027027027027025E-2</v>
      </c>
    </row>
    <row r="697" spans="3:5">
      <c r="C697" t="s">
        <v>134</v>
      </c>
      <c r="D697" s="139" t="s">
        <v>254</v>
      </c>
      <c r="E697" s="16">
        <f t="shared" si="10"/>
        <v>2.7027027027027025E-2</v>
      </c>
    </row>
    <row r="698" spans="3:5">
      <c r="C698" t="s">
        <v>134</v>
      </c>
      <c r="D698" s="139" t="s">
        <v>255</v>
      </c>
      <c r="E698" s="16">
        <f t="shared" si="10"/>
        <v>2.7027027027027025E-2</v>
      </c>
    </row>
    <row r="699" spans="3:5">
      <c r="C699" t="s">
        <v>134</v>
      </c>
      <c r="D699" s="139" t="s">
        <v>256</v>
      </c>
      <c r="E699" s="16">
        <f t="shared" si="10"/>
        <v>2.7027027027027025E-2</v>
      </c>
    </row>
    <row r="700" spans="3:5">
      <c r="C700" t="s">
        <v>135</v>
      </c>
      <c r="D700" s="139" t="s">
        <v>249</v>
      </c>
      <c r="E700" s="16">
        <f t="shared" si="10"/>
        <v>2.7027027027027025E-2</v>
      </c>
    </row>
    <row r="701" spans="3:5">
      <c r="C701" t="s">
        <v>135</v>
      </c>
      <c r="D701" s="139" t="s">
        <v>156</v>
      </c>
      <c r="E701" s="16">
        <f t="shared" si="10"/>
        <v>2.7027027027027025E-2</v>
      </c>
    </row>
    <row r="702" spans="3:5">
      <c r="C702" t="s">
        <v>135</v>
      </c>
      <c r="D702" s="139" t="s">
        <v>102</v>
      </c>
      <c r="E702" s="16">
        <f t="shared" si="10"/>
        <v>2.7027027027027025E-2</v>
      </c>
    </row>
    <row r="703" spans="3:5">
      <c r="C703" t="s">
        <v>135</v>
      </c>
      <c r="D703" s="139" t="s">
        <v>104</v>
      </c>
      <c r="E703" s="16">
        <f t="shared" si="10"/>
        <v>2.7027027027027025E-2</v>
      </c>
    </row>
    <row r="704" spans="3:5">
      <c r="C704" t="s">
        <v>135</v>
      </c>
      <c r="D704" s="139" t="s">
        <v>155</v>
      </c>
      <c r="E704" s="16">
        <f t="shared" ref="E704:E767" si="11">100/$J$14/100</f>
        <v>2.7027027027027025E-2</v>
      </c>
    </row>
    <row r="705" spans="3:5">
      <c r="C705" t="s">
        <v>135</v>
      </c>
      <c r="D705" s="139" t="s">
        <v>250</v>
      </c>
      <c r="E705" s="16">
        <f t="shared" si="11"/>
        <v>2.7027027027027025E-2</v>
      </c>
    </row>
    <row r="706" spans="3:5">
      <c r="C706" t="s">
        <v>135</v>
      </c>
      <c r="D706" s="139" t="s">
        <v>251</v>
      </c>
      <c r="E706" s="16">
        <f t="shared" si="11"/>
        <v>2.7027027027027025E-2</v>
      </c>
    </row>
    <row r="707" spans="3:5">
      <c r="C707" t="s">
        <v>135</v>
      </c>
      <c r="D707" s="139" t="s">
        <v>252</v>
      </c>
      <c r="E707" s="16">
        <f t="shared" si="11"/>
        <v>2.7027027027027025E-2</v>
      </c>
    </row>
    <row r="708" spans="3:5">
      <c r="C708" t="s">
        <v>135</v>
      </c>
      <c r="D708" s="139" t="s">
        <v>253</v>
      </c>
      <c r="E708" s="16">
        <f t="shared" si="11"/>
        <v>2.7027027027027025E-2</v>
      </c>
    </row>
    <row r="709" spans="3:5">
      <c r="C709" t="s">
        <v>135</v>
      </c>
      <c r="D709" s="139" t="s">
        <v>254</v>
      </c>
      <c r="E709" s="16">
        <f t="shared" si="11"/>
        <v>2.7027027027027025E-2</v>
      </c>
    </row>
    <row r="710" spans="3:5">
      <c r="C710" t="s">
        <v>135</v>
      </c>
      <c r="D710" s="139" t="s">
        <v>255</v>
      </c>
      <c r="E710" s="16">
        <f t="shared" si="11"/>
        <v>2.7027027027027025E-2</v>
      </c>
    </row>
    <row r="711" spans="3:5">
      <c r="C711" t="s">
        <v>135</v>
      </c>
      <c r="D711" s="139" t="s">
        <v>256</v>
      </c>
      <c r="E711" s="16">
        <f t="shared" si="11"/>
        <v>2.7027027027027025E-2</v>
      </c>
    </row>
    <row r="712" spans="3:5">
      <c r="C712" t="s">
        <v>136</v>
      </c>
      <c r="D712" s="139" t="s">
        <v>249</v>
      </c>
      <c r="E712" s="16">
        <f t="shared" si="11"/>
        <v>2.7027027027027025E-2</v>
      </c>
    </row>
    <row r="713" spans="3:5">
      <c r="C713" t="s">
        <v>136</v>
      </c>
      <c r="D713" s="139" t="s">
        <v>156</v>
      </c>
      <c r="E713" s="16">
        <f t="shared" si="11"/>
        <v>2.7027027027027025E-2</v>
      </c>
    </row>
    <row r="714" spans="3:5">
      <c r="C714" t="s">
        <v>136</v>
      </c>
      <c r="D714" s="139" t="s">
        <v>102</v>
      </c>
      <c r="E714" s="16">
        <f t="shared" si="11"/>
        <v>2.7027027027027025E-2</v>
      </c>
    </row>
    <row r="715" spans="3:5">
      <c r="C715" t="s">
        <v>136</v>
      </c>
      <c r="D715" s="139" t="s">
        <v>104</v>
      </c>
      <c r="E715" s="16">
        <f t="shared" si="11"/>
        <v>2.7027027027027025E-2</v>
      </c>
    </row>
    <row r="716" spans="3:5">
      <c r="C716" t="s">
        <v>136</v>
      </c>
      <c r="D716" s="139" t="s">
        <v>155</v>
      </c>
      <c r="E716" s="16">
        <f t="shared" si="11"/>
        <v>2.7027027027027025E-2</v>
      </c>
    </row>
    <row r="717" spans="3:5">
      <c r="C717" t="s">
        <v>136</v>
      </c>
      <c r="D717" s="139" t="s">
        <v>250</v>
      </c>
      <c r="E717" s="16">
        <f t="shared" si="11"/>
        <v>2.7027027027027025E-2</v>
      </c>
    </row>
    <row r="718" spans="3:5">
      <c r="C718" t="s">
        <v>136</v>
      </c>
      <c r="D718" s="139" t="s">
        <v>251</v>
      </c>
      <c r="E718" s="16">
        <f t="shared" si="11"/>
        <v>2.7027027027027025E-2</v>
      </c>
    </row>
    <row r="719" spans="3:5">
      <c r="C719" t="s">
        <v>136</v>
      </c>
      <c r="D719" s="139" t="s">
        <v>252</v>
      </c>
      <c r="E719" s="16">
        <f t="shared" si="11"/>
        <v>2.7027027027027025E-2</v>
      </c>
    </row>
    <row r="720" spans="3:5">
      <c r="C720" t="s">
        <v>136</v>
      </c>
      <c r="D720" s="139" t="s">
        <v>253</v>
      </c>
      <c r="E720" s="16">
        <f t="shared" si="11"/>
        <v>2.7027027027027025E-2</v>
      </c>
    </row>
    <row r="721" spans="3:5">
      <c r="C721" t="s">
        <v>136</v>
      </c>
      <c r="D721" s="139" t="s">
        <v>254</v>
      </c>
      <c r="E721" s="16">
        <f t="shared" si="11"/>
        <v>2.7027027027027025E-2</v>
      </c>
    </row>
    <row r="722" spans="3:5">
      <c r="C722" t="s">
        <v>136</v>
      </c>
      <c r="D722" s="139" t="s">
        <v>255</v>
      </c>
      <c r="E722" s="16">
        <f t="shared" si="11"/>
        <v>2.7027027027027025E-2</v>
      </c>
    </row>
    <row r="723" spans="3:5">
      <c r="C723" t="s">
        <v>136</v>
      </c>
      <c r="D723" s="139" t="s">
        <v>256</v>
      </c>
      <c r="E723" s="16">
        <f t="shared" si="11"/>
        <v>2.7027027027027025E-2</v>
      </c>
    </row>
    <row r="724" spans="3:5">
      <c r="C724" t="s">
        <v>137</v>
      </c>
      <c r="D724" s="139" t="s">
        <v>249</v>
      </c>
      <c r="E724" s="16">
        <f t="shared" si="11"/>
        <v>2.7027027027027025E-2</v>
      </c>
    </row>
    <row r="725" spans="3:5">
      <c r="C725" t="s">
        <v>137</v>
      </c>
      <c r="D725" s="139" t="s">
        <v>156</v>
      </c>
      <c r="E725" s="16">
        <f t="shared" si="11"/>
        <v>2.7027027027027025E-2</v>
      </c>
    </row>
    <row r="726" spans="3:5">
      <c r="C726" t="s">
        <v>137</v>
      </c>
      <c r="D726" s="139" t="s">
        <v>102</v>
      </c>
      <c r="E726" s="16">
        <f t="shared" si="11"/>
        <v>2.7027027027027025E-2</v>
      </c>
    </row>
    <row r="727" spans="3:5">
      <c r="C727" t="s">
        <v>137</v>
      </c>
      <c r="D727" s="139" t="s">
        <v>104</v>
      </c>
      <c r="E727" s="16">
        <f t="shared" si="11"/>
        <v>2.7027027027027025E-2</v>
      </c>
    </row>
    <row r="728" spans="3:5">
      <c r="C728" t="s">
        <v>137</v>
      </c>
      <c r="D728" s="139" t="s">
        <v>155</v>
      </c>
      <c r="E728" s="16">
        <f t="shared" si="11"/>
        <v>2.7027027027027025E-2</v>
      </c>
    </row>
    <row r="729" spans="3:5">
      <c r="C729" t="s">
        <v>137</v>
      </c>
      <c r="D729" s="139" t="s">
        <v>250</v>
      </c>
      <c r="E729" s="16">
        <f t="shared" si="11"/>
        <v>2.7027027027027025E-2</v>
      </c>
    </row>
    <row r="730" spans="3:5">
      <c r="C730" t="s">
        <v>137</v>
      </c>
      <c r="D730" s="139" t="s">
        <v>251</v>
      </c>
      <c r="E730" s="16">
        <f t="shared" si="11"/>
        <v>2.7027027027027025E-2</v>
      </c>
    </row>
    <row r="731" spans="3:5">
      <c r="C731" t="s">
        <v>137</v>
      </c>
      <c r="D731" s="139" t="s">
        <v>252</v>
      </c>
      <c r="E731" s="16">
        <f t="shared" si="11"/>
        <v>2.7027027027027025E-2</v>
      </c>
    </row>
    <row r="732" spans="3:5">
      <c r="C732" t="s">
        <v>137</v>
      </c>
      <c r="D732" s="139" t="s">
        <v>253</v>
      </c>
      <c r="E732" s="16">
        <f t="shared" si="11"/>
        <v>2.7027027027027025E-2</v>
      </c>
    </row>
    <row r="733" spans="3:5">
      <c r="C733" t="s">
        <v>137</v>
      </c>
      <c r="D733" s="139" t="s">
        <v>254</v>
      </c>
      <c r="E733" s="16">
        <f t="shared" si="11"/>
        <v>2.7027027027027025E-2</v>
      </c>
    </row>
    <row r="734" spans="3:5">
      <c r="C734" t="s">
        <v>137</v>
      </c>
      <c r="D734" s="139" t="s">
        <v>255</v>
      </c>
      <c r="E734" s="16">
        <f t="shared" si="11"/>
        <v>2.7027027027027025E-2</v>
      </c>
    </row>
    <row r="735" spans="3:5">
      <c r="C735" t="s">
        <v>137</v>
      </c>
      <c r="D735" s="139" t="s">
        <v>256</v>
      </c>
      <c r="E735" s="16">
        <f t="shared" si="11"/>
        <v>2.7027027027027025E-2</v>
      </c>
    </row>
    <row r="736" spans="3:5">
      <c r="C736" t="s">
        <v>138</v>
      </c>
      <c r="D736" s="139" t="s">
        <v>249</v>
      </c>
      <c r="E736" s="16">
        <f t="shared" si="11"/>
        <v>2.7027027027027025E-2</v>
      </c>
    </row>
    <row r="737" spans="3:5">
      <c r="C737" t="s">
        <v>138</v>
      </c>
      <c r="D737" s="139" t="s">
        <v>156</v>
      </c>
      <c r="E737" s="16">
        <f t="shared" si="11"/>
        <v>2.7027027027027025E-2</v>
      </c>
    </row>
    <row r="738" spans="3:5">
      <c r="C738" t="s">
        <v>138</v>
      </c>
      <c r="D738" s="139" t="s">
        <v>102</v>
      </c>
      <c r="E738" s="16">
        <f t="shared" si="11"/>
        <v>2.7027027027027025E-2</v>
      </c>
    </row>
    <row r="739" spans="3:5">
      <c r="C739" t="s">
        <v>138</v>
      </c>
      <c r="D739" s="139" t="s">
        <v>104</v>
      </c>
      <c r="E739" s="16">
        <f t="shared" si="11"/>
        <v>2.7027027027027025E-2</v>
      </c>
    </row>
    <row r="740" spans="3:5">
      <c r="C740" t="s">
        <v>138</v>
      </c>
      <c r="D740" s="139" t="s">
        <v>155</v>
      </c>
      <c r="E740" s="16">
        <f t="shared" si="11"/>
        <v>2.7027027027027025E-2</v>
      </c>
    </row>
    <row r="741" spans="3:5">
      <c r="C741" t="s">
        <v>138</v>
      </c>
      <c r="D741" s="139" t="s">
        <v>250</v>
      </c>
      <c r="E741" s="16">
        <f t="shared" si="11"/>
        <v>2.7027027027027025E-2</v>
      </c>
    </row>
    <row r="742" spans="3:5">
      <c r="C742" t="s">
        <v>138</v>
      </c>
      <c r="D742" s="139" t="s">
        <v>251</v>
      </c>
      <c r="E742" s="16">
        <f t="shared" si="11"/>
        <v>2.7027027027027025E-2</v>
      </c>
    </row>
    <row r="743" spans="3:5">
      <c r="C743" t="s">
        <v>138</v>
      </c>
      <c r="D743" s="139" t="s">
        <v>252</v>
      </c>
      <c r="E743" s="16">
        <f t="shared" si="11"/>
        <v>2.7027027027027025E-2</v>
      </c>
    </row>
    <row r="744" spans="3:5">
      <c r="C744" t="s">
        <v>138</v>
      </c>
      <c r="D744" s="139" t="s">
        <v>253</v>
      </c>
      <c r="E744" s="16">
        <f t="shared" si="11"/>
        <v>2.7027027027027025E-2</v>
      </c>
    </row>
    <row r="745" spans="3:5">
      <c r="C745" t="s">
        <v>138</v>
      </c>
      <c r="D745" s="139" t="s">
        <v>254</v>
      </c>
      <c r="E745" s="16">
        <f t="shared" si="11"/>
        <v>2.7027027027027025E-2</v>
      </c>
    </row>
    <row r="746" spans="3:5">
      <c r="C746" t="s">
        <v>138</v>
      </c>
      <c r="D746" s="139" t="s">
        <v>255</v>
      </c>
      <c r="E746" s="16">
        <f t="shared" si="11"/>
        <v>2.7027027027027025E-2</v>
      </c>
    </row>
    <row r="747" spans="3:5">
      <c r="C747" t="s">
        <v>138</v>
      </c>
      <c r="D747" s="139" t="s">
        <v>256</v>
      </c>
      <c r="E747" s="16">
        <f t="shared" si="11"/>
        <v>2.7027027027027025E-2</v>
      </c>
    </row>
    <row r="748" spans="3:5">
      <c r="C748" t="s">
        <v>139</v>
      </c>
      <c r="D748" s="139" t="s">
        <v>249</v>
      </c>
      <c r="E748" s="16">
        <f t="shared" si="11"/>
        <v>2.7027027027027025E-2</v>
      </c>
    </row>
    <row r="749" spans="3:5">
      <c r="C749" t="s">
        <v>139</v>
      </c>
      <c r="D749" s="139" t="s">
        <v>156</v>
      </c>
      <c r="E749" s="16">
        <f t="shared" si="11"/>
        <v>2.7027027027027025E-2</v>
      </c>
    </row>
    <row r="750" spans="3:5">
      <c r="C750" t="s">
        <v>139</v>
      </c>
      <c r="D750" s="139" t="s">
        <v>102</v>
      </c>
      <c r="E750" s="16">
        <f t="shared" si="11"/>
        <v>2.7027027027027025E-2</v>
      </c>
    </row>
    <row r="751" spans="3:5">
      <c r="C751" t="s">
        <v>139</v>
      </c>
      <c r="D751" s="139" t="s">
        <v>104</v>
      </c>
      <c r="E751" s="16">
        <f t="shared" si="11"/>
        <v>2.7027027027027025E-2</v>
      </c>
    </row>
    <row r="752" spans="3:5">
      <c r="C752" t="s">
        <v>139</v>
      </c>
      <c r="D752" s="139" t="s">
        <v>155</v>
      </c>
      <c r="E752" s="16">
        <f t="shared" si="11"/>
        <v>2.7027027027027025E-2</v>
      </c>
    </row>
    <row r="753" spans="3:5">
      <c r="C753" t="s">
        <v>139</v>
      </c>
      <c r="D753" s="139" t="s">
        <v>250</v>
      </c>
      <c r="E753" s="16">
        <f t="shared" si="11"/>
        <v>2.7027027027027025E-2</v>
      </c>
    </row>
    <row r="754" spans="3:5">
      <c r="C754" t="s">
        <v>139</v>
      </c>
      <c r="D754" s="139" t="s">
        <v>251</v>
      </c>
      <c r="E754" s="16">
        <f t="shared" si="11"/>
        <v>2.7027027027027025E-2</v>
      </c>
    </row>
    <row r="755" spans="3:5">
      <c r="C755" t="s">
        <v>139</v>
      </c>
      <c r="D755" s="139" t="s">
        <v>252</v>
      </c>
      <c r="E755" s="16">
        <f t="shared" si="11"/>
        <v>2.7027027027027025E-2</v>
      </c>
    </row>
    <row r="756" spans="3:5">
      <c r="C756" t="s">
        <v>139</v>
      </c>
      <c r="D756" s="139" t="s">
        <v>253</v>
      </c>
      <c r="E756" s="16">
        <f t="shared" si="11"/>
        <v>2.7027027027027025E-2</v>
      </c>
    </row>
    <row r="757" spans="3:5">
      <c r="C757" t="s">
        <v>139</v>
      </c>
      <c r="D757" s="139" t="s">
        <v>254</v>
      </c>
      <c r="E757" s="16">
        <f t="shared" si="11"/>
        <v>2.7027027027027025E-2</v>
      </c>
    </row>
    <row r="758" spans="3:5">
      <c r="C758" t="s">
        <v>139</v>
      </c>
      <c r="D758" s="139" t="s">
        <v>255</v>
      </c>
      <c r="E758" s="16">
        <f t="shared" si="11"/>
        <v>2.7027027027027025E-2</v>
      </c>
    </row>
    <row r="759" spans="3:5">
      <c r="C759" t="s">
        <v>139</v>
      </c>
      <c r="D759" s="139" t="s">
        <v>256</v>
      </c>
      <c r="E759" s="16">
        <f t="shared" si="11"/>
        <v>2.7027027027027025E-2</v>
      </c>
    </row>
    <row r="760" spans="3:5">
      <c r="C760" t="s">
        <v>140</v>
      </c>
      <c r="D760" s="139" t="s">
        <v>249</v>
      </c>
      <c r="E760" s="16">
        <f t="shared" si="11"/>
        <v>2.7027027027027025E-2</v>
      </c>
    </row>
    <row r="761" spans="3:5">
      <c r="C761" t="s">
        <v>140</v>
      </c>
      <c r="D761" s="139" t="s">
        <v>156</v>
      </c>
      <c r="E761" s="16">
        <f t="shared" si="11"/>
        <v>2.7027027027027025E-2</v>
      </c>
    </row>
    <row r="762" spans="3:5">
      <c r="C762" t="s">
        <v>140</v>
      </c>
      <c r="D762" s="139" t="s">
        <v>102</v>
      </c>
      <c r="E762" s="16">
        <f t="shared" si="11"/>
        <v>2.7027027027027025E-2</v>
      </c>
    </row>
    <row r="763" spans="3:5">
      <c r="C763" t="s">
        <v>140</v>
      </c>
      <c r="D763" s="139" t="s">
        <v>104</v>
      </c>
      <c r="E763" s="16">
        <f t="shared" si="11"/>
        <v>2.7027027027027025E-2</v>
      </c>
    </row>
    <row r="764" spans="3:5">
      <c r="C764" t="s">
        <v>140</v>
      </c>
      <c r="D764" s="139" t="s">
        <v>155</v>
      </c>
      <c r="E764" s="16">
        <f t="shared" si="11"/>
        <v>2.7027027027027025E-2</v>
      </c>
    </row>
    <row r="765" spans="3:5">
      <c r="C765" t="s">
        <v>140</v>
      </c>
      <c r="D765" s="139" t="s">
        <v>250</v>
      </c>
      <c r="E765" s="16">
        <f t="shared" si="11"/>
        <v>2.7027027027027025E-2</v>
      </c>
    </row>
    <row r="766" spans="3:5">
      <c r="C766" t="s">
        <v>140</v>
      </c>
      <c r="D766" s="139" t="s">
        <v>251</v>
      </c>
      <c r="E766" s="16">
        <f t="shared" si="11"/>
        <v>2.7027027027027025E-2</v>
      </c>
    </row>
    <row r="767" spans="3:5">
      <c r="C767" t="s">
        <v>140</v>
      </c>
      <c r="D767" s="139" t="s">
        <v>252</v>
      </c>
      <c r="E767" s="16">
        <f t="shared" si="11"/>
        <v>2.7027027027027025E-2</v>
      </c>
    </row>
    <row r="768" spans="3:5">
      <c r="C768" t="s">
        <v>140</v>
      </c>
      <c r="D768" s="139" t="s">
        <v>253</v>
      </c>
      <c r="E768" s="16">
        <f t="shared" ref="E768:E831" si="12">100/$J$14/100</f>
        <v>2.7027027027027025E-2</v>
      </c>
    </row>
    <row r="769" spans="3:5">
      <c r="C769" t="s">
        <v>140</v>
      </c>
      <c r="D769" s="139" t="s">
        <v>254</v>
      </c>
      <c r="E769" s="16">
        <f t="shared" si="12"/>
        <v>2.7027027027027025E-2</v>
      </c>
    </row>
    <row r="770" spans="3:5">
      <c r="C770" t="s">
        <v>140</v>
      </c>
      <c r="D770" s="139" t="s">
        <v>255</v>
      </c>
      <c r="E770" s="16">
        <f t="shared" si="12"/>
        <v>2.7027027027027025E-2</v>
      </c>
    </row>
    <row r="771" spans="3:5">
      <c r="C771" t="s">
        <v>140</v>
      </c>
      <c r="D771" s="139" t="s">
        <v>256</v>
      </c>
      <c r="E771" s="16">
        <f t="shared" si="12"/>
        <v>2.7027027027027025E-2</v>
      </c>
    </row>
    <row r="772" spans="3:5">
      <c r="C772" t="s">
        <v>141</v>
      </c>
      <c r="D772" s="139" t="s">
        <v>249</v>
      </c>
      <c r="E772" s="16">
        <f t="shared" si="12"/>
        <v>2.7027027027027025E-2</v>
      </c>
    </row>
    <row r="773" spans="3:5">
      <c r="C773" t="s">
        <v>141</v>
      </c>
      <c r="D773" s="139" t="s">
        <v>156</v>
      </c>
      <c r="E773" s="16">
        <f t="shared" si="12"/>
        <v>2.7027027027027025E-2</v>
      </c>
    </row>
    <row r="774" spans="3:5">
      <c r="C774" t="s">
        <v>141</v>
      </c>
      <c r="D774" s="139" t="s">
        <v>102</v>
      </c>
      <c r="E774" s="16">
        <f t="shared" si="12"/>
        <v>2.7027027027027025E-2</v>
      </c>
    </row>
    <row r="775" spans="3:5">
      <c r="C775" t="s">
        <v>141</v>
      </c>
      <c r="D775" s="139" t="s">
        <v>104</v>
      </c>
      <c r="E775" s="16">
        <f t="shared" si="12"/>
        <v>2.7027027027027025E-2</v>
      </c>
    </row>
    <row r="776" spans="3:5">
      <c r="C776" t="s">
        <v>141</v>
      </c>
      <c r="D776" s="139" t="s">
        <v>155</v>
      </c>
      <c r="E776" s="16">
        <f t="shared" si="12"/>
        <v>2.7027027027027025E-2</v>
      </c>
    </row>
    <row r="777" spans="3:5">
      <c r="C777" t="s">
        <v>141</v>
      </c>
      <c r="D777" s="139" t="s">
        <v>250</v>
      </c>
      <c r="E777" s="16">
        <f t="shared" si="12"/>
        <v>2.7027027027027025E-2</v>
      </c>
    </row>
    <row r="778" spans="3:5">
      <c r="C778" t="s">
        <v>141</v>
      </c>
      <c r="D778" s="139" t="s">
        <v>251</v>
      </c>
      <c r="E778" s="16">
        <f t="shared" si="12"/>
        <v>2.7027027027027025E-2</v>
      </c>
    </row>
    <row r="779" spans="3:5">
      <c r="C779" t="s">
        <v>141</v>
      </c>
      <c r="D779" s="139" t="s">
        <v>252</v>
      </c>
      <c r="E779" s="16">
        <f t="shared" si="12"/>
        <v>2.7027027027027025E-2</v>
      </c>
    </row>
    <row r="780" spans="3:5">
      <c r="C780" t="s">
        <v>141</v>
      </c>
      <c r="D780" s="139" t="s">
        <v>253</v>
      </c>
      <c r="E780" s="16">
        <f t="shared" si="12"/>
        <v>2.7027027027027025E-2</v>
      </c>
    </row>
    <row r="781" spans="3:5">
      <c r="C781" t="s">
        <v>141</v>
      </c>
      <c r="D781" s="139" t="s">
        <v>254</v>
      </c>
      <c r="E781" s="16">
        <f t="shared" si="12"/>
        <v>2.7027027027027025E-2</v>
      </c>
    </row>
    <row r="782" spans="3:5">
      <c r="C782" t="s">
        <v>141</v>
      </c>
      <c r="D782" s="139" t="s">
        <v>255</v>
      </c>
      <c r="E782" s="16">
        <f t="shared" si="12"/>
        <v>2.7027027027027025E-2</v>
      </c>
    </row>
    <row r="783" spans="3:5">
      <c r="C783" t="s">
        <v>141</v>
      </c>
      <c r="D783" s="139" t="s">
        <v>256</v>
      </c>
      <c r="E783" s="16">
        <f t="shared" si="12"/>
        <v>2.7027027027027025E-2</v>
      </c>
    </row>
    <row r="784" spans="3:5">
      <c r="C784" t="s">
        <v>142</v>
      </c>
      <c r="D784" s="139" t="s">
        <v>249</v>
      </c>
      <c r="E784" s="16">
        <f t="shared" si="12"/>
        <v>2.7027027027027025E-2</v>
      </c>
    </row>
    <row r="785" spans="3:5">
      <c r="C785" t="s">
        <v>142</v>
      </c>
      <c r="D785" s="139" t="s">
        <v>156</v>
      </c>
      <c r="E785" s="16">
        <f t="shared" si="12"/>
        <v>2.7027027027027025E-2</v>
      </c>
    </row>
    <row r="786" spans="3:5">
      <c r="C786" t="s">
        <v>142</v>
      </c>
      <c r="D786" s="139" t="s">
        <v>102</v>
      </c>
      <c r="E786" s="16">
        <f t="shared" si="12"/>
        <v>2.7027027027027025E-2</v>
      </c>
    </row>
    <row r="787" spans="3:5">
      <c r="C787" t="s">
        <v>142</v>
      </c>
      <c r="D787" s="139" t="s">
        <v>104</v>
      </c>
      <c r="E787" s="16">
        <f t="shared" si="12"/>
        <v>2.7027027027027025E-2</v>
      </c>
    </row>
    <row r="788" spans="3:5">
      <c r="C788" t="s">
        <v>142</v>
      </c>
      <c r="D788" s="139" t="s">
        <v>155</v>
      </c>
      <c r="E788" s="16">
        <f t="shared" si="12"/>
        <v>2.7027027027027025E-2</v>
      </c>
    </row>
    <row r="789" spans="3:5">
      <c r="C789" t="s">
        <v>142</v>
      </c>
      <c r="D789" s="139" t="s">
        <v>250</v>
      </c>
      <c r="E789" s="16">
        <f t="shared" si="12"/>
        <v>2.7027027027027025E-2</v>
      </c>
    </row>
    <row r="790" spans="3:5">
      <c r="C790" t="s">
        <v>142</v>
      </c>
      <c r="D790" s="139" t="s">
        <v>251</v>
      </c>
      <c r="E790" s="16">
        <f t="shared" si="12"/>
        <v>2.7027027027027025E-2</v>
      </c>
    </row>
    <row r="791" spans="3:5">
      <c r="C791" t="s">
        <v>142</v>
      </c>
      <c r="D791" s="139" t="s">
        <v>252</v>
      </c>
      <c r="E791" s="16">
        <f t="shared" si="12"/>
        <v>2.7027027027027025E-2</v>
      </c>
    </row>
    <row r="792" spans="3:5">
      <c r="C792" t="s">
        <v>142</v>
      </c>
      <c r="D792" s="139" t="s">
        <v>253</v>
      </c>
      <c r="E792" s="16">
        <f t="shared" si="12"/>
        <v>2.7027027027027025E-2</v>
      </c>
    </row>
    <row r="793" spans="3:5">
      <c r="C793" t="s">
        <v>142</v>
      </c>
      <c r="D793" s="139" t="s">
        <v>254</v>
      </c>
      <c r="E793" s="16">
        <f t="shared" si="12"/>
        <v>2.7027027027027025E-2</v>
      </c>
    </row>
    <row r="794" spans="3:5">
      <c r="C794" t="s">
        <v>142</v>
      </c>
      <c r="D794" s="139" t="s">
        <v>255</v>
      </c>
      <c r="E794" s="16">
        <f t="shared" si="12"/>
        <v>2.7027027027027025E-2</v>
      </c>
    </row>
    <row r="795" spans="3:5">
      <c r="C795" t="s">
        <v>142</v>
      </c>
      <c r="D795" s="139" t="s">
        <v>256</v>
      </c>
      <c r="E795" s="16">
        <f t="shared" si="12"/>
        <v>2.7027027027027025E-2</v>
      </c>
    </row>
    <row r="796" spans="3:5">
      <c r="C796" t="s">
        <v>143</v>
      </c>
      <c r="D796" s="139" t="s">
        <v>249</v>
      </c>
      <c r="E796" s="16">
        <f t="shared" si="12"/>
        <v>2.7027027027027025E-2</v>
      </c>
    </row>
    <row r="797" spans="3:5">
      <c r="C797" t="s">
        <v>143</v>
      </c>
      <c r="D797" s="139" t="s">
        <v>156</v>
      </c>
      <c r="E797" s="16">
        <f t="shared" si="12"/>
        <v>2.7027027027027025E-2</v>
      </c>
    </row>
    <row r="798" spans="3:5">
      <c r="C798" t="s">
        <v>143</v>
      </c>
      <c r="D798" s="139" t="s">
        <v>102</v>
      </c>
      <c r="E798" s="16">
        <f t="shared" si="12"/>
        <v>2.7027027027027025E-2</v>
      </c>
    </row>
    <row r="799" spans="3:5">
      <c r="C799" t="s">
        <v>143</v>
      </c>
      <c r="D799" s="139" t="s">
        <v>104</v>
      </c>
      <c r="E799" s="16">
        <f t="shared" si="12"/>
        <v>2.7027027027027025E-2</v>
      </c>
    </row>
    <row r="800" spans="3:5">
      <c r="C800" t="s">
        <v>143</v>
      </c>
      <c r="D800" s="139" t="s">
        <v>155</v>
      </c>
      <c r="E800" s="16">
        <f t="shared" si="12"/>
        <v>2.7027027027027025E-2</v>
      </c>
    </row>
    <row r="801" spans="3:5">
      <c r="C801" t="s">
        <v>143</v>
      </c>
      <c r="D801" s="139" t="s">
        <v>250</v>
      </c>
      <c r="E801" s="16">
        <f t="shared" si="12"/>
        <v>2.7027027027027025E-2</v>
      </c>
    </row>
    <row r="802" spans="3:5">
      <c r="C802" t="s">
        <v>143</v>
      </c>
      <c r="D802" s="139" t="s">
        <v>251</v>
      </c>
      <c r="E802" s="16">
        <f t="shared" si="12"/>
        <v>2.7027027027027025E-2</v>
      </c>
    </row>
    <row r="803" spans="3:5">
      <c r="C803" t="s">
        <v>143</v>
      </c>
      <c r="D803" s="139" t="s">
        <v>252</v>
      </c>
      <c r="E803" s="16">
        <f t="shared" si="12"/>
        <v>2.7027027027027025E-2</v>
      </c>
    </row>
    <row r="804" spans="3:5">
      <c r="C804" t="s">
        <v>143</v>
      </c>
      <c r="D804" s="139" t="s">
        <v>253</v>
      </c>
      <c r="E804" s="16">
        <f t="shared" si="12"/>
        <v>2.7027027027027025E-2</v>
      </c>
    </row>
    <row r="805" spans="3:5">
      <c r="C805" t="s">
        <v>143</v>
      </c>
      <c r="D805" s="139" t="s">
        <v>254</v>
      </c>
      <c r="E805" s="16">
        <f t="shared" si="12"/>
        <v>2.7027027027027025E-2</v>
      </c>
    </row>
    <row r="806" spans="3:5">
      <c r="C806" t="s">
        <v>143</v>
      </c>
      <c r="D806" s="139" t="s">
        <v>255</v>
      </c>
      <c r="E806" s="16">
        <f t="shared" si="12"/>
        <v>2.7027027027027025E-2</v>
      </c>
    </row>
    <row r="807" spans="3:5">
      <c r="C807" t="s">
        <v>143</v>
      </c>
      <c r="D807" s="139" t="s">
        <v>256</v>
      </c>
      <c r="E807" s="16">
        <f t="shared" si="12"/>
        <v>2.7027027027027025E-2</v>
      </c>
    </row>
    <row r="808" spans="3:5">
      <c r="C808" t="s">
        <v>145</v>
      </c>
      <c r="D808" s="139" t="s">
        <v>249</v>
      </c>
      <c r="E808" s="16">
        <f t="shared" si="12"/>
        <v>2.7027027027027025E-2</v>
      </c>
    </row>
    <row r="809" spans="3:5">
      <c r="C809" t="s">
        <v>145</v>
      </c>
      <c r="D809" s="139" t="s">
        <v>156</v>
      </c>
      <c r="E809" s="16">
        <f t="shared" si="12"/>
        <v>2.7027027027027025E-2</v>
      </c>
    </row>
    <row r="810" spans="3:5">
      <c r="C810" t="s">
        <v>145</v>
      </c>
      <c r="D810" s="139" t="s">
        <v>102</v>
      </c>
      <c r="E810" s="16">
        <f t="shared" si="12"/>
        <v>2.7027027027027025E-2</v>
      </c>
    </row>
    <row r="811" spans="3:5">
      <c r="C811" t="s">
        <v>145</v>
      </c>
      <c r="D811" s="139" t="s">
        <v>104</v>
      </c>
      <c r="E811" s="16">
        <f t="shared" si="12"/>
        <v>2.7027027027027025E-2</v>
      </c>
    </row>
    <row r="812" spans="3:5">
      <c r="C812" t="s">
        <v>145</v>
      </c>
      <c r="D812" s="139" t="s">
        <v>155</v>
      </c>
      <c r="E812" s="16">
        <f t="shared" si="12"/>
        <v>2.7027027027027025E-2</v>
      </c>
    </row>
    <row r="813" spans="3:5">
      <c r="C813" t="s">
        <v>145</v>
      </c>
      <c r="D813" s="139" t="s">
        <v>250</v>
      </c>
      <c r="E813" s="16">
        <f t="shared" si="12"/>
        <v>2.7027027027027025E-2</v>
      </c>
    </row>
    <row r="814" spans="3:5">
      <c r="C814" t="s">
        <v>145</v>
      </c>
      <c r="D814" s="139" t="s">
        <v>251</v>
      </c>
      <c r="E814" s="16">
        <f t="shared" si="12"/>
        <v>2.7027027027027025E-2</v>
      </c>
    </row>
    <row r="815" spans="3:5">
      <c r="C815" t="s">
        <v>145</v>
      </c>
      <c r="D815" s="139" t="s">
        <v>252</v>
      </c>
      <c r="E815" s="16">
        <f t="shared" si="12"/>
        <v>2.7027027027027025E-2</v>
      </c>
    </row>
    <row r="816" spans="3:5">
      <c r="C816" t="s">
        <v>145</v>
      </c>
      <c r="D816" s="139" t="s">
        <v>253</v>
      </c>
      <c r="E816" s="16">
        <f t="shared" si="12"/>
        <v>2.7027027027027025E-2</v>
      </c>
    </row>
    <row r="817" spans="3:5">
      <c r="C817" t="s">
        <v>145</v>
      </c>
      <c r="D817" s="139" t="s">
        <v>254</v>
      </c>
      <c r="E817" s="16">
        <f t="shared" si="12"/>
        <v>2.7027027027027025E-2</v>
      </c>
    </row>
    <row r="818" spans="3:5">
      <c r="C818" t="s">
        <v>145</v>
      </c>
      <c r="D818" s="139" t="s">
        <v>255</v>
      </c>
      <c r="E818" s="16">
        <f t="shared" si="12"/>
        <v>2.7027027027027025E-2</v>
      </c>
    </row>
    <row r="819" spans="3:5">
      <c r="C819" t="s">
        <v>145</v>
      </c>
      <c r="D819" s="139" t="s">
        <v>256</v>
      </c>
      <c r="E819" s="16">
        <f t="shared" si="12"/>
        <v>2.7027027027027025E-2</v>
      </c>
    </row>
    <row r="820" spans="3:5">
      <c r="C820" t="s">
        <v>146</v>
      </c>
      <c r="D820" s="139" t="s">
        <v>249</v>
      </c>
      <c r="E820" s="16">
        <f t="shared" si="12"/>
        <v>2.7027027027027025E-2</v>
      </c>
    </row>
    <row r="821" spans="3:5">
      <c r="C821" t="s">
        <v>146</v>
      </c>
      <c r="D821" s="139" t="s">
        <v>156</v>
      </c>
      <c r="E821" s="16">
        <f t="shared" si="12"/>
        <v>2.7027027027027025E-2</v>
      </c>
    </row>
    <row r="822" spans="3:5">
      <c r="C822" t="s">
        <v>146</v>
      </c>
      <c r="D822" s="139" t="s">
        <v>102</v>
      </c>
      <c r="E822" s="16">
        <f t="shared" si="12"/>
        <v>2.7027027027027025E-2</v>
      </c>
    </row>
    <row r="823" spans="3:5">
      <c r="C823" t="s">
        <v>146</v>
      </c>
      <c r="D823" s="139" t="s">
        <v>104</v>
      </c>
      <c r="E823" s="16">
        <f t="shared" si="12"/>
        <v>2.7027027027027025E-2</v>
      </c>
    </row>
    <row r="824" spans="3:5">
      <c r="C824" t="s">
        <v>146</v>
      </c>
      <c r="D824" s="139" t="s">
        <v>155</v>
      </c>
      <c r="E824" s="16">
        <f t="shared" si="12"/>
        <v>2.7027027027027025E-2</v>
      </c>
    </row>
    <row r="825" spans="3:5">
      <c r="C825" t="s">
        <v>146</v>
      </c>
      <c r="D825" s="139" t="s">
        <v>250</v>
      </c>
      <c r="E825" s="16">
        <f t="shared" si="12"/>
        <v>2.7027027027027025E-2</v>
      </c>
    </row>
    <row r="826" spans="3:5">
      <c r="C826" t="s">
        <v>146</v>
      </c>
      <c r="D826" s="139" t="s">
        <v>251</v>
      </c>
      <c r="E826" s="16">
        <f t="shared" si="12"/>
        <v>2.7027027027027025E-2</v>
      </c>
    </row>
    <row r="827" spans="3:5">
      <c r="C827" t="s">
        <v>146</v>
      </c>
      <c r="D827" s="139" t="s">
        <v>252</v>
      </c>
      <c r="E827" s="16">
        <f t="shared" si="12"/>
        <v>2.7027027027027025E-2</v>
      </c>
    </row>
    <row r="828" spans="3:5">
      <c r="C828" t="s">
        <v>146</v>
      </c>
      <c r="D828" s="139" t="s">
        <v>253</v>
      </c>
      <c r="E828" s="16">
        <f t="shared" si="12"/>
        <v>2.7027027027027025E-2</v>
      </c>
    </row>
    <row r="829" spans="3:5">
      <c r="C829" t="s">
        <v>146</v>
      </c>
      <c r="D829" s="139" t="s">
        <v>254</v>
      </c>
      <c r="E829" s="16">
        <f t="shared" si="12"/>
        <v>2.7027027027027025E-2</v>
      </c>
    </row>
    <row r="830" spans="3:5">
      <c r="C830" t="s">
        <v>146</v>
      </c>
      <c r="D830" s="139" t="s">
        <v>255</v>
      </c>
      <c r="E830" s="16">
        <f t="shared" si="12"/>
        <v>2.7027027027027025E-2</v>
      </c>
    </row>
    <row r="831" spans="3:5">
      <c r="C831" t="s">
        <v>146</v>
      </c>
      <c r="D831" s="139" t="s">
        <v>256</v>
      </c>
      <c r="E831" s="16">
        <f t="shared" si="12"/>
        <v>2.7027027027027025E-2</v>
      </c>
    </row>
    <row r="832" spans="3:5">
      <c r="C832" t="s">
        <v>148</v>
      </c>
      <c r="D832" s="139" t="s">
        <v>249</v>
      </c>
      <c r="E832" s="16">
        <f t="shared" ref="E832:E891" si="13">100/$J$14/100</f>
        <v>2.7027027027027025E-2</v>
      </c>
    </row>
    <row r="833" spans="3:5">
      <c r="C833" t="s">
        <v>148</v>
      </c>
      <c r="D833" s="139" t="s">
        <v>156</v>
      </c>
      <c r="E833" s="16">
        <f t="shared" si="13"/>
        <v>2.7027027027027025E-2</v>
      </c>
    </row>
    <row r="834" spans="3:5">
      <c r="C834" t="s">
        <v>148</v>
      </c>
      <c r="D834" s="139" t="s">
        <v>102</v>
      </c>
      <c r="E834" s="16">
        <f t="shared" si="13"/>
        <v>2.7027027027027025E-2</v>
      </c>
    </row>
    <row r="835" spans="3:5">
      <c r="C835" t="s">
        <v>148</v>
      </c>
      <c r="D835" s="139" t="s">
        <v>104</v>
      </c>
      <c r="E835" s="16">
        <f t="shared" si="13"/>
        <v>2.7027027027027025E-2</v>
      </c>
    </row>
    <row r="836" spans="3:5">
      <c r="C836" t="s">
        <v>148</v>
      </c>
      <c r="D836" s="139" t="s">
        <v>155</v>
      </c>
      <c r="E836" s="16">
        <f t="shared" si="13"/>
        <v>2.7027027027027025E-2</v>
      </c>
    </row>
    <row r="837" spans="3:5">
      <c r="C837" t="s">
        <v>148</v>
      </c>
      <c r="D837" s="139" t="s">
        <v>250</v>
      </c>
      <c r="E837" s="16">
        <f t="shared" si="13"/>
        <v>2.7027027027027025E-2</v>
      </c>
    </row>
    <row r="838" spans="3:5">
      <c r="C838" t="s">
        <v>148</v>
      </c>
      <c r="D838" s="139" t="s">
        <v>251</v>
      </c>
      <c r="E838" s="16">
        <f t="shared" si="13"/>
        <v>2.7027027027027025E-2</v>
      </c>
    </row>
    <row r="839" spans="3:5">
      <c r="C839" t="s">
        <v>148</v>
      </c>
      <c r="D839" s="139" t="s">
        <v>252</v>
      </c>
      <c r="E839" s="16">
        <f t="shared" si="13"/>
        <v>2.7027027027027025E-2</v>
      </c>
    </row>
    <row r="840" spans="3:5">
      <c r="C840" t="s">
        <v>148</v>
      </c>
      <c r="D840" s="139" t="s">
        <v>253</v>
      </c>
      <c r="E840" s="16">
        <f t="shared" si="13"/>
        <v>2.7027027027027025E-2</v>
      </c>
    </row>
    <row r="841" spans="3:5">
      <c r="C841" t="s">
        <v>148</v>
      </c>
      <c r="D841" s="139" t="s">
        <v>254</v>
      </c>
      <c r="E841" s="16">
        <f t="shared" si="13"/>
        <v>2.7027027027027025E-2</v>
      </c>
    </row>
    <row r="842" spans="3:5">
      <c r="C842" t="s">
        <v>148</v>
      </c>
      <c r="D842" s="139" t="s">
        <v>255</v>
      </c>
      <c r="E842" s="16">
        <f t="shared" si="13"/>
        <v>2.7027027027027025E-2</v>
      </c>
    </row>
    <row r="843" spans="3:5">
      <c r="C843" t="s">
        <v>148</v>
      </c>
      <c r="D843" s="139" t="s">
        <v>256</v>
      </c>
      <c r="E843" s="16">
        <f t="shared" si="13"/>
        <v>2.7027027027027025E-2</v>
      </c>
    </row>
    <row r="844" spans="3:5">
      <c r="C844" t="s">
        <v>147</v>
      </c>
      <c r="D844" s="139" t="s">
        <v>249</v>
      </c>
      <c r="E844" s="16">
        <f t="shared" si="13"/>
        <v>2.7027027027027025E-2</v>
      </c>
    </row>
    <row r="845" spans="3:5">
      <c r="C845" t="s">
        <v>147</v>
      </c>
      <c r="D845" s="139" t="s">
        <v>156</v>
      </c>
      <c r="E845" s="16">
        <f t="shared" si="13"/>
        <v>2.7027027027027025E-2</v>
      </c>
    </row>
    <row r="846" spans="3:5">
      <c r="C846" t="s">
        <v>147</v>
      </c>
      <c r="D846" s="139" t="s">
        <v>102</v>
      </c>
      <c r="E846" s="16">
        <f t="shared" si="13"/>
        <v>2.7027027027027025E-2</v>
      </c>
    </row>
    <row r="847" spans="3:5">
      <c r="C847" t="s">
        <v>147</v>
      </c>
      <c r="D847" s="139" t="s">
        <v>104</v>
      </c>
      <c r="E847" s="16">
        <f t="shared" si="13"/>
        <v>2.7027027027027025E-2</v>
      </c>
    </row>
    <row r="848" spans="3:5">
      <c r="C848" t="s">
        <v>147</v>
      </c>
      <c r="D848" s="139" t="s">
        <v>155</v>
      </c>
      <c r="E848" s="16">
        <f t="shared" si="13"/>
        <v>2.7027027027027025E-2</v>
      </c>
    </row>
    <row r="849" spans="3:5">
      <c r="C849" t="s">
        <v>147</v>
      </c>
      <c r="D849" s="139" t="s">
        <v>250</v>
      </c>
      <c r="E849" s="16">
        <f t="shared" si="13"/>
        <v>2.7027027027027025E-2</v>
      </c>
    </row>
    <row r="850" spans="3:5">
      <c r="C850" t="s">
        <v>147</v>
      </c>
      <c r="D850" s="139" t="s">
        <v>251</v>
      </c>
      <c r="E850" s="16">
        <f t="shared" si="13"/>
        <v>2.7027027027027025E-2</v>
      </c>
    </row>
    <row r="851" spans="3:5">
      <c r="C851" t="s">
        <v>147</v>
      </c>
      <c r="D851" s="139" t="s">
        <v>252</v>
      </c>
      <c r="E851" s="16">
        <f t="shared" si="13"/>
        <v>2.7027027027027025E-2</v>
      </c>
    </row>
    <row r="852" spans="3:5">
      <c r="C852" t="s">
        <v>147</v>
      </c>
      <c r="D852" s="139" t="s">
        <v>253</v>
      </c>
      <c r="E852" s="16">
        <f t="shared" si="13"/>
        <v>2.7027027027027025E-2</v>
      </c>
    </row>
    <row r="853" spans="3:5">
      <c r="C853" t="s">
        <v>147</v>
      </c>
      <c r="D853" s="139" t="s">
        <v>254</v>
      </c>
      <c r="E853" s="16">
        <f t="shared" si="13"/>
        <v>2.7027027027027025E-2</v>
      </c>
    </row>
    <row r="854" spans="3:5">
      <c r="C854" t="s">
        <v>147</v>
      </c>
      <c r="D854" s="139" t="s">
        <v>255</v>
      </c>
      <c r="E854" s="16">
        <f t="shared" si="13"/>
        <v>2.7027027027027025E-2</v>
      </c>
    </row>
    <row r="855" spans="3:5">
      <c r="C855" t="s">
        <v>147</v>
      </c>
      <c r="D855" s="139" t="s">
        <v>256</v>
      </c>
      <c r="E855" s="16">
        <f t="shared" si="13"/>
        <v>2.7027027027027025E-2</v>
      </c>
    </row>
    <row r="856" spans="3:5">
      <c r="C856" t="s">
        <v>149</v>
      </c>
      <c r="D856" s="139" t="s">
        <v>249</v>
      </c>
      <c r="E856" s="16">
        <f t="shared" si="13"/>
        <v>2.7027027027027025E-2</v>
      </c>
    </row>
    <row r="857" spans="3:5">
      <c r="C857" t="s">
        <v>149</v>
      </c>
      <c r="D857" s="139" t="s">
        <v>156</v>
      </c>
      <c r="E857" s="16">
        <f t="shared" si="13"/>
        <v>2.7027027027027025E-2</v>
      </c>
    </row>
    <row r="858" spans="3:5">
      <c r="C858" t="s">
        <v>149</v>
      </c>
      <c r="D858" s="139" t="s">
        <v>102</v>
      </c>
      <c r="E858" s="16">
        <f t="shared" si="13"/>
        <v>2.7027027027027025E-2</v>
      </c>
    </row>
    <row r="859" spans="3:5">
      <c r="C859" t="s">
        <v>149</v>
      </c>
      <c r="D859" s="139" t="s">
        <v>104</v>
      </c>
      <c r="E859" s="16">
        <f t="shared" si="13"/>
        <v>2.7027027027027025E-2</v>
      </c>
    </row>
    <row r="860" spans="3:5">
      <c r="C860" t="s">
        <v>149</v>
      </c>
      <c r="D860" s="139" t="s">
        <v>155</v>
      </c>
      <c r="E860" s="16">
        <f t="shared" si="13"/>
        <v>2.7027027027027025E-2</v>
      </c>
    </row>
    <row r="861" spans="3:5">
      <c r="C861" t="s">
        <v>149</v>
      </c>
      <c r="D861" s="139" t="s">
        <v>250</v>
      </c>
      <c r="E861" s="16">
        <f t="shared" si="13"/>
        <v>2.7027027027027025E-2</v>
      </c>
    </row>
    <row r="862" spans="3:5">
      <c r="C862" t="s">
        <v>149</v>
      </c>
      <c r="D862" s="139" t="s">
        <v>251</v>
      </c>
      <c r="E862" s="16">
        <f t="shared" si="13"/>
        <v>2.7027027027027025E-2</v>
      </c>
    </row>
    <row r="863" spans="3:5">
      <c r="C863" t="s">
        <v>149</v>
      </c>
      <c r="D863" s="139" t="s">
        <v>252</v>
      </c>
      <c r="E863" s="16">
        <f t="shared" si="13"/>
        <v>2.7027027027027025E-2</v>
      </c>
    </row>
    <row r="864" spans="3:5">
      <c r="C864" t="s">
        <v>149</v>
      </c>
      <c r="D864" s="139" t="s">
        <v>253</v>
      </c>
      <c r="E864" s="16">
        <f t="shared" si="13"/>
        <v>2.7027027027027025E-2</v>
      </c>
    </row>
    <row r="865" spans="3:5">
      <c r="C865" t="s">
        <v>149</v>
      </c>
      <c r="D865" s="139" t="s">
        <v>254</v>
      </c>
      <c r="E865" s="16">
        <f t="shared" si="13"/>
        <v>2.7027027027027025E-2</v>
      </c>
    </row>
    <row r="866" spans="3:5">
      <c r="C866" t="s">
        <v>149</v>
      </c>
      <c r="D866" s="139" t="s">
        <v>255</v>
      </c>
      <c r="E866" s="16">
        <f t="shared" si="13"/>
        <v>2.7027027027027025E-2</v>
      </c>
    </row>
    <row r="867" spans="3:5">
      <c r="C867" t="s">
        <v>149</v>
      </c>
      <c r="D867" s="139" t="s">
        <v>256</v>
      </c>
      <c r="E867" s="16">
        <f t="shared" si="13"/>
        <v>2.7027027027027025E-2</v>
      </c>
    </row>
    <row r="868" spans="3:5">
      <c r="C868" t="s">
        <v>150</v>
      </c>
      <c r="D868" s="139" t="s">
        <v>249</v>
      </c>
      <c r="E868" s="16">
        <f t="shared" si="13"/>
        <v>2.7027027027027025E-2</v>
      </c>
    </row>
    <row r="869" spans="3:5">
      <c r="C869" t="s">
        <v>150</v>
      </c>
      <c r="D869" s="139" t="s">
        <v>156</v>
      </c>
      <c r="E869" s="16">
        <f t="shared" si="13"/>
        <v>2.7027027027027025E-2</v>
      </c>
    </row>
    <row r="870" spans="3:5">
      <c r="C870" t="s">
        <v>150</v>
      </c>
      <c r="D870" s="139" t="s">
        <v>102</v>
      </c>
      <c r="E870" s="16">
        <f t="shared" si="13"/>
        <v>2.7027027027027025E-2</v>
      </c>
    </row>
    <row r="871" spans="3:5">
      <c r="C871" t="s">
        <v>150</v>
      </c>
      <c r="D871" s="139" t="s">
        <v>104</v>
      </c>
      <c r="E871" s="16">
        <f t="shared" si="13"/>
        <v>2.7027027027027025E-2</v>
      </c>
    </row>
    <row r="872" spans="3:5">
      <c r="C872" t="s">
        <v>150</v>
      </c>
      <c r="D872" s="139" t="s">
        <v>155</v>
      </c>
      <c r="E872" s="16">
        <f t="shared" si="13"/>
        <v>2.7027027027027025E-2</v>
      </c>
    </row>
    <row r="873" spans="3:5">
      <c r="C873" t="s">
        <v>150</v>
      </c>
      <c r="D873" s="139" t="s">
        <v>250</v>
      </c>
      <c r="E873" s="16">
        <f t="shared" si="13"/>
        <v>2.7027027027027025E-2</v>
      </c>
    </row>
    <row r="874" spans="3:5">
      <c r="C874" t="s">
        <v>150</v>
      </c>
      <c r="D874" s="139" t="s">
        <v>251</v>
      </c>
      <c r="E874" s="16">
        <f t="shared" si="13"/>
        <v>2.7027027027027025E-2</v>
      </c>
    </row>
    <row r="875" spans="3:5">
      <c r="C875" t="s">
        <v>150</v>
      </c>
      <c r="D875" s="139" t="s">
        <v>252</v>
      </c>
      <c r="E875" s="16">
        <f t="shared" si="13"/>
        <v>2.7027027027027025E-2</v>
      </c>
    </row>
    <row r="876" spans="3:5">
      <c r="C876" t="s">
        <v>150</v>
      </c>
      <c r="D876" s="139" t="s">
        <v>253</v>
      </c>
      <c r="E876" s="16">
        <f t="shared" si="13"/>
        <v>2.7027027027027025E-2</v>
      </c>
    </row>
    <row r="877" spans="3:5">
      <c r="C877" t="s">
        <v>150</v>
      </c>
      <c r="D877" s="139" t="s">
        <v>254</v>
      </c>
      <c r="E877" s="16">
        <f t="shared" si="13"/>
        <v>2.7027027027027025E-2</v>
      </c>
    </row>
    <row r="878" spans="3:5">
      <c r="C878" t="s">
        <v>150</v>
      </c>
      <c r="D878" s="139" t="s">
        <v>255</v>
      </c>
      <c r="E878" s="16">
        <f t="shared" si="13"/>
        <v>2.7027027027027025E-2</v>
      </c>
    </row>
    <row r="879" spans="3:5">
      <c r="C879" t="s">
        <v>150</v>
      </c>
      <c r="D879" s="139" t="s">
        <v>256</v>
      </c>
      <c r="E879" s="16">
        <f t="shared" si="13"/>
        <v>2.7027027027027025E-2</v>
      </c>
    </row>
    <row r="880" spans="3:5">
      <c r="C880" t="s">
        <v>151</v>
      </c>
      <c r="D880" s="139" t="s">
        <v>249</v>
      </c>
      <c r="E880" s="16">
        <f t="shared" si="13"/>
        <v>2.7027027027027025E-2</v>
      </c>
    </row>
    <row r="881" spans="3:5">
      <c r="C881" t="s">
        <v>151</v>
      </c>
      <c r="D881" s="139" t="s">
        <v>156</v>
      </c>
      <c r="E881" s="16">
        <f t="shared" si="13"/>
        <v>2.7027027027027025E-2</v>
      </c>
    </row>
    <row r="882" spans="3:5">
      <c r="C882" t="s">
        <v>151</v>
      </c>
      <c r="D882" s="139" t="s">
        <v>102</v>
      </c>
      <c r="E882" s="16">
        <f t="shared" si="13"/>
        <v>2.7027027027027025E-2</v>
      </c>
    </row>
    <row r="883" spans="3:5">
      <c r="C883" t="s">
        <v>151</v>
      </c>
      <c r="D883" s="139" t="s">
        <v>104</v>
      </c>
      <c r="E883" s="16">
        <f t="shared" si="13"/>
        <v>2.7027027027027025E-2</v>
      </c>
    </row>
    <row r="884" spans="3:5">
      <c r="C884" t="s">
        <v>151</v>
      </c>
      <c r="D884" s="139" t="s">
        <v>155</v>
      </c>
      <c r="E884" s="16">
        <f t="shared" si="13"/>
        <v>2.7027027027027025E-2</v>
      </c>
    </row>
    <row r="885" spans="3:5">
      <c r="C885" t="s">
        <v>151</v>
      </c>
      <c r="D885" s="139" t="s">
        <v>250</v>
      </c>
      <c r="E885" s="16">
        <f t="shared" si="13"/>
        <v>2.7027027027027025E-2</v>
      </c>
    </row>
    <row r="886" spans="3:5">
      <c r="C886" t="s">
        <v>151</v>
      </c>
      <c r="D886" s="139" t="s">
        <v>251</v>
      </c>
      <c r="E886" s="16">
        <f t="shared" si="13"/>
        <v>2.7027027027027025E-2</v>
      </c>
    </row>
    <row r="887" spans="3:5">
      <c r="C887" t="s">
        <v>151</v>
      </c>
      <c r="D887" s="139" t="s">
        <v>252</v>
      </c>
      <c r="E887" s="16">
        <f t="shared" si="13"/>
        <v>2.7027027027027025E-2</v>
      </c>
    </row>
    <row r="888" spans="3:5">
      <c r="C888" t="s">
        <v>151</v>
      </c>
      <c r="D888" s="139" t="s">
        <v>253</v>
      </c>
      <c r="E888" s="16">
        <f t="shared" si="13"/>
        <v>2.7027027027027025E-2</v>
      </c>
    </row>
    <row r="889" spans="3:5">
      <c r="C889" t="s">
        <v>151</v>
      </c>
      <c r="D889" s="139" t="s">
        <v>254</v>
      </c>
      <c r="E889" s="16">
        <f t="shared" si="13"/>
        <v>2.7027027027027025E-2</v>
      </c>
    </row>
    <row r="890" spans="3:5">
      <c r="C890" t="s">
        <v>151</v>
      </c>
      <c r="D890" s="139" t="s">
        <v>255</v>
      </c>
      <c r="E890" s="16">
        <f t="shared" si="13"/>
        <v>2.7027027027027025E-2</v>
      </c>
    </row>
    <row r="891" spans="3:5">
      <c r="C891" t="s">
        <v>151</v>
      </c>
      <c r="D891" s="139" t="s">
        <v>256</v>
      </c>
      <c r="E891" s="16">
        <f t="shared" si="13"/>
        <v>2.7027027027027025E-2</v>
      </c>
    </row>
  </sheetData>
  <dataValidations count="1">
    <dataValidation type="list" allowBlank="1" showInputMessage="1" showErrorMessage="1" sqref="D4:D891" xr:uid="{9B36D32E-E192-487F-AB2A-45B139386B36}">
      <formula1>MonthAndYearList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E1FE-A721-45BB-B9A6-4D95CB18833E}">
  <sheetPr codeName="Sheet11"/>
  <dimension ref="C1:F43"/>
  <sheetViews>
    <sheetView showGridLines="0" topLeftCell="A2" workbookViewId="0">
      <selection activeCell="I36" sqref="I36"/>
    </sheetView>
  </sheetViews>
  <sheetFormatPr defaultColWidth="8.69921875" defaultRowHeight="18.95"/>
  <cols>
    <col min="3" max="3" width="27.3984375" bestFit="1" customWidth="1"/>
    <col min="4" max="4" width="11.3984375" bestFit="1" customWidth="1"/>
    <col min="5" max="5" width="17.59765625" customWidth="1"/>
  </cols>
  <sheetData>
    <row r="1" spans="3:6">
      <c r="E1" t="s">
        <v>257</v>
      </c>
      <c r="F1" t="s">
        <v>258</v>
      </c>
    </row>
    <row r="3" spans="3:6">
      <c r="C3" t="s">
        <v>31</v>
      </c>
      <c r="D3" t="s">
        <v>259</v>
      </c>
      <c r="E3" t="s">
        <v>260</v>
      </c>
    </row>
    <row r="4" spans="3:6">
      <c r="C4" t="s">
        <v>111</v>
      </c>
      <c r="D4" s="6">
        <v>7787</v>
      </c>
      <c r="E4" s="98">
        <v>46670</v>
      </c>
    </row>
    <row r="5" spans="3:6">
      <c r="C5" t="s">
        <v>112</v>
      </c>
      <c r="D5" s="6">
        <f>900*12</f>
        <v>10800</v>
      </c>
      <c r="E5" s="99" t="s">
        <v>261</v>
      </c>
    </row>
    <row r="6" spans="3:6">
      <c r="C6" t="s">
        <v>113</v>
      </c>
      <c r="D6" s="6">
        <v>10800</v>
      </c>
      <c r="E6" s="98">
        <v>46031</v>
      </c>
    </row>
    <row r="7" spans="3:6">
      <c r="C7" t="s">
        <v>114</v>
      </c>
      <c r="D7" s="6">
        <f>684*12</f>
        <v>8208</v>
      </c>
      <c r="E7" s="98">
        <v>46083</v>
      </c>
    </row>
    <row r="8" spans="3:6">
      <c r="C8" t="s">
        <v>115</v>
      </c>
      <c r="D8" s="6">
        <v>7200</v>
      </c>
      <c r="E8" s="98">
        <v>46908</v>
      </c>
    </row>
    <row r="9" spans="3:6">
      <c r="C9" t="s">
        <v>116</v>
      </c>
      <c r="D9" s="6">
        <f>888*12</f>
        <v>10656</v>
      </c>
      <c r="E9" s="98">
        <v>45816</v>
      </c>
    </row>
    <row r="10" spans="3:6">
      <c r="C10" t="s">
        <v>117</v>
      </c>
      <c r="D10" s="6">
        <f>824*12</f>
        <v>9888</v>
      </c>
      <c r="E10" s="98">
        <v>45669</v>
      </c>
    </row>
    <row r="11" spans="3:6">
      <c r="C11" t="s">
        <v>118</v>
      </c>
      <c r="D11" s="6">
        <v>9768</v>
      </c>
      <c r="E11" s="101" t="s">
        <v>262</v>
      </c>
    </row>
    <row r="12" spans="3:6">
      <c r="C12" t="s">
        <v>119</v>
      </c>
      <c r="D12" s="6">
        <v>9768</v>
      </c>
      <c r="E12" s="101" t="s">
        <v>262</v>
      </c>
    </row>
    <row r="13" spans="3:6">
      <c r="C13" t="s">
        <v>120</v>
      </c>
      <c r="D13" s="6">
        <v>9768</v>
      </c>
      <c r="E13" s="102"/>
    </row>
    <row r="14" spans="3:6">
      <c r="C14" t="s">
        <v>121</v>
      </c>
      <c r="D14" s="6">
        <v>9768</v>
      </c>
      <c r="E14" s="101" t="s">
        <v>262</v>
      </c>
    </row>
    <row r="15" spans="3:6">
      <c r="C15" t="s">
        <v>122</v>
      </c>
      <c r="D15" s="6">
        <v>10800</v>
      </c>
      <c r="E15" s="98">
        <v>45667</v>
      </c>
    </row>
    <row r="16" spans="3:6">
      <c r="C16" t="s">
        <v>123</v>
      </c>
      <c r="D16" s="6">
        <f>824*12</f>
        <v>9888</v>
      </c>
      <c r="E16" s="98">
        <v>45880</v>
      </c>
    </row>
    <row r="17" spans="3:5">
      <c r="C17" t="s">
        <v>124</v>
      </c>
      <c r="D17" s="6">
        <f>824*12</f>
        <v>9888</v>
      </c>
    </row>
    <row r="18" spans="3:5">
      <c r="C18" t="s">
        <v>125</v>
      </c>
      <c r="D18" s="6">
        <f>840*12</f>
        <v>10080</v>
      </c>
    </row>
    <row r="19" spans="3:5">
      <c r="C19" t="s">
        <v>126</v>
      </c>
      <c r="D19" s="6">
        <f>840*12</f>
        <v>10080</v>
      </c>
      <c r="E19" s="98">
        <v>46030</v>
      </c>
    </row>
    <row r="20" spans="3:5">
      <c r="C20" t="s">
        <v>127</v>
      </c>
      <c r="D20" s="6">
        <f>840*12</f>
        <v>10080</v>
      </c>
      <c r="E20" s="98">
        <v>46030</v>
      </c>
    </row>
    <row r="21" spans="3:5">
      <c r="C21" t="s">
        <v>128</v>
      </c>
      <c r="D21" s="6">
        <f>840*12</f>
        <v>10080</v>
      </c>
    </row>
    <row r="22" spans="3:5">
      <c r="C22" t="s">
        <v>130</v>
      </c>
      <c r="D22" s="6">
        <v>10800</v>
      </c>
      <c r="E22" s="5">
        <v>46023</v>
      </c>
    </row>
    <row r="23" spans="3:5">
      <c r="C23" t="s">
        <v>263</v>
      </c>
      <c r="D23" s="6">
        <f>350*12</f>
        <v>4200</v>
      </c>
      <c r="E23" s="5">
        <v>46127</v>
      </c>
    </row>
    <row r="24" spans="3:5">
      <c r="C24" t="s">
        <v>129</v>
      </c>
      <c r="D24" s="6">
        <f>600*12</f>
        <v>7200</v>
      </c>
      <c r="E24" s="98">
        <v>46358</v>
      </c>
    </row>
    <row r="25" spans="3:5">
      <c r="C25" t="s">
        <v>132</v>
      </c>
      <c r="D25" s="6">
        <v>8765</v>
      </c>
      <c r="E25" s="98">
        <v>46023</v>
      </c>
    </row>
    <row r="26" spans="3:5">
      <c r="C26" t="s">
        <v>133</v>
      </c>
      <c r="D26" s="6">
        <f>850*12</f>
        <v>10200</v>
      </c>
      <c r="E26" s="101" t="s">
        <v>264</v>
      </c>
    </row>
    <row r="27" spans="3:5">
      <c r="C27" t="s">
        <v>134</v>
      </c>
      <c r="D27" s="6">
        <v>10200</v>
      </c>
      <c r="E27" s="101" t="s">
        <v>264</v>
      </c>
    </row>
    <row r="28" spans="3:5">
      <c r="C28" t="s">
        <v>135</v>
      </c>
      <c r="D28" s="6">
        <v>9600</v>
      </c>
      <c r="E28" s="99" t="s">
        <v>265</v>
      </c>
    </row>
    <row r="29" spans="3:5">
      <c r="C29" t="s">
        <v>136</v>
      </c>
      <c r="D29" s="6">
        <v>9600</v>
      </c>
      <c r="E29" s="98">
        <v>45700</v>
      </c>
    </row>
    <row r="30" spans="3:5">
      <c r="C30" t="s">
        <v>137</v>
      </c>
      <c r="D30" s="6">
        <v>9600</v>
      </c>
      <c r="E30" s="99" t="s">
        <v>265</v>
      </c>
    </row>
    <row r="31" spans="3:5">
      <c r="C31" t="s">
        <v>138</v>
      </c>
      <c r="D31" s="6">
        <v>9888</v>
      </c>
      <c r="E31" s="98">
        <v>46023</v>
      </c>
    </row>
    <row r="32" spans="3:5">
      <c r="C32" t="s">
        <v>139</v>
      </c>
      <c r="D32" s="6">
        <f>4326*2</f>
        <v>8652</v>
      </c>
      <c r="E32" s="103">
        <v>45668</v>
      </c>
    </row>
    <row r="33" spans="3:5">
      <c r="C33" t="s">
        <v>140</v>
      </c>
      <c r="D33" s="6"/>
      <c r="E33" s="101" t="s">
        <v>266</v>
      </c>
    </row>
    <row r="34" spans="3:5">
      <c r="C34" t="s">
        <v>141</v>
      </c>
      <c r="D34" s="6">
        <v>9888</v>
      </c>
      <c r="E34" s="101" t="s">
        <v>267</v>
      </c>
    </row>
    <row r="35" spans="3:5">
      <c r="C35" t="s">
        <v>142</v>
      </c>
      <c r="D35" s="6">
        <v>9888</v>
      </c>
      <c r="E35" s="101" t="s">
        <v>268</v>
      </c>
    </row>
    <row r="36" spans="3:5">
      <c r="C36" t="s">
        <v>143</v>
      </c>
      <c r="D36" s="6">
        <f>900*12</f>
        <v>10800</v>
      </c>
      <c r="E36" s="102" t="s">
        <v>269</v>
      </c>
    </row>
    <row r="37" spans="3:5">
      <c r="C37" t="s">
        <v>145</v>
      </c>
      <c r="D37" s="6">
        <v>9888</v>
      </c>
      <c r="E37" s="98">
        <v>46023</v>
      </c>
    </row>
    <row r="38" spans="3:5">
      <c r="C38" t="s">
        <v>146</v>
      </c>
      <c r="D38" s="6">
        <f>927*12</f>
        <v>11124</v>
      </c>
      <c r="E38" s="98">
        <v>46362</v>
      </c>
    </row>
    <row r="39" spans="3:5">
      <c r="C39" t="s">
        <v>147</v>
      </c>
      <c r="D39" s="6">
        <f>830*12</f>
        <v>9960</v>
      </c>
      <c r="E39" s="104">
        <v>45879</v>
      </c>
    </row>
    <row r="40" spans="3:5">
      <c r="C40" t="s">
        <v>148</v>
      </c>
      <c r="D40" s="6">
        <f>D39</f>
        <v>9960</v>
      </c>
      <c r="E40" s="102" t="s">
        <v>270</v>
      </c>
    </row>
    <row r="41" spans="3:5">
      <c r="C41" t="s">
        <v>149</v>
      </c>
      <c r="D41" s="6"/>
    </row>
    <row r="42" spans="3:5">
      <c r="C42" t="s">
        <v>150</v>
      </c>
      <c r="D42" s="6">
        <v>8034</v>
      </c>
      <c r="E42" s="98">
        <v>45848</v>
      </c>
    </row>
    <row r="43" spans="3:5">
      <c r="C43" t="s">
        <v>151</v>
      </c>
      <c r="D43" s="6">
        <f>2775/3*12</f>
        <v>11100</v>
      </c>
      <c r="E43" s="5">
        <v>46025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5346-5FE0-4A85-84DB-02EECAE92830}">
  <sheetPr codeName="Sheet3"/>
  <dimension ref="C1:G45"/>
  <sheetViews>
    <sheetView showGridLines="0" workbookViewId="0">
      <selection activeCell="C3" sqref="C3"/>
    </sheetView>
  </sheetViews>
  <sheetFormatPr defaultColWidth="8.69921875" defaultRowHeight="18.95"/>
  <cols>
    <col min="3" max="3" width="26.8984375" bestFit="1" customWidth="1"/>
    <col min="4" max="4" width="9.296875" style="10" bestFit="1" customWidth="1"/>
    <col min="6" max="6" width="19.8984375" bestFit="1" customWidth="1"/>
    <col min="7" max="7" width="9.69921875" bestFit="1" customWidth="1"/>
  </cols>
  <sheetData>
    <row r="1" spans="3:7">
      <c r="C1" s="207" t="s">
        <v>271</v>
      </c>
      <c r="D1" s="207"/>
      <c r="F1" s="207" t="s">
        <v>271</v>
      </c>
      <c r="G1" s="207"/>
    </row>
    <row r="2" spans="3:7">
      <c r="C2" s="239" t="str">
        <f>"W" &amp; WeeklyViewWeekNo &amp;  " Food Margin Per Fridge"</f>
        <v>W26 Food Margin Per Fridge</v>
      </c>
      <c r="D2" s="239"/>
      <c r="F2" s="239" t="str">
        <f>"W" &amp; WeeklyViewWeekNo &amp;  " Food Margin Per Category"</f>
        <v>W26 Food Margin Per Category</v>
      </c>
      <c r="G2" s="239"/>
    </row>
    <row r="3" spans="3:7">
      <c r="D3"/>
    </row>
    <row r="4" spans="3:7">
      <c r="C4" s="8" t="s">
        <v>31</v>
      </c>
      <c r="D4" s="8" t="s">
        <v>34</v>
      </c>
      <c r="F4" s="8" t="s">
        <v>36</v>
      </c>
      <c r="G4" s="8" t="s">
        <v>34</v>
      </c>
    </row>
    <row r="5" spans="3:7">
      <c r="C5" t="str" cm="1">
        <f t="array" ref="C5:C45">_xlfn.CHOOSECOLS(_xlfn.ANCHORARRAY('Weekly View'!I23),1)</f>
        <v>Allnex Freezer</v>
      </c>
      <c r="D5" s="9" cm="1">
        <f t="array" ref="D5:D45">_xlfn.CHOOSECOLS(_xlfn.ANCHORARRAY('Weekly View'!I23),4)</f>
        <v>-96.769999999999982</v>
      </c>
      <c r="F5" t="str" cm="1">
        <f t="array" ref="F5:F14">_xlfn.CHOOSECOLS(_xlfn.ANCHORARRAY('Weekly View'!P23),1)</f>
        <v>10. Frozen Warm Dishes</v>
      </c>
      <c r="G5" s="9" cm="1">
        <f t="array" ref="G5:G14">_xlfn.CHOOSECOLS(_xlfn.ANCHORARRAY('Weekly View'!P23),4)</f>
        <v>-96.769999999999982</v>
      </c>
    </row>
    <row r="6" spans="3:7">
      <c r="C6" t="str">
        <v>Spadel Brussels</v>
      </c>
      <c r="D6" s="10">
        <v>-30.320000000000007</v>
      </c>
      <c r="F6" t="str">
        <v>Unknown</v>
      </c>
      <c r="G6" s="10">
        <v>3.2</v>
      </c>
    </row>
    <row r="7" spans="3:7">
      <c r="C7" t="str">
        <v>Lhoist Corbais</v>
      </c>
      <c r="D7" s="10">
        <v>-28.110000000000007</v>
      </c>
      <c r="F7" t="str">
        <v>3. Warm Dishes Jar</v>
      </c>
      <c r="G7" s="10">
        <v>145.57000000000011</v>
      </c>
    </row>
    <row r="8" spans="3:7">
      <c r="C8" t="str">
        <v>Atelier rue du Cerf</v>
      </c>
      <c r="D8" s="10">
        <v>-10.649999999999977</v>
      </c>
      <c r="F8" t="str">
        <v>4. Warm Dishes</v>
      </c>
      <c r="G8" s="10">
        <v>336.47000000000412</v>
      </c>
    </row>
    <row r="9" spans="3:7">
      <c r="C9" t="str">
        <v>Velux</v>
      </c>
      <c r="D9" s="10">
        <v>-6.4800000000000182</v>
      </c>
      <c r="F9" t="str">
        <v>6. Snacks</v>
      </c>
      <c r="G9" s="10">
        <v>386.31000000000211</v>
      </c>
    </row>
    <row r="10" spans="3:7">
      <c r="C10" t="str">
        <v>Brussels Airlines Vilvoorde</v>
      </c>
      <c r="D10" s="10">
        <v>-0.55000000000003979</v>
      </c>
      <c r="F10" t="str">
        <v>8. Breakfast</v>
      </c>
      <c r="G10" s="10">
        <v>539.95000000000664</v>
      </c>
    </row>
    <row r="11" spans="3:7">
      <c r="C11" t="str">
        <v>Abbott Wavre</v>
      </c>
      <c r="D11" s="10">
        <v>11.320000000000022</v>
      </c>
      <c r="F11" t="str">
        <v>7. Drinks</v>
      </c>
      <c r="G11" s="10">
        <v>561.31000000000074</v>
      </c>
    </row>
    <row r="12" spans="3:7">
      <c r="C12" t="str">
        <v>Brussels Airlines TFC</v>
      </c>
      <c r="D12" s="10">
        <v>16.260000000000005</v>
      </c>
      <c r="F12" t="str">
        <v>5. Desserts</v>
      </c>
      <c r="G12" s="10">
        <v>879.7099999999964</v>
      </c>
    </row>
    <row r="13" spans="3:7">
      <c r="C13" t="str">
        <v>Brussels Airlines Airport</v>
      </c>
      <c r="D13" s="10">
        <v>16.720000000000027</v>
      </c>
      <c r="F13" t="str">
        <v>1. Cold Dishes</v>
      </c>
      <c r="G13" s="10">
        <v>1018.8899999999953</v>
      </c>
    </row>
    <row r="14" spans="3:7">
      <c r="C14" t="str">
        <v>ABB Zaventem</v>
      </c>
      <c r="D14" s="10">
        <v>24.499999999999972</v>
      </c>
      <c r="F14" t="str">
        <v>2. Wraps &amp; Sandwiches</v>
      </c>
      <c r="G14" s="10">
        <v>1903.7699999999672</v>
      </c>
    </row>
    <row r="15" spans="3:7">
      <c r="C15" t="str">
        <v>Bank Degroof</v>
      </c>
      <c r="D15" s="10">
        <v>27.300000000000011</v>
      </c>
      <c r="G15" s="10"/>
    </row>
    <row r="16" spans="3:7">
      <c r="C16" t="str">
        <v>Engie Antwerpen</v>
      </c>
      <c r="D16" s="10">
        <v>40.70999999999998</v>
      </c>
      <c r="G16" s="10"/>
    </row>
    <row r="17" spans="3:7">
      <c r="C17" t="str">
        <v>Lhoist Nivelles</v>
      </c>
      <c r="D17" s="10">
        <v>44.760000000000005</v>
      </c>
      <c r="G17" s="10"/>
    </row>
    <row r="18" spans="3:7">
      <c r="C18" t="str">
        <v>PWC Ghent</v>
      </c>
      <c r="D18" s="10">
        <v>47.549999999999969</v>
      </c>
    </row>
    <row r="19" spans="3:7">
      <c r="C19" t="str">
        <v>Thermofisher Vilvoorde</v>
      </c>
      <c r="D19" s="10">
        <v>49.960000000000008</v>
      </c>
    </row>
    <row r="20" spans="3:7">
      <c r="C20" t="str">
        <v>Allianz Brussels</v>
      </c>
      <c r="D20" s="10">
        <v>77.489999999999895</v>
      </c>
    </row>
    <row r="21" spans="3:7">
      <c r="C21" t="str">
        <v>Engie Namur</v>
      </c>
      <c r="D21" s="10">
        <v>87.03</v>
      </c>
    </row>
    <row r="22" spans="3:7">
      <c r="C22" t="str">
        <v>Greenhouse Collection Links</v>
      </c>
      <c r="D22" s="10">
        <v>103.28999999999994</v>
      </c>
    </row>
    <row r="23" spans="3:7">
      <c r="C23" t="str">
        <v>Police Tubize</v>
      </c>
      <c r="D23" s="10">
        <v>103.28999999999996</v>
      </c>
    </row>
    <row r="24" spans="3:7">
      <c r="C24" t="str">
        <v>Interparking</v>
      </c>
      <c r="D24" s="10">
        <v>107.41999999999985</v>
      </c>
    </row>
    <row r="25" spans="3:7">
      <c r="C25" t="str">
        <v>Bia Group Overijse</v>
      </c>
      <c r="D25" s="10">
        <v>110.18999999999994</v>
      </c>
    </row>
    <row r="26" spans="3:7">
      <c r="C26" t="str">
        <v>Lhoist Limelette</v>
      </c>
      <c r="D26" s="10">
        <v>111.82999999999998</v>
      </c>
    </row>
    <row r="27" spans="3:7">
      <c r="C27" t="str">
        <v>GSV Huppertz Wilrijk</v>
      </c>
      <c r="D27" s="10">
        <v>150.35999999999996</v>
      </c>
    </row>
    <row r="28" spans="3:7">
      <c r="C28" t="str">
        <v>Engie Garden Café Wrap &amp; Roll</v>
      </c>
      <c r="D28" s="10">
        <v>155.90000000000026</v>
      </c>
    </row>
    <row r="29" spans="3:7">
      <c r="C29" t="str">
        <v>Greenhouse Collection Antwerpen</v>
      </c>
      <c r="D29" s="10">
        <v>155.95999999999992</v>
      </c>
    </row>
    <row r="30" spans="3:7">
      <c r="C30" t="str">
        <v>Brussels Airlines Be house</v>
      </c>
      <c r="D30" s="10">
        <v>156.64999999999981</v>
      </c>
    </row>
    <row r="31" spans="3:7">
      <c r="C31" t="str">
        <v>Kadans Droite</v>
      </c>
      <c r="D31" s="10">
        <v>161.95000000000005</v>
      </c>
    </row>
    <row r="32" spans="3:7">
      <c r="C32" t="str">
        <v>CBC</v>
      </c>
      <c r="D32" s="10">
        <v>162.70999999999998</v>
      </c>
    </row>
    <row r="33" spans="3:4">
      <c r="C33" t="str">
        <v>Engie Garden Café Heat and Eat</v>
      </c>
      <c r="D33" s="10">
        <v>166.85999999999984</v>
      </c>
    </row>
    <row r="34" spans="3:4">
      <c r="C34" t="str">
        <v>Kadans Gauche</v>
      </c>
      <c r="D34" s="10">
        <v>172.26999999999987</v>
      </c>
    </row>
    <row r="35" spans="3:4">
      <c r="C35" t="str">
        <v>DPG Media Antwerpen</v>
      </c>
      <c r="D35" s="10">
        <v>175.31000000000017</v>
      </c>
    </row>
    <row r="36" spans="3:4">
      <c r="C36" t="str">
        <v>Thermofisher Zaventem</v>
      </c>
      <c r="D36" s="10">
        <v>198.24</v>
      </c>
    </row>
    <row r="37" spans="3:4">
      <c r="C37" t="str">
        <v>DPG Media Vilvoorde</v>
      </c>
      <c r="D37" s="10">
        <v>283.54000000000025</v>
      </c>
    </row>
    <row r="38" spans="3:4">
      <c r="C38" t="str">
        <v>Neuhaus Sint-Pieters</v>
      </c>
      <c r="D38" s="10">
        <v>299.35000000000002</v>
      </c>
    </row>
    <row r="39" spans="3:4">
      <c r="C39" t="str">
        <v>Allnex</v>
      </c>
      <c r="D39" s="10">
        <v>302.92000000000013</v>
      </c>
    </row>
    <row r="40" spans="3:4">
      <c r="C40" t="str">
        <v>RTBF Mediasquare 4e</v>
      </c>
      <c r="D40" s="10">
        <v>309.2600000000005</v>
      </c>
    </row>
    <row r="41" spans="3:4">
      <c r="C41" t="str">
        <v>RTBF</v>
      </c>
      <c r="D41" s="10">
        <v>312.04000000000144</v>
      </c>
    </row>
    <row r="42" spans="3:4">
      <c r="C42" t="str">
        <v>PWC Diegem</v>
      </c>
      <c r="D42" s="10">
        <v>313.63000000000142</v>
      </c>
    </row>
    <row r="43" spans="3:4">
      <c r="C43" t="str">
        <v>The Woods</v>
      </c>
      <c r="D43" s="10">
        <v>319.45000000000027</v>
      </c>
    </row>
    <row r="44" spans="3:4">
      <c r="C44" t="str">
        <v>Zoetis LLN</v>
      </c>
      <c r="D44" s="10">
        <v>437.60000000000082</v>
      </c>
    </row>
    <row r="45" spans="3:4">
      <c r="C45" t="str">
        <v>RTBF Mediasquare 2e</v>
      </c>
      <c r="D45" s="10">
        <v>637.6700000000011</v>
      </c>
    </row>
  </sheetData>
  <mergeCells count="4">
    <mergeCell ref="F1:G1"/>
    <mergeCell ref="F2:G2"/>
    <mergeCell ref="C1:D1"/>
    <mergeCell ref="C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E14B-373E-4776-BAB9-96C1553DABCE}">
  <sheetPr codeName="Sheet14"/>
  <dimension ref="D2:R39"/>
  <sheetViews>
    <sheetView workbookViewId="0">
      <selection activeCell="D2" sqref="D2"/>
    </sheetView>
  </sheetViews>
  <sheetFormatPr defaultColWidth="8.69921875" defaultRowHeight="18.95"/>
  <cols>
    <col min="5" max="5" width="27.3984375" bestFit="1" customWidth="1"/>
  </cols>
  <sheetData>
    <row r="2" spans="4:18">
      <c r="D2" t="e" cm="1" vm="1">
        <f t="array" ref="D2">_xlfn._xlws.FILTER( ByFridgeWeeklyDispatchDataTable[],ByFridgeWeeklyDispatchDataTable[Week No]=50)</f>
        <v>#VALUE!</v>
      </c>
      <c r="H2" cm="1">
        <f t="array" ref="H2:P37">_xlfn._xlws.FILTER(ByFridgeWeeklySalesDataTable[],ByFridgeWeeklySalesDataTable[Week No]=50)</f>
        <v>50</v>
      </c>
      <c r="I2">
        <v>45999</v>
      </c>
      <c r="J2" t="str">
        <v>Brussels Airlines Be house</v>
      </c>
      <c r="K2">
        <v>145</v>
      </c>
      <c r="L2">
        <v>604.04</v>
      </c>
      <c r="M2">
        <v>0</v>
      </c>
      <c r="N2">
        <v>11.96</v>
      </c>
      <c r="O2">
        <v>0</v>
      </c>
      <c r="P2">
        <v>604.04</v>
      </c>
      <c r="R2" t="str" cm="1">
        <f t="array" ref="R2:R39">_xlfn.XLOOKUP(E2:E39,J2:J37,K2:K37,"Not Found")</f>
        <v>Not Found</v>
      </c>
    </row>
    <row r="3" spans="4:18">
      <c r="H3">
        <v>50</v>
      </c>
      <c r="I3">
        <v>45999</v>
      </c>
      <c r="J3" t="str">
        <v>DPG Media Antwerpen</v>
      </c>
      <c r="K3">
        <v>195</v>
      </c>
      <c r="L3">
        <v>796.29</v>
      </c>
      <c r="M3">
        <v>3.65</v>
      </c>
      <c r="N3">
        <v>22.05</v>
      </c>
      <c r="O3">
        <v>0</v>
      </c>
      <c r="P3">
        <v>792.64</v>
      </c>
      <c r="R3" t="str">
        <v>Not Found</v>
      </c>
    </row>
    <row r="4" spans="4:18">
      <c r="H4">
        <v>50</v>
      </c>
      <c r="I4">
        <v>45999</v>
      </c>
      <c r="J4" t="str">
        <v>RTBF</v>
      </c>
      <c r="K4">
        <v>549</v>
      </c>
      <c r="L4">
        <v>2542.87</v>
      </c>
      <c r="M4">
        <v>0</v>
      </c>
      <c r="N4">
        <v>39.19</v>
      </c>
      <c r="O4">
        <v>0</v>
      </c>
      <c r="P4">
        <v>2542.87</v>
      </c>
      <c r="R4" t="str">
        <v>Not Found</v>
      </c>
    </row>
    <row r="5" spans="4:18">
      <c r="H5">
        <v>50</v>
      </c>
      <c r="I5">
        <v>45999</v>
      </c>
      <c r="J5" t="str">
        <v>DPG Media Vilvoorde</v>
      </c>
      <c r="K5">
        <v>130</v>
      </c>
      <c r="L5">
        <v>510.23</v>
      </c>
      <c r="M5">
        <v>4.95</v>
      </c>
      <c r="N5">
        <v>12.93</v>
      </c>
      <c r="O5">
        <v>0</v>
      </c>
      <c r="P5">
        <v>505.28</v>
      </c>
      <c r="R5" t="str">
        <v>Not Found</v>
      </c>
    </row>
    <row r="6" spans="4:18">
      <c r="H6">
        <v>50</v>
      </c>
      <c r="I6">
        <v>45999</v>
      </c>
      <c r="J6" t="str">
        <v>Bia Group Overijse</v>
      </c>
      <c r="K6">
        <v>64</v>
      </c>
      <c r="L6">
        <v>343.41</v>
      </c>
      <c r="M6">
        <v>0</v>
      </c>
      <c r="N6">
        <v>14.82</v>
      </c>
      <c r="O6">
        <v>2.38</v>
      </c>
      <c r="P6">
        <v>345.79</v>
      </c>
      <c r="R6" t="str">
        <v>Not Found</v>
      </c>
    </row>
    <row r="7" spans="4:18">
      <c r="H7">
        <v>50</v>
      </c>
      <c r="I7">
        <v>45999</v>
      </c>
      <c r="J7" t="str">
        <v>Van Mieghem Tubize</v>
      </c>
      <c r="K7">
        <v>49</v>
      </c>
      <c r="L7">
        <v>158.97999999999999</v>
      </c>
      <c r="M7">
        <v>0</v>
      </c>
      <c r="N7">
        <v>4.18</v>
      </c>
      <c r="O7">
        <v>0</v>
      </c>
      <c r="P7">
        <v>158.97999999999999</v>
      </c>
      <c r="R7" t="str">
        <v>Not Found</v>
      </c>
    </row>
    <row r="8" spans="4:18">
      <c r="H8">
        <v>50</v>
      </c>
      <c r="I8">
        <v>45999</v>
      </c>
      <c r="J8" t="str">
        <v>Police Tubize</v>
      </c>
      <c r="K8">
        <v>77</v>
      </c>
      <c r="L8">
        <v>332.68</v>
      </c>
      <c r="M8">
        <v>0</v>
      </c>
      <c r="N8">
        <v>14.18</v>
      </c>
      <c r="O8">
        <v>0</v>
      </c>
      <c r="P8">
        <v>332.68</v>
      </c>
      <c r="R8" t="str">
        <v>Not Found</v>
      </c>
    </row>
    <row r="9" spans="4:18">
      <c r="H9">
        <v>50</v>
      </c>
      <c r="I9">
        <v>45999</v>
      </c>
      <c r="J9" t="str">
        <v>ABB Zaventem</v>
      </c>
      <c r="K9">
        <v>64</v>
      </c>
      <c r="L9">
        <v>263.33999999999997</v>
      </c>
      <c r="M9">
        <v>0</v>
      </c>
      <c r="N9">
        <v>2.08</v>
      </c>
      <c r="O9">
        <v>0</v>
      </c>
      <c r="P9">
        <v>263.33999999999997</v>
      </c>
      <c r="R9" t="str">
        <v>Not Found</v>
      </c>
    </row>
    <row r="10" spans="4:18">
      <c r="H10">
        <v>50</v>
      </c>
      <c r="I10">
        <v>45999</v>
      </c>
      <c r="J10" t="str">
        <v>PWC Diegem</v>
      </c>
      <c r="K10">
        <v>303</v>
      </c>
      <c r="L10">
        <v>1032.1600000000001</v>
      </c>
      <c r="M10">
        <v>7.65</v>
      </c>
      <c r="N10">
        <v>10.92</v>
      </c>
      <c r="O10">
        <v>1.28</v>
      </c>
      <c r="P10">
        <v>1025.79</v>
      </c>
      <c r="R10" t="str">
        <v>Not Found</v>
      </c>
    </row>
    <row r="11" spans="4:18">
      <c r="H11">
        <v>50</v>
      </c>
      <c r="I11">
        <v>45999</v>
      </c>
      <c r="J11" t="str">
        <v>Neuhaus Sint-Pieters</v>
      </c>
      <c r="K11">
        <v>141</v>
      </c>
      <c r="L11">
        <v>729.98</v>
      </c>
      <c r="M11">
        <v>0</v>
      </c>
      <c r="N11">
        <v>12.79</v>
      </c>
      <c r="O11">
        <v>16.25</v>
      </c>
      <c r="P11">
        <v>746.23</v>
      </c>
      <c r="R11" t="str">
        <v>Not Found</v>
      </c>
    </row>
    <row r="12" spans="4:18">
      <c r="H12">
        <v>50</v>
      </c>
      <c r="I12">
        <v>45999</v>
      </c>
      <c r="J12" t="str">
        <v>CBC</v>
      </c>
      <c r="K12">
        <v>65</v>
      </c>
      <c r="L12">
        <v>332.34</v>
      </c>
      <c r="M12">
        <v>8.99</v>
      </c>
      <c r="N12">
        <v>8.27</v>
      </c>
      <c r="O12">
        <v>0</v>
      </c>
      <c r="P12">
        <v>323.35000000000002</v>
      </c>
      <c r="R12" t="str">
        <v>Not Found</v>
      </c>
    </row>
    <row r="13" spans="4:18">
      <c r="H13">
        <v>50</v>
      </c>
      <c r="I13">
        <v>45999</v>
      </c>
      <c r="J13" t="str">
        <v>The Woods</v>
      </c>
      <c r="K13">
        <v>168</v>
      </c>
      <c r="L13">
        <v>1028.3599999999999</v>
      </c>
      <c r="M13">
        <v>30.22</v>
      </c>
      <c r="N13">
        <v>25.53</v>
      </c>
      <c r="O13">
        <v>1.28</v>
      </c>
      <c r="P13">
        <v>999.42</v>
      </c>
      <c r="R13" t="str">
        <v>Not Found</v>
      </c>
    </row>
    <row r="14" spans="4:18">
      <c r="H14">
        <v>50</v>
      </c>
      <c r="I14">
        <v>45999</v>
      </c>
      <c r="J14" t="str">
        <v>Allnex</v>
      </c>
      <c r="K14">
        <v>79</v>
      </c>
      <c r="L14">
        <v>361.92</v>
      </c>
      <c r="M14">
        <v>0</v>
      </c>
      <c r="N14">
        <v>9.89</v>
      </c>
      <c r="O14">
        <v>124.1</v>
      </c>
      <c r="P14">
        <v>486.02</v>
      </c>
      <c r="R14" t="str">
        <v>Not Found</v>
      </c>
    </row>
    <row r="15" spans="4:18">
      <c r="H15">
        <v>50</v>
      </c>
      <c r="I15">
        <v>45999</v>
      </c>
      <c r="J15" t="str">
        <v>GSV Huppertz Wilrijk</v>
      </c>
      <c r="K15">
        <v>146</v>
      </c>
      <c r="L15">
        <v>13.33</v>
      </c>
      <c r="M15">
        <v>0</v>
      </c>
      <c r="N15">
        <v>6.42</v>
      </c>
      <c r="O15">
        <v>634.84</v>
      </c>
      <c r="P15">
        <v>648.16999999999996</v>
      </c>
      <c r="R15" t="str">
        <v>Not Found</v>
      </c>
    </row>
    <row r="16" spans="4:18">
      <c r="H16">
        <v>50</v>
      </c>
      <c r="I16">
        <v>45999</v>
      </c>
      <c r="J16" t="str">
        <v>Velux</v>
      </c>
      <c r="K16">
        <v>13</v>
      </c>
      <c r="L16">
        <v>81.87</v>
      </c>
      <c r="M16">
        <v>0</v>
      </c>
      <c r="N16">
        <v>0.44</v>
      </c>
      <c r="O16">
        <v>0</v>
      </c>
      <c r="P16">
        <v>81.87</v>
      </c>
      <c r="R16" t="str">
        <v>Not Found</v>
      </c>
    </row>
    <row r="17" spans="8:18">
      <c r="H17">
        <v>50</v>
      </c>
      <c r="I17">
        <v>45999</v>
      </c>
      <c r="J17" t="str">
        <v>Lhoist Limelette</v>
      </c>
      <c r="K17">
        <v>37</v>
      </c>
      <c r="L17">
        <v>119.32</v>
      </c>
      <c r="M17">
        <v>0</v>
      </c>
      <c r="N17">
        <v>3.94</v>
      </c>
      <c r="O17">
        <v>27.42</v>
      </c>
      <c r="P17">
        <v>146.74</v>
      </c>
      <c r="R17" t="str">
        <v>Not Found</v>
      </c>
    </row>
    <row r="18" spans="8:18">
      <c r="H18">
        <v>50</v>
      </c>
      <c r="I18">
        <v>45999</v>
      </c>
      <c r="J18" t="str">
        <v>Kadans Gauche</v>
      </c>
      <c r="K18">
        <v>94</v>
      </c>
      <c r="L18">
        <v>499.55</v>
      </c>
      <c r="M18">
        <v>0</v>
      </c>
      <c r="N18">
        <v>11.62</v>
      </c>
      <c r="O18">
        <v>0</v>
      </c>
      <c r="P18">
        <v>499.55</v>
      </c>
      <c r="R18" t="str">
        <v>Not Found</v>
      </c>
    </row>
    <row r="19" spans="8:18">
      <c r="H19">
        <v>50</v>
      </c>
      <c r="I19">
        <v>45999</v>
      </c>
      <c r="J19" t="str">
        <v>Interparking</v>
      </c>
      <c r="K19">
        <v>83</v>
      </c>
      <c r="L19">
        <v>341.77</v>
      </c>
      <c r="M19">
        <v>8.99</v>
      </c>
      <c r="N19">
        <v>9.92</v>
      </c>
      <c r="O19">
        <v>6.16</v>
      </c>
      <c r="P19">
        <v>338.94</v>
      </c>
      <c r="R19" t="str">
        <v>Not Found</v>
      </c>
    </row>
    <row r="20" spans="8:18">
      <c r="H20">
        <v>50</v>
      </c>
      <c r="I20">
        <v>45999</v>
      </c>
      <c r="J20" t="str">
        <v>Spadel Brussels</v>
      </c>
      <c r="K20">
        <v>49</v>
      </c>
      <c r="L20">
        <v>278.99</v>
      </c>
      <c r="M20">
        <v>0</v>
      </c>
      <c r="N20">
        <v>1.31</v>
      </c>
      <c r="O20">
        <v>1.28</v>
      </c>
      <c r="P20">
        <v>280.27</v>
      </c>
      <c r="R20" t="str">
        <v>Not Found</v>
      </c>
    </row>
    <row r="21" spans="8:18">
      <c r="H21">
        <v>50</v>
      </c>
      <c r="I21">
        <v>45999</v>
      </c>
      <c r="J21" t="str">
        <v>Brussels Airlines Airport</v>
      </c>
      <c r="K21">
        <v>27</v>
      </c>
      <c r="L21">
        <v>114.49</v>
      </c>
      <c r="M21">
        <v>0</v>
      </c>
      <c r="N21">
        <v>0</v>
      </c>
      <c r="O21">
        <v>0</v>
      </c>
      <c r="P21">
        <v>114.49</v>
      </c>
      <c r="R21" t="str">
        <v>Not Found</v>
      </c>
    </row>
    <row r="22" spans="8:18">
      <c r="H22">
        <v>50</v>
      </c>
      <c r="I22">
        <v>45999</v>
      </c>
      <c r="J22" t="str">
        <v>Kadans Droite</v>
      </c>
      <c r="K22">
        <v>84</v>
      </c>
      <c r="L22">
        <v>483.67</v>
      </c>
      <c r="M22">
        <v>0</v>
      </c>
      <c r="N22">
        <v>19.34</v>
      </c>
      <c r="O22">
        <v>2.38</v>
      </c>
      <c r="P22">
        <v>486.05</v>
      </c>
      <c r="R22" t="str">
        <v>Not Found</v>
      </c>
    </row>
    <row r="23" spans="8:18">
      <c r="H23">
        <v>50</v>
      </c>
      <c r="I23">
        <v>45999</v>
      </c>
      <c r="J23" t="str">
        <v>Thermofisher Zaventem</v>
      </c>
      <c r="K23">
        <v>84</v>
      </c>
      <c r="L23">
        <v>430.93</v>
      </c>
      <c r="M23">
        <v>0</v>
      </c>
      <c r="N23">
        <v>9.7799999999999994</v>
      </c>
      <c r="O23">
        <v>2.31</v>
      </c>
      <c r="P23">
        <v>433.24</v>
      </c>
      <c r="R23" t="str">
        <v>Not Found</v>
      </c>
    </row>
    <row r="24" spans="8:18">
      <c r="H24">
        <v>50</v>
      </c>
      <c r="I24">
        <v>45999</v>
      </c>
      <c r="J24" t="str">
        <v>Brussels Airlines TFC</v>
      </c>
      <c r="K24">
        <v>32</v>
      </c>
      <c r="L24">
        <v>167.71</v>
      </c>
      <c r="M24">
        <v>0</v>
      </c>
      <c r="N24">
        <v>2.66</v>
      </c>
      <c r="O24">
        <v>0</v>
      </c>
      <c r="P24">
        <v>167.71</v>
      </c>
      <c r="R24" t="str">
        <v>Not Found</v>
      </c>
    </row>
    <row r="25" spans="8:18">
      <c r="H25">
        <v>50</v>
      </c>
      <c r="I25">
        <v>45999</v>
      </c>
      <c r="J25" t="str">
        <v>Abbott Wavre</v>
      </c>
      <c r="K25">
        <v>19</v>
      </c>
      <c r="L25">
        <v>100.86</v>
      </c>
      <c r="M25">
        <v>0</v>
      </c>
      <c r="N25">
        <v>0</v>
      </c>
      <c r="O25">
        <v>0</v>
      </c>
      <c r="P25">
        <v>100.86</v>
      </c>
      <c r="R25" t="str">
        <v>Not Found</v>
      </c>
    </row>
    <row r="26" spans="8:18">
      <c r="H26">
        <v>50</v>
      </c>
      <c r="I26">
        <v>45999</v>
      </c>
      <c r="J26" t="str">
        <v>PWC Ghent</v>
      </c>
      <c r="K26">
        <v>42</v>
      </c>
      <c r="L26">
        <v>217.01</v>
      </c>
      <c r="M26">
        <v>0</v>
      </c>
      <c r="N26">
        <v>9.4700000000000006</v>
      </c>
      <c r="O26">
        <v>0</v>
      </c>
      <c r="P26">
        <v>217.01</v>
      </c>
      <c r="R26" t="str">
        <v>Not Found</v>
      </c>
    </row>
    <row r="27" spans="8:18">
      <c r="H27">
        <v>50</v>
      </c>
      <c r="I27">
        <v>45999</v>
      </c>
      <c r="J27" t="str">
        <v>Brussels Airlines Vilvoorde</v>
      </c>
      <c r="K27">
        <v>43</v>
      </c>
      <c r="L27">
        <v>121.09</v>
      </c>
      <c r="M27">
        <v>0</v>
      </c>
      <c r="N27">
        <v>1.62</v>
      </c>
      <c r="O27">
        <v>0</v>
      </c>
      <c r="P27">
        <v>121.09</v>
      </c>
      <c r="R27" t="str">
        <v>Not Found</v>
      </c>
    </row>
    <row r="28" spans="8:18">
      <c r="H28">
        <v>50</v>
      </c>
      <c r="I28">
        <v>45999</v>
      </c>
      <c r="J28" t="str">
        <v>Lhoist Corbais</v>
      </c>
      <c r="K28">
        <v>17</v>
      </c>
      <c r="L28">
        <v>57.16</v>
      </c>
      <c r="M28">
        <v>0</v>
      </c>
      <c r="N28">
        <v>0.8</v>
      </c>
      <c r="O28">
        <v>19.440000000000001</v>
      </c>
      <c r="P28">
        <v>76.599999999999994</v>
      </c>
      <c r="R28" t="str">
        <v>Not Found</v>
      </c>
    </row>
    <row r="29" spans="8:18">
      <c r="H29">
        <v>50</v>
      </c>
      <c r="I29">
        <v>45999</v>
      </c>
      <c r="J29" t="str">
        <v>Engie Antwerpen</v>
      </c>
      <c r="K29">
        <v>13</v>
      </c>
      <c r="L29">
        <v>61.32</v>
      </c>
      <c r="M29">
        <v>0</v>
      </c>
      <c r="N29">
        <v>1.2</v>
      </c>
      <c r="O29">
        <v>0</v>
      </c>
      <c r="P29">
        <v>61.32</v>
      </c>
      <c r="R29" t="str">
        <v>Not Found</v>
      </c>
    </row>
    <row r="30" spans="8:18">
      <c r="H30">
        <v>50</v>
      </c>
      <c r="I30">
        <v>45999</v>
      </c>
      <c r="J30" t="str">
        <v>Engie Garden Café Wrap &amp; Roll</v>
      </c>
      <c r="K30">
        <v>92</v>
      </c>
      <c r="L30">
        <v>432.94</v>
      </c>
      <c r="M30">
        <v>0</v>
      </c>
      <c r="N30">
        <v>7.56</v>
      </c>
      <c r="O30">
        <v>0</v>
      </c>
      <c r="P30">
        <v>432.94</v>
      </c>
      <c r="R30" t="str">
        <v>Not Found</v>
      </c>
    </row>
    <row r="31" spans="8:18">
      <c r="H31">
        <v>50</v>
      </c>
      <c r="I31">
        <v>45999</v>
      </c>
      <c r="J31" t="str">
        <v>Thermofisher Vilvoorde</v>
      </c>
      <c r="K31">
        <v>15</v>
      </c>
      <c r="L31">
        <v>70.06</v>
      </c>
      <c r="M31">
        <v>0</v>
      </c>
      <c r="N31">
        <v>0</v>
      </c>
      <c r="O31">
        <v>0</v>
      </c>
      <c r="P31">
        <v>70.06</v>
      </c>
      <c r="R31" t="str">
        <v>Not Found</v>
      </c>
    </row>
    <row r="32" spans="8:18">
      <c r="H32">
        <v>50</v>
      </c>
      <c r="I32">
        <v>45999</v>
      </c>
      <c r="J32" t="str">
        <v>Zoetis LLN</v>
      </c>
      <c r="K32">
        <v>163</v>
      </c>
      <c r="L32">
        <v>937.11</v>
      </c>
      <c r="M32">
        <v>0</v>
      </c>
      <c r="N32">
        <v>14.19</v>
      </c>
      <c r="O32">
        <v>0</v>
      </c>
      <c r="P32">
        <v>937.11</v>
      </c>
      <c r="R32" t="str">
        <v>Not Found</v>
      </c>
    </row>
    <row r="33" spans="8:18">
      <c r="H33">
        <v>50</v>
      </c>
      <c r="I33">
        <v>45999</v>
      </c>
      <c r="J33" t="str">
        <v>Bank Degroof</v>
      </c>
      <c r="K33">
        <v>24</v>
      </c>
      <c r="L33">
        <v>81.849999999999994</v>
      </c>
      <c r="M33">
        <v>0</v>
      </c>
      <c r="N33">
        <v>4.88</v>
      </c>
      <c r="O33">
        <v>0</v>
      </c>
      <c r="P33">
        <v>81.849999999999994</v>
      </c>
      <c r="R33" t="str">
        <v>Not Found</v>
      </c>
    </row>
    <row r="34" spans="8:18">
      <c r="H34">
        <v>50</v>
      </c>
      <c r="I34">
        <v>45999</v>
      </c>
      <c r="J34" t="str">
        <v>Allianz Brussels</v>
      </c>
      <c r="K34">
        <v>87</v>
      </c>
      <c r="L34">
        <v>282.14999999999998</v>
      </c>
      <c r="M34">
        <v>0</v>
      </c>
      <c r="N34">
        <v>1.03</v>
      </c>
      <c r="O34">
        <v>1.26</v>
      </c>
      <c r="P34">
        <v>283.41000000000003</v>
      </c>
      <c r="R34" t="str">
        <v>Not Found</v>
      </c>
    </row>
    <row r="35" spans="8:18">
      <c r="H35">
        <v>50</v>
      </c>
      <c r="I35">
        <v>45999</v>
      </c>
      <c r="J35" t="str">
        <v>Engie Garden Café Heat and Eat</v>
      </c>
      <c r="K35">
        <v>24</v>
      </c>
      <c r="L35">
        <v>128.13</v>
      </c>
      <c r="M35">
        <v>0</v>
      </c>
      <c r="N35">
        <v>2.11</v>
      </c>
      <c r="O35">
        <v>0</v>
      </c>
      <c r="P35">
        <v>128.13</v>
      </c>
      <c r="R35" t="str">
        <v>Not Found</v>
      </c>
    </row>
    <row r="36" spans="8:18">
      <c r="H36">
        <v>50</v>
      </c>
      <c r="I36">
        <v>45999</v>
      </c>
      <c r="J36" t="str">
        <v>Lhoist Nivelles</v>
      </c>
      <c r="K36">
        <v>11</v>
      </c>
      <c r="L36">
        <v>39.9</v>
      </c>
      <c r="M36">
        <v>0</v>
      </c>
      <c r="N36">
        <v>0</v>
      </c>
      <c r="O36">
        <v>18.64</v>
      </c>
      <c r="P36">
        <v>58.54</v>
      </c>
      <c r="R36" t="str">
        <v>Not Found</v>
      </c>
    </row>
    <row r="37" spans="8:18">
      <c r="H37">
        <v>50</v>
      </c>
      <c r="I37">
        <v>45999</v>
      </c>
      <c r="J37" t="str">
        <v>PWC Antwerpen</v>
      </c>
      <c r="K37">
        <v>24</v>
      </c>
      <c r="L37">
        <v>91.69</v>
      </c>
      <c r="M37">
        <v>0</v>
      </c>
      <c r="N37">
        <v>5.0199999999999996</v>
      </c>
      <c r="O37">
        <v>0</v>
      </c>
      <c r="P37">
        <v>91.69</v>
      </c>
      <c r="R37" t="str">
        <v>Not Found</v>
      </c>
    </row>
    <row r="38" spans="8:18">
      <c r="R38" t="str">
        <v>Not Found</v>
      </c>
    </row>
    <row r="39" spans="8:18">
      <c r="R39" t="str">
        <v>Not Found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701E-2D45-4A79-B199-6B68597BB9A1}">
  <sheetPr codeName="Sheet13"/>
  <dimension ref="C3:E4"/>
  <sheetViews>
    <sheetView showGridLines="0" workbookViewId="0">
      <selection activeCell="E7" sqref="E7"/>
    </sheetView>
  </sheetViews>
  <sheetFormatPr defaultColWidth="8.69921875" defaultRowHeight="18.95"/>
  <cols>
    <col min="3" max="3" width="12.8984375" customWidth="1"/>
    <col min="4" max="4" width="9.69921875" bestFit="1" customWidth="1"/>
    <col min="5" max="5" width="18.3984375" customWidth="1"/>
  </cols>
  <sheetData>
    <row r="3" spans="3:5">
      <c r="C3" s="17" t="s">
        <v>31</v>
      </c>
      <c r="D3" s="17" t="s">
        <v>235</v>
      </c>
      <c r="E3" s="17" t="s">
        <v>272</v>
      </c>
    </row>
    <row r="4" spans="3:5">
      <c r="C4" t="s">
        <v>111</v>
      </c>
      <c r="D4" t="s">
        <v>246</v>
      </c>
      <c r="E4" s="6">
        <v>600</v>
      </c>
    </row>
  </sheetData>
  <dataValidations count="1">
    <dataValidation type="list" allowBlank="1" showInputMessage="1" showErrorMessage="1" sqref="D4" xr:uid="{DF4A6EFF-1981-4865-BE7A-69407877A518}">
      <formula1>MonthAndYearList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id="ms-officescript%3A%2F%2Fonedrive_business_itemlink%2F01PKCKJOLUMMMXPACHZZGKVEIDL32SJYBY:ms-officescript%3A%2F%2Fonedrive_business_sharinglink%2Fu!aHR0cHM6Ly9mcmlnb2xvY28tbXkuc2hhcmVwb2ludC5jb20vOnU6L2cvcGVyc29uYWwvbWF0aGlldV9mcmlnb2xvY29fYmUvRVhSakdYZUFSODVNcXBFRFh2VWs0RGdCYkJheTFrMTN1U0JoM3M3Z0k3WldDQQ"/>
  <scriptId xmlns="" id="ms-officescript%3A%2F%2Fonedrive_business_itemlink%2F01PKCKJOJXUGDWDJEVWZFYVANDTAYHT75N:ms-officescript%3A%2F%2Fonedrive_business_sharinglink%2Fu!aHR0cHM6Ly9mcmlnb2xvY28tbXkuc2hhcmVwb2ludC5jb20vOnU6L2cvcGVyc29uYWwvbWF0aGlldV9mcmlnb2xvY29fYmUvRVRlaGgyR2tsYlpMaW9Ham1EQjVfNjBCTXpSd0V4a0NTeDdJeUgyWXNqU0VaQQ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4ddf23-7a09-4933-bb6e-56f344fe660b">
      <Terms xmlns="http://schemas.microsoft.com/office/infopath/2007/PartnerControls"/>
    </lcf76f155ced4ddcb4097134ff3c332f>
    <TaxCatchAll xmlns="34941ac5-b86d-411d-a16e-23319281a3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7315D23E5C74593209D6FE7790F80" ma:contentTypeVersion="15" ma:contentTypeDescription="Create a new document." ma:contentTypeScope="" ma:versionID="35296b389d3d42f11ea8835b3fd4c055">
  <xsd:schema xmlns:xsd="http://www.w3.org/2001/XMLSchema" xmlns:xs="http://www.w3.org/2001/XMLSchema" xmlns:p="http://schemas.microsoft.com/office/2006/metadata/properties" xmlns:ns2="9f4ddf23-7a09-4933-bb6e-56f344fe660b" xmlns:ns3="34941ac5-b86d-411d-a16e-23319281a3b1" targetNamespace="http://schemas.microsoft.com/office/2006/metadata/properties" ma:root="true" ma:fieldsID="0b837411da4275b80126188190aedde1" ns2:_="" ns3:_="">
    <xsd:import namespace="9f4ddf23-7a09-4933-bb6e-56f344fe660b"/>
    <xsd:import namespace="34941ac5-b86d-411d-a16e-23319281a3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ddf23-7a09-4933-bb6e-56f344fe6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9cbd4b1-bac8-4a49-b2fe-9fcb1c6af8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41ac5-b86d-411d-a16e-23319281a3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6c16cc-3073-4c67-bf2f-28bcb8c6ca78}" ma:internalName="TaxCatchAll" ma:showField="CatchAllData" ma:web="34941ac5-b86d-411d-a16e-23319281a3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TQBvAG4AdABoAGwAeQBDAGEAbABjAEYAcgBvAG0AVwBlAGUAawBsAHkAIAA9ACAATABBAE0AQgBEAEEAKABTAHQAYQByAHQARABhAHQAZQBzACwAIABFAG4AZABEAGEAdABlAHMALAAgAEMAbwBzAHQAcwAsAEsAZQB5AFYAYQBsAHUAZQBzACwAXABuACAAIAAgACAATABFAFQAKABcAG4AIAAgACAAIAAgACAAIAAgAE0AbwBuAHQAaABsAHkAQwBhAGwAYwBCAHkAUgBvAHcALAAgAFIARQBEAFUAQwBFACgAXABuACAAIAAgACAAIAAgACAAIAAgACAAIAAgAHsAXAAiAFwAIgAsACAAXAAiAFwAIgB9ACwAXABuACAAIAAgACAAIAAgACAAIAAgACAAIAAgAFMARQBRAFUARQBOAEMARQAoAFIATwBXAFMAKABTAHQAYQByAHQARABhAHQAZQBzACkAKQAsAFwAbgAgACAAIAAgACAAIAAgACAAIAAgACAAIABMAEEATQBCAEQAQQAoAEEAYwBjACwAIABpACwAXABuACAAIAAgACAAIAAgACAAIAAgACAAIAAgACAAIAAgACAATABFAFQAKABcAG4AIAAgACAAIAAgACAAIAAgACAAIAAgACAAIAAgACAAIAAgACAAIAAgAEsAZQB5ACwAIABJAE4ARABFAFgAKABLAGUAeQBWAGEAbAB1AGUAcwAsAGkAKQAsAFwAbgAgACAAIAAgACAAIAAgACAAIAAgACAAIAAgACAAIAAgACAAIAAgACAAUwB0AGEAcgB0AEQAYQB0AGUALAAgAEkATgBEAEUAWAAoAFMAdABhAHIAdABEAGEAdABlAHMALAAgAGkAKQAsAFwAbgAgACAAIAAgACAAIAAgACAAIAAgACAAIAAgACAAIAAgACAAIAAgACAARQBuAGQARABhAHQAZQAsACAASQBOAEQARQBYACgARQBuAGQARABhAHQAZQBzACwAIABpACkALABcAG4AIAAgACAAIAAgACAAIAAgACAAIAAgACAAIAAgACAAIAAgACAAIAAgAEMAbwBzAHQALAAgAEkATgBEAEUAWAAoAEMAbwBzAHQAcwAsACAAaQApACwAXABuACAAIAAgACAAIAAgACAAIAAgACAAIAAgACAAIAAgACAAIAAgACAAIABEAGEAaQBsAHkAQwBvAHMAdAAsACAAQwBvAHMAdAAgAC8AIAA3ACwAXABuACAAIAAgACAAIAAgACAAIAAgACAAIAAgACAAIAAgACAAIAAgACAAIABTAHQAYQByAHQATQBvAG4AdABoACwAIABFAE8ATQBPAE4AVABIACgAUwB0AGEAcgB0AEQAYQB0AGUALAAgAC0AMQApACAAKwAgADEALABcAG4AIAAgACAAIAAgACAAIAAgACAAIAAgACAAIAAgACAAIAAgACAAIAAgAEUAbgBkAE0AbwBuAHQAaAAsACAARQBPAE0ATwBOAFQASAAoAEUAbgBkAEQAYQB0AGUALAAgAC0AMQApACAAKwAgADEALABcAG4AIAAgACAAIAAgACAAIAAgACAAIAAgACAAIAAgACAAIAAgACAAIAAgAFwAbgAgACAAIAAgACAAIAAgACAAIAAgACAAIAAgACAAIAAgACAAIAAgACAALwAvACAAQwBoAGUAYwBrACAAaQBmACAAYgBvAHQAaAAgAGQAYQB0AGUAcwAgAGEAcgBlACAAaQBuACAAdABoAGUAIABzAGEAbQBlACAAbQBvAG4AdABoAFwAbgAgACAAIAAgACAAIAAgACAAIAAgACAAIAAgACAAIAAgACAAIAAgACAASQBzAFMAYQBtAGUATQBvAG4AdABoACwAIABUAEUAWABUACgAUwB0AGEAcgB0AEQAYQB0AGUALAAgAFwAIgB5AHkAeQB5AG0AbQBcACIAKQAgAD0AIABUAEUAWABUACgARQBuAGQARABhAHQAZQAsACAAXAAiAHkAeQB5AHkAbQBtAFwAIgApACwAXABuACAAIAAgACAAIAAgACAAIAAgACAAIAAgACAAIAAgACAAIAAgACAAIABcAG4AIAAgACAAIAAgACAAIAAgACAAIAAgACAAIAAgACAAIAAgACAAIAAgAC8ALwAgAC0ALQAtACAAQwBhAHMAZQAgADEAOgAgAFMAYQBtAGUAIABtAG8AbgB0AGgAIAAtAC0ALQBcAG4AIAAgACAAIAAgACAAIAAgACAAIAAgACAAIAAgACAAIAAgACAAIAAgAFMAYQBtAGUATQBvAG4AdABoAEIAbABvAGMAawAsACAASABTAFQAQQBDAEsAKABTAHQAYQByAHQATQBvAG4AdABoACwAIABLAGUAeQAsACAAQwBvAHMAdAApACwAXABuACAAIAAgACAAIAAgACAAIAAgACAAIAAgACAAIAAgACAAIAAgACAAIABcAG4AIAAgACAAIAAgACAAIAAgACAAIAAgACAAIAAgACAAIAAgACAAIAAgAC8ALwAgAC0ALQAtACAAQwBhAHMAZQAgADIAOgAgAEQAaQBmAGYAZQByAGUAbgB0ACAAbQBvAG4AdABoAHMAIAAtAC0ALQBcAG4AIAAgACAAIAAgACAAIAAgACAAIAAgACAAIAAgACAAIAAgACAAIAAgAEQAYQB5AHMASQBuAFMAdABhAHIAdABNAG8AbgB0AGgALAAgAEUATwBNAE8ATgBUAEgAKABTAHQAYQByAHQARABhAHQAZQAsACAAMAApACAALQAgAFMAdABhAHIAdABEAGEAdABlACAAKwAgADEALABcAG4AIAAgACAAIAAgACAAIAAgACAAIAAgACAAIAAgACAAIAAgACAAIAAgAEMAbwBzAHQAUwB0AGEAcgB0ACwAIABEAGEAeQBzAEkAbgBTAHQAYQByAHQATQBvAG4AdABoACAAKgAgAEQAYQBpAGwAeQBDAG8AcwB0ACwAXABuACAAIAAgACAAIAAgACAAIAAgACAAIAAgACAAIAAgACAAIAAgACAAIABDAG8AcwB0AEUAbgBkACwAIABDAG8AcwB0ACAALQAgAEMAbwBzAHQAUwB0AGEAcgB0ACwAXABuACAAIAAgACAAIAAgACAAIAAgACAAIAAgACAAIAAgACAAIAAgACAAIABOAGUAeAB0AE0AbwBuAHQAaAAsACAARQBPAE0ATwBOAFQASAAoAFMAdABhAHIAdABEAGEAdABlACwAIAAwACkAIAArACAAMQAsAFwAbgAgACAAIAAgACAAIAAgACAAIAAgACAAIAAgACAAIAAgACAAIAAgACAAVAB3AG8ATQBvAG4AdABoAEIAbABvAGMAawAsACAAVgBTAFQAQQBDAEsAKABIAFMAVABBAEMASwAoAFMAdABhAHIAdABNAG8AbgB0AGgALABLAGUAeQAsACAAQwBvAHMAdABTAHQAYQByAHQAKQAsACAASABTAFQAQQBDAEsAKABOAGUAeAB0AE0AbwBuAHQAaAAsACAASwBlAHkALAAgAEMAbwBzAHQARQBuAGQAKQApACwAXABuACAAIAAgACAAIAAgACAAIAAgACAAIAAgACAAIAAgACAAIAAgACAAIABcAG4AIAAgACAAIAAgACAAIAAgACAAIAAgACAAIAAgACAAIAAgACAAIAAgAC8ALwAgAC0ALQAtACAAQwBvAG0AYgBpAG4AZQAgAHcAaQB0AGgAIABhAGMAYwB1AG0AdQBsAGEAdABvAHIAIAAtAC0ALQBcAG4AIAAgACAAIAAgACAAIAAgACAAIAAgACAAIAAgACAAIAAgACAAIAAgAFIAZQBzAHUAbAB0ACwAIABJAEYAKABJAHMAUwBhAG0AZQBNAG8AbgB0AGgALAAgAFMAYQBtAGUATQBvAG4AdABoAEIAbABvAGMAawAsACAAVAB3AG8ATQBvAG4AdABoAEIAbABvAGMAawApACwAXABuACAAIAAgACAAIAAgACAAIAAgACAAIAAgACAAIAAgACAAIAAgACAAIABWAFMAVABBAEMASwAoAEEAYwBjACwAIABSAGUAcwB1AGwAdAApAFwAbgAgACAAIAAgACAAIAAgACAAIAAgACAAIAAgACAAIAAgACkAXABuACAAIAAgACAAIAAgACAAIAAgACAAIAAgACkAXABuACAAIAAgACAAIAAgACAAIAApACwAXABuACAAIAAgACAAIAAgACAAIABSAGUAbQBvAHYAZQBIAFIAbwB3ACwAIABEAFIATwBQACgATQBvAG4AdABoAGwAeQBDAGEAbABjAEIAeQBSAG8AdwAsACAAMQApACwAXABuACAAIAAgACAAIAAgACAAIABSAGUAcwB1AGwAdAAsACAARwBSAE8AVQBQAEIAWQAoAEgAUwBUAEEAQwBLACgAVABFAFgAVAAoAEMASABPAE8AUwBFAEMATwBMAFMAKABSAGUAbQBvAHYAZQBIAFIAbwB3ACwAMQApACwAXAAiAG0AbQBtAG0AXAAiACkALABDAEgATwBPAFMARQBDAE8ATABTACgAUgBlAG0AbwB2AGUASABSAG8AdwAsACAAMgApACkALAAgAEMASABPAE8AUwBFAEMATwBMAFMAKABSAGUAbQBvAHYAZQBIAFIAbwB3ACwAIAAtADEAKQAsACAAUwBVAE0ALAAgADAALAAgADAAKQAsAFwAbgAgACAAIAAgACAAIAAgACAAUgBlAHMAdQBsAHQAXABuACAAIAAgACAAKQBcAG4AKQA7AFwAbgBcAG4ARgBvAHIAbQBhAHQARABhAHQAZQBZAGUAYQByACAAPQAgAEwAQQBNAEIARABBACgARABhAHQAZQBzACwAVABFAFgAVAAoAEQAYQB0AGUAcwAsAFwAIgBtAG0AbQBtACAAeQB5AHkAeQBcACIAKQApADsAIgB9AF0ALAAiAHAAcgBvAGoAZQBjAHQATgBhAG0AZQBzACIAOgBbACIATQBvAG4AdABoAGwAeQBDAGEAbABjAEYAcgBvAG0AVwBlAGUAawBsAHkAIgAsACIARgBvAHIAbQBhAHQARABhAHQAZQBZAGUAYQB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7FB294-97AA-42DF-9C5B-16F0E1AD9616}"/>
</file>

<file path=customXml/itemProps2.xml><?xml version="1.0" encoding="utf-8"?>
<ds:datastoreItem xmlns:ds="http://schemas.openxmlformats.org/officeDocument/2006/customXml" ds:itemID="{1B08D41D-652D-46B1-B9BB-1F4681067649}"/>
</file>

<file path=customXml/itemProps3.xml><?xml version="1.0" encoding="utf-8"?>
<ds:datastoreItem xmlns:ds="http://schemas.openxmlformats.org/officeDocument/2006/customXml" ds:itemID="{EEC46E37-A405-4BDA-9E47-887066367758}"/>
</file>

<file path=customXml/itemProps4.xml><?xml version="1.0" encoding="utf-8"?>
<ds:datastoreItem xmlns:ds="http://schemas.openxmlformats.org/officeDocument/2006/customXml" ds:itemID="{EB5519CE-8E63-41C1-94C7-91F9D1FF927F}"/>
</file>

<file path=customXml/itemProps5.xml><?xml version="1.0" encoding="utf-8"?>
<ds:datastoreItem xmlns:ds="http://schemas.openxmlformats.org/officeDocument/2006/customXml" ds:itemID="{1E305A55-F739-4DBE-A1EA-D11CBC43F2CD}"/>
</file>

<file path=docMetadata/LabelInfo.xml><?xml version="1.0" encoding="utf-8"?>
<clbl:labelList xmlns:clbl="http://schemas.microsoft.com/office/2020/mipLabelMetadata">
  <clbl:label id="{95f01533-05ae-4a90-bf22-9506c8a39118}" enabled="0" method="" siteId="{95f01533-05ae-4a90-bf22-9506c8a391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Ismail Hosen</dc:creator>
  <cp:keywords/>
  <dc:description/>
  <cp:lastModifiedBy>Sandra Flammang</cp:lastModifiedBy>
  <cp:revision/>
  <dcterms:created xsi:type="dcterms:W3CDTF">2025-10-06T10:45:43Z</dcterms:created>
  <dcterms:modified xsi:type="dcterms:W3CDTF">2026-06-29T13:09:27Z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0x010100BE97315D23E5C74593209D6FE7790F80</vt:lpwstr>
  </property>
  <property fmtid="{D5CDD505-2E9C-101B-9397-08002B2CF9AE}" pid="3" name="MediaServiceImageTags">
    <vt:lpwstr/>
  </property>
</Properties>
</file>