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frigoloco.sharepoint.com/sites/FrigoLocoOneDrive/Shared Documents/Forecasting/Purchase Order/"/>
    </mc:Choice>
  </mc:AlternateContent>
  <xr:revisionPtr revIDLastSave="82282" documentId="13_ncr:1_{A8B6F28F-33A4-4B53-AC53-424F14D26F03}" xr6:coauthVersionLast="47" xr6:coauthVersionMax="47" xr10:uidLastSave="{70433415-09F4-4FD2-B70D-F996897D1706}"/>
  <bookViews>
    <workbookView xWindow="-23150" yWindow="4530" windowWidth="23260" windowHeight="12580" xr2:uid="{FBFECB02-2293-4DF6-86B6-42A0BBF04C6A}"/>
  </bookViews>
  <sheets>
    <sheet name="Restock Verification" sheetId="1" r:id="rId1"/>
    <sheet name="Raw Data" sheetId="2" r:id="rId2"/>
  </sheets>
  <definedNames>
    <definedName name="_xlnm._FilterDatabase" localSheetId="1" hidden="1">'Raw Data'!$C$4:$K$121</definedName>
  </definedNames>
  <calcPr calcId="191028" iterateCount="1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G6" i="1"/>
  <c r="F6" i="1"/>
  <c r="E6" i="1"/>
</calcChain>
</file>

<file path=xl/sharedStrings.xml><?xml version="1.0" encoding="utf-8"?>
<sst xmlns="http://schemas.openxmlformats.org/spreadsheetml/2006/main" count="1050" uniqueCount="138">
  <si>
    <t>Week 13</t>
  </si>
  <si>
    <t>Friday</t>
  </si>
  <si>
    <t>Difference</t>
  </si>
  <si>
    <t xml:space="preserve">UNRELIABLE </t>
  </si>
  <si>
    <t>Difference in Value</t>
  </si>
  <si>
    <t>TOTAL</t>
  </si>
  <si>
    <t>1. Cold Dishes</t>
  </si>
  <si>
    <t>2. Wraps &amp; Sandwiches</t>
  </si>
  <si>
    <t>3. Warm Dishes Jar</t>
  </si>
  <si>
    <t>4. Warm Dishes</t>
  </si>
  <si>
    <t>5. Desserts</t>
  </si>
  <si>
    <t>6. Snacks</t>
  </si>
  <si>
    <t>7. Drinks</t>
  </si>
  <si>
    <t>8. Breakfast</t>
  </si>
  <si>
    <t>9. Soup</t>
  </si>
  <si>
    <t>10. Frozen Warm Dishes</t>
  </si>
  <si>
    <t>Category</t>
  </si>
  <si>
    <t>Supplier</t>
  </si>
  <si>
    <t>Product Name</t>
  </si>
  <si>
    <t>Product Code</t>
  </si>
  <si>
    <t>Purchase Price</t>
  </si>
  <si>
    <t>Fridge</t>
  </si>
  <si>
    <t>Dispatched Quantity</t>
  </si>
  <si>
    <t>Added Quantity</t>
  </si>
  <si>
    <t>Unreliable Added Quantity</t>
  </si>
  <si>
    <t>Difference (Qty)</t>
  </si>
  <si>
    <t>Difference In Amount</t>
  </si>
  <si>
    <t>Croc&amp;Go</t>
  </si>
  <si>
    <t>Chicken Andalusia Wrap</t>
  </si>
  <si>
    <t>0000040385884</t>
  </si>
  <si>
    <t>Bia Group Overijse</t>
  </si>
  <si>
    <t>Seppe's</t>
  </si>
  <si>
    <t>Granola Vanille</t>
  </si>
  <si>
    <t>0000071999906</t>
  </si>
  <si>
    <t>Wrap Falafel</t>
  </si>
  <si>
    <t>2889</t>
  </si>
  <si>
    <t>Salad Mozzarella</t>
  </si>
  <si>
    <t>1025</t>
  </si>
  <si>
    <t>Chicken apple curry salad</t>
  </si>
  <si>
    <t>1199</t>
  </si>
  <si>
    <t>Gourmart</t>
  </si>
  <si>
    <t>Tikka Massala chicken gourmart</t>
  </si>
  <si>
    <t>0000048296687</t>
  </si>
  <si>
    <t>Zoetis LLN</t>
  </si>
  <si>
    <t>Big Bag</t>
  </si>
  <si>
    <t>Ritchie Grapefruit</t>
  </si>
  <si>
    <t>0000076450662</t>
  </si>
  <si>
    <t>Colors Kitchen</t>
  </si>
  <si>
    <t>Coral lentil and pumpkin dahl (vegan)</t>
  </si>
  <si>
    <t>0000039168511</t>
  </si>
  <si>
    <t>La Cantine de Géraldine</t>
  </si>
  <si>
    <t>Pecan Caramel Cookie</t>
  </si>
  <si>
    <t>0000069218323</t>
  </si>
  <si>
    <t>RTBF</t>
  </si>
  <si>
    <t>Chocolate Chip Cookies</t>
  </si>
  <si>
    <t>0000099588915</t>
  </si>
  <si>
    <t>Speculoos Tiramisu mousse</t>
  </si>
  <si>
    <t>0000071990774</t>
  </si>
  <si>
    <t>Kefir Yuzu Mandarin</t>
  </si>
  <si>
    <t>0000061521506</t>
  </si>
  <si>
    <t>100% Chocolate Cookie</t>
  </si>
  <si>
    <t>0000041896204</t>
  </si>
  <si>
    <t>Gaufrine</t>
  </si>
  <si>
    <t>Waffle Vanilla</t>
  </si>
  <si>
    <t>5557</t>
  </si>
  <si>
    <t>Regular Brownies</t>
  </si>
  <si>
    <t>0000036741465</t>
  </si>
  <si>
    <t>Salmon Salad - Croc &amp; Go</t>
  </si>
  <si>
    <t>1056</t>
  </si>
  <si>
    <t>Chocolate Coconut Cookies</t>
  </si>
  <si>
    <t>0000083699412</t>
  </si>
  <si>
    <t>Bon - With Love</t>
  </si>
  <si>
    <t>Bun Pepper Chicken sésame</t>
  </si>
  <si>
    <t>2157</t>
  </si>
  <si>
    <t>Smoked Salmon Wrap</t>
  </si>
  <si>
    <t>3003</t>
  </si>
  <si>
    <t>Kult kefir passion</t>
  </si>
  <si>
    <t>0000016842885</t>
  </si>
  <si>
    <t>Waffle pistachio</t>
  </si>
  <si>
    <t>5561</t>
  </si>
  <si>
    <t>Salade Cesar C&amp;G</t>
  </si>
  <si>
    <t>1001</t>
  </si>
  <si>
    <t>Linguine with Cajun Chicken GM</t>
  </si>
  <si>
    <t>0000067161805</t>
  </si>
  <si>
    <t>Interdrinks</t>
  </si>
  <si>
    <t>Drink a flower peach &amp; lemon</t>
  </si>
  <si>
    <t>0011</t>
  </si>
  <si>
    <t>MadLab</t>
  </si>
  <si>
    <t>Salt and pepper crackers</t>
  </si>
  <si>
    <t>0000018576023</t>
  </si>
  <si>
    <t>Chicken Bacon Wrap - Croc &amp; Go</t>
  </si>
  <si>
    <t>3038</t>
  </si>
  <si>
    <t>Couscous Royal G</t>
  </si>
  <si>
    <t>0000039892423</t>
  </si>
  <si>
    <t>GSV Huppertz Wilrijk</t>
  </si>
  <si>
    <t>Tastyfood</t>
  </si>
  <si>
    <t>Chicken Red Curry &amp; Rice</t>
  </si>
  <si>
    <t>0000047049864</t>
  </si>
  <si>
    <t>Waffle chocolate chips</t>
  </si>
  <si>
    <t>5558</t>
  </si>
  <si>
    <t>Mister cook</t>
  </si>
  <si>
    <t>Spaghetti Polpete</t>
  </si>
  <si>
    <t>0000075607371</t>
  </si>
  <si>
    <t>Chocolate Mousse</t>
  </si>
  <si>
    <t>0000051541156</t>
  </si>
  <si>
    <t>Granola Skyr Vanille</t>
  </si>
  <si>
    <t>0000094144871</t>
  </si>
  <si>
    <t>Strawberry Granola</t>
  </si>
  <si>
    <t>0000077124319</t>
  </si>
  <si>
    <t>Drink a flower relax pink grapefruit</t>
  </si>
  <si>
    <t>0000090470769</t>
  </si>
  <si>
    <t>Spicy Peppers crackers</t>
  </si>
  <si>
    <t>0000040723495</t>
  </si>
  <si>
    <t>Interparking</t>
  </si>
  <si>
    <t>Linguine with Cajun Chicken G</t>
  </si>
  <si>
    <t>4100</t>
  </si>
  <si>
    <t>4561</t>
  </si>
  <si>
    <t>1354</t>
  </si>
  <si>
    <t>1152</t>
  </si>
  <si>
    <t>Kéfir Yuzu Mandarin</t>
  </si>
  <si>
    <t>0000064402451</t>
  </si>
  <si>
    <t>Fridge Name</t>
  </si>
  <si>
    <t>Quantity</t>
  </si>
  <si>
    <t>Restock Status</t>
  </si>
  <si>
    <t>Source</t>
  </si>
  <si>
    <t>Value</t>
  </si>
  <si>
    <t>VALID</t>
  </si>
  <si>
    <t>Restock</t>
  </si>
  <si>
    <t>Four-cheese penne MC</t>
  </si>
  <si>
    <t>0000040855615</t>
  </si>
  <si>
    <t>Chicken Curry Wrap</t>
  </si>
  <si>
    <t>2219</t>
  </si>
  <si>
    <t>Mascarpone meat ravioli</t>
  </si>
  <si>
    <t>0000030559660</t>
  </si>
  <si>
    <t>Parmesan Crackers</t>
  </si>
  <si>
    <t>0000088481937</t>
  </si>
  <si>
    <t>UNRELIABLE</t>
  </si>
  <si>
    <t>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</si>
</sst>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;[Red]\-#,##0.00\ [$€-1]"/>
    <numFmt numFmtId="165" formatCode="[$-F800]dddd\,\ mmmm\ dd\,\ yyyy"/>
    <numFmt numFmtId="166" formatCode="_([$€-2]\ * #,##0.00_);_([$€-2]\ * \(#,##0.00\);_([$€-2]\ * &quot;-&quot;??_);_(@_)"/>
  </numFmts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charset val="134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2" borderId="2" xfId="0" applyFill="1" applyBorder="1"/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0" fillId="2" borderId="7" xfId="0" applyFill="1" applyBorder="1"/>
    <xf numFmtId="164" fontId="0" fillId="2" borderId="1" xfId="0" applyNumberFormat="1" applyFill="1" applyBorder="1"/>
    <xf numFmtId="0" fontId="3" fillId="0" borderId="8" xfId="0" applyFont="1" applyBorder="1" applyAlignment="1">
      <alignment wrapText="1"/>
    </xf>
    <xf numFmtId="0" fontId="0" fillId="2" borderId="8" xfId="0" applyFill="1" applyBorder="1"/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2" borderId="1" xfId="0" applyNumberFormat="1" applyFill="1" applyBorder="1"/>
    <xf numFmtId="166" fontId="0" fillId="0" borderId="0" xfId="0" applyNumberFormat="1"/>
    <xf numFmtId="0" fontId="2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164" fontId="0" fillId="2" borderId="16" xfId="0" applyNumberFormat="1" applyFill="1" applyBorder="1"/>
    <xf numFmtId="0" fontId="2" fillId="0" borderId="17" xfId="0" applyFont="1" applyBorder="1" applyAlignment="1">
      <alignment wrapText="1"/>
    </xf>
    <xf numFmtId="164" fontId="0" fillId="2" borderId="18" xfId="0" applyNumberFormat="1" applyFill="1" applyBorder="1"/>
    <xf numFmtId="0" fontId="2" fillId="0" borderId="1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0" fillId="2" borderId="20" xfId="0" applyFill="1" applyBorder="1"/>
    <xf numFmtId="164" fontId="0" fillId="2" borderId="21" xfId="0" applyNumberFormat="1" applyFill="1" applyBorder="1"/>
    <xf numFmtId="49" fontId="0" fillId="0" borderId="0" xfId="0" applyNumberFormat="1"/>
    <xf numFmtId="49" fontId="0" fillId="0" borderId="10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1" fontId="2" fillId="0" borderId="8" xfId="0" applyNumberFormat="1" applyFont="1" applyFill="1" applyBorder="1" applyAlignment="1">
      <alignment horizontal="center" vertical="center" wrapText="1"/>
    </xf>
    <xf numFmtId="166" fontId="0" fillId="0" borderId="13" xfId="0" applyNumberFormat="1" applyFill="1" applyBorder="1" applyAlignment="1">
      <alignment horizontal="center" vertical="center"/>
    </xf>
  </cellXfs>
  <cellStyles count="1">
    <cellStyle name="Normal" xfId="0" builtinId="0"/>
  </cellStyles>
  <dxfs count="18">
    <dxf>
      <numFmt numFmtId="166" formatCode="_([$€-2]\ * #,##0.00_);_([$€-2]\ * \(#,##0.00\);_([$€-2]\ * &quot;-&quot;??_);_(@_)"/>
    </dxf>
    <dxf>
      <numFmt numFmtId="30" formatCode="@"/>
    </dxf>
    <dxf>
      <numFmt numFmtId="166" formatCode="_([$€-2]\ * #,##0.00_);_([$€-2]\ * \(#,##0.00\);_([$€-2]\ * &quot;-&quot;??_);_(@_)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134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13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13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DC787-CA09-4596-824B-F44C7D451DF1}" name="RestockDiffTable" displayName="RestockDiffTable" ref="B20:L69" totalsRowShown="0" headerRowDxfId="17" dataDxfId="16" headerRowBorderDxfId="14" tableBorderDxfId="15" totalsRowBorderDxfId="13">
  <autoFilter ref="B20:L69" xr:uid="{393E78D1-9E5F-4DC1-A29F-233BF760322E}"/>
  <tableColumns count="11">
    <tableColumn id="1" xr3:uid="{E9D2FB87-818D-41C8-8F79-95B07684448E}" name="Category" dataDxfId="12"/>
    <tableColumn id="2" xr3:uid="{2C4C8A98-B12F-4845-960F-9356737BB592}" name="Supplier" dataDxfId="11"/>
    <tableColumn id="3" xr3:uid="{64C799E1-EA10-42BC-B93A-FF5CE6CA3726}" name="Product Name" dataDxfId="10"/>
    <tableColumn id="4" xr3:uid="{A0B5AA35-5B45-44D3-9D5C-E440D26F18FC}" name="Product Code" dataDxfId="9"/>
    <tableColumn id="5" xr3:uid="{8A59E338-CA4C-4B15-B18B-343BACF7FF2D}" name="Purchase Price" dataDxfId="8"/>
    <tableColumn id="6" xr3:uid="{19E767F6-D620-43BD-BC61-5E32982300BB}" name="Fridge" dataDxfId="7"/>
    <tableColumn id="7" xr3:uid="{39BE3688-86F1-45C7-88C8-86F7C43C6C0A}" name="Dispatched Quantity" dataDxfId="6"/>
    <tableColumn id="8" xr3:uid="{39440EE5-ABDB-4405-8A2E-66BFC4A99AF7}" name="Added Quantity" dataDxfId="5"/>
    <tableColumn id="11" xr3:uid="{7C03F71E-4CB1-44C8-82E0-0B61144A0B38}" name="Unreliable Added Quantity" dataDxfId="4"/>
    <tableColumn id="9" xr3:uid="{946D2B5A-0306-4072-9A0D-2D73C26F7896}" name="Difference (Qty)" dataDxfId="3"/>
    <tableColumn id="10" xr3:uid="{942F9E37-9699-4703-A056-75133EC1DB59}" name="Difference In Amount" dataDxfId="2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0651F-1D66-479B-BDEE-985E50D1DB28}" name="RawDataTable" displayName="RawDataTable" ref="C4:L121" totalsRowShown="0">
  <autoFilter ref="C4:L121" xr:uid="{1E925BC0-8B89-44D7-8122-73CEFDD6130C}"/>
  <tableColumns count="10">
    <tableColumn id="1" xr3:uid="{387BAB76-22F1-48AE-994D-18350514990E}" name="Category"/>
    <tableColumn id="2" xr3:uid="{635934CE-875D-448D-BD3A-9BBBB3B6F5A9}" name="Supplier"/>
    <tableColumn id="3" xr3:uid="{031C782D-5D59-476C-ABF4-29B481BAFC05}" name="Product Name"/>
    <tableColumn id="4" xr3:uid="{52207702-4AB2-48BE-834C-8971ADFF0E0B}" name="Product Code" dataDxfId="1"/>
    <tableColumn id="5" xr3:uid="{AD4747DB-7763-4A63-A729-079D37A1FA4A}" name="Purchase Price"/>
    <tableColumn id="6" xr3:uid="{8B8FD7D7-0A4D-488F-8542-F095B9CD158C}" name="Fridge Name"/>
    <tableColumn id="7" xr3:uid="{B37EFF1A-6C0C-42B4-837C-B28890FEE094}" name="Quantity"/>
    <tableColumn id="8" xr3:uid="{3318A9AF-597B-49A2-AAA4-ACC5735375A8}" name="Restock Status"/>
    <tableColumn id="9" xr3:uid="{2337B2D5-DE14-4DD4-BD6A-C6058ACADF83}" name="Source"/>
    <tableColumn id="10" xr3:uid="{740E1BAF-7E4D-47D7-927D-F31EB8DA72FB}" name="Value" dataDxfId="0">
      <calculatedColumnFormula>RawDataTable[[#This Row],[Quantity]]*RawDataTable[[#This Row],[Purchase Price]]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C203-0184-4A8A-80B3-A520E3BE047D}">
  <sheetPr codeName="Sheet2"/>
  <dimension ref="B1:L3651"/>
  <sheetViews>
    <sheetView showGridLines="0" tabSelected="1" workbookViewId="0">
      <selection activeCell="H15" sqref="H15"/>
    </sheetView>
  </sheetViews>
  <sheetFormatPr defaultColWidth="10.625" defaultRowHeight="15.75" customHeight="1"/>
  <cols>
    <col min="1" max="1" width="10.625" customWidth="1"/>
    <col min="2" max="2" width="26.375" bestFit="1" customWidth="1"/>
    <col min="3" max="3" width="20.25" bestFit="1" customWidth="1"/>
    <col min="4" max="4" width="24.75" bestFit="1" customWidth="1"/>
    <col min="5" max="5" width="12" bestFit="1" customWidth="1"/>
    <col min="6" max="6" width="16.125" bestFit="1" customWidth="1"/>
    <col min="7" max="7" width="16.5" bestFit="1" customWidth="1"/>
    <col min="8" max="8" width="21.75" bestFit="1" customWidth="1"/>
    <col min="9" max="9" width="17.125" bestFit="1" customWidth="1"/>
    <col min="10" max="10" width="25.125" bestFit="1" customWidth="1"/>
    <col min="11" max="11" width="13.875" bestFit="1" customWidth="1"/>
    <col min="12" max="12" width="18.375" bestFit="1" customWidth="1"/>
  </cols>
  <sheetData>
    <row r="1" spans="2:11" s="1" customFormat="1"/>
    <row r="2" spans="2:11" s="1" customFormat="1">
      <c r="D2" s="19">
        <v>46108</v>
      </c>
      <c r="E2" s="2" t="s">
        <v>0</v>
      </c>
      <c r="F2" s="2" t="s">
        <v>1</v>
      </c>
    </row>
    <row r="3" spans="2:11" s="1" customFormat="1"/>
    <row r="4" spans="2:11" s="1" customFormat="1"/>
    <row r="5" spans="2:11" s="1" customFormat="1" ht="16.5" customHeight="1" thickBot="1">
      <c r="E5" s="3" t="s">
        <v>2</v>
      </c>
      <c r="F5" s="4" t="s">
        <v>3</v>
      </c>
      <c r="G5" s="5" t="s">
        <v>4</v>
      </c>
      <c r="K5"/>
    </row>
    <row r="6" spans="2:11" s="1" customFormat="1">
      <c r="B6"/>
      <c r="D6" s="6" t="s">
        <v>5</v>
      </c>
      <c r="E6" s="7">
        <f>SUM(E8:E14)</f>
        <v>84</v>
      </c>
      <c r="F6" s="8">
        <f>SUM(F8:F14)</f>
        <v>3</v>
      </c>
      <c r="G6" s="9">
        <f>SUM(G8:G14)</f>
        <v>257.00999999999982</v>
      </c>
      <c r="K6"/>
    </row>
    <row r="7" spans="2:11" s="1" customFormat="1">
      <c r="K7"/>
    </row>
    <row r="8" spans="2:11" s="1" customFormat="1" ht="18">
      <c r="D8" s="21" t="s">
        <v>6</v>
      </c>
      <c r="E8" s="22">
        <v>17</v>
      </c>
      <c r="F8" s="22">
        <v>0</v>
      </c>
      <c r="G8" s="23">
        <v>101.14999999999992</v>
      </c>
      <c r="K8"/>
    </row>
    <row r="9" spans="2:11" s="1" customFormat="1" ht="15.95" customHeight="1">
      <c r="D9" s="24" t="s">
        <v>7</v>
      </c>
      <c r="E9" s="10">
        <v>15</v>
      </c>
      <c r="F9" s="11">
        <v>0</v>
      </c>
      <c r="G9" s="25">
        <v>55.359999999999985</v>
      </c>
      <c r="K9"/>
    </row>
    <row r="10" spans="2:11" s="1" customFormat="1" ht="18">
      <c r="D10" s="24" t="s">
        <v>8</v>
      </c>
      <c r="E10" s="10">
        <v>1</v>
      </c>
      <c r="F10" s="11">
        <v>0</v>
      </c>
      <c r="G10" s="25">
        <v>5.9000000000000057</v>
      </c>
      <c r="K10"/>
    </row>
    <row r="11" spans="2:11" s="1" customFormat="1" ht="18">
      <c r="D11" s="24" t="s">
        <v>9</v>
      </c>
      <c r="E11" s="10">
        <v>9</v>
      </c>
      <c r="F11" s="11">
        <v>0</v>
      </c>
      <c r="G11" s="25">
        <v>38.679999999999978</v>
      </c>
      <c r="K11"/>
    </row>
    <row r="12" spans="2:11" s="1" customFormat="1" ht="18">
      <c r="D12" s="24" t="s">
        <v>10</v>
      </c>
      <c r="E12" s="10">
        <v>31</v>
      </c>
      <c r="F12" s="11">
        <v>1</v>
      </c>
      <c r="G12" s="25">
        <v>46.88999999999993</v>
      </c>
      <c r="K12"/>
    </row>
    <row r="13" spans="2:11" s="1" customFormat="1" ht="18">
      <c r="D13" s="24" t="s">
        <v>11</v>
      </c>
      <c r="E13" s="10">
        <v>4</v>
      </c>
      <c r="F13" s="11">
        <v>2</v>
      </c>
      <c r="G13" s="25">
        <v>5.8699999999999868</v>
      </c>
      <c r="K13"/>
    </row>
    <row r="14" spans="2:11" s="1" customFormat="1" ht="18">
      <c r="D14" s="24" t="s">
        <v>12</v>
      </c>
      <c r="E14" s="10">
        <v>7</v>
      </c>
      <c r="F14" s="11">
        <v>0</v>
      </c>
      <c r="G14" s="25">
        <v>3.16</v>
      </c>
      <c r="K14"/>
    </row>
    <row r="15" spans="2:11" s="1" customFormat="1" ht="18">
      <c r="D15" s="26" t="s">
        <v>13</v>
      </c>
      <c r="E15" s="27">
        <v>13</v>
      </c>
      <c r="F15" s="28">
        <v>0</v>
      </c>
      <c r="G15" s="29">
        <v>41.599999999999994</v>
      </c>
      <c r="H15" s="13"/>
    </row>
    <row r="16" spans="2:11" s="1" customFormat="1" ht="18">
      <c r="D16" s="24" t="s">
        <v>14</v>
      </c>
      <c r="E16" s="10"/>
      <c r="F16" s="11"/>
      <c r="G16" s="25"/>
      <c r="H16" s="13"/>
    </row>
    <row r="17" spans="2:12" s="1" customFormat="1" ht="18">
      <c r="D17" s="26" t="s">
        <v>15</v>
      </c>
      <c r="E17" s="27"/>
      <c r="F17" s="28"/>
      <c r="G17" s="29"/>
      <c r="H17" s="13"/>
    </row>
    <row r="18" spans="2:12" s="1" customFormat="1">
      <c r="F18" s="12"/>
      <c r="G18" s="12"/>
      <c r="H18" s="13"/>
    </row>
    <row r="19" spans="2:12" s="1" customFormat="1">
      <c r="F19" s="12"/>
      <c r="G19" s="12"/>
      <c r="H19" s="13"/>
    </row>
    <row r="20" spans="2:12" s="1" customFormat="1" ht="18">
      <c r="B20" s="14" t="s">
        <v>16</v>
      </c>
      <c r="C20" s="15" t="s">
        <v>17</v>
      </c>
      <c r="D20" s="15" t="s">
        <v>18</v>
      </c>
      <c r="E20" s="31" t="s">
        <v>19</v>
      </c>
      <c r="F20" s="16" t="s">
        <v>20</v>
      </c>
      <c r="G20" s="16" t="s">
        <v>21</v>
      </c>
      <c r="H20" s="17" t="s">
        <v>22</v>
      </c>
      <c r="I20" s="15" t="s">
        <v>23</v>
      </c>
      <c r="J20" s="15" t="s">
        <v>24</v>
      </c>
      <c r="K20" s="15" t="s">
        <v>25</v>
      </c>
      <c r="L20" s="18" t="s">
        <v>26</v>
      </c>
    </row>
    <row r="21" spans="2:12" s="1" customFormat="1" ht="18">
      <c r="B21" s="33" t="s">
        <v>7</v>
      </c>
      <c r="C21" s="34" t="s">
        <v>27</v>
      </c>
      <c r="D21" s="34" t="s">
        <v>28</v>
      </c>
      <c r="E21" s="35" t="s">
        <v>29</v>
      </c>
      <c r="F21" s="36">
        <v>3.24</v>
      </c>
      <c r="G21" s="36" t="s">
        <v>30</v>
      </c>
      <c r="H21" s="37">
        <v>0</v>
      </c>
      <c r="I21" s="34">
        <v>2</v>
      </c>
      <c r="J21" s="32">
        <v>0</v>
      </c>
      <c r="K21" s="34">
        <v>2</v>
      </c>
      <c r="L21" s="38">
        <v>6.48</v>
      </c>
    </row>
    <row r="22" spans="2:12" s="1" customFormat="1" ht="18">
      <c r="B22" s="33" t="s">
        <v>13</v>
      </c>
      <c r="C22" s="34" t="s">
        <v>31</v>
      </c>
      <c r="D22" s="34" t="s">
        <v>32</v>
      </c>
      <c r="E22" s="35" t="s">
        <v>33</v>
      </c>
      <c r="F22" s="36">
        <v>3</v>
      </c>
      <c r="G22" s="36" t="s">
        <v>30</v>
      </c>
      <c r="H22" s="37">
        <v>0</v>
      </c>
      <c r="I22" s="34">
        <v>2</v>
      </c>
      <c r="J22" s="32">
        <v>0</v>
      </c>
      <c r="K22" s="34">
        <v>2</v>
      </c>
      <c r="L22" s="38">
        <v>6</v>
      </c>
    </row>
    <row r="23" spans="2:12" s="1" customFormat="1" ht="18">
      <c r="B23" s="33" t="s">
        <v>7</v>
      </c>
      <c r="C23" s="34" t="s">
        <v>27</v>
      </c>
      <c r="D23" s="34" t="s">
        <v>34</v>
      </c>
      <c r="E23" s="35" t="s">
        <v>35</v>
      </c>
      <c r="F23" s="36">
        <v>3.63</v>
      </c>
      <c r="G23" s="36" t="s">
        <v>30</v>
      </c>
      <c r="H23" s="37">
        <v>0</v>
      </c>
      <c r="I23" s="34">
        <v>2</v>
      </c>
      <c r="J23" s="32">
        <v>0</v>
      </c>
      <c r="K23" s="34">
        <v>2</v>
      </c>
      <c r="L23" s="38">
        <v>7.26</v>
      </c>
    </row>
    <row r="24" spans="2:12" s="1" customFormat="1" ht="18">
      <c r="B24" s="33" t="s">
        <v>6</v>
      </c>
      <c r="C24" s="34" t="s">
        <v>27</v>
      </c>
      <c r="D24" s="34" t="s">
        <v>36</v>
      </c>
      <c r="E24" s="35" t="s">
        <v>37</v>
      </c>
      <c r="F24" s="36">
        <v>5.95</v>
      </c>
      <c r="G24" s="36" t="s">
        <v>30</v>
      </c>
      <c r="H24" s="37">
        <v>0</v>
      </c>
      <c r="I24" s="34">
        <v>1</v>
      </c>
      <c r="J24" s="32">
        <v>0</v>
      </c>
      <c r="K24" s="34">
        <v>1</v>
      </c>
      <c r="L24" s="38">
        <v>5.95</v>
      </c>
    </row>
    <row r="25" spans="2:12" ht="18">
      <c r="B25" s="33" t="s">
        <v>6</v>
      </c>
      <c r="C25" s="34" t="s">
        <v>27</v>
      </c>
      <c r="D25" s="34" t="s">
        <v>38</v>
      </c>
      <c r="E25" s="35" t="s">
        <v>39</v>
      </c>
      <c r="F25" s="36">
        <v>5.95</v>
      </c>
      <c r="G25" s="36" t="s">
        <v>30</v>
      </c>
      <c r="H25" s="37">
        <v>0</v>
      </c>
      <c r="I25" s="34">
        <v>4</v>
      </c>
      <c r="J25" s="32">
        <v>0</v>
      </c>
      <c r="K25" s="34">
        <v>4</v>
      </c>
      <c r="L25" s="38">
        <v>23.8</v>
      </c>
    </row>
    <row r="26" spans="2:12" ht="18">
      <c r="B26" s="33" t="s">
        <v>8</v>
      </c>
      <c r="C26" s="34" t="s">
        <v>40</v>
      </c>
      <c r="D26" s="34" t="s">
        <v>41</v>
      </c>
      <c r="E26" s="35" t="s">
        <v>42</v>
      </c>
      <c r="F26" s="36">
        <v>5.9</v>
      </c>
      <c r="G26" s="36" t="s">
        <v>43</v>
      </c>
      <c r="H26" s="37">
        <v>0</v>
      </c>
      <c r="I26" s="34">
        <v>2</v>
      </c>
      <c r="J26" s="32">
        <v>0</v>
      </c>
      <c r="K26" s="34">
        <v>2</v>
      </c>
      <c r="L26" s="38">
        <v>11.8</v>
      </c>
    </row>
    <row r="27" spans="2:12" ht="18">
      <c r="B27" s="33" t="s">
        <v>13</v>
      </c>
      <c r="C27" s="34" t="s">
        <v>31</v>
      </c>
      <c r="D27" s="34" t="s">
        <v>32</v>
      </c>
      <c r="E27" s="35" t="s">
        <v>33</v>
      </c>
      <c r="F27" s="36">
        <v>3</v>
      </c>
      <c r="G27" s="36" t="s">
        <v>43</v>
      </c>
      <c r="H27" s="37">
        <v>1</v>
      </c>
      <c r="I27" s="34">
        <v>2</v>
      </c>
      <c r="J27" s="32">
        <v>0</v>
      </c>
      <c r="K27" s="34">
        <v>1</v>
      </c>
      <c r="L27" s="38">
        <v>3</v>
      </c>
    </row>
    <row r="28" spans="2:12" ht="18">
      <c r="B28" s="33" t="s">
        <v>12</v>
      </c>
      <c r="C28" s="34" t="s">
        <v>44</v>
      </c>
      <c r="D28" s="34" t="s">
        <v>45</v>
      </c>
      <c r="E28" s="35" t="s">
        <v>46</v>
      </c>
      <c r="F28" s="36">
        <v>1.28</v>
      </c>
      <c r="G28" s="36" t="s">
        <v>43</v>
      </c>
      <c r="H28" s="37">
        <v>0</v>
      </c>
      <c r="I28" s="34">
        <v>1</v>
      </c>
      <c r="J28" s="32">
        <v>0</v>
      </c>
      <c r="K28" s="34">
        <v>1</v>
      </c>
      <c r="L28" s="38">
        <v>1.28</v>
      </c>
    </row>
    <row r="29" spans="2:12" ht="18">
      <c r="B29" s="33" t="s">
        <v>9</v>
      </c>
      <c r="C29" s="34" t="s">
        <v>47</v>
      </c>
      <c r="D29" s="34" t="s">
        <v>48</v>
      </c>
      <c r="E29" s="35" t="s">
        <v>49</v>
      </c>
      <c r="F29" s="36">
        <v>5.6</v>
      </c>
      <c r="G29" s="36" t="s">
        <v>43</v>
      </c>
      <c r="H29" s="37">
        <v>0</v>
      </c>
      <c r="I29" s="34">
        <v>1</v>
      </c>
      <c r="J29" s="32">
        <v>0</v>
      </c>
      <c r="K29" s="34">
        <v>1</v>
      </c>
      <c r="L29" s="38">
        <v>5.6</v>
      </c>
    </row>
    <row r="30" spans="2:12" ht="18">
      <c r="B30" s="33" t="s">
        <v>10</v>
      </c>
      <c r="C30" s="34" t="s">
        <v>50</v>
      </c>
      <c r="D30" s="34" t="s">
        <v>51</v>
      </c>
      <c r="E30" s="35" t="s">
        <v>52</v>
      </c>
      <c r="F30" s="36">
        <v>1.54</v>
      </c>
      <c r="G30" s="36" t="s">
        <v>53</v>
      </c>
      <c r="H30" s="37">
        <v>18</v>
      </c>
      <c r="I30" s="34">
        <v>23</v>
      </c>
      <c r="J30" s="32">
        <v>0</v>
      </c>
      <c r="K30" s="34">
        <v>5</v>
      </c>
      <c r="L30" s="38">
        <v>7.7</v>
      </c>
    </row>
    <row r="31" spans="2:12" ht="18">
      <c r="B31" s="33" t="s">
        <v>10</v>
      </c>
      <c r="C31" s="34" t="s">
        <v>50</v>
      </c>
      <c r="D31" s="34" t="s">
        <v>54</v>
      </c>
      <c r="E31" s="35" t="s">
        <v>55</v>
      </c>
      <c r="F31" s="36">
        <v>1.2</v>
      </c>
      <c r="G31" s="36" t="s">
        <v>53</v>
      </c>
      <c r="H31" s="37">
        <v>18</v>
      </c>
      <c r="I31" s="34">
        <v>22</v>
      </c>
      <c r="J31" s="32">
        <v>0</v>
      </c>
      <c r="K31" s="34">
        <v>4</v>
      </c>
      <c r="L31" s="38">
        <v>4.8</v>
      </c>
    </row>
    <row r="32" spans="2:12" ht="18">
      <c r="B32" s="33" t="s">
        <v>10</v>
      </c>
      <c r="C32" s="34" t="s">
        <v>50</v>
      </c>
      <c r="D32" s="34" t="s">
        <v>56</v>
      </c>
      <c r="E32" s="35" t="s">
        <v>57</v>
      </c>
      <c r="F32" s="36">
        <v>2.1800000000000002</v>
      </c>
      <c r="G32" s="36" t="s">
        <v>53</v>
      </c>
      <c r="H32" s="37">
        <v>5</v>
      </c>
      <c r="I32" s="34">
        <v>7</v>
      </c>
      <c r="J32" s="32">
        <v>0</v>
      </c>
      <c r="K32" s="34">
        <v>2</v>
      </c>
      <c r="L32" s="38">
        <v>4.3600000000000003</v>
      </c>
    </row>
    <row r="33" spans="2:12" ht="18">
      <c r="B33" s="33" t="s">
        <v>7</v>
      </c>
      <c r="C33" s="34" t="s">
        <v>27</v>
      </c>
      <c r="D33" s="34" t="s">
        <v>28</v>
      </c>
      <c r="E33" s="35" t="s">
        <v>29</v>
      </c>
      <c r="F33" s="36">
        <v>3.24</v>
      </c>
      <c r="G33" s="36" t="s">
        <v>53</v>
      </c>
      <c r="H33" s="37">
        <v>5</v>
      </c>
      <c r="I33" s="34">
        <v>7</v>
      </c>
      <c r="J33" s="32">
        <v>0</v>
      </c>
      <c r="K33" s="34">
        <v>2</v>
      </c>
      <c r="L33" s="38">
        <v>6.48</v>
      </c>
    </row>
    <row r="34" spans="2:12" ht="18">
      <c r="B34" s="33" t="s">
        <v>12</v>
      </c>
      <c r="C34" s="34"/>
      <c r="D34" s="34" t="s">
        <v>58</v>
      </c>
      <c r="E34" s="35" t="s">
        <v>59</v>
      </c>
      <c r="F34" s="36">
        <v>0</v>
      </c>
      <c r="G34" s="36" t="s">
        <v>53</v>
      </c>
      <c r="H34" s="37">
        <v>0</v>
      </c>
      <c r="I34" s="34">
        <v>4</v>
      </c>
      <c r="J34" s="32">
        <v>0</v>
      </c>
      <c r="K34" s="34">
        <v>4</v>
      </c>
      <c r="L34" s="38">
        <v>0</v>
      </c>
    </row>
    <row r="35" spans="2:12" ht="18">
      <c r="B35" s="33" t="s">
        <v>10</v>
      </c>
      <c r="C35" s="34" t="s">
        <v>50</v>
      </c>
      <c r="D35" s="34" t="s">
        <v>60</v>
      </c>
      <c r="E35" s="35" t="s">
        <v>61</v>
      </c>
      <c r="F35" s="36">
        <v>1.2</v>
      </c>
      <c r="G35" s="36" t="s">
        <v>53</v>
      </c>
      <c r="H35" s="37">
        <v>18</v>
      </c>
      <c r="I35" s="34">
        <v>22</v>
      </c>
      <c r="J35" s="32">
        <v>0</v>
      </c>
      <c r="K35" s="34">
        <v>4</v>
      </c>
      <c r="L35" s="38">
        <v>4.8</v>
      </c>
    </row>
    <row r="36" spans="2:12" ht="18">
      <c r="B36" s="33" t="s">
        <v>11</v>
      </c>
      <c r="C36" s="34" t="s">
        <v>62</v>
      </c>
      <c r="D36" s="34" t="s">
        <v>63</v>
      </c>
      <c r="E36" s="35" t="s">
        <v>64</v>
      </c>
      <c r="F36" s="36">
        <v>1.29</v>
      </c>
      <c r="G36" s="36" t="s">
        <v>53</v>
      </c>
      <c r="H36" s="37">
        <v>3</v>
      </c>
      <c r="I36" s="34">
        <v>5</v>
      </c>
      <c r="J36" s="32">
        <v>0</v>
      </c>
      <c r="K36" s="34">
        <v>2</v>
      </c>
      <c r="L36" s="38">
        <v>2.58</v>
      </c>
    </row>
    <row r="37" spans="2:12" ht="18">
      <c r="B37" s="33" t="s">
        <v>10</v>
      </c>
      <c r="C37" s="34" t="s">
        <v>50</v>
      </c>
      <c r="D37" s="34" t="s">
        <v>65</v>
      </c>
      <c r="E37" s="35" t="s">
        <v>66</v>
      </c>
      <c r="F37" s="36">
        <v>1.5</v>
      </c>
      <c r="G37" s="36" t="s">
        <v>53</v>
      </c>
      <c r="H37" s="37">
        <v>12</v>
      </c>
      <c r="I37" s="34">
        <v>16</v>
      </c>
      <c r="J37" s="32">
        <v>1</v>
      </c>
      <c r="K37" s="34">
        <v>4</v>
      </c>
      <c r="L37" s="38">
        <v>6</v>
      </c>
    </row>
    <row r="38" spans="2:12" ht="18">
      <c r="B38" s="33" t="s">
        <v>6</v>
      </c>
      <c r="C38" s="34" t="s">
        <v>27</v>
      </c>
      <c r="D38" s="34" t="s">
        <v>67</v>
      </c>
      <c r="E38" s="35" t="s">
        <v>68</v>
      </c>
      <c r="F38" s="36">
        <v>5.95</v>
      </c>
      <c r="G38" s="36" t="s">
        <v>53</v>
      </c>
      <c r="H38" s="37">
        <v>2</v>
      </c>
      <c r="I38" s="34">
        <v>5</v>
      </c>
      <c r="J38" s="32">
        <v>0</v>
      </c>
      <c r="K38" s="34">
        <v>3</v>
      </c>
      <c r="L38" s="38">
        <v>17.850000000000001</v>
      </c>
    </row>
    <row r="39" spans="2:12" ht="18">
      <c r="B39" s="33" t="s">
        <v>10</v>
      </c>
      <c r="C39" s="34" t="s">
        <v>50</v>
      </c>
      <c r="D39" s="34" t="s">
        <v>69</v>
      </c>
      <c r="E39" s="35" t="s">
        <v>70</v>
      </c>
      <c r="F39" s="36">
        <v>1.2</v>
      </c>
      <c r="G39" s="36" t="s">
        <v>53</v>
      </c>
      <c r="H39" s="37">
        <v>10</v>
      </c>
      <c r="I39" s="34">
        <v>18</v>
      </c>
      <c r="J39" s="32">
        <v>0</v>
      </c>
      <c r="K39" s="34">
        <v>8</v>
      </c>
      <c r="L39" s="38">
        <v>9.6</v>
      </c>
    </row>
    <row r="40" spans="2:12" ht="18">
      <c r="B40" s="33" t="s">
        <v>7</v>
      </c>
      <c r="C40" s="34" t="s">
        <v>71</v>
      </c>
      <c r="D40" s="34" t="s">
        <v>72</v>
      </c>
      <c r="E40" s="35" t="s">
        <v>73</v>
      </c>
      <c r="F40" s="36">
        <v>4.04</v>
      </c>
      <c r="G40" s="36" t="s">
        <v>53</v>
      </c>
      <c r="H40" s="37">
        <v>0</v>
      </c>
      <c r="I40" s="34">
        <v>1</v>
      </c>
      <c r="J40" s="32">
        <v>0</v>
      </c>
      <c r="K40" s="34">
        <v>1</v>
      </c>
      <c r="L40" s="38">
        <v>4.04</v>
      </c>
    </row>
    <row r="41" spans="2:12" ht="34.5">
      <c r="B41" s="33" t="s">
        <v>13</v>
      </c>
      <c r="C41" s="34" t="s">
        <v>31</v>
      </c>
      <c r="D41" s="34" t="s">
        <v>32</v>
      </c>
      <c r="E41" s="35" t="s">
        <v>33</v>
      </c>
      <c r="F41" s="36">
        <v>3</v>
      </c>
      <c r="G41" s="36" t="s">
        <v>53</v>
      </c>
      <c r="H41" s="37">
        <v>2</v>
      </c>
      <c r="I41" s="34">
        <v>4</v>
      </c>
      <c r="J41" s="32">
        <v>0</v>
      </c>
      <c r="K41" s="34">
        <v>2</v>
      </c>
      <c r="L41" s="38">
        <v>6</v>
      </c>
    </row>
    <row r="42" spans="2:12" ht="34.5">
      <c r="B42" s="33" t="s">
        <v>7</v>
      </c>
      <c r="C42" s="34" t="s">
        <v>27</v>
      </c>
      <c r="D42" s="34" t="s">
        <v>74</v>
      </c>
      <c r="E42" s="35" t="s">
        <v>75</v>
      </c>
      <c r="F42" s="36">
        <v>4.29</v>
      </c>
      <c r="G42" s="36" t="s">
        <v>53</v>
      </c>
      <c r="H42" s="37">
        <v>5</v>
      </c>
      <c r="I42" s="34">
        <v>6</v>
      </c>
      <c r="J42" s="32">
        <v>0</v>
      </c>
      <c r="K42" s="34">
        <v>1</v>
      </c>
      <c r="L42" s="38">
        <v>4.29</v>
      </c>
    </row>
    <row r="43" spans="2:12" ht="34.5">
      <c r="B43" s="33" t="s">
        <v>12</v>
      </c>
      <c r="C43" s="34" t="s">
        <v>44</v>
      </c>
      <c r="D43" s="34" t="s">
        <v>76</v>
      </c>
      <c r="E43" s="35" t="s">
        <v>77</v>
      </c>
      <c r="F43" s="36">
        <v>1.62</v>
      </c>
      <c r="G43" s="36" t="s">
        <v>53</v>
      </c>
      <c r="H43" s="37">
        <v>0</v>
      </c>
      <c r="I43" s="34">
        <v>4</v>
      </c>
      <c r="J43" s="32">
        <v>0</v>
      </c>
      <c r="K43" s="34">
        <v>4</v>
      </c>
      <c r="L43" s="38">
        <v>6.48</v>
      </c>
    </row>
    <row r="44" spans="2:12" ht="34.5">
      <c r="B44" s="33" t="s">
        <v>11</v>
      </c>
      <c r="C44" s="34" t="s">
        <v>62</v>
      </c>
      <c r="D44" s="34" t="s">
        <v>78</v>
      </c>
      <c r="E44" s="35" t="s">
        <v>79</v>
      </c>
      <c r="F44" s="36">
        <v>1.29</v>
      </c>
      <c r="G44" s="36" t="s">
        <v>53</v>
      </c>
      <c r="H44" s="37">
        <v>3</v>
      </c>
      <c r="I44" s="34">
        <v>4</v>
      </c>
      <c r="J44" s="32">
        <v>1</v>
      </c>
      <c r="K44" s="34">
        <v>1</v>
      </c>
      <c r="L44" s="38">
        <v>1.29</v>
      </c>
    </row>
    <row r="45" spans="2:12" ht="34.5">
      <c r="B45" s="33" t="s">
        <v>6</v>
      </c>
      <c r="C45" s="34" t="s">
        <v>27</v>
      </c>
      <c r="D45" s="34" t="s">
        <v>38</v>
      </c>
      <c r="E45" s="35" t="s">
        <v>39</v>
      </c>
      <c r="F45" s="36">
        <v>5.95</v>
      </c>
      <c r="G45" s="36" t="s">
        <v>53</v>
      </c>
      <c r="H45" s="37">
        <v>2</v>
      </c>
      <c r="I45" s="34">
        <v>7</v>
      </c>
      <c r="J45" s="32">
        <v>0</v>
      </c>
      <c r="K45" s="34">
        <v>5</v>
      </c>
      <c r="L45" s="38">
        <v>29.75</v>
      </c>
    </row>
    <row r="46" spans="2:12" ht="34.5">
      <c r="B46" s="33" t="s">
        <v>6</v>
      </c>
      <c r="C46" s="34" t="s">
        <v>27</v>
      </c>
      <c r="D46" s="34" t="s">
        <v>80</v>
      </c>
      <c r="E46" s="35" t="s">
        <v>81</v>
      </c>
      <c r="F46" s="36">
        <v>5.95</v>
      </c>
      <c r="G46" s="36" t="s">
        <v>53</v>
      </c>
      <c r="H46" s="37">
        <v>3</v>
      </c>
      <c r="I46" s="34">
        <v>6</v>
      </c>
      <c r="J46" s="32">
        <v>0</v>
      </c>
      <c r="K46" s="34">
        <v>3</v>
      </c>
      <c r="L46" s="38">
        <v>17.850000000000001</v>
      </c>
    </row>
    <row r="47" spans="2:12" ht="34.5">
      <c r="B47" s="33" t="s">
        <v>8</v>
      </c>
      <c r="C47" s="34" t="s">
        <v>40</v>
      </c>
      <c r="D47" s="34" t="s">
        <v>41</v>
      </c>
      <c r="E47" s="35" t="s">
        <v>42</v>
      </c>
      <c r="F47" s="36">
        <v>5.9</v>
      </c>
      <c r="G47" s="36" t="s">
        <v>53</v>
      </c>
      <c r="H47" s="37">
        <v>0</v>
      </c>
      <c r="I47" s="34">
        <v>1</v>
      </c>
      <c r="J47" s="32">
        <v>0</v>
      </c>
      <c r="K47" s="34">
        <v>1</v>
      </c>
      <c r="L47" s="38">
        <v>5.9</v>
      </c>
    </row>
    <row r="48" spans="2:12" ht="18">
      <c r="B48" s="33" t="s">
        <v>8</v>
      </c>
      <c r="C48" s="34" t="s">
        <v>40</v>
      </c>
      <c r="D48" s="34" t="s">
        <v>82</v>
      </c>
      <c r="E48" s="35" t="s">
        <v>83</v>
      </c>
      <c r="F48" s="36">
        <v>5.7</v>
      </c>
      <c r="G48" s="36" t="s">
        <v>53</v>
      </c>
      <c r="H48" s="37">
        <v>0</v>
      </c>
      <c r="I48" s="34">
        <v>1</v>
      </c>
      <c r="J48" s="32">
        <v>0</v>
      </c>
      <c r="K48" s="34">
        <v>1</v>
      </c>
      <c r="L48" s="38">
        <v>5.7</v>
      </c>
    </row>
    <row r="49" spans="2:12" ht="18">
      <c r="B49" s="33" t="s">
        <v>12</v>
      </c>
      <c r="C49" s="34" t="s">
        <v>84</v>
      </c>
      <c r="D49" s="34" t="s">
        <v>85</v>
      </c>
      <c r="E49" s="35" t="s">
        <v>86</v>
      </c>
      <c r="F49" s="36">
        <v>1.23</v>
      </c>
      <c r="G49" s="36" t="s">
        <v>53</v>
      </c>
      <c r="H49" s="37">
        <v>0</v>
      </c>
      <c r="I49" s="34">
        <v>2</v>
      </c>
      <c r="J49" s="32">
        <v>0</v>
      </c>
      <c r="K49" s="34">
        <v>2</v>
      </c>
      <c r="L49" s="38">
        <v>2.46</v>
      </c>
    </row>
    <row r="50" spans="2:12" ht="18">
      <c r="B50" s="33" t="s">
        <v>11</v>
      </c>
      <c r="C50" s="34" t="s">
        <v>87</v>
      </c>
      <c r="D50" s="34" t="s">
        <v>88</v>
      </c>
      <c r="E50" s="35" t="s">
        <v>89</v>
      </c>
      <c r="F50" s="36">
        <v>2</v>
      </c>
      <c r="G50" s="36" t="s">
        <v>53</v>
      </c>
      <c r="H50" s="37">
        <v>0</v>
      </c>
      <c r="I50" s="34">
        <v>2</v>
      </c>
      <c r="J50" s="32">
        <v>0</v>
      </c>
      <c r="K50" s="34">
        <v>2</v>
      </c>
      <c r="L50" s="38">
        <v>4</v>
      </c>
    </row>
    <row r="51" spans="2:12" ht="18">
      <c r="B51" s="33" t="s">
        <v>7</v>
      </c>
      <c r="C51" s="34" t="s">
        <v>27</v>
      </c>
      <c r="D51" s="34" t="s">
        <v>90</v>
      </c>
      <c r="E51" s="35" t="s">
        <v>91</v>
      </c>
      <c r="F51" s="36">
        <v>3.83</v>
      </c>
      <c r="G51" s="36" t="s">
        <v>53</v>
      </c>
      <c r="H51" s="37">
        <v>1</v>
      </c>
      <c r="I51" s="34">
        <v>8</v>
      </c>
      <c r="J51" s="32">
        <v>0</v>
      </c>
      <c r="K51" s="34">
        <v>7</v>
      </c>
      <c r="L51" s="38">
        <v>26.810000000000002</v>
      </c>
    </row>
    <row r="52" spans="2:12" ht="18">
      <c r="B52" s="33" t="s">
        <v>8</v>
      </c>
      <c r="C52" s="34" t="s">
        <v>40</v>
      </c>
      <c r="D52" s="34" t="s">
        <v>92</v>
      </c>
      <c r="E52" s="35" t="s">
        <v>93</v>
      </c>
      <c r="F52" s="36">
        <v>5.7</v>
      </c>
      <c r="G52" s="36" t="s">
        <v>94</v>
      </c>
      <c r="H52" s="37">
        <v>0</v>
      </c>
      <c r="I52" s="34">
        <v>1</v>
      </c>
      <c r="J52" s="32">
        <v>0</v>
      </c>
      <c r="K52" s="34">
        <v>1</v>
      </c>
      <c r="L52" s="38">
        <v>5.7</v>
      </c>
    </row>
    <row r="53" spans="2:12" ht="18">
      <c r="B53" s="33" t="s">
        <v>9</v>
      </c>
      <c r="C53" s="34" t="s">
        <v>95</v>
      </c>
      <c r="D53" s="34" t="s">
        <v>96</v>
      </c>
      <c r="E53" s="35" t="s">
        <v>97</v>
      </c>
      <c r="F53" s="36">
        <v>3.87</v>
      </c>
      <c r="G53" s="36" t="s">
        <v>53</v>
      </c>
      <c r="H53" s="37">
        <v>0</v>
      </c>
      <c r="I53" s="34">
        <v>4</v>
      </c>
      <c r="J53" s="32">
        <v>0</v>
      </c>
      <c r="K53" s="34">
        <v>4</v>
      </c>
      <c r="L53" s="38">
        <v>15.48</v>
      </c>
    </row>
    <row r="54" spans="2:12" ht="18">
      <c r="B54" s="33" t="s">
        <v>11</v>
      </c>
      <c r="C54" s="34" t="s">
        <v>62</v>
      </c>
      <c r="D54" s="34" t="s">
        <v>98</v>
      </c>
      <c r="E54" s="35" t="s">
        <v>99</v>
      </c>
      <c r="F54" s="36">
        <v>1.29</v>
      </c>
      <c r="G54" s="36" t="s">
        <v>53</v>
      </c>
      <c r="H54" s="37">
        <v>0</v>
      </c>
      <c r="I54" s="34">
        <v>3</v>
      </c>
      <c r="J54" s="32">
        <v>1</v>
      </c>
      <c r="K54" s="34">
        <v>3</v>
      </c>
      <c r="L54" s="38">
        <v>3.87</v>
      </c>
    </row>
    <row r="55" spans="2:12" ht="18">
      <c r="B55" s="33" t="s">
        <v>9</v>
      </c>
      <c r="C55" s="34" t="s">
        <v>100</v>
      </c>
      <c r="D55" s="34" t="s">
        <v>101</v>
      </c>
      <c r="E55" s="35" t="s">
        <v>102</v>
      </c>
      <c r="F55" s="36">
        <v>4.4000000000000004</v>
      </c>
      <c r="G55" s="36" t="s">
        <v>53</v>
      </c>
      <c r="H55" s="37">
        <v>0</v>
      </c>
      <c r="I55" s="34">
        <v>4</v>
      </c>
      <c r="J55" s="32">
        <v>0</v>
      </c>
      <c r="K55" s="34">
        <v>4</v>
      </c>
      <c r="L55" s="38">
        <v>17.600000000000001</v>
      </c>
    </row>
    <row r="56" spans="2:12" ht="18">
      <c r="B56" s="33" t="s">
        <v>6</v>
      </c>
      <c r="C56" s="34" t="s">
        <v>27</v>
      </c>
      <c r="D56" s="34" t="s">
        <v>36</v>
      </c>
      <c r="E56" s="35" t="s">
        <v>37</v>
      </c>
      <c r="F56" s="36">
        <v>5.95</v>
      </c>
      <c r="G56" s="36" t="s">
        <v>53</v>
      </c>
      <c r="H56" s="37">
        <v>0</v>
      </c>
      <c r="I56" s="34">
        <v>1</v>
      </c>
      <c r="J56" s="32">
        <v>0</v>
      </c>
      <c r="K56" s="34">
        <v>1</v>
      </c>
      <c r="L56" s="38">
        <v>5.95</v>
      </c>
    </row>
    <row r="57" spans="2:12" ht="18">
      <c r="B57" s="33" t="s">
        <v>10</v>
      </c>
      <c r="C57" s="34" t="s">
        <v>50</v>
      </c>
      <c r="D57" s="34" t="s">
        <v>103</v>
      </c>
      <c r="E57" s="35" t="s">
        <v>104</v>
      </c>
      <c r="F57" s="36">
        <v>2.25</v>
      </c>
      <c r="G57" s="36" t="s">
        <v>53</v>
      </c>
      <c r="H57" s="37">
        <v>0</v>
      </c>
      <c r="I57" s="34">
        <v>4</v>
      </c>
      <c r="J57" s="32">
        <v>0</v>
      </c>
      <c r="K57" s="34">
        <v>4</v>
      </c>
      <c r="L57" s="38">
        <v>9</v>
      </c>
    </row>
    <row r="58" spans="2:12" ht="18">
      <c r="B58" s="33" t="s">
        <v>13</v>
      </c>
      <c r="C58" s="34" t="s">
        <v>31</v>
      </c>
      <c r="D58" s="34" t="s">
        <v>105</v>
      </c>
      <c r="E58" s="35" t="s">
        <v>106</v>
      </c>
      <c r="F58" s="36">
        <v>3.65</v>
      </c>
      <c r="G58" s="36" t="s">
        <v>53</v>
      </c>
      <c r="H58" s="37">
        <v>0</v>
      </c>
      <c r="I58" s="34">
        <v>4</v>
      </c>
      <c r="J58" s="32">
        <v>0</v>
      </c>
      <c r="K58" s="34">
        <v>4</v>
      </c>
      <c r="L58" s="38">
        <v>14.6</v>
      </c>
    </row>
    <row r="59" spans="2:12" ht="18">
      <c r="B59" s="33" t="s">
        <v>13</v>
      </c>
      <c r="C59" s="34" t="s">
        <v>31</v>
      </c>
      <c r="D59" s="34" t="s">
        <v>107</v>
      </c>
      <c r="E59" s="35" t="s">
        <v>108</v>
      </c>
      <c r="F59" s="36">
        <v>3</v>
      </c>
      <c r="G59" s="36" t="s">
        <v>53</v>
      </c>
      <c r="H59" s="37">
        <v>0</v>
      </c>
      <c r="I59" s="34">
        <v>4</v>
      </c>
      <c r="J59" s="32">
        <v>0</v>
      </c>
      <c r="K59" s="34">
        <v>4</v>
      </c>
      <c r="L59" s="38">
        <v>12</v>
      </c>
    </row>
    <row r="60" spans="2:12" ht="18">
      <c r="B60" s="33" t="s">
        <v>12</v>
      </c>
      <c r="C60" s="34" t="s">
        <v>44</v>
      </c>
      <c r="D60" s="34" t="s">
        <v>109</v>
      </c>
      <c r="E60" s="35" t="s">
        <v>110</v>
      </c>
      <c r="F60" s="36">
        <v>1.3</v>
      </c>
      <c r="G60" s="36" t="s">
        <v>53</v>
      </c>
      <c r="H60" s="37">
        <v>2</v>
      </c>
      <c r="I60" s="34">
        <v>3</v>
      </c>
      <c r="J60" s="32">
        <v>0</v>
      </c>
      <c r="K60" s="34">
        <v>1</v>
      </c>
      <c r="L60" s="38">
        <v>1.3</v>
      </c>
    </row>
    <row r="61" spans="2:12" ht="18">
      <c r="B61" s="33" t="s">
        <v>11</v>
      </c>
      <c r="C61" s="34" t="s">
        <v>87</v>
      </c>
      <c r="D61" s="34" t="s">
        <v>111</v>
      </c>
      <c r="E61" s="35" t="s">
        <v>112</v>
      </c>
      <c r="F61" s="36">
        <v>2</v>
      </c>
      <c r="G61" s="36" t="s">
        <v>113</v>
      </c>
      <c r="H61" s="37">
        <v>0</v>
      </c>
      <c r="I61" s="34">
        <v>1</v>
      </c>
      <c r="J61" s="32">
        <v>0</v>
      </c>
      <c r="K61" s="34">
        <v>1</v>
      </c>
      <c r="L61" s="38">
        <v>2</v>
      </c>
    </row>
    <row r="62" spans="2:12" ht="18">
      <c r="B62" s="33" t="s">
        <v>8</v>
      </c>
      <c r="C62" s="34" t="s">
        <v>40</v>
      </c>
      <c r="D62" s="34" t="s">
        <v>114</v>
      </c>
      <c r="E62" s="35" t="s">
        <v>115</v>
      </c>
      <c r="F62" s="36">
        <v>5.7</v>
      </c>
      <c r="G62" s="36" t="s">
        <v>53</v>
      </c>
      <c r="H62" s="37">
        <v>1</v>
      </c>
      <c r="I62" s="34">
        <v>0</v>
      </c>
      <c r="J62" s="32">
        <v>0</v>
      </c>
      <c r="K62" s="34">
        <v>-1</v>
      </c>
      <c r="L62" s="38">
        <v>-5.7</v>
      </c>
    </row>
    <row r="63" spans="2:12" ht="18">
      <c r="B63" s="33" t="s">
        <v>8</v>
      </c>
      <c r="C63" s="34" t="s">
        <v>40</v>
      </c>
      <c r="D63" s="34" t="s">
        <v>114</v>
      </c>
      <c r="E63" s="35" t="s">
        <v>115</v>
      </c>
      <c r="F63" s="36">
        <v>5.7</v>
      </c>
      <c r="G63" s="36" t="s">
        <v>43</v>
      </c>
      <c r="H63" s="37">
        <v>1</v>
      </c>
      <c r="I63" s="34">
        <v>0</v>
      </c>
      <c r="J63" s="32">
        <v>0</v>
      </c>
      <c r="K63" s="34">
        <v>-1</v>
      </c>
      <c r="L63" s="38">
        <v>-5.7</v>
      </c>
    </row>
    <row r="64" spans="2:12" ht="18">
      <c r="B64" s="33" t="s">
        <v>8</v>
      </c>
      <c r="C64" s="34" t="s">
        <v>40</v>
      </c>
      <c r="D64" s="34" t="s">
        <v>41</v>
      </c>
      <c r="E64" s="35" t="s">
        <v>116</v>
      </c>
      <c r="F64" s="36">
        <v>5.9</v>
      </c>
      <c r="G64" s="36" t="s">
        <v>53</v>
      </c>
      <c r="H64" s="37">
        <v>1</v>
      </c>
      <c r="I64" s="34">
        <v>0</v>
      </c>
      <c r="J64" s="32">
        <v>0</v>
      </c>
      <c r="K64" s="34">
        <v>-1</v>
      </c>
      <c r="L64" s="38">
        <v>-5.9</v>
      </c>
    </row>
    <row r="65" spans="2:12" ht="18">
      <c r="B65" s="33" t="s">
        <v>8</v>
      </c>
      <c r="C65" s="34" t="s">
        <v>40</v>
      </c>
      <c r="D65" s="34" t="s">
        <v>41</v>
      </c>
      <c r="E65" s="35" t="s">
        <v>116</v>
      </c>
      <c r="F65" s="36">
        <v>5.9</v>
      </c>
      <c r="G65" s="36" t="s">
        <v>43</v>
      </c>
      <c r="H65" s="37">
        <v>1</v>
      </c>
      <c r="I65" s="34">
        <v>0</v>
      </c>
      <c r="J65" s="32">
        <v>0</v>
      </c>
      <c r="K65" s="34">
        <v>-1</v>
      </c>
      <c r="L65" s="38">
        <v>-5.9</v>
      </c>
    </row>
    <row r="66" spans="2:12" ht="18">
      <c r="B66" s="33" t="s">
        <v>11</v>
      </c>
      <c r="C66" s="34" t="s">
        <v>87</v>
      </c>
      <c r="D66" s="34" t="s">
        <v>88</v>
      </c>
      <c r="E66" s="35" t="s">
        <v>117</v>
      </c>
      <c r="F66" s="36">
        <v>2</v>
      </c>
      <c r="G66" s="36" t="s">
        <v>53</v>
      </c>
      <c r="H66" s="37">
        <v>2</v>
      </c>
      <c r="I66" s="34">
        <v>0</v>
      </c>
      <c r="J66" s="32">
        <v>0</v>
      </c>
      <c r="K66" s="34">
        <v>-2</v>
      </c>
      <c r="L66" s="38">
        <v>-4</v>
      </c>
    </row>
    <row r="67" spans="2:12" ht="18">
      <c r="B67" s="33" t="s">
        <v>11</v>
      </c>
      <c r="C67" s="34" t="s">
        <v>62</v>
      </c>
      <c r="D67" s="34" t="s">
        <v>63</v>
      </c>
      <c r="E67" s="35" t="s">
        <v>64</v>
      </c>
      <c r="F67" s="36">
        <v>1.29</v>
      </c>
      <c r="G67" s="36" t="s">
        <v>43</v>
      </c>
      <c r="H67" s="37">
        <v>3</v>
      </c>
      <c r="I67" s="34">
        <v>0</v>
      </c>
      <c r="J67" s="32">
        <v>0</v>
      </c>
      <c r="K67" s="34">
        <v>-3</v>
      </c>
      <c r="L67" s="38">
        <v>-3.87</v>
      </c>
    </row>
    <row r="68" spans="2:12" ht="34.5">
      <c r="B68" s="33" t="s">
        <v>12</v>
      </c>
      <c r="C68" s="34" t="s">
        <v>84</v>
      </c>
      <c r="D68" s="34" t="s">
        <v>76</v>
      </c>
      <c r="E68" s="35" t="s">
        <v>118</v>
      </c>
      <c r="F68" s="36">
        <v>1.62</v>
      </c>
      <c r="G68" s="36" t="s">
        <v>53</v>
      </c>
      <c r="H68" s="37">
        <v>3</v>
      </c>
      <c r="I68" s="34">
        <v>0</v>
      </c>
      <c r="J68" s="32">
        <v>0</v>
      </c>
      <c r="K68" s="34">
        <v>-3</v>
      </c>
      <c r="L68" s="38">
        <v>-4.8600000000000003</v>
      </c>
    </row>
    <row r="69" spans="2:12" ht="34.5">
      <c r="B69" s="33" t="s">
        <v>12</v>
      </c>
      <c r="C69" s="34" t="s">
        <v>44</v>
      </c>
      <c r="D69" s="34" t="s">
        <v>119</v>
      </c>
      <c r="E69" s="35" t="s">
        <v>120</v>
      </c>
      <c r="F69" s="36">
        <v>1.75</v>
      </c>
      <c r="G69" s="36" t="s">
        <v>53</v>
      </c>
      <c r="H69" s="37">
        <v>2</v>
      </c>
      <c r="I69" s="34">
        <v>0</v>
      </c>
      <c r="J69" s="32">
        <v>0</v>
      </c>
      <c r="K69" s="34">
        <v>-2</v>
      </c>
      <c r="L69" s="38">
        <v>-3.5</v>
      </c>
    </row>
    <row r="70" spans="2:12" ht="34.5">
      <c r="B70" s="1"/>
      <c r="C70" s="1"/>
      <c r="D70" s="1"/>
      <c r="E70" s="1"/>
      <c r="F70" s="12"/>
      <c r="G70" s="12"/>
      <c r="H70" s="13"/>
      <c r="I70" s="1"/>
      <c r="J70" s="1"/>
      <c r="K70" s="1"/>
      <c r="L70" s="1"/>
    </row>
    <row r="71" spans="2:12" ht="34.5"/>
    <row r="72" spans="2:12" ht="34.5"/>
    <row r="73" spans="2:12" ht="34.5"/>
    <row r="74" spans="2:12" ht="34.5"/>
    <row r="75" spans="2:12" ht="34.5"/>
    <row r="76" spans="2:12" ht="34.5"/>
    <row r="77" spans="2:12" ht="34.5"/>
    <row r="78" spans="2:12" ht="34.5"/>
    <row r="79" spans="2:12" ht="34.5"/>
    <row r="80" spans="2:12" ht="34.5"/>
    <row r="81" ht="34.5"/>
    <row r="82" ht="34.5"/>
    <row r="83" ht="34.5"/>
    <row r="84" ht="34.5"/>
    <row r="85" ht="34.5"/>
    <row r="86" ht="18"/>
    <row r="87" ht="18"/>
    <row r="88" ht="18"/>
    <row r="89" ht="18"/>
    <row r="90" ht="18"/>
    <row r="91" ht="18"/>
    <row r="92" ht="18"/>
    <row r="93" ht="18"/>
    <row r="94" ht="18"/>
    <row r="95" ht="18"/>
    <row r="96" ht="18"/>
    <row r="97" ht="34.5"/>
    <row r="98" ht="34.5"/>
    <row r="99" ht="34.5"/>
    <row r="100" ht="34.5"/>
    <row r="101" ht="34.5"/>
    <row r="102" ht="34.5"/>
    <row r="103" ht="34.5"/>
    <row r="104" ht="34.5"/>
    <row r="105" ht="34.5"/>
    <row r="106" ht="18"/>
    <row r="107" ht="18"/>
    <row r="108" ht="18"/>
    <row r="109" ht="18"/>
    <row r="110" ht="18"/>
    <row r="111" ht="18"/>
    <row r="112" ht="18"/>
    <row r="113" ht="18"/>
    <row r="114" ht="18"/>
    <row r="115" ht="18"/>
    <row r="116" ht="18"/>
    <row r="117" ht="18"/>
    <row r="118" ht="18"/>
    <row r="119" ht="18"/>
    <row r="120" ht="18"/>
    <row r="121" ht="34.5"/>
    <row r="122" ht="34.5"/>
    <row r="123" ht="34.5"/>
    <row r="124" ht="34.5"/>
    <row r="125" ht="34.5"/>
    <row r="126" ht="34.5"/>
    <row r="127" ht="34.5"/>
    <row r="128" ht="34.5"/>
    <row r="129" ht="34.5"/>
    <row r="130" ht="34.5"/>
    <row r="131" ht="34.5"/>
    <row r="132" ht="34.5"/>
    <row r="133" ht="18"/>
    <row r="134" ht="18"/>
    <row r="135" ht="18"/>
    <row r="136" ht="18"/>
    <row r="137" ht="18"/>
    <row r="138" ht="18"/>
    <row r="139" ht="34.5"/>
    <row r="140" ht="34.5"/>
    <row r="141" ht="34.5"/>
    <row r="142" ht="34.5"/>
    <row r="143" ht="18"/>
    <row r="144" ht="18"/>
    <row r="145" ht="18"/>
    <row r="146" ht="18"/>
    <row r="147" ht="18"/>
    <row r="148" ht="18"/>
    <row r="149" ht="18"/>
    <row r="150" ht="18"/>
    <row r="151" ht="18"/>
    <row r="152" ht="18"/>
    <row r="153" ht="18"/>
    <row r="154" ht="18"/>
    <row r="155" ht="18"/>
    <row r="156" ht="18"/>
    <row r="157" ht="18"/>
    <row r="158" ht="18"/>
    <row r="159" ht="18"/>
    <row r="160" ht="18"/>
    <row r="161" ht="18"/>
    <row r="162" ht="18"/>
    <row r="163" ht="18"/>
    <row r="164" ht="18"/>
    <row r="165" ht="18"/>
    <row r="166" ht="18"/>
    <row r="167" ht="18"/>
    <row r="168" ht="18"/>
    <row r="169" ht="18"/>
    <row r="170" ht="18"/>
    <row r="171" ht="18"/>
    <row r="172" ht="18"/>
    <row r="173" ht="18"/>
    <row r="174" ht="34.5"/>
    <row r="175" ht="34.5"/>
    <row r="176" ht="34.5"/>
    <row r="177" ht="34.5"/>
    <row r="178" ht="18"/>
    <row r="179" ht="18"/>
    <row r="180" ht="18"/>
    <row r="181" ht="18"/>
    <row r="182" ht="18"/>
    <row r="183" ht="18"/>
    <row r="184" ht="18"/>
    <row r="185" ht="18"/>
    <row r="186" ht="18"/>
    <row r="187" ht="18"/>
    <row r="188" ht="18"/>
    <row r="189" ht="18"/>
    <row r="190" ht="18"/>
    <row r="191" ht="18"/>
    <row r="192" ht="34.5"/>
    <row r="193" ht="34.5"/>
    <row r="194" ht="34.5"/>
    <row r="195" ht="34.5"/>
    <row r="196" ht="34.5"/>
    <row r="197" ht="34.5"/>
    <row r="198" ht="34.5"/>
    <row r="199" ht="34.5"/>
    <row r="200" ht="34.5"/>
    <row r="201" ht="34.5"/>
    <row r="202" ht="34.5"/>
    <row r="203" ht="34.5"/>
    <row r="204" ht="34.5"/>
    <row r="205" ht="34.5"/>
    <row r="206" ht="34.5"/>
    <row r="207" ht="34.5"/>
    <row r="208" ht="34.5"/>
    <row r="209" ht="34.5"/>
    <row r="210" ht="34.5"/>
    <row r="211" ht="34.5"/>
    <row r="212" ht="34.5"/>
    <row r="213" ht="34.5"/>
    <row r="214" ht="34.5"/>
    <row r="215" ht="34.5"/>
    <row r="216" ht="34.5"/>
    <row r="217" ht="34.5"/>
    <row r="218" ht="34.5"/>
    <row r="219" ht="34.5"/>
    <row r="220" ht="34.5"/>
    <row r="221" ht="34.5"/>
    <row r="222" ht="34.5"/>
    <row r="223" ht="34.5"/>
    <row r="224" ht="34.5"/>
    <row r="225" ht="34.5"/>
    <row r="226" ht="34.5"/>
    <row r="227" ht="34.5"/>
    <row r="228" ht="34.5"/>
    <row r="229" ht="34.5"/>
    <row r="230" ht="34.5"/>
    <row r="231" ht="34.5"/>
    <row r="232" ht="34.5"/>
    <row r="233" ht="34.5"/>
    <row r="234" ht="34.5"/>
    <row r="235" ht="34.5"/>
    <row r="236" ht="34.5"/>
    <row r="237" ht="34.5"/>
    <row r="238" ht="18"/>
    <row r="239" ht="18"/>
    <row r="240" ht="18"/>
    <row r="241" ht="18"/>
    <row r="242" ht="18"/>
    <row r="243" ht="18"/>
    <row r="244" ht="18"/>
    <row r="245" ht="18"/>
    <row r="246" ht="18"/>
    <row r="247" ht="18"/>
    <row r="248" ht="18"/>
    <row r="249" ht="18"/>
    <row r="250" ht="18"/>
    <row r="251" ht="18"/>
    <row r="252" ht="18"/>
    <row r="253" ht="18"/>
    <row r="254" ht="18"/>
    <row r="255" ht="18"/>
    <row r="256" ht="18"/>
    <row r="257" ht="18"/>
    <row r="258" ht="18"/>
    <row r="259" ht="18"/>
    <row r="260" ht="18"/>
    <row r="261" ht="18"/>
    <row r="262" ht="18"/>
    <row r="263" ht="18"/>
    <row r="264" ht="18"/>
    <row r="265" ht="18"/>
    <row r="266" ht="18"/>
    <row r="267" ht="18"/>
    <row r="268" ht="18"/>
    <row r="269" ht="18"/>
    <row r="270" ht="18"/>
    <row r="271" ht="18"/>
    <row r="272" ht="18"/>
    <row r="273" ht="18"/>
    <row r="274" ht="18"/>
    <row r="275" ht="18"/>
    <row r="276" ht="18"/>
    <row r="277" ht="18"/>
    <row r="278" ht="18"/>
    <row r="279" ht="18"/>
    <row r="280" ht="18"/>
    <row r="281" ht="18"/>
    <row r="282" ht="18"/>
    <row r="283" ht="18"/>
    <row r="284" ht="18"/>
    <row r="285" ht="18"/>
    <row r="286" ht="18"/>
    <row r="287" ht="34.5"/>
    <row r="288" ht="18"/>
    <row r="289" ht="18"/>
    <row r="290" ht="18"/>
    <row r="291" ht="18"/>
    <row r="292" ht="18"/>
    <row r="293" ht="18"/>
    <row r="294" ht="18"/>
    <row r="295" ht="18"/>
    <row r="296" ht="18"/>
    <row r="297" ht="18"/>
    <row r="298" ht="34.5"/>
    <row r="299" ht="18"/>
    <row r="300" ht="18"/>
    <row r="301" ht="18"/>
    <row r="302" ht="18"/>
    <row r="303" ht="34.5"/>
    <row r="304" ht="18"/>
    <row r="305" ht="18"/>
    <row r="306" ht="18"/>
    <row r="307" ht="18"/>
    <row r="308" ht="34.5"/>
    <row r="309" ht="18"/>
    <row r="310" ht="18"/>
    <row r="311" ht="34.5"/>
    <row r="312" ht="18"/>
    <row r="313" ht="18"/>
    <row r="314" ht="18"/>
    <row r="315" ht="18"/>
    <row r="316" ht="18"/>
    <row r="317" ht="18"/>
    <row r="318" ht="18"/>
    <row r="319" ht="18"/>
    <row r="320" ht="18"/>
    <row r="321" ht="18"/>
    <row r="322" ht="18"/>
    <row r="323" ht="18"/>
    <row r="324" ht="18"/>
    <row r="325" ht="18"/>
    <row r="326" ht="34.5"/>
    <row r="327" ht="18"/>
    <row r="328" ht="18"/>
    <row r="329" ht="34.5"/>
    <row r="330" ht="18"/>
    <row r="331" ht="18"/>
    <row r="332" ht="34.5"/>
    <row r="333" ht="18"/>
    <row r="334" ht="18"/>
    <row r="335" ht="18"/>
    <row r="336" ht="18"/>
    <row r="337" ht="34.5"/>
    <row r="338" ht="34.5"/>
    <row r="339" ht="18"/>
    <row r="340" ht="34.5"/>
    <row r="341" ht="34.5"/>
    <row r="342" ht="34.5"/>
    <row r="343" ht="34.5"/>
    <row r="344" ht="18"/>
    <row r="345" ht="18"/>
    <row r="346" ht="18"/>
    <row r="347" ht="18"/>
    <row r="348" ht="18"/>
    <row r="349" ht="18"/>
    <row r="350" ht="18"/>
    <row r="351" ht="18"/>
    <row r="352" ht="18"/>
    <row r="353" ht="18"/>
    <row r="354" ht="18"/>
    <row r="355" ht="34.5"/>
    <row r="356" ht="34.5"/>
    <row r="357" ht="34.5"/>
    <row r="358" ht="18"/>
    <row r="359" ht="18"/>
    <row r="360" ht="18"/>
    <row r="361" ht="18"/>
    <row r="362" ht="18"/>
    <row r="363" ht="18"/>
    <row r="364" ht="18"/>
    <row r="365" ht="18"/>
    <row r="366" ht="34.5"/>
    <row r="367" ht="34.5"/>
    <row r="368" ht="34.5"/>
    <row r="369" ht="18"/>
    <row r="370" ht="34.5"/>
    <row r="371" ht="34.5"/>
    <row r="372" ht="18"/>
    <row r="373" ht="34.5"/>
    <row r="374" ht="34.5"/>
    <row r="375" ht="18"/>
    <row r="376" ht="18"/>
    <row r="377" ht="18"/>
    <row r="378" ht="18"/>
    <row r="379" ht="18"/>
    <row r="380" ht="18"/>
    <row r="381" ht="34.5"/>
    <row r="382" ht="18"/>
    <row r="383" ht="18"/>
    <row r="384" ht="18"/>
    <row r="385" ht="18"/>
    <row r="386" ht="18"/>
    <row r="387" ht="18"/>
    <row r="388" ht="18"/>
    <row r="389" ht="34.5"/>
    <row r="390" ht="34.5"/>
    <row r="391" ht="34.5"/>
    <row r="392" ht="18"/>
    <row r="393" ht="18"/>
    <row r="394" ht="18"/>
    <row r="395" ht="18"/>
    <row r="396" ht="18"/>
    <row r="397" ht="34.5"/>
    <row r="398" ht="18"/>
    <row r="399" ht="18"/>
    <row r="400" ht="18"/>
    <row r="401" ht="18"/>
    <row r="402" ht="34.5"/>
    <row r="403" ht="18"/>
    <row r="404" ht="34.5"/>
    <row r="405" ht="18"/>
    <row r="406" ht="34.5"/>
    <row r="407" ht="34.5"/>
    <row r="408" ht="18"/>
    <row r="409" ht="18"/>
    <row r="410" ht="18"/>
    <row r="411" ht="18"/>
    <row r="412" ht="18"/>
    <row r="413" ht="18"/>
    <row r="414" ht="18"/>
    <row r="415" ht="18"/>
    <row r="416" ht="18"/>
    <row r="417" ht="34.5"/>
    <row r="418" ht="34.5"/>
    <row r="419" ht="18"/>
    <row r="420" ht="18"/>
    <row r="421" ht="18"/>
    <row r="422" ht="34.5"/>
    <row r="423" ht="18"/>
    <row r="424" ht="18"/>
    <row r="425" ht="34.5"/>
    <row r="426" ht="18"/>
    <row r="427" ht="18"/>
    <row r="428" ht="18"/>
    <row r="429" ht="18"/>
    <row r="430" ht="34.5"/>
    <row r="431" ht="18"/>
    <row r="432" ht="34.5"/>
    <row r="433" ht="18"/>
    <row r="434" ht="34.5"/>
    <row r="435" ht="34.5"/>
    <row r="436" ht="18"/>
    <row r="437" ht="18"/>
    <row r="438" ht="18"/>
    <row r="439" ht="18"/>
    <row r="440" ht="34.5"/>
    <row r="441" ht="34.5"/>
    <row r="442" ht="18"/>
    <row r="443" ht="18"/>
    <row r="444" ht="18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5BC0-8B89-44D7-8122-73CEFDD6130C}">
  <dimension ref="C3:L357"/>
  <sheetViews>
    <sheetView showGridLines="0" workbookViewId="0">
      <selection activeCell="C5" sqref="C5"/>
    </sheetView>
  </sheetViews>
  <sheetFormatPr defaultRowHeight="15.75"/>
  <cols>
    <col min="3" max="3" width="19.875" bestFit="1" customWidth="1"/>
    <col min="4" max="4" width="20.5" bestFit="1" customWidth="1"/>
    <col min="5" max="5" width="35.75" bestFit="1" customWidth="1"/>
    <col min="6" max="6" width="14.25" bestFit="1" customWidth="1"/>
    <col min="7" max="7" width="15.5" bestFit="1" customWidth="1"/>
    <col min="8" max="8" width="26.875" bestFit="1" customWidth="1"/>
    <col min="9" max="9" width="10.125" bestFit="1" customWidth="1"/>
    <col min="10" max="10" width="15.5" bestFit="1" customWidth="1"/>
    <col min="11" max="11" width="8.875" bestFit="1" customWidth="1"/>
    <col min="13" max="13" width="19.875" bestFit="1" customWidth="1"/>
    <col min="14" max="14" width="12.875" bestFit="1" customWidth="1"/>
    <col min="15" max="15" width="14.25" bestFit="1" customWidth="1"/>
    <col min="16" max="16" width="11.75" bestFit="1" customWidth="1"/>
    <col min="17" max="17" width="14.25" bestFit="1" customWidth="1"/>
    <col min="18" max="18" width="11.75" bestFit="1" customWidth="1"/>
    <col min="19" max="19" width="14.25" bestFit="1" customWidth="1"/>
    <col min="20" max="20" width="11.75" bestFit="1" customWidth="1"/>
  </cols>
  <sheetData>
    <row r="3" spans="3:12" ht="30.75" customHeight="1"/>
    <row r="4" spans="3:12">
      <c r="C4" t="s">
        <v>16</v>
      </c>
      <c r="D4" t="s">
        <v>17</v>
      </c>
      <c r="E4" t="s">
        <v>18</v>
      </c>
      <c r="F4" s="30" t="s">
        <v>19</v>
      </c>
      <c r="G4" t="s">
        <v>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</row>
    <row r="5" spans="3:12">
      <c r="C5" t="s">
        <v>7</v>
      </c>
      <c r="D5" t="s">
        <v>27</v>
      </c>
      <c r="E5" t="s">
        <v>28</v>
      </c>
      <c r="F5" s="30" t="s">
        <v>29</v>
      </c>
      <c r="G5">
        <v>3.24</v>
      </c>
      <c r="H5" t="s">
        <v>30</v>
      </c>
      <c r="I5">
        <v>2</v>
      </c>
      <c r="J5" t="s">
        <v>126</v>
      </c>
      <c r="K5" t="s">
        <v>127</v>
      </c>
      <c r="L5" s="20">
        <f>RawDataTable[[#This Row],[Quantity]]*RawDataTable[[#This Row],[Purchase Price]]</f>
        <v>6.48</v>
      </c>
    </row>
    <row r="6" spans="3:12">
      <c r="C6" t="s">
        <v>13</v>
      </c>
      <c r="D6" t="s">
        <v>31</v>
      </c>
      <c r="E6" t="s">
        <v>32</v>
      </c>
      <c r="F6" s="30" t="s">
        <v>33</v>
      </c>
      <c r="G6">
        <v>3</v>
      </c>
      <c r="H6" t="s">
        <v>30</v>
      </c>
      <c r="I6">
        <v>2</v>
      </c>
      <c r="J6" t="s">
        <v>126</v>
      </c>
      <c r="K6" t="s">
        <v>127</v>
      </c>
      <c r="L6" s="20">
        <f>RawDataTable[[#This Row],[Quantity]]*RawDataTable[[#This Row],[Purchase Price]]</f>
        <v>6</v>
      </c>
    </row>
    <row r="7" spans="3:12">
      <c r="C7" t="s">
        <v>7</v>
      </c>
      <c r="D7" t="s">
        <v>27</v>
      </c>
      <c r="E7" t="s">
        <v>34</v>
      </c>
      <c r="F7" s="30" t="s">
        <v>35</v>
      </c>
      <c r="G7">
        <v>3.63</v>
      </c>
      <c r="H7" t="s">
        <v>30</v>
      </c>
      <c r="I7">
        <v>2</v>
      </c>
      <c r="J7" t="s">
        <v>126</v>
      </c>
      <c r="K7" t="s">
        <v>127</v>
      </c>
      <c r="L7" s="20">
        <f>RawDataTable[[#This Row],[Quantity]]*RawDataTable[[#This Row],[Purchase Price]]</f>
        <v>7.26</v>
      </c>
    </row>
    <row r="8" spans="3:12">
      <c r="C8" t="s">
        <v>6</v>
      </c>
      <c r="D8" t="s">
        <v>27</v>
      </c>
      <c r="E8" t="s">
        <v>36</v>
      </c>
      <c r="F8" s="30" t="s">
        <v>37</v>
      </c>
      <c r="G8">
        <v>5.95</v>
      </c>
      <c r="H8" t="s">
        <v>30</v>
      </c>
      <c r="I8">
        <v>1</v>
      </c>
      <c r="J8" t="s">
        <v>126</v>
      </c>
      <c r="K8" t="s">
        <v>127</v>
      </c>
      <c r="L8" s="20">
        <f>RawDataTable[[#This Row],[Quantity]]*RawDataTable[[#This Row],[Purchase Price]]</f>
        <v>5.95</v>
      </c>
    </row>
    <row r="9" spans="3:12">
      <c r="C9" t="s">
        <v>6</v>
      </c>
      <c r="D9" t="s">
        <v>27</v>
      </c>
      <c r="E9" t="s">
        <v>38</v>
      </c>
      <c r="F9" s="30" t="s">
        <v>39</v>
      </c>
      <c r="G9">
        <v>5.95</v>
      </c>
      <c r="H9" t="s">
        <v>30</v>
      </c>
      <c r="I9">
        <v>4</v>
      </c>
      <c r="J9" t="s">
        <v>126</v>
      </c>
      <c r="K9" t="s">
        <v>127</v>
      </c>
      <c r="L9" s="20">
        <f>RawDataTable[[#This Row],[Quantity]]*RawDataTable[[#This Row],[Purchase Price]]</f>
        <v>23.8</v>
      </c>
    </row>
    <row r="10" spans="3:12">
      <c r="C10" t="s">
        <v>11</v>
      </c>
      <c r="D10" t="s">
        <v>62</v>
      </c>
      <c r="E10" t="s">
        <v>98</v>
      </c>
      <c r="F10" s="30" t="s">
        <v>99</v>
      </c>
      <c r="G10">
        <v>1.29</v>
      </c>
      <c r="H10" t="s">
        <v>43</v>
      </c>
      <c r="I10">
        <v>3</v>
      </c>
      <c r="J10" t="s">
        <v>126</v>
      </c>
      <c r="K10" t="s">
        <v>127</v>
      </c>
      <c r="L10" s="20">
        <f>RawDataTable[[#This Row],[Quantity]]*RawDataTable[[#This Row],[Purchase Price]]</f>
        <v>3.87</v>
      </c>
    </row>
    <row r="11" spans="3:12">
      <c r="C11" t="s">
        <v>10</v>
      </c>
      <c r="D11" t="s">
        <v>50</v>
      </c>
      <c r="E11" t="s">
        <v>54</v>
      </c>
      <c r="F11" s="30" t="s">
        <v>55</v>
      </c>
      <c r="G11">
        <v>1.2</v>
      </c>
      <c r="H11" t="s">
        <v>43</v>
      </c>
      <c r="I11">
        <v>2</v>
      </c>
      <c r="J11" t="s">
        <v>126</v>
      </c>
      <c r="K11" t="s">
        <v>127</v>
      </c>
      <c r="L11" s="20">
        <f>RawDataTable[[#This Row],[Quantity]]*RawDataTable[[#This Row],[Purchase Price]]</f>
        <v>2.4</v>
      </c>
    </row>
    <row r="12" spans="3:12">
      <c r="C12" t="s">
        <v>11</v>
      </c>
      <c r="D12" t="s">
        <v>62</v>
      </c>
      <c r="E12" t="s">
        <v>78</v>
      </c>
      <c r="F12" s="30" t="s">
        <v>79</v>
      </c>
      <c r="G12">
        <v>1.29</v>
      </c>
      <c r="H12" t="s">
        <v>43</v>
      </c>
      <c r="I12">
        <v>3</v>
      </c>
      <c r="J12" t="s">
        <v>126</v>
      </c>
      <c r="K12" t="s">
        <v>127</v>
      </c>
      <c r="L12" s="20">
        <f>RawDataTable[[#This Row],[Quantity]]*RawDataTable[[#This Row],[Purchase Price]]</f>
        <v>3.87</v>
      </c>
    </row>
    <row r="13" spans="3:12">
      <c r="C13" t="s">
        <v>10</v>
      </c>
      <c r="D13" t="s">
        <v>50</v>
      </c>
      <c r="E13" t="s">
        <v>51</v>
      </c>
      <c r="F13" s="30" t="s">
        <v>52</v>
      </c>
      <c r="G13">
        <v>1.54</v>
      </c>
      <c r="H13" t="s">
        <v>43</v>
      </c>
      <c r="I13">
        <v>2</v>
      </c>
      <c r="J13" t="s">
        <v>126</v>
      </c>
      <c r="K13" t="s">
        <v>127</v>
      </c>
      <c r="L13" s="20">
        <f>RawDataTable[[#This Row],[Quantity]]*RawDataTable[[#This Row],[Purchase Price]]</f>
        <v>3.08</v>
      </c>
    </row>
    <row r="14" spans="3:12">
      <c r="C14" t="s">
        <v>10</v>
      </c>
      <c r="D14" t="s">
        <v>50</v>
      </c>
      <c r="E14" t="s">
        <v>65</v>
      </c>
      <c r="F14" s="30" t="s">
        <v>66</v>
      </c>
      <c r="G14">
        <v>1.5</v>
      </c>
      <c r="H14" t="s">
        <v>43</v>
      </c>
      <c r="I14">
        <v>2</v>
      </c>
      <c r="J14" t="s">
        <v>126</v>
      </c>
      <c r="K14" t="s">
        <v>127</v>
      </c>
      <c r="L14" s="20">
        <f>RawDataTable[[#This Row],[Quantity]]*RawDataTable[[#This Row],[Purchase Price]]</f>
        <v>3</v>
      </c>
    </row>
    <row r="15" spans="3:12">
      <c r="C15" t="s">
        <v>10</v>
      </c>
      <c r="D15" t="s">
        <v>50</v>
      </c>
      <c r="E15" t="s">
        <v>69</v>
      </c>
      <c r="F15" s="30" t="s">
        <v>70</v>
      </c>
      <c r="G15">
        <v>1.2</v>
      </c>
      <c r="H15" t="s">
        <v>43</v>
      </c>
      <c r="I15">
        <v>2</v>
      </c>
      <c r="J15" t="s">
        <v>126</v>
      </c>
      <c r="K15" t="s">
        <v>127</v>
      </c>
      <c r="L15" s="20">
        <f>RawDataTable[[#This Row],[Quantity]]*RawDataTable[[#This Row],[Purchase Price]]</f>
        <v>2.4</v>
      </c>
    </row>
    <row r="16" spans="3:12">
      <c r="C16" t="s">
        <v>6</v>
      </c>
      <c r="D16" t="s">
        <v>27</v>
      </c>
      <c r="E16" t="s">
        <v>38</v>
      </c>
      <c r="F16" s="30" t="s">
        <v>39</v>
      </c>
      <c r="G16">
        <v>5.95</v>
      </c>
      <c r="H16" t="s">
        <v>43</v>
      </c>
      <c r="I16">
        <v>1</v>
      </c>
      <c r="J16" t="s">
        <v>126</v>
      </c>
      <c r="K16" t="s">
        <v>127</v>
      </c>
      <c r="L16" s="20">
        <f>RawDataTable[[#This Row],[Quantity]]*RawDataTable[[#This Row],[Purchase Price]]</f>
        <v>5.95</v>
      </c>
    </row>
    <row r="17" spans="3:12">
      <c r="C17" t="s">
        <v>6</v>
      </c>
      <c r="D17" t="s">
        <v>27</v>
      </c>
      <c r="E17" t="s">
        <v>36</v>
      </c>
      <c r="F17" s="30" t="s">
        <v>37</v>
      </c>
      <c r="G17">
        <v>5.95</v>
      </c>
      <c r="H17" t="s">
        <v>43</v>
      </c>
      <c r="I17">
        <v>2</v>
      </c>
      <c r="J17" t="s">
        <v>126</v>
      </c>
      <c r="K17" t="s">
        <v>127</v>
      </c>
      <c r="L17" s="20">
        <f>RawDataTable[[#This Row],[Quantity]]*RawDataTable[[#This Row],[Purchase Price]]</f>
        <v>11.9</v>
      </c>
    </row>
    <row r="18" spans="3:12">
      <c r="C18" t="s">
        <v>9</v>
      </c>
      <c r="D18" t="s">
        <v>100</v>
      </c>
      <c r="E18" t="s">
        <v>128</v>
      </c>
      <c r="F18" s="30" t="s">
        <v>129</v>
      </c>
      <c r="G18">
        <v>3.22</v>
      </c>
      <c r="H18" t="s">
        <v>43</v>
      </c>
      <c r="I18">
        <v>2</v>
      </c>
      <c r="J18" t="s">
        <v>126</v>
      </c>
      <c r="K18" t="s">
        <v>127</v>
      </c>
      <c r="L18" s="20">
        <f>RawDataTable[[#This Row],[Quantity]]*RawDataTable[[#This Row],[Purchase Price]]</f>
        <v>6.44</v>
      </c>
    </row>
    <row r="19" spans="3:12">
      <c r="C19" t="s">
        <v>7</v>
      </c>
      <c r="D19" t="s">
        <v>27</v>
      </c>
      <c r="E19" t="s">
        <v>90</v>
      </c>
      <c r="F19" s="30" t="s">
        <v>91</v>
      </c>
      <c r="G19">
        <v>3.83</v>
      </c>
      <c r="H19" t="s">
        <v>43</v>
      </c>
      <c r="I19">
        <v>3</v>
      </c>
      <c r="J19" t="s">
        <v>126</v>
      </c>
      <c r="K19" t="s">
        <v>127</v>
      </c>
      <c r="L19" s="20">
        <f>RawDataTable[[#This Row],[Quantity]]*RawDataTable[[#This Row],[Purchase Price]]</f>
        <v>11.49</v>
      </c>
    </row>
    <row r="20" spans="3:12">
      <c r="C20" t="s">
        <v>10</v>
      </c>
      <c r="D20" t="s">
        <v>50</v>
      </c>
      <c r="E20" t="s">
        <v>60</v>
      </c>
      <c r="F20" s="30" t="s">
        <v>61</v>
      </c>
      <c r="G20">
        <v>1.2</v>
      </c>
      <c r="H20" t="s">
        <v>43</v>
      </c>
      <c r="I20">
        <v>2</v>
      </c>
      <c r="J20" t="s">
        <v>126</v>
      </c>
      <c r="K20" t="s">
        <v>127</v>
      </c>
      <c r="L20" s="20">
        <f>RawDataTable[[#This Row],[Quantity]]*RawDataTable[[#This Row],[Purchase Price]]</f>
        <v>2.4</v>
      </c>
    </row>
    <row r="21" spans="3:12">
      <c r="C21" t="s">
        <v>6</v>
      </c>
      <c r="D21" t="s">
        <v>27</v>
      </c>
      <c r="E21" t="s">
        <v>67</v>
      </c>
      <c r="F21" s="30" t="s">
        <v>68</v>
      </c>
      <c r="G21">
        <v>5.95</v>
      </c>
      <c r="H21" t="s">
        <v>43</v>
      </c>
      <c r="I21">
        <v>2</v>
      </c>
      <c r="J21" t="s">
        <v>126</v>
      </c>
      <c r="K21" t="s">
        <v>127</v>
      </c>
      <c r="L21" s="20">
        <f>RawDataTable[[#This Row],[Quantity]]*RawDataTable[[#This Row],[Purchase Price]]</f>
        <v>11.9</v>
      </c>
    </row>
    <row r="22" spans="3:12">
      <c r="C22" t="s">
        <v>8</v>
      </c>
      <c r="D22" t="s">
        <v>40</v>
      </c>
      <c r="E22" t="s">
        <v>41</v>
      </c>
      <c r="F22" s="30" t="s">
        <v>42</v>
      </c>
      <c r="G22">
        <v>5.9</v>
      </c>
      <c r="H22" t="s">
        <v>43</v>
      </c>
      <c r="I22">
        <v>2</v>
      </c>
      <c r="J22" t="s">
        <v>126</v>
      </c>
      <c r="K22" t="s">
        <v>127</v>
      </c>
      <c r="L22" s="20">
        <f>RawDataTable[[#This Row],[Quantity]]*RawDataTable[[#This Row],[Purchase Price]]</f>
        <v>11.8</v>
      </c>
    </row>
    <row r="23" spans="3:12">
      <c r="C23" t="s">
        <v>6</v>
      </c>
      <c r="D23" t="s">
        <v>27</v>
      </c>
      <c r="E23" t="s">
        <v>80</v>
      </c>
      <c r="F23" s="30" t="s">
        <v>81</v>
      </c>
      <c r="G23">
        <v>5.95</v>
      </c>
      <c r="H23" t="s">
        <v>43</v>
      </c>
      <c r="I23">
        <v>2</v>
      </c>
      <c r="J23" t="s">
        <v>126</v>
      </c>
      <c r="K23" t="s">
        <v>127</v>
      </c>
      <c r="L23" s="20">
        <f>RawDataTable[[#This Row],[Quantity]]*RawDataTable[[#This Row],[Purchase Price]]</f>
        <v>11.9</v>
      </c>
    </row>
    <row r="24" spans="3:12">
      <c r="C24" t="s">
        <v>8</v>
      </c>
      <c r="D24" t="s">
        <v>40</v>
      </c>
      <c r="E24" t="s">
        <v>92</v>
      </c>
      <c r="F24" s="30" t="s">
        <v>93</v>
      </c>
      <c r="G24">
        <v>5.7</v>
      </c>
      <c r="H24" t="s">
        <v>43</v>
      </c>
      <c r="I24">
        <v>1</v>
      </c>
      <c r="J24" t="s">
        <v>126</v>
      </c>
      <c r="K24" t="s">
        <v>127</v>
      </c>
      <c r="L24" s="20">
        <f>RawDataTable[[#This Row],[Quantity]]*RawDataTable[[#This Row],[Purchase Price]]</f>
        <v>5.7</v>
      </c>
    </row>
    <row r="25" spans="3:12">
      <c r="C25" t="s">
        <v>7</v>
      </c>
      <c r="D25" t="s">
        <v>27</v>
      </c>
      <c r="E25" t="s">
        <v>74</v>
      </c>
      <c r="F25" s="30" t="s">
        <v>75</v>
      </c>
      <c r="G25">
        <v>4.29</v>
      </c>
      <c r="H25" t="s">
        <v>43</v>
      </c>
      <c r="I25">
        <v>3</v>
      </c>
      <c r="J25" t="s">
        <v>126</v>
      </c>
      <c r="K25" t="s">
        <v>127</v>
      </c>
      <c r="L25" s="20">
        <f>RawDataTable[[#This Row],[Quantity]]*RawDataTable[[#This Row],[Purchase Price]]</f>
        <v>12.870000000000001</v>
      </c>
    </row>
    <row r="26" spans="3:12">
      <c r="C26" t="s">
        <v>7</v>
      </c>
      <c r="D26" t="s">
        <v>27</v>
      </c>
      <c r="E26" t="s">
        <v>130</v>
      </c>
      <c r="F26" s="30" t="s">
        <v>131</v>
      </c>
      <c r="G26">
        <v>3.24</v>
      </c>
      <c r="H26" t="s">
        <v>43</v>
      </c>
      <c r="I26">
        <v>3</v>
      </c>
      <c r="J26" t="s">
        <v>126</v>
      </c>
      <c r="K26" t="s">
        <v>127</v>
      </c>
      <c r="L26" s="20">
        <f>RawDataTable[[#This Row],[Quantity]]*RawDataTable[[#This Row],[Purchase Price]]</f>
        <v>9.7200000000000006</v>
      </c>
    </row>
    <row r="27" spans="3:12">
      <c r="C27" t="s">
        <v>9</v>
      </c>
      <c r="D27" t="s">
        <v>100</v>
      </c>
      <c r="E27" t="s">
        <v>132</v>
      </c>
      <c r="F27" s="30" t="s">
        <v>133</v>
      </c>
      <c r="G27">
        <v>3.6</v>
      </c>
      <c r="H27" t="s">
        <v>43</v>
      </c>
      <c r="I27">
        <v>1</v>
      </c>
      <c r="J27" t="s">
        <v>126</v>
      </c>
      <c r="K27" t="s">
        <v>127</v>
      </c>
      <c r="L27" s="20">
        <f>RawDataTable[[#This Row],[Quantity]]*RawDataTable[[#This Row],[Purchase Price]]</f>
        <v>3.6</v>
      </c>
    </row>
    <row r="28" spans="3:12">
      <c r="C28" t="s">
        <v>13</v>
      </c>
      <c r="D28" t="s">
        <v>31</v>
      </c>
      <c r="E28" t="s">
        <v>32</v>
      </c>
      <c r="F28" s="30" t="s">
        <v>33</v>
      </c>
      <c r="G28">
        <v>3</v>
      </c>
      <c r="H28" t="s">
        <v>43</v>
      </c>
      <c r="I28">
        <v>2</v>
      </c>
      <c r="J28" t="s">
        <v>126</v>
      </c>
      <c r="K28" t="s">
        <v>127</v>
      </c>
      <c r="L28" s="20">
        <f>RawDataTable[[#This Row],[Quantity]]*RawDataTable[[#This Row],[Purchase Price]]</f>
        <v>6</v>
      </c>
    </row>
    <row r="29" spans="3:12">
      <c r="C29" t="s">
        <v>10</v>
      </c>
      <c r="D29" t="s">
        <v>50</v>
      </c>
      <c r="E29" t="s">
        <v>56</v>
      </c>
      <c r="F29" s="30" t="s">
        <v>57</v>
      </c>
      <c r="G29">
        <v>2.25</v>
      </c>
      <c r="H29" t="s">
        <v>43</v>
      </c>
      <c r="I29">
        <v>2</v>
      </c>
      <c r="J29" t="s">
        <v>126</v>
      </c>
      <c r="K29" t="s">
        <v>127</v>
      </c>
      <c r="L29" s="20">
        <f>RawDataTable[[#This Row],[Quantity]]*RawDataTable[[#This Row],[Purchase Price]]</f>
        <v>4.5</v>
      </c>
    </row>
    <row r="30" spans="3:12">
      <c r="C30" t="s">
        <v>12</v>
      </c>
      <c r="D30" t="s">
        <v>44</v>
      </c>
      <c r="E30" t="s">
        <v>45</v>
      </c>
      <c r="F30" s="30" t="s">
        <v>46</v>
      </c>
      <c r="G30">
        <v>1.28</v>
      </c>
      <c r="H30" t="s">
        <v>43</v>
      </c>
      <c r="I30">
        <v>1</v>
      </c>
      <c r="J30" t="s">
        <v>126</v>
      </c>
      <c r="K30" t="s">
        <v>127</v>
      </c>
      <c r="L30" s="20">
        <f>RawDataTable[[#This Row],[Quantity]]*RawDataTable[[#This Row],[Purchase Price]]</f>
        <v>1.28</v>
      </c>
    </row>
    <row r="31" spans="3:12">
      <c r="C31" t="s">
        <v>9</v>
      </c>
      <c r="D31" t="s">
        <v>47</v>
      </c>
      <c r="E31" t="s">
        <v>48</v>
      </c>
      <c r="F31" s="30" t="s">
        <v>49</v>
      </c>
      <c r="G31">
        <v>5.6</v>
      </c>
      <c r="H31" t="s">
        <v>43</v>
      </c>
      <c r="I31">
        <v>1</v>
      </c>
      <c r="J31" t="s">
        <v>126</v>
      </c>
      <c r="K31" t="s">
        <v>127</v>
      </c>
      <c r="L31" s="20">
        <f>RawDataTable[[#This Row],[Quantity]]*RawDataTable[[#This Row],[Purchase Price]]</f>
        <v>5.6</v>
      </c>
    </row>
    <row r="32" spans="3:12">
      <c r="C32" t="s">
        <v>10</v>
      </c>
      <c r="D32" t="s">
        <v>50</v>
      </c>
      <c r="E32" t="s">
        <v>51</v>
      </c>
      <c r="F32" s="30" t="s">
        <v>52</v>
      </c>
      <c r="G32">
        <v>1.54</v>
      </c>
      <c r="H32" t="s">
        <v>53</v>
      </c>
      <c r="I32">
        <v>23</v>
      </c>
      <c r="J32" t="s">
        <v>126</v>
      </c>
      <c r="K32" t="s">
        <v>127</v>
      </c>
      <c r="L32" s="20">
        <f>RawDataTable[[#This Row],[Quantity]]*RawDataTable[[#This Row],[Purchase Price]]</f>
        <v>35.42</v>
      </c>
    </row>
    <row r="33" spans="3:12">
      <c r="C33" t="s">
        <v>10</v>
      </c>
      <c r="D33" t="s">
        <v>50</v>
      </c>
      <c r="E33" t="s">
        <v>54</v>
      </c>
      <c r="F33" s="30" t="s">
        <v>55</v>
      </c>
      <c r="G33">
        <v>1.2</v>
      </c>
      <c r="H33" t="s">
        <v>53</v>
      </c>
      <c r="I33">
        <v>22</v>
      </c>
      <c r="J33" t="s">
        <v>126</v>
      </c>
      <c r="K33" t="s">
        <v>127</v>
      </c>
      <c r="L33" s="20">
        <f>RawDataTable[[#This Row],[Quantity]]*RawDataTable[[#This Row],[Purchase Price]]</f>
        <v>26.4</v>
      </c>
    </row>
    <row r="34" spans="3:12">
      <c r="C34" t="s">
        <v>11</v>
      </c>
      <c r="D34" t="s">
        <v>87</v>
      </c>
      <c r="E34" t="s">
        <v>111</v>
      </c>
      <c r="F34" s="30" t="s">
        <v>112</v>
      </c>
      <c r="G34">
        <v>2</v>
      </c>
      <c r="H34" t="s">
        <v>53</v>
      </c>
      <c r="I34">
        <v>2</v>
      </c>
      <c r="J34" t="s">
        <v>126</v>
      </c>
      <c r="K34" t="s">
        <v>127</v>
      </c>
      <c r="L34" s="20">
        <f>RawDataTable[[#This Row],[Quantity]]*RawDataTable[[#This Row],[Purchase Price]]</f>
        <v>4</v>
      </c>
    </row>
    <row r="35" spans="3:12">
      <c r="C35" t="s">
        <v>10</v>
      </c>
      <c r="D35" t="s">
        <v>50</v>
      </c>
      <c r="E35" t="s">
        <v>56</v>
      </c>
      <c r="F35" s="30" t="s">
        <v>57</v>
      </c>
      <c r="G35">
        <v>2.25</v>
      </c>
      <c r="H35" t="s">
        <v>53</v>
      </c>
      <c r="I35">
        <v>7</v>
      </c>
      <c r="J35" t="s">
        <v>126</v>
      </c>
      <c r="K35" t="s">
        <v>127</v>
      </c>
      <c r="L35" s="20">
        <f>RawDataTable[[#This Row],[Quantity]]*RawDataTable[[#This Row],[Purchase Price]]</f>
        <v>15.75</v>
      </c>
    </row>
    <row r="36" spans="3:12">
      <c r="C36" t="s">
        <v>7</v>
      </c>
      <c r="D36" t="s">
        <v>27</v>
      </c>
      <c r="E36" t="s">
        <v>28</v>
      </c>
      <c r="F36" s="30" t="s">
        <v>29</v>
      </c>
      <c r="G36">
        <v>3.24</v>
      </c>
      <c r="H36" t="s">
        <v>53</v>
      </c>
      <c r="I36">
        <v>7</v>
      </c>
      <c r="J36" t="s">
        <v>126</v>
      </c>
      <c r="K36" t="s">
        <v>127</v>
      </c>
      <c r="L36" s="20">
        <f>RawDataTable[[#This Row],[Quantity]]*RawDataTable[[#This Row],[Purchase Price]]</f>
        <v>22.68</v>
      </c>
    </row>
    <row r="37" spans="3:12">
      <c r="C37" t="s">
        <v>12</v>
      </c>
      <c r="E37" t="s">
        <v>58</v>
      </c>
      <c r="F37" s="30" t="s">
        <v>59</v>
      </c>
      <c r="G37">
        <v>0</v>
      </c>
      <c r="H37" t="s">
        <v>53</v>
      </c>
      <c r="I37">
        <v>4</v>
      </c>
      <c r="J37" t="s">
        <v>126</v>
      </c>
      <c r="K37" t="s">
        <v>127</v>
      </c>
      <c r="L37" s="20">
        <f>RawDataTable[[#This Row],[Quantity]]*RawDataTable[[#This Row],[Purchase Price]]</f>
        <v>0</v>
      </c>
    </row>
    <row r="38" spans="3:12">
      <c r="C38" t="s">
        <v>10</v>
      </c>
      <c r="D38" t="s">
        <v>50</v>
      </c>
      <c r="E38" t="s">
        <v>60</v>
      </c>
      <c r="F38" s="30" t="s">
        <v>61</v>
      </c>
      <c r="G38">
        <v>1.2</v>
      </c>
      <c r="H38" t="s">
        <v>53</v>
      </c>
      <c r="I38">
        <v>22</v>
      </c>
      <c r="J38" t="s">
        <v>126</v>
      </c>
      <c r="K38" t="s">
        <v>127</v>
      </c>
      <c r="L38" s="20">
        <f>RawDataTable[[#This Row],[Quantity]]*RawDataTable[[#This Row],[Purchase Price]]</f>
        <v>26.4</v>
      </c>
    </row>
    <row r="39" spans="3:12">
      <c r="C39" t="s">
        <v>11</v>
      </c>
      <c r="D39" t="s">
        <v>62</v>
      </c>
      <c r="E39" t="s">
        <v>63</v>
      </c>
      <c r="F39" s="30" t="s">
        <v>64</v>
      </c>
      <c r="G39">
        <v>1.29</v>
      </c>
      <c r="H39" t="s">
        <v>53</v>
      </c>
      <c r="I39">
        <v>5</v>
      </c>
      <c r="J39" t="s">
        <v>126</v>
      </c>
      <c r="K39" t="s">
        <v>127</v>
      </c>
      <c r="L39" s="20">
        <f>RawDataTable[[#This Row],[Quantity]]*RawDataTable[[#This Row],[Purchase Price]]</f>
        <v>6.45</v>
      </c>
    </row>
    <row r="40" spans="3:12">
      <c r="C40" t="s">
        <v>10</v>
      </c>
      <c r="D40" t="s">
        <v>50</v>
      </c>
      <c r="E40" t="s">
        <v>65</v>
      </c>
      <c r="F40" s="30" t="s">
        <v>66</v>
      </c>
      <c r="G40">
        <v>1.5</v>
      </c>
      <c r="H40" t="s">
        <v>53</v>
      </c>
      <c r="I40">
        <v>16</v>
      </c>
      <c r="J40" t="s">
        <v>126</v>
      </c>
      <c r="K40" t="s">
        <v>127</v>
      </c>
      <c r="L40" s="20">
        <f>RawDataTable[[#This Row],[Quantity]]*RawDataTable[[#This Row],[Purchase Price]]</f>
        <v>24</v>
      </c>
    </row>
    <row r="41" spans="3:12">
      <c r="C41" t="s">
        <v>6</v>
      </c>
      <c r="D41" t="s">
        <v>27</v>
      </c>
      <c r="E41" t="s">
        <v>67</v>
      </c>
      <c r="F41" s="30" t="s">
        <v>68</v>
      </c>
      <c r="G41">
        <v>5.95</v>
      </c>
      <c r="H41" t="s">
        <v>53</v>
      </c>
      <c r="I41">
        <v>5</v>
      </c>
      <c r="J41" t="s">
        <v>126</v>
      </c>
      <c r="K41" t="s">
        <v>127</v>
      </c>
      <c r="L41" s="20">
        <f>RawDataTable[[#This Row],[Quantity]]*RawDataTable[[#This Row],[Purchase Price]]</f>
        <v>29.75</v>
      </c>
    </row>
    <row r="42" spans="3:12">
      <c r="C42" t="s">
        <v>10</v>
      </c>
      <c r="D42" t="s">
        <v>50</v>
      </c>
      <c r="E42" t="s">
        <v>69</v>
      </c>
      <c r="F42" s="30" t="s">
        <v>70</v>
      </c>
      <c r="G42">
        <v>1.2</v>
      </c>
      <c r="H42" t="s">
        <v>53</v>
      </c>
      <c r="I42">
        <v>18</v>
      </c>
      <c r="J42" t="s">
        <v>126</v>
      </c>
      <c r="K42" t="s">
        <v>127</v>
      </c>
      <c r="L42" s="20">
        <f>RawDataTable[[#This Row],[Quantity]]*RawDataTable[[#This Row],[Purchase Price]]</f>
        <v>21.599999999999998</v>
      </c>
    </row>
    <row r="43" spans="3:12">
      <c r="C43" t="s">
        <v>7</v>
      </c>
      <c r="D43" t="s">
        <v>71</v>
      </c>
      <c r="E43" t="s">
        <v>72</v>
      </c>
      <c r="F43" s="30" t="s">
        <v>73</v>
      </c>
      <c r="G43">
        <v>4.04</v>
      </c>
      <c r="H43" t="s">
        <v>53</v>
      </c>
      <c r="I43">
        <v>1</v>
      </c>
      <c r="J43" t="s">
        <v>126</v>
      </c>
      <c r="K43" t="s">
        <v>127</v>
      </c>
      <c r="L43" s="20">
        <f>RawDataTable[[#This Row],[Quantity]]*RawDataTable[[#This Row],[Purchase Price]]</f>
        <v>4.04</v>
      </c>
    </row>
    <row r="44" spans="3:12">
      <c r="C44" t="s">
        <v>8</v>
      </c>
      <c r="D44" t="s">
        <v>40</v>
      </c>
      <c r="E44" t="s">
        <v>92</v>
      </c>
      <c r="F44" s="30" t="s">
        <v>93</v>
      </c>
      <c r="G44">
        <v>5.7</v>
      </c>
      <c r="H44" t="s">
        <v>53</v>
      </c>
      <c r="I44">
        <v>1</v>
      </c>
      <c r="J44" t="s">
        <v>126</v>
      </c>
      <c r="K44" t="s">
        <v>127</v>
      </c>
      <c r="L44" s="20">
        <f>RawDataTable[[#This Row],[Quantity]]*RawDataTable[[#This Row],[Purchase Price]]</f>
        <v>5.7</v>
      </c>
    </row>
    <row r="45" spans="3:12">
      <c r="C45" t="s">
        <v>13</v>
      </c>
      <c r="D45" t="s">
        <v>31</v>
      </c>
      <c r="E45" t="s">
        <v>32</v>
      </c>
      <c r="F45" s="30" t="s">
        <v>33</v>
      </c>
      <c r="G45">
        <v>3</v>
      </c>
      <c r="H45" t="s">
        <v>53</v>
      </c>
      <c r="I45">
        <v>4</v>
      </c>
      <c r="J45" t="s">
        <v>126</v>
      </c>
      <c r="K45" t="s">
        <v>127</v>
      </c>
      <c r="L45" s="20">
        <f>RawDataTable[[#This Row],[Quantity]]*RawDataTable[[#This Row],[Purchase Price]]</f>
        <v>12</v>
      </c>
    </row>
    <row r="46" spans="3:12">
      <c r="C46" t="s">
        <v>7</v>
      </c>
      <c r="D46" t="s">
        <v>27</v>
      </c>
      <c r="E46" t="s">
        <v>74</v>
      </c>
      <c r="F46" s="30" t="s">
        <v>75</v>
      </c>
      <c r="G46">
        <v>4.29</v>
      </c>
      <c r="H46" t="s">
        <v>53</v>
      </c>
      <c r="I46">
        <v>6</v>
      </c>
      <c r="J46" t="s">
        <v>126</v>
      </c>
      <c r="K46" t="s">
        <v>127</v>
      </c>
      <c r="L46" s="20">
        <f>RawDataTable[[#This Row],[Quantity]]*RawDataTable[[#This Row],[Purchase Price]]</f>
        <v>25.740000000000002</v>
      </c>
    </row>
    <row r="47" spans="3:12">
      <c r="C47" t="s">
        <v>12</v>
      </c>
      <c r="D47" t="s">
        <v>44</v>
      </c>
      <c r="E47" t="s">
        <v>76</v>
      </c>
      <c r="F47" s="30" t="s">
        <v>77</v>
      </c>
      <c r="G47">
        <v>1.62</v>
      </c>
      <c r="H47" t="s">
        <v>53</v>
      </c>
      <c r="I47">
        <v>4</v>
      </c>
      <c r="J47" t="s">
        <v>126</v>
      </c>
      <c r="K47" t="s">
        <v>127</v>
      </c>
      <c r="L47" s="20">
        <f>RawDataTable[[#This Row],[Quantity]]*RawDataTable[[#This Row],[Purchase Price]]</f>
        <v>6.48</v>
      </c>
    </row>
    <row r="48" spans="3:12">
      <c r="C48" t="s">
        <v>11</v>
      </c>
      <c r="D48" t="s">
        <v>62</v>
      </c>
      <c r="E48" t="s">
        <v>78</v>
      </c>
      <c r="F48" s="30" t="s">
        <v>79</v>
      </c>
      <c r="G48">
        <v>1.29</v>
      </c>
      <c r="H48" t="s">
        <v>53</v>
      </c>
      <c r="I48">
        <v>4</v>
      </c>
      <c r="J48" t="s">
        <v>126</v>
      </c>
      <c r="K48" t="s">
        <v>127</v>
      </c>
      <c r="L48" s="20">
        <f>RawDataTable[[#This Row],[Quantity]]*RawDataTable[[#This Row],[Purchase Price]]</f>
        <v>5.16</v>
      </c>
    </row>
    <row r="49" spans="3:12">
      <c r="C49" t="s">
        <v>6</v>
      </c>
      <c r="D49" t="s">
        <v>27</v>
      </c>
      <c r="E49" t="s">
        <v>38</v>
      </c>
      <c r="F49" s="30" t="s">
        <v>39</v>
      </c>
      <c r="G49">
        <v>5.95</v>
      </c>
      <c r="H49" t="s">
        <v>53</v>
      </c>
      <c r="I49">
        <v>7</v>
      </c>
      <c r="J49" t="s">
        <v>126</v>
      </c>
      <c r="K49" t="s">
        <v>127</v>
      </c>
      <c r="L49" s="20">
        <f>RawDataTable[[#This Row],[Quantity]]*RawDataTable[[#This Row],[Purchase Price]]</f>
        <v>41.65</v>
      </c>
    </row>
    <row r="50" spans="3:12">
      <c r="C50" t="s">
        <v>6</v>
      </c>
      <c r="D50" t="s">
        <v>27</v>
      </c>
      <c r="E50" t="s">
        <v>80</v>
      </c>
      <c r="F50" s="30" t="s">
        <v>81</v>
      </c>
      <c r="G50">
        <v>5.95</v>
      </c>
      <c r="H50" t="s">
        <v>53</v>
      </c>
      <c r="I50">
        <v>6</v>
      </c>
      <c r="J50" t="s">
        <v>126</v>
      </c>
      <c r="K50" t="s">
        <v>127</v>
      </c>
      <c r="L50" s="20">
        <f>RawDataTable[[#This Row],[Quantity]]*RawDataTable[[#This Row],[Purchase Price]]</f>
        <v>35.700000000000003</v>
      </c>
    </row>
    <row r="51" spans="3:12">
      <c r="C51" t="s">
        <v>8</v>
      </c>
      <c r="D51" t="s">
        <v>40</v>
      </c>
      <c r="E51" t="s">
        <v>41</v>
      </c>
      <c r="F51" s="30" t="s">
        <v>42</v>
      </c>
      <c r="G51">
        <v>5.9</v>
      </c>
      <c r="H51" t="s">
        <v>53</v>
      </c>
      <c r="I51">
        <v>1</v>
      </c>
      <c r="J51" t="s">
        <v>126</v>
      </c>
      <c r="K51" t="s">
        <v>127</v>
      </c>
      <c r="L51" s="20">
        <f>RawDataTable[[#This Row],[Quantity]]*RawDataTable[[#This Row],[Purchase Price]]</f>
        <v>5.9</v>
      </c>
    </row>
    <row r="52" spans="3:12">
      <c r="C52" t="s">
        <v>8</v>
      </c>
      <c r="D52" t="s">
        <v>40</v>
      </c>
      <c r="E52" t="s">
        <v>82</v>
      </c>
      <c r="F52" s="30" t="s">
        <v>83</v>
      </c>
      <c r="G52">
        <v>5.7</v>
      </c>
      <c r="H52" t="s">
        <v>53</v>
      </c>
      <c r="I52">
        <v>1</v>
      </c>
      <c r="J52" t="s">
        <v>126</v>
      </c>
      <c r="K52" t="s">
        <v>127</v>
      </c>
      <c r="L52" s="20">
        <f>RawDataTable[[#This Row],[Quantity]]*RawDataTable[[#This Row],[Purchase Price]]</f>
        <v>5.7</v>
      </c>
    </row>
    <row r="53" spans="3:12">
      <c r="C53" t="s">
        <v>12</v>
      </c>
      <c r="D53" t="s">
        <v>84</v>
      </c>
      <c r="E53" t="s">
        <v>85</v>
      </c>
      <c r="F53" s="30" t="s">
        <v>86</v>
      </c>
      <c r="G53">
        <v>1.23</v>
      </c>
      <c r="H53" t="s">
        <v>53</v>
      </c>
      <c r="I53">
        <v>2</v>
      </c>
      <c r="J53" t="s">
        <v>126</v>
      </c>
      <c r="K53" t="s">
        <v>127</v>
      </c>
      <c r="L53" s="20">
        <f>RawDataTable[[#This Row],[Quantity]]*RawDataTable[[#This Row],[Purchase Price]]</f>
        <v>2.46</v>
      </c>
    </row>
    <row r="54" spans="3:12">
      <c r="C54" t="s">
        <v>9</v>
      </c>
      <c r="D54" t="s">
        <v>100</v>
      </c>
      <c r="E54" t="s">
        <v>132</v>
      </c>
      <c r="F54" s="30" t="s">
        <v>133</v>
      </c>
      <c r="G54">
        <v>3.6</v>
      </c>
      <c r="H54" t="s">
        <v>53</v>
      </c>
      <c r="I54">
        <v>2</v>
      </c>
      <c r="J54" t="s">
        <v>126</v>
      </c>
      <c r="K54" t="s">
        <v>127</v>
      </c>
      <c r="L54" s="20">
        <f>RawDataTable[[#This Row],[Quantity]]*RawDataTable[[#This Row],[Purchase Price]]</f>
        <v>7.2</v>
      </c>
    </row>
    <row r="55" spans="3:12">
      <c r="C55" t="s">
        <v>7</v>
      </c>
      <c r="D55" t="s">
        <v>27</v>
      </c>
      <c r="E55" t="s">
        <v>130</v>
      </c>
      <c r="F55" s="30" t="s">
        <v>131</v>
      </c>
      <c r="G55">
        <v>3.24</v>
      </c>
      <c r="H55" t="s">
        <v>53</v>
      </c>
      <c r="I55">
        <v>1</v>
      </c>
      <c r="J55" t="s">
        <v>126</v>
      </c>
      <c r="K55" t="s">
        <v>127</v>
      </c>
      <c r="L55" s="20">
        <f>RawDataTable[[#This Row],[Quantity]]*RawDataTable[[#This Row],[Purchase Price]]</f>
        <v>3.24</v>
      </c>
    </row>
    <row r="56" spans="3:12">
      <c r="C56" t="s">
        <v>11</v>
      </c>
      <c r="D56" t="s">
        <v>87</v>
      </c>
      <c r="E56" t="s">
        <v>88</v>
      </c>
      <c r="F56" s="30" t="s">
        <v>89</v>
      </c>
      <c r="G56">
        <v>2</v>
      </c>
      <c r="H56" t="s">
        <v>53</v>
      </c>
      <c r="I56">
        <v>2</v>
      </c>
      <c r="J56" t="s">
        <v>126</v>
      </c>
      <c r="K56" t="s">
        <v>127</v>
      </c>
      <c r="L56" s="20">
        <f>RawDataTable[[#This Row],[Quantity]]*RawDataTable[[#This Row],[Purchase Price]]</f>
        <v>4</v>
      </c>
    </row>
    <row r="57" spans="3:12">
      <c r="C57" t="s">
        <v>11</v>
      </c>
      <c r="D57" t="s">
        <v>87</v>
      </c>
      <c r="E57" t="s">
        <v>134</v>
      </c>
      <c r="F57" s="30" t="s">
        <v>135</v>
      </c>
      <c r="G57">
        <v>2</v>
      </c>
      <c r="H57" t="s">
        <v>53</v>
      </c>
      <c r="I57">
        <v>2</v>
      </c>
      <c r="J57" t="s">
        <v>126</v>
      </c>
      <c r="K57" t="s">
        <v>127</v>
      </c>
      <c r="L57" s="20">
        <f>RawDataTable[[#This Row],[Quantity]]*RawDataTable[[#This Row],[Purchase Price]]</f>
        <v>4</v>
      </c>
    </row>
    <row r="58" spans="3:12">
      <c r="C58" t="s">
        <v>7</v>
      </c>
      <c r="D58" t="s">
        <v>27</v>
      </c>
      <c r="E58" t="s">
        <v>90</v>
      </c>
      <c r="F58" s="30" t="s">
        <v>91</v>
      </c>
      <c r="G58">
        <v>3.83</v>
      </c>
      <c r="H58" t="s">
        <v>53</v>
      </c>
      <c r="I58">
        <v>8</v>
      </c>
      <c r="J58" t="s">
        <v>126</v>
      </c>
      <c r="K58" t="s">
        <v>127</v>
      </c>
      <c r="L58" s="20">
        <f>RawDataTable[[#This Row],[Quantity]]*RawDataTable[[#This Row],[Purchase Price]]</f>
        <v>30.64</v>
      </c>
    </row>
    <row r="59" spans="3:12">
      <c r="C59" t="s">
        <v>9</v>
      </c>
      <c r="D59" t="s">
        <v>100</v>
      </c>
      <c r="E59" t="s">
        <v>128</v>
      </c>
      <c r="F59" s="30" t="s">
        <v>129</v>
      </c>
      <c r="G59">
        <v>3.22</v>
      </c>
      <c r="H59" t="s">
        <v>53</v>
      </c>
      <c r="I59">
        <v>2</v>
      </c>
      <c r="J59" t="s">
        <v>126</v>
      </c>
      <c r="K59" t="s">
        <v>127</v>
      </c>
      <c r="L59" s="20">
        <f>RawDataTable[[#This Row],[Quantity]]*RawDataTable[[#This Row],[Purchase Price]]</f>
        <v>6.44</v>
      </c>
    </row>
    <row r="60" spans="3:12">
      <c r="C60" t="s">
        <v>8</v>
      </c>
      <c r="D60" t="s">
        <v>40</v>
      </c>
      <c r="E60" t="s">
        <v>92</v>
      </c>
      <c r="F60" s="30" t="s">
        <v>93</v>
      </c>
      <c r="G60">
        <v>5.7</v>
      </c>
      <c r="H60" t="s">
        <v>94</v>
      </c>
      <c r="I60">
        <v>1</v>
      </c>
      <c r="J60" t="s">
        <v>126</v>
      </c>
      <c r="K60" t="s">
        <v>127</v>
      </c>
      <c r="L60" s="20">
        <f>RawDataTable[[#This Row],[Quantity]]*RawDataTable[[#This Row],[Purchase Price]]</f>
        <v>5.7</v>
      </c>
    </row>
    <row r="61" spans="3:12">
      <c r="C61" t="s">
        <v>9</v>
      </c>
      <c r="D61" t="s">
        <v>95</v>
      </c>
      <c r="E61" t="s">
        <v>96</v>
      </c>
      <c r="F61" s="30" t="s">
        <v>97</v>
      </c>
      <c r="G61">
        <v>3.87</v>
      </c>
      <c r="H61" t="s">
        <v>53</v>
      </c>
      <c r="I61">
        <v>4</v>
      </c>
      <c r="J61" t="s">
        <v>126</v>
      </c>
      <c r="K61" t="s">
        <v>127</v>
      </c>
      <c r="L61" s="20">
        <f>RawDataTable[[#This Row],[Quantity]]*RawDataTable[[#This Row],[Purchase Price]]</f>
        <v>15.48</v>
      </c>
    </row>
    <row r="62" spans="3:12">
      <c r="C62" t="s">
        <v>10</v>
      </c>
      <c r="D62" t="s">
        <v>50</v>
      </c>
      <c r="E62" t="s">
        <v>65</v>
      </c>
      <c r="F62" s="30" t="s">
        <v>66</v>
      </c>
      <c r="G62">
        <v>1.5</v>
      </c>
      <c r="H62" t="s">
        <v>53</v>
      </c>
      <c r="I62">
        <v>1</v>
      </c>
      <c r="J62" t="s">
        <v>136</v>
      </c>
      <c r="K62" t="s">
        <v>127</v>
      </c>
      <c r="L62" s="20">
        <f>RawDataTable[[#This Row],[Quantity]]*RawDataTable[[#This Row],[Purchase Price]]</f>
        <v>1.5</v>
      </c>
    </row>
    <row r="63" spans="3:12">
      <c r="C63" t="s">
        <v>11</v>
      </c>
      <c r="D63" t="s">
        <v>62</v>
      </c>
      <c r="E63" t="s">
        <v>98</v>
      </c>
      <c r="F63" s="30" t="s">
        <v>99</v>
      </c>
      <c r="G63">
        <v>1.29</v>
      </c>
      <c r="H63" t="s">
        <v>53</v>
      </c>
      <c r="I63">
        <v>3</v>
      </c>
      <c r="J63" t="s">
        <v>126</v>
      </c>
      <c r="K63" t="s">
        <v>127</v>
      </c>
      <c r="L63" s="20">
        <f>RawDataTable[[#This Row],[Quantity]]*RawDataTable[[#This Row],[Purchase Price]]</f>
        <v>3.87</v>
      </c>
    </row>
    <row r="64" spans="3:12">
      <c r="C64" t="s">
        <v>9</v>
      </c>
      <c r="D64" t="s">
        <v>100</v>
      </c>
      <c r="E64" t="s">
        <v>101</v>
      </c>
      <c r="F64" s="30" t="s">
        <v>102</v>
      </c>
      <c r="G64">
        <v>4.4000000000000004</v>
      </c>
      <c r="H64" t="s">
        <v>53</v>
      </c>
      <c r="I64">
        <v>4</v>
      </c>
      <c r="J64" t="s">
        <v>126</v>
      </c>
      <c r="K64" t="s">
        <v>127</v>
      </c>
      <c r="L64" s="20">
        <f>RawDataTable[[#This Row],[Quantity]]*RawDataTable[[#This Row],[Purchase Price]]</f>
        <v>17.600000000000001</v>
      </c>
    </row>
    <row r="65" spans="3:12">
      <c r="C65" t="s">
        <v>11</v>
      </c>
      <c r="D65" t="s">
        <v>62</v>
      </c>
      <c r="E65" t="s">
        <v>78</v>
      </c>
      <c r="F65" s="30" t="s">
        <v>79</v>
      </c>
      <c r="G65">
        <v>1.29</v>
      </c>
      <c r="H65" t="s">
        <v>53</v>
      </c>
      <c r="I65">
        <v>1</v>
      </c>
      <c r="J65" t="s">
        <v>136</v>
      </c>
      <c r="K65" t="s">
        <v>127</v>
      </c>
      <c r="L65" s="20">
        <f>RawDataTable[[#This Row],[Quantity]]*RawDataTable[[#This Row],[Purchase Price]]</f>
        <v>1.29</v>
      </c>
    </row>
    <row r="66" spans="3:12">
      <c r="C66" t="s">
        <v>11</v>
      </c>
      <c r="D66" t="s">
        <v>62</v>
      </c>
      <c r="E66" t="s">
        <v>98</v>
      </c>
      <c r="F66" s="30" t="s">
        <v>99</v>
      </c>
      <c r="G66">
        <v>1.29</v>
      </c>
      <c r="H66" t="s">
        <v>53</v>
      </c>
      <c r="I66">
        <v>1</v>
      </c>
      <c r="J66" t="s">
        <v>136</v>
      </c>
      <c r="K66" t="s">
        <v>127</v>
      </c>
      <c r="L66" s="20">
        <f>RawDataTable[[#This Row],[Quantity]]*RawDataTable[[#This Row],[Purchase Price]]</f>
        <v>1.29</v>
      </c>
    </row>
    <row r="67" spans="3:12">
      <c r="C67" t="s">
        <v>6</v>
      </c>
      <c r="D67" t="s">
        <v>27</v>
      </c>
      <c r="E67" t="s">
        <v>36</v>
      </c>
      <c r="F67" s="30" t="s">
        <v>37</v>
      </c>
      <c r="G67">
        <v>5.95</v>
      </c>
      <c r="H67" t="s">
        <v>53</v>
      </c>
      <c r="I67">
        <v>1</v>
      </c>
      <c r="J67" t="s">
        <v>126</v>
      </c>
      <c r="K67" t="s">
        <v>127</v>
      </c>
      <c r="L67" s="20">
        <f>RawDataTable[[#This Row],[Quantity]]*RawDataTable[[#This Row],[Purchase Price]]</f>
        <v>5.95</v>
      </c>
    </row>
    <row r="68" spans="3:12">
      <c r="C68" t="s">
        <v>10</v>
      </c>
      <c r="D68" t="s">
        <v>50</v>
      </c>
      <c r="E68" t="s">
        <v>103</v>
      </c>
      <c r="F68" s="30" t="s">
        <v>104</v>
      </c>
      <c r="G68">
        <v>2.25</v>
      </c>
      <c r="H68" t="s">
        <v>53</v>
      </c>
      <c r="I68">
        <v>4</v>
      </c>
      <c r="J68" t="s">
        <v>126</v>
      </c>
      <c r="K68" t="s">
        <v>127</v>
      </c>
      <c r="L68" s="20">
        <f>RawDataTable[[#This Row],[Quantity]]*RawDataTable[[#This Row],[Purchase Price]]</f>
        <v>9</v>
      </c>
    </row>
    <row r="69" spans="3:12">
      <c r="C69" t="s">
        <v>13</v>
      </c>
      <c r="D69" t="s">
        <v>31</v>
      </c>
      <c r="E69" t="s">
        <v>105</v>
      </c>
      <c r="F69" s="30" t="s">
        <v>106</v>
      </c>
      <c r="G69">
        <v>3.65</v>
      </c>
      <c r="H69" t="s">
        <v>53</v>
      </c>
      <c r="I69">
        <v>4</v>
      </c>
      <c r="J69" t="s">
        <v>126</v>
      </c>
      <c r="K69" t="s">
        <v>127</v>
      </c>
      <c r="L69" s="20">
        <f>RawDataTable[[#This Row],[Quantity]]*RawDataTable[[#This Row],[Purchase Price]]</f>
        <v>14.6</v>
      </c>
    </row>
    <row r="70" spans="3:12">
      <c r="C70" t="s">
        <v>13</v>
      </c>
      <c r="D70" t="s">
        <v>31</v>
      </c>
      <c r="E70" t="s">
        <v>107</v>
      </c>
      <c r="F70" s="30" t="s">
        <v>108</v>
      </c>
      <c r="G70">
        <v>3</v>
      </c>
      <c r="H70" t="s">
        <v>53</v>
      </c>
      <c r="I70">
        <v>4</v>
      </c>
      <c r="J70" t="s">
        <v>126</v>
      </c>
      <c r="K70" t="s">
        <v>127</v>
      </c>
      <c r="L70" s="20">
        <f>RawDataTable[[#This Row],[Quantity]]*RawDataTable[[#This Row],[Purchase Price]]</f>
        <v>12</v>
      </c>
    </row>
    <row r="71" spans="3:12">
      <c r="C71" t="s">
        <v>12</v>
      </c>
      <c r="D71" t="s">
        <v>44</v>
      </c>
      <c r="E71" t="s">
        <v>109</v>
      </c>
      <c r="F71" s="30" t="s">
        <v>110</v>
      </c>
      <c r="G71">
        <v>1.3</v>
      </c>
      <c r="H71" t="s">
        <v>53</v>
      </c>
      <c r="I71">
        <v>3</v>
      </c>
      <c r="J71" t="s">
        <v>126</v>
      </c>
      <c r="K71" t="s">
        <v>127</v>
      </c>
      <c r="L71" s="20">
        <f>RawDataTable[[#This Row],[Quantity]]*RawDataTable[[#This Row],[Purchase Price]]</f>
        <v>3.9000000000000004</v>
      </c>
    </row>
    <row r="72" spans="3:12">
      <c r="C72" t="s">
        <v>11</v>
      </c>
      <c r="D72" t="s">
        <v>87</v>
      </c>
      <c r="E72" t="s">
        <v>111</v>
      </c>
      <c r="F72" s="30" t="s">
        <v>112</v>
      </c>
      <c r="G72">
        <v>2</v>
      </c>
      <c r="H72" t="s">
        <v>113</v>
      </c>
      <c r="I72">
        <v>1</v>
      </c>
      <c r="J72" t="s">
        <v>126</v>
      </c>
      <c r="K72" t="s">
        <v>127</v>
      </c>
      <c r="L72" s="20">
        <f>RawDataTable[[#This Row],[Quantity]]*RawDataTable[[#This Row],[Purchase Price]]</f>
        <v>2</v>
      </c>
    </row>
    <row r="73" spans="3:12">
      <c r="C73" t="s">
        <v>6</v>
      </c>
      <c r="D73" t="s">
        <v>27</v>
      </c>
      <c r="E73" t="s">
        <v>38</v>
      </c>
      <c r="F73" s="30" t="s">
        <v>39</v>
      </c>
      <c r="G73">
        <v>5.95</v>
      </c>
      <c r="H73" t="s">
        <v>53</v>
      </c>
      <c r="I73">
        <v>2</v>
      </c>
      <c r="K73" t="s">
        <v>137</v>
      </c>
      <c r="L73" s="20">
        <f>RawDataTable[[#This Row],[Quantity]]*RawDataTable[[#This Row],[Purchase Price]]</f>
        <v>11.9</v>
      </c>
    </row>
    <row r="74" spans="3:12">
      <c r="C74" t="s">
        <v>6</v>
      </c>
      <c r="D74" t="s">
        <v>27</v>
      </c>
      <c r="E74" t="s">
        <v>38</v>
      </c>
      <c r="F74" s="30" t="s">
        <v>39</v>
      </c>
      <c r="G74">
        <v>5.95</v>
      </c>
      <c r="H74" t="s">
        <v>43</v>
      </c>
      <c r="I74">
        <v>1</v>
      </c>
      <c r="K74" t="s">
        <v>137</v>
      </c>
      <c r="L74" s="20">
        <f>RawDataTable[[#This Row],[Quantity]]*RawDataTable[[#This Row],[Purchase Price]]</f>
        <v>5.95</v>
      </c>
    </row>
    <row r="75" spans="3:12">
      <c r="C75" t="s">
        <v>6</v>
      </c>
      <c r="D75" t="s">
        <v>27</v>
      </c>
      <c r="E75" t="s">
        <v>36</v>
      </c>
      <c r="F75" s="30" t="s">
        <v>37</v>
      </c>
      <c r="G75">
        <v>5.95</v>
      </c>
      <c r="H75" t="s">
        <v>43</v>
      </c>
      <c r="I75">
        <v>2</v>
      </c>
      <c r="K75" t="s">
        <v>137</v>
      </c>
      <c r="L75" s="20">
        <f>RawDataTable[[#This Row],[Quantity]]*RawDataTable[[#This Row],[Purchase Price]]</f>
        <v>11.9</v>
      </c>
    </row>
    <row r="76" spans="3:12">
      <c r="C76" t="s">
        <v>6</v>
      </c>
      <c r="D76" t="s">
        <v>27</v>
      </c>
      <c r="E76" t="s">
        <v>80</v>
      </c>
      <c r="F76" s="30" t="s">
        <v>81</v>
      </c>
      <c r="G76">
        <v>5.95</v>
      </c>
      <c r="H76" t="s">
        <v>53</v>
      </c>
      <c r="I76">
        <v>3</v>
      </c>
      <c r="K76" t="s">
        <v>137</v>
      </c>
      <c r="L76" s="20">
        <f>RawDataTable[[#This Row],[Quantity]]*RawDataTable[[#This Row],[Purchase Price]]</f>
        <v>17.850000000000001</v>
      </c>
    </row>
    <row r="77" spans="3:12">
      <c r="C77" t="s">
        <v>6</v>
      </c>
      <c r="D77" t="s">
        <v>27</v>
      </c>
      <c r="E77" t="s">
        <v>80</v>
      </c>
      <c r="F77" s="30" t="s">
        <v>81</v>
      </c>
      <c r="G77">
        <v>5.95</v>
      </c>
      <c r="H77" t="s">
        <v>43</v>
      </c>
      <c r="I77">
        <v>2</v>
      </c>
      <c r="K77" t="s">
        <v>137</v>
      </c>
      <c r="L77" s="20">
        <f>RawDataTable[[#This Row],[Quantity]]*RawDataTable[[#This Row],[Purchase Price]]</f>
        <v>11.9</v>
      </c>
    </row>
    <row r="78" spans="3:12">
      <c r="C78" t="s">
        <v>6</v>
      </c>
      <c r="D78" t="s">
        <v>27</v>
      </c>
      <c r="E78" t="s">
        <v>67</v>
      </c>
      <c r="F78" s="30" t="s">
        <v>68</v>
      </c>
      <c r="G78">
        <v>5.95</v>
      </c>
      <c r="H78" t="s">
        <v>53</v>
      </c>
      <c r="I78">
        <v>2</v>
      </c>
      <c r="K78" t="s">
        <v>137</v>
      </c>
      <c r="L78" s="20">
        <f>RawDataTable[[#This Row],[Quantity]]*RawDataTable[[#This Row],[Purchase Price]]</f>
        <v>11.9</v>
      </c>
    </row>
    <row r="79" spans="3:12">
      <c r="C79" t="s">
        <v>6</v>
      </c>
      <c r="D79" t="s">
        <v>27</v>
      </c>
      <c r="E79" t="s">
        <v>67</v>
      </c>
      <c r="F79" s="30" t="s">
        <v>68</v>
      </c>
      <c r="G79">
        <v>5.95</v>
      </c>
      <c r="H79" t="s">
        <v>43</v>
      </c>
      <c r="I79">
        <v>2</v>
      </c>
      <c r="K79" t="s">
        <v>137</v>
      </c>
      <c r="L79" s="20">
        <f>RawDataTable[[#This Row],[Quantity]]*RawDataTable[[#This Row],[Purchase Price]]</f>
        <v>11.9</v>
      </c>
    </row>
    <row r="80" spans="3:12">
      <c r="C80" t="s">
        <v>7</v>
      </c>
      <c r="D80" t="s">
        <v>27</v>
      </c>
      <c r="E80" t="s">
        <v>28</v>
      </c>
      <c r="F80" s="30" t="s">
        <v>29</v>
      </c>
      <c r="G80">
        <v>3.24</v>
      </c>
      <c r="H80" t="s">
        <v>53</v>
      </c>
      <c r="I80">
        <v>5</v>
      </c>
      <c r="K80" t="s">
        <v>137</v>
      </c>
      <c r="L80" s="20">
        <f>RawDataTable[[#This Row],[Quantity]]*RawDataTable[[#This Row],[Purchase Price]]</f>
        <v>16.200000000000003</v>
      </c>
    </row>
    <row r="81" spans="3:12">
      <c r="C81" t="s">
        <v>7</v>
      </c>
      <c r="D81" t="s">
        <v>27</v>
      </c>
      <c r="E81" t="s">
        <v>90</v>
      </c>
      <c r="F81" s="30" t="s">
        <v>91</v>
      </c>
      <c r="G81">
        <v>3.83</v>
      </c>
      <c r="H81" t="s">
        <v>53</v>
      </c>
      <c r="I81">
        <v>1</v>
      </c>
      <c r="K81" t="s">
        <v>137</v>
      </c>
      <c r="L81" s="20">
        <f>RawDataTable[[#This Row],[Quantity]]*RawDataTable[[#This Row],[Purchase Price]]</f>
        <v>3.83</v>
      </c>
    </row>
    <row r="82" spans="3:12">
      <c r="C82" t="s">
        <v>7</v>
      </c>
      <c r="D82" t="s">
        <v>27</v>
      </c>
      <c r="E82" t="s">
        <v>90</v>
      </c>
      <c r="F82" s="30" t="s">
        <v>91</v>
      </c>
      <c r="G82">
        <v>3.83</v>
      </c>
      <c r="H82" t="s">
        <v>43</v>
      </c>
      <c r="I82">
        <v>3</v>
      </c>
      <c r="K82" t="s">
        <v>137</v>
      </c>
      <c r="L82" s="20">
        <f>RawDataTable[[#This Row],[Quantity]]*RawDataTable[[#This Row],[Purchase Price]]</f>
        <v>11.49</v>
      </c>
    </row>
    <row r="83" spans="3:12">
      <c r="C83" t="s">
        <v>7</v>
      </c>
      <c r="D83" t="s">
        <v>27</v>
      </c>
      <c r="E83" t="s">
        <v>130</v>
      </c>
      <c r="F83" s="30" t="s">
        <v>131</v>
      </c>
      <c r="G83">
        <v>3.24</v>
      </c>
      <c r="H83" t="s">
        <v>53</v>
      </c>
      <c r="I83">
        <v>1</v>
      </c>
      <c r="K83" t="s">
        <v>137</v>
      </c>
      <c r="L83" s="20">
        <f>RawDataTable[[#This Row],[Quantity]]*RawDataTable[[#This Row],[Purchase Price]]</f>
        <v>3.24</v>
      </c>
    </row>
    <row r="84" spans="3:12">
      <c r="C84" t="s">
        <v>7</v>
      </c>
      <c r="D84" t="s">
        <v>27</v>
      </c>
      <c r="E84" t="s">
        <v>130</v>
      </c>
      <c r="F84" s="30" t="s">
        <v>131</v>
      </c>
      <c r="G84">
        <v>3.24</v>
      </c>
      <c r="H84" t="s">
        <v>43</v>
      </c>
      <c r="I84">
        <v>3</v>
      </c>
      <c r="K84" t="s">
        <v>137</v>
      </c>
      <c r="L84" s="20">
        <f>RawDataTable[[#This Row],[Quantity]]*RawDataTable[[#This Row],[Purchase Price]]</f>
        <v>9.7200000000000006</v>
      </c>
    </row>
    <row r="85" spans="3:12">
      <c r="C85" t="s">
        <v>7</v>
      </c>
      <c r="D85" t="s">
        <v>27</v>
      </c>
      <c r="E85" t="s">
        <v>74</v>
      </c>
      <c r="F85" s="30" t="s">
        <v>75</v>
      </c>
      <c r="G85">
        <v>4.29</v>
      </c>
      <c r="H85" t="s">
        <v>53</v>
      </c>
      <c r="I85">
        <v>5</v>
      </c>
      <c r="K85" t="s">
        <v>137</v>
      </c>
      <c r="L85" s="20">
        <f>RawDataTable[[#This Row],[Quantity]]*RawDataTable[[#This Row],[Purchase Price]]</f>
        <v>21.45</v>
      </c>
    </row>
    <row r="86" spans="3:12">
      <c r="C86" t="s">
        <v>7</v>
      </c>
      <c r="D86" t="s">
        <v>27</v>
      </c>
      <c r="E86" t="s">
        <v>74</v>
      </c>
      <c r="F86" s="30" t="s">
        <v>75</v>
      </c>
      <c r="G86">
        <v>4.29</v>
      </c>
      <c r="H86" t="s">
        <v>43</v>
      </c>
      <c r="I86">
        <v>3</v>
      </c>
      <c r="K86" t="s">
        <v>137</v>
      </c>
      <c r="L86" s="20">
        <f>RawDataTable[[#This Row],[Quantity]]*RawDataTable[[#This Row],[Purchase Price]]</f>
        <v>12.870000000000001</v>
      </c>
    </row>
    <row r="87" spans="3:12">
      <c r="C87" t="s">
        <v>8</v>
      </c>
      <c r="D87" t="s">
        <v>40</v>
      </c>
      <c r="E87" t="s">
        <v>92</v>
      </c>
      <c r="F87" s="30" t="s">
        <v>93</v>
      </c>
      <c r="G87">
        <v>5.7</v>
      </c>
      <c r="H87" t="s">
        <v>53</v>
      </c>
      <c r="I87">
        <v>1</v>
      </c>
      <c r="K87" t="s">
        <v>137</v>
      </c>
      <c r="L87" s="20">
        <f>RawDataTable[[#This Row],[Quantity]]*RawDataTable[[#This Row],[Purchase Price]]</f>
        <v>5.7</v>
      </c>
    </row>
    <row r="88" spans="3:12">
      <c r="C88" t="s">
        <v>8</v>
      </c>
      <c r="D88" t="s">
        <v>40</v>
      </c>
      <c r="E88" t="s">
        <v>92</v>
      </c>
      <c r="F88" s="30" t="s">
        <v>93</v>
      </c>
      <c r="G88">
        <v>5.7</v>
      </c>
      <c r="H88" t="s">
        <v>43</v>
      </c>
      <c r="I88">
        <v>1</v>
      </c>
      <c r="K88" t="s">
        <v>137</v>
      </c>
      <c r="L88" s="20">
        <f>RawDataTable[[#This Row],[Quantity]]*RawDataTable[[#This Row],[Purchase Price]]</f>
        <v>5.7</v>
      </c>
    </row>
    <row r="89" spans="3:12">
      <c r="C89" t="s">
        <v>8</v>
      </c>
      <c r="D89" t="s">
        <v>40</v>
      </c>
      <c r="E89" t="s">
        <v>114</v>
      </c>
      <c r="F89" s="30" t="s">
        <v>115</v>
      </c>
      <c r="G89">
        <v>5.7</v>
      </c>
      <c r="H89" t="s">
        <v>53</v>
      </c>
      <c r="I89">
        <v>1</v>
      </c>
      <c r="K89" t="s">
        <v>137</v>
      </c>
      <c r="L89" s="20">
        <f>RawDataTable[[#This Row],[Quantity]]*RawDataTable[[#This Row],[Purchase Price]]</f>
        <v>5.7</v>
      </c>
    </row>
    <row r="90" spans="3:12">
      <c r="C90" t="s">
        <v>8</v>
      </c>
      <c r="D90" t="s">
        <v>40</v>
      </c>
      <c r="E90" t="s">
        <v>114</v>
      </c>
      <c r="F90" s="30" t="s">
        <v>115</v>
      </c>
      <c r="G90">
        <v>5.7</v>
      </c>
      <c r="H90" t="s">
        <v>43</v>
      </c>
      <c r="I90">
        <v>1</v>
      </c>
      <c r="K90" t="s">
        <v>137</v>
      </c>
      <c r="L90" s="20">
        <f>RawDataTable[[#This Row],[Quantity]]*RawDataTable[[#This Row],[Purchase Price]]</f>
        <v>5.7</v>
      </c>
    </row>
    <row r="91" spans="3:12">
      <c r="C91" t="s">
        <v>8</v>
      </c>
      <c r="D91" t="s">
        <v>40</v>
      </c>
      <c r="E91" t="s">
        <v>41</v>
      </c>
      <c r="F91" s="30" t="s">
        <v>116</v>
      </c>
      <c r="G91">
        <v>5.9</v>
      </c>
      <c r="H91" t="s">
        <v>53</v>
      </c>
      <c r="I91">
        <v>1</v>
      </c>
      <c r="K91" t="s">
        <v>137</v>
      </c>
      <c r="L91" s="20">
        <f>RawDataTable[[#This Row],[Quantity]]*RawDataTable[[#This Row],[Purchase Price]]</f>
        <v>5.9</v>
      </c>
    </row>
    <row r="92" spans="3:12">
      <c r="C92" t="s">
        <v>8</v>
      </c>
      <c r="D92" t="s">
        <v>40</v>
      </c>
      <c r="E92" t="s">
        <v>41</v>
      </c>
      <c r="F92" s="30" t="s">
        <v>116</v>
      </c>
      <c r="G92">
        <v>5.9</v>
      </c>
      <c r="H92" t="s">
        <v>43</v>
      </c>
      <c r="I92">
        <v>1</v>
      </c>
      <c r="K92" t="s">
        <v>137</v>
      </c>
      <c r="L92" s="20">
        <f>RawDataTable[[#This Row],[Quantity]]*RawDataTable[[#This Row],[Purchase Price]]</f>
        <v>5.9</v>
      </c>
    </row>
    <row r="93" spans="3:12">
      <c r="C93" t="s">
        <v>9</v>
      </c>
      <c r="D93" t="s">
        <v>100</v>
      </c>
      <c r="E93" t="s">
        <v>128</v>
      </c>
      <c r="F93" s="30" t="s">
        <v>129</v>
      </c>
      <c r="G93">
        <v>3.22</v>
      </c>
      <c r="H93" t="s">
        <v>53</v>
      </c>
      <c r="I93">
        <v>2</v>
      </c>
      <c r="K93" t="s">
        <v>137</v>
      </c>
      <c r="L93" s="20">
        <f>RawDataTable[[#This Row],[Quantity]]*RawDataTable[[#This Row],[Purchase Price]]</f>
        <v>6.44</v>
      </c>
    </row>
    <row r="94" spans="3:12">
      <c r="C94" t="s">
        <v>9</v>
      </c>
      <c r="D94" t="s">
        <v>100</v>
      </c>
      <c r="E94" t="s">
        <v>128</v>
      </c>
      <c r="F94" s="30" t="s">
        <v>129</v>
      </c>
      <c r="G94">
        <v>3.22</v>
      </c>
      <c r="H94" t="s">
        <v>43</v>
      </c>
      <c r="I94">
        <v>2</v>
      </c>
      <c r="K94" t="s">
        <v>137</v>
      </c>
      <c r="L94" s="20">
        <f>RawDataTable[[#This Row],[Quantity]]*RawDataTable[[#This Row],[Purchase Price]]</f>
        <v>6.44</v>
      </c>
    </row>
    <row r="95" spans="3:12">
      <c r="C95" t="s">
        <v>9</v>
      </c>
      <c r="D95" t="s">
        <v>100</v>
      </c>
      <c r="E95" t="s">
        <v>132</v>
      </c>
      <c r="F95" s="30" t="s">
        <v>133</v>
      </c>
      <c r="G95">
        <v>3.6</v>
      </c>
      <c r="H95" t="s">
        <v>53</v>
      </c>
      <c r="I95">
        <v>2</v>
      </c>
      <c r="K95" t="s">
        <v>137</v>
      </c>
      <c r="L95" s="20">
        <f>RawDataTable[[#This Row],[Quantity]]*RawDataTable[[#This Row],[Purchase Price]]</f>
        <v>7.2</v>
      </c>
    </row>
    <row r="96" spans="3:12">
      <c r="C96" t="s">
        <v>9</v>
      </c>
      <c r="D96" t="s">
        <v>100</v>
      </c>
      <c r="E96" t="s">
        <v>132</v>
      </c>
      <c r="F96" s="30" t="s">
        <v>133</v>
      </c>
      <c r="G96">
        <v>3.6</v>
      </c>
      <c r="H96" t="s">
        <v>43</v>
      </c>
      <c r="I96">
        <v>1</v>
      </c>
      <c r="K96" t="s">
        <v>137</v>
      </c>
      <c r="L96" s="20">
        <f>RawDataTable[[#This Row],[Quantity]]*RawDataTable[[#This Row],[Purchase Price]]</f>
        <v>3.6</v>
      </c>
    </row>
    <row r="97" spans="3:12">
      <c r="C97" t="s">
        <v>10</v>
      </c>
      <c r="D97" t="s">
        <v>50</v>
      </c>
      <c r="E97" t="s">
        <v>60</v>
      </c>
      <c r="F97" s="30" t="s">
        <v>61</v>
      </c>
      <c r="G97">
        <v>1.2</v>
      </c>
      <c r="H97" t="s">
        <v>53</v>
      </c>
      <c r="I97">
        <v>18</v>
      </c>
      <c r="K97" t="s">
        <v>137</v>
      </c>
      <c r="L97" s="20">
        <f>RawDataTable[[#This Row],[Quantity]]*RawDataTable[[#This Row],[Purchase Price]]</f>
        <v>21.599999999999998</v>
      </c>
    </row>
    <row r="98" spans="3:12">
      <c r="C98" t="s">
        <v>10</v>
      </c>
      <c r="D98" t="s">
        <v>50</v>
      </c>
      <c r="E98" t="s">
        <v>60</v>
      </c>
      <c r="F98" s="30" t="s">
        <v>61</v>
      </c>
      <c r="G98">
        <v>1.2</v>
      </c>
      <c r="H98" t="s">
        <v>43</v>
      </c>
      <c r="I98">
        <v>2</v>
      </c>
      <c r="K98" t="s">
        <v>137</v>
      </c>
      <c r="L98" s="20">
        <f>RawDataTable[[#This Row],[Quantity]]*RawDataTable[[#This Row],[Purchase Price]]</f>
        <v>2.4</v>
      </c>
    </row>
    <row r="99" spans="3:12">
      <c r="C99" t="s">
        <v>10</v>
      </c>
      <c r="D99" t="s">
        <v>50</v>
      </c>
      <c r="E99" t="s">
        <v>54</v>
      </c>
      <c r="F99" s="30" t="s">
        <v>55</v>
      </c>
      <c r="G99">
        <v>1.2</v>
      </c>
      <c r="H99" t="s">
        <v>53</v>
      </c>
      <c r="I99">
        <v>18</v>
      </c>
      <c r="K99" t="s">
        <v>137</v>
      </c>
      <c r="L99" s="20">
        <f>RawDataTable[[#This Row],[Quantity]]*RawDataTable[[#This Row],[Purchase Price]]</f>
        <v>21.599999999999998</v>
      </c>
    </row>
    <row r="100" spans="3:12">
      <c r="C100" t="s">
        <v>10</v>
      </c>
      <c r="D100" t="s">
        <v>50</v>
      </c>
      <c r="E100" t="s">
        <v>54</v>
      </c>
      <c r="F100" s="30" t="s">
        <v>55</v>
      </c>
      <c r="G100">
        <v>1.2</v>
      </c>
      <c r="H100" t="s">
        <v>43</v>
      </c>
      <c r="I100">
        <v>2</v>
      </c>
      <c r="K100" t="s">
        <v>137</v>
      </c>
      <c r="L100" s="20">
        <f>RawDataTable[[#This Row],[Quantity]]*RawDataTable[[#This Row],[Purchase Price]]</f>
        <v>2.4</v>
      </c>
    </row>
    <row r="101" spans="3:12">
      <c r="C101" t="s">
        <v>10</v>
      </c>
      <c r="D101" t="s">
        <v>50</v>
      </c>
      <c r="E101" t="s">
        <v>69</v>
      </c>
      <c r="F101" s="30" t="s">
        <v>70</v>
      </c>
      <c r="G101">
        <v>1.2</v>
      </c>
      <c r="H101" t="s">
        <v>53</v>
      </c>
      <c r="I101">
        <v>10</v>
      </c>
      <c r="K101" t="s">
        <v>137</v>
      </c>
      <c r="L101" s="20">
        <f>RawDataTable[[#This Row],[Quantity]]*RawDataTable[[#This Row],[Purchase Price]]</f>
        <v>12</v>
      </c>
    </row>
    <row r="102" spans="3:12">
      <c r="C102" t="s">
        <v>10</v>
      </c>
      <c r="D102" t="s">
        <v>50</v>
      </c>
      <c r="E102" t="s">
        <v>69</v>
      </c>
      <c r="F102" s="30" t="s">
        <v>70</v>
      </c>
      <c r="G102">
        <v>1.2</v>
      </c>
      <c r="H102" t="s">
        <v>43</v>
      </c>
      <c r="I102">
        <v>2</v>
      </c>
      <c r="K102" t="s">
        <v>137</v>
      </c>
      <c r="L102" s="20">
        <f>RawDataTable[[#This Row],[Quantity]]*RawDataTable[[#This Row],[Purchase Price]]</f>
        <v>2.4</v>
      </c>
    </row>
    <row r="103" spans="3:12">
      <c r="C103" t="s">
        <v>10</v>
      </c>
      <c r="D103" t="s">
        <v>50</v>
      </c>
      <c r="E103" t="s">
        <v>51</v>
      </c>
      <c r="F103" s="30" t="s">
        <v>52</v>
      </c>
      <c r="G103">
        <v>1.54</v>
      </c>
      <c r="H103" t="s">
        <v>53</v>
      </c>
      <c r="I103">
        <v>18</v>
      </c>
      <c r="K103" t="s">
        <v>137</v>
      </c>
      <c r="L103" s="20">
        <f>RawDataTable[[#This Row],[Quantity]]*RawDataTable[[#This Row],[Purchase Price]]</f>
        <v>27.72</v>
      </c>
    </row>
    <row r="104" spans="3:12">
      <c r="C104" t="s">
        <v>10</v>
      </c>
      <c r="D104" t="s">
        <v>50</v>
      </c>
      <c r="E104" t="s">
        <v>51</v>
      </c>
      <c r="F104" s="30" t="s">
        <v>52</v>
      </c>
      <c r="G104">
        <v>1.54</v>
      </c>
      <c r="H104" t="s">
        <v>43</v>
      </c>
      <c r="I104">
        <v>2</v>
      </c>
      <c r="K104" t="s">
        <v>137</v>
      </c>
      <c r="L104" s="20">
        <f>RawDataTable[[#This Row],[Quantity]]*RawDataTable[[#This Row],[Purchase Price]]</f>
        <v>3.08</v>
      </c>
    </row>
    <row r="105" spans="3:12">
      <c r="C105" t="s">
        <v>10</v>
      </c>
      <c r="D105" t="s">
        <v>50</v>
      </c>
      <c r="E105" t="s">
        <v>65</v>
      </c>
      <c r="F105" s="30" t="s">
        <v>66</v>
      </c>
      <c r="G105">
        <v>1.5</v>
      </c>
      <c r="H105" t="s">
        <v>53</v>
      </c>
      <c r="I105">
        <v>12</v>
      </c>
      <c r="K105" t="s">
        <v>137</v>
      </c>
      <c r="L105" s="20">
        <f>RawDataTable[[#This Row],[Quantity]]*RawDataTable[[#This Row],[Purchase Price]]</f>
        <v>18</v>
      </c>
    </row>
    <row r="106" spans="3:12">
      <c r="C106" t="s">
        <v>10</v>
      </c>
      <c r="D106" t="s">
        <v>50</v>
      </c>
      <c r="E106" t="s">
        <v>65</v>
      </c>
      <c r="F106" s="30" t="s">
        <v>66</v>
      </c>
      <c r="G106">
        <v>1.5</v>
      </c>
      <c r="H106" t="s">
        <v>43</v>
      </c>
      <c r="I106">
        <v>2</v>
      </c>
      <c r="K106" t="s">
        <v>137</v>
      </c>
      <c r="L106" s="20">
        <f>RawDataTable[[#This Row],[Quantity]]*RawDataTable[[#This Row],[Purchase Price]]</f>
        <v>3</v>
      </c>
    </row>
    <row r="107" spans="3:12">
      <c r="C107" t="s">
        <v>10</v>
      </c>
      <c r="D107" t="s">
        <v>50</v>
      </c>
      <c r="E107" t="s">
        <v>56</v>
      </c>
      <c r="F107" s="30" t="s">
        <v>57</v>
      </c>
      <c r="G107">
        <v>2.1800000000000002</v>
      </c>
      <c r="H107" t="s">
        <v>53</v>
      </c>
      <c r="I107">
        <v>5</v>
      </c>
      <c r="K107" t="s">
        <v>137</v>
      </c>
      <c r="L107" s="20">
        <f>RawDataTable[[#This Row],[Quantity]]*RawDataTable[[#This Row],[Purchase Price]]</f>
        <v>10.9</v>
      </c>
    </row>
    <row r="108" spans="3:12">
      <c r="C108" t="s">
        <v>10</v>
      </c>
      <c r="D108" t="s">
        <v>50</v>
      </c>
      <c r="E108" t="s">
        <v>56</v>
      </c>
      <c r="F108" s="30" t="s">
        <v>57</v>
      </c>
      <c r="G108">
        <v>2.1800000000000002</v>
      </c>
      <c r="H108" t="s">
        <v>43</v>
      </c>
      <c r="I108">
        <v>2</v>
      </c>
      <c r="K108" t="s">
        <v>137</v>
      </c>
      <c r="L108" s="20">
        <f>RawDataTable[[#This Row],[Quantity]]*RawDataTable[[#This Row],[Purchase Price]]</f>
        <v>4.3600000000000003</v>
      </c>
    </row>
    <row r="109" spans="3:12">
      <c r="C109" t="s">
        <v>11</v>
      </c>
      <c r="D109" t="s">
        <v>87</v>
      </c>
      <c r="E109" t="s">
        <v>134</v>
      </c>
      <c r="F109" s="30" t="s">
        <v>135</v>
      </c>
      <c r="G109">
        <v>2</v>
      </c>
      <c r="H109" t="s">
        <v>53</v>
      </c>
      <c r="I109">
        <v>2</v>
      </c>
      <c r="K109" t="s">
        <v>137</v>
      </c>
      <c r="L109" s="20">
        <f>RawDataTable[[#This Row],[Quantity]]*RawDataTable[[#This Row],[Purchase Price]]</f>
        <v>4</v>
      </c>
    </row>
    <row r="110" spans="3:12">
      <c r="C110" t="s">
        <v>11</v>
      </c>
      <c r="D110" t="s">
        <v>87</v>
      </c>
      <c r="E110" t="s">
        <v>88</v>
      </c>
      <c r="F110" s="30" t="s">
        <v>117</v>
      </c>
      <c r="G110">
        <v>2</v>
      </c>
      <c r="H110" t="s">
        <v>53</v>
      </c>
      <c r="I110">
        <v>2</v>
      </c>
      <c r="K110" t="s">
        <v>137</v>
      </c>
      <c r="L110" s="20">
        <f>RawDataTable[[#This Row],[Quantity]]*RawDataTable[[#This Row],[Purchase Price]]</f>
        <v>4</v>
      </c>
    </row>
    <row r="111" spans="3:12">
      <c r="C111" t="s">
        <v>11</v>
      </c>
      <c r="D111" t="s">
        <v>87</v>
      </c>
      <c r="E111" t="s">
        <v>111</v>
      </c>
      <c r="F111" s="30" t="s">
        <v>112</v>
      </c>
      <c r="G111">
        <v>2</v>
      </c>
      <c r="H111" t="s">
        <v>53</v>
      </c>
      <c r="I111">
        <v>2</v>
      </c>
      <c r="K111" t="s">
        <v>137</v>
      </c>
      <c r="L111" s="20">
        <f>RawDataTable[[#This Row],[Quantity]]*RawDataTable[[#This Row],[Purchase Price]]</f>
        <v>4</v>
      </c>
    </row>
    <row r="112" spans="3:12">
      <c r="C112" t="s">
        <v>11</v>
      </c>
      <c r="D112" t="s">
        <v>62</v>
      </c>
      <c r="E112" t="s">
        <v>63</v>
      </c>
      <c r="F112" s="30" t="s">
        <v>64</v>
      </c>
      <c r="G112">
        <v>1.29</v>
      </c>
      <c r="H112" t="s">
        <v>53</v>
      </c>
      <c r="I112">
        <v>3</v>
      </c>
      <c r="K112" t="s">
        <v>137</v>
      </c>
      <c r="L112" s="20">
        <f>RawDataTable[[#This Row],[Quantity]]*RawDataTable[[#This Row],[Purchase Price]]</f>
        <v>3.87</v>
      </c>
    </row>
    <row r="113" spans="3:12">
      <c r="C113" t="s">
        <v>11</v>
      </c>
      <c r="D113" t="s">
        <v>62</v>
      </c>
      <c r="E113" t="s">
        <v>63</v>
      </c>
      <c r="F113" s="30" t="s">
        <v>64</v>
      </c>
      <c r="G113">
        <v>1.29</v>
      </c>
      <c r="H113" t="s">
        <v>43</v>
      </c>
      <c r="I113">
        <v>3</v>
      </c>
      <c r="K113" t="s">
        <v>137</v>
      </c>
      <c r="L113" s="20">
        <f>RawDataTable[[#This Row],[Quantity]]*RawDataTable[[#This Row],[Purchase Price]]</f>
        <v>3.87</v>
      </c>
    </row>
    <row r="114" spans="3:12">
      <c r="C114" t="s">
        <v>11</v>
      </c>
      <c r="D114" t="s">
        <v>62</v>
      </c>
      <c r="E114" t="s">
        <v>98</v>
      </c>
      <c r="F114" s="30" t="s">
        <v>99</v>
      </c>
      <c r="G114">
        <v>1.29</v>
      </c>
      <c r="H114" t="s">
        <v>43</v>
      </c>
      <c r="I114">
        <v>3</v>
      </c>
      <c r="K114" t="s">
        <v>137</v>
      </c>
      <c r="L114" s="20">
        <f>RawDataTable[[#This Row],[Quantity]]*RawDataTable[[#This Row],[Purchase Price]]</f>
        <v>3.87</v>
      </c>
    </row>
    <row r="115" spans="3:12">
      <c r="C115" t="s">
        <v>11</v>
      </c>
      <c r="D115" t="s">
        <v>62</v>
      </c>
      <c r="E115" t="s">
        <v>78</v>
      </c>
      <c r="F115" s="30" t="s">
        <v>79</v>
      </c>
      <c r="G115">
        <v>1.29</v>
      </c>
      <c r="H115" t="s">
        <v>53</v>
      </c>
      <c r="I115">
        <v>3</v>
      </c>
      <c r="K115" t="s">
        <v>137</v>
      </c>
      <c r="L115" s="20">
        <f>RawDataTable[[#This Row],[Quantity]]*RawDataTable[[#This Row],[Purchase Price]]</f>
        <v>3.87</v>
      </c>
    </row>
    <row r="116" spans="3:12">
      <c r="C116" t="s">
        <v>11</v>
      </c>
      <c r="D116" t="s">
        <v>62</v>
      </c>
      <c r="E116" t="s">
        <v>78</v>
      </c>
      <c r="F116" s="30" t="s">
        <v>79</v>
      </c>
      <c r="G116">
        <v>1.29</v>
      </c>
      <c r="H116" t="s">
        <v>43</v>
      </c>
      <c r="I116">
        <v>3</v>
      </c>
      <c r="K116" t="s">
        <v>137</v>
      </c>
      <c r="L116" s="20">
        <f>RawDataTable[[#This Row],[Quantity]]*RawDataTable[[#This Row],[Purchase Price]]</f>
        <v>3.87</v>
      </c>
    </row>
    <row r="117" spans="3:12">
      <c r="C117" t="s">
        <v>12</v>
      </c>
      <c r="D117" t="s">
        <v>84</v>
      </c>
      <c r="E117" t="s">
        <v>109</v>
      </c>
      <c r="F117" s="30" t="s">
        <v>110</v>
      </c>
      <c r="G117">
        <v>1.3</v>
      </c>
      <c r="H117" t="s">
        <v>53</v>
      </c>
      <c r="I117">
        <v>2</v>
      </c>
      <c r="K117" t="s">
        <v>137</v>
      </c>
      <c r="L117" s="20">
        <f>RawDataTable[[#This Row],[Quantity]]*RawDataTable[[#This Row],[Purchase Price]]</f>
        <v>2.6</v>
      </c>
    </row>
    <row r="118" spans="3:12">
      <c r="C118" t="s">
        <v>12</v>
      </c>
      <c r="D118" t="s">
        <v>84</v>
      </c>
      <c r="E118" t="s">
        <v>76</v>
      </c>
      <c r="F118" s="30" t="s">
        <v>118</v>
      </c>
      <c r="G118">
        <v>1.62</v>
      </c>
      <c r="H118" t="s">
        <v>53</v>
      </c>
      <c r="I118">
        <v>3</v>
      </c>
      <c r="K118" t="s">
        <v>137</v>
      </c>
      <c r="L118" s="20">
        <f>RawDataTable[[#This Row],[Quantity]]*RawDataTable[[#This Row],[Purchase Price]]</f>
        <v>4.8600000000000003</v>
      </c>
    </row>
    <row r="119" spans="3:12">
      <c r="C119" t="s">
        <v>12</v>
      </c>
      <c r="D119" t="s">
        <v>84</v>
      </c>
      <c r="E119" t="s">
        <v>119</v>
      </c>
      <c r="F119" s="30" t="s">
        <v>120</v>
      </c>
      <c r="G119">
        <v>1.75</v>
      </c>
      <c r="H119" t="s">
        <v>53</v>
      </c>
      <c r="I119">
        <v>2</v>
      </c>
      <c r="K119" t="s">
        <v>137</v>
      </c>
      <c r="L119" s="20">
        <f>RawDataTable[[#This Row],[Quantity]]*RawDataTable[[#This Row],[Purchase Price]]</f>
        <v>3.5</v>
      </c>
    </row>
    <row r="120" spans="3:12">
      <c r="C120" t="s">
        <v>13</v>
      </c>
      <c r="D120" t="s">
        <v>31</v>
      </c>
      <c r="E120" t="s">
        <v>32</v>
      </c>
      <c r="F120" s="30" t="s">
        <v>33</v>
      </c>
      <c r="G120">
        <v>3</v>
      </c>
      <c r="H120" t="s">
        <v>53</v>
      </c>
      <c r="I120">
        <v>2</v>
      </c>
      <c r="K120" t="s">
        <v>137</v>
      </c>
      <c r="L120" s="20">
        <f>RawDataTable[[#This Row],[Quantity]]*RawDataTable[[#This Row],[Purchase Price]]</f>
        <v>6</v>
      </c>
    </row>
    <row r="121" spans="3:12">
      <c r="C121" t="s">
        <v>13</v>
      </c>
      <c r="D121" t="s">
        <v>31</v>
      </c>
      <c r="E121" t="s">
        <v>32</v>
      </c>
      <c r="F121" s="30" t="s">
        <v>33</v>
      </c>
      <c r="G121">
        <v>3</v>
      </c>
      <c r="H121" t="s">
        <v>43</v>
      </c>
      <c r="I121">
        <v>1</v>
      </c>
      <c r="K121" t="s">
        <v>137</v>
      </c>
      <c r="L121" s="20">
        <f>RawDataTable[[#This Row],[Quantity]]*RawDataTable[[#This Row],[Purchase Price]]</f>
        <v>3</v>
      </c>
    </row>
    <row r="122" spans="3:12">
      <c r="F122" s="30"/>
      <c r="L122" s="20"/>
    </row>
    <row r="123" spans="3:12">
      <c r="F123" s="30"/>
      <c r="L123" s="20"/>
    </row>
    <row r="124" spans="3:12">
      <c r="F124" s="30"/>
      <c r="L124" s="20"/>
    </row>
    <row r="125" spans="3:12">
      <c r="F125" s="30"/>
      <c r="L125" s="20"/>
    </row>
    <row r="126" spans="3:12">
      <c r="F126" s="30"/>
      <c r="L126" s="20"/>
    </row>
    <row r="127" spans="3:12">
      <c r="F127" s="30"/>
      <c r="L127" s="20"/>
    </row>
    <row r="128" spans="3:12">
      <c r="F128" s="30"/>
      <c r="L128" s="20"/>
    </row>
    <row r="129" spans="6:12">
      <c r="F129" s="30"/>
      <c r="L129" s="20"/>
    </row>
    <row r="130" spans="6:12">
      <c r="F130" s="30"/>
      <c r="L130" s="20"/>
    </row>
    <row r="131" spans="6:12">
      <c r="F131" s="30"/>
      <c r="L131" s="20"/>
    </row>
    <row r="132" spans="6:12">
      <c r="F132" s="30"/>
      <c r="L132" s="20"/>
    </row>
    <row r="133" spans="6:12">
      <c r="F133" s="30"/>
      <c r="L133" s="20"/>
    </row>
    <row r="134" spans="6:12">
      <c r="F134" s="30"/>
      <c r="L134" s="20"/>
    </row>
    <row r="135" spans="6:12">
      <c r="F135" s="30"/>
      <c r="L135" s="20"/>
    </row>
    <row r="136" spans="6:12">
      <c r="F136" s="30"/>
      <c r="L136" s="20"/>
    </row>
    <row r="137" spans="6:12">
      <c r="F137" s="30"/>
      <c r="L137" s="20"/>
    </row>
    <row r="138" spans="6:12">
      <c r="F138" s="30"/>
      <c r="L138" s="20"/>
    </row>
    <row r="139" spans="6:12">
      <c r="F139" s="30"/>
      <c r="L139" s="20"/>
    </row>
    <row r="140" spans="6:12">
      <c r="F140" s="30"/>
      <c r="L140" s="20"/>
    </row>
    <row r="141" spans="6:12">
      <c r="F141" s="30"/>
      <c r="L141" s="20"/>
    </row>
    <row r="142" spans="6:12">
      <c r="F142" s="30"/>
      <c r="L142" s="20"/>
    </row>
    <row r="143" spans="6:12">
      <c r="F143" s="30"/>
      <c r="L143" s="20"/>
    </row>
    <row r="144" spans="6:12">
      <c r="F144" s="30"/>
      <c r="L144" s="20"/>
    </row>
    <row r="145" spans="6:12">
      <c r="F145" s="30"/>
      <c r="L145" s="20"/>
    </row>
    <row r="146" spans="6:12">
      <c r="F146" s="30"/>
      <c r="L146" s="20"/>
    </row>
    <row r="147" spans="6:12">
      <c r="F147" s="30"/>
      <c r="L147" s="20"/>
    </row>
    <row r="148" spans="6:12">
      <c r="F148" s="30"/>
      <c r="L148" s="20"/>
    </row>
    <row r="149" spans="6:12">
      <c r="F149" s="30"/>
      <c r="L149" s="20"/>
    </row>
    <row r="150" spans="6:12">
      <c r="F150" s="30"/>
      <c r="L150" s="20"/>
    </row>
    <row r="151" spans="6:12">
      <c r="F151" s="30"/>
      <c r="L151" s="20"/>
    </row>
    <row r="152" spans="6:12">
      <c r="F152" s="30"/>
      <c r="L152" s="20"/>
    </row>
    <row r="153" spans="6:12">
      <c r="F153" s="30"/>
      <c r="L153" s="20"/>
    </row>
    <row r="154" spans="6:12">
      <c r="F154" s="30"/>
      <c r="L154" s="20"/>
    </row>
    <row r="155" spans="6:12">
      <c r="F155" s="30"/>
      <c r="L155" s="20"/>
    </row>
    <row r="156" spans="6:12">
      <c r="F156" s="30"/>
      <c r="L156" s="20"/>
    </row>
    <row r="157" spans="6:12">
      <c r="F157" s="30"/>
      <c r="L157" s="20"/>
    </row>
    <row r="158" spans="6:12">
      <c r="F158" s="30"/>
      <c r="L158" s="20"/>
    </row>
    <row r="159" spans="6:12">
      <c r="F159" s="30"/>
      <c r="L159" s="20"/>
    </row>
    <row r="160" spans="6:12">
      <c r="F160" s="30"/>
      <c r="L160" s="20"/>
    </row>
    <row r="161" spans="6:12">
      <c r="F161" s="30"/>
      <c r="L161" s="20"/>
    </row>
    <row r="162" spans="6:12">
      <c r="F162" s="30"/>
      <c r="L162" s="20"/>
    </row>
    <row r="163" spans="6:12">
      <c r="F163" s="30"/>
      <c r="L163" s="20"/>
    </row>
    <row r="164" spans="6:12">
      <c r="F164" s="30"/>
      <c r="L164" s="20"/>
    </row>
    <row r="165" spans="6:12">
      <c r="F165" s="30"/>
      <c r="L165" s="20"/>
    </row>
    <row r="166" spans="6:12">
      <c r="F166" s="30"/>
      <c r="L166" s="20"/>
    </row>
    <row r="167" spans="6:12">
      <c r="F167" s="30"/>
      <c r="L167" s="20"/>
    </row>
    <row r="168" spans="6:12">
      <c r="F168" s="30"/>
      <c r="L168" s="20"/>
    </row>
    <row r="169" spans="6:12">
      <c r="F169" s="30"/>
      <c r="L169" s="20"/>
    </row>
    <row r="170" spans="6:12">
      <c r="F170" s="30"/>
      <c r="L170" s="20"/>
    </row>
    <row r="171" spans="6:12">
      <c r="F171" s="30"/>
      <c r="L171" s="20"/>
    </row>
    <row r="172" spans="6:12">
      <c r="F172" s="30"/>
      <c r="L172" s="20"/>
    </row>
    <row r="173" spans="6:12">
      <c r="F173" s="30"/>
      <c r="L173" s="20"/>
    </row>
    <row r="174" spans="6:12">
      <c r="F174" s="30"/>
      <c r="L174" s="20"/>
    </row>
    <row r="175" spans="6:12">
      <c r="F175" s="30"/>
      <c r="L175" s="20"/>
    </row>
    <row r="176" spans="6:12">
      <c r="F176" s="30"/>
      <c r="L176" s="20"/>
    </row>
    <row r="177" spans="6:12">
      <c r="F177" s="30"/>
      <c r="L177" s="20"/>
    </row>
    <row r="178" spans="6:12">
      <c r="F178" s="30"/>
      <c r="L178" s="20"/>
    </row>
    <row r="179" spans="6:12">
      <c r="F179" s="30"/>
      <c r="L179" s="20"/>
    </row>
    <row r="180" spans="6:12">
      <c r="F180" s="30"/>
      <c r="L180" s="20"/>
    </row>
    <row r="181" spans="6:12">
      <c r="F181" s="30"/>
      <c r="L181" s="20"/>
    </row>
    <row r="182" spans="6:12">
      <c r="F182" s="30"/>
      <c r="L182" s="20"/>
    </row>
    <row r="183" spans="6:12">
      <c r="F183" s="30"/>
      <c r="L183" s="20"/>
    </row>
    <row r="184" spans="6:12">
      <c r="F184" s="30"/>
      <c r="L184" s="20"/>
    </row>
    <row r="185" spans="6:12">
      <c r="F185" s="30"/>
      <c r="L185" s="20"/>
    </row>
    <row r="186" spans="6:12">
      <c r="F186" s="30"/>
      <c r="L186" s="20"/>
    </row>
    <row r="187" spans="6:12">
      <c r="F187" s="30"/>
      <c r="L187" s="20"/>
    </row>
    <row r="188" spans="6:12">
      <c r="F188" s="30"/>
      <c r="L188" s="20"/>
    </row>
    <row r="189" spans="6:12">
      <c r="F189" s="30"/>
      <c r="L189" s="20"/>
    </row>
    <row r="190" spans="6:12">
      <c r="F190" s="30"/>
      <c r="L190" s="20"/>
    </row>
    <row r="191" spans="6:12">
      <c r="F191" s="30"/>
      <c r="L191" s="20"/>
    </row>
    <row r="192" spans="6:12">
      <c r="F192" s="30"/>
      <c r="L192" s="20"/>
    </row>
    <row r="193" spans="6:12">
      <c r="F193" s="30"/>
      <c r="L193" s="20"/>
    </row>
    <row r="194" spans="6:12">
      <c r="F194" s="30"/>
      <c r="L194" s="20"/>
    </row>
    <row r="195" spans="6:12">
      <c r="F195" s="30"/>
      <c r="L195" s="20"/>
    </row>
    <row r="196" spans="6:12">
      <c r="F196" s="30"/>
      <c r="L196" s="20"/>
    </row>
    <row r="197" spans="6:12">
      <c r="F197" s="30"/>
      <c r="L197" s="20"/>
    </row>
    <row r="198" spans="6:12">
      <c r="F198" s="30"/>
      <c r="L198" s="20"/>
    </row>
    <row r="199" spans="6:12">
      <c r="F199" s="30"/>
      <c r="L199" s="20"/>
    </row>
    <row r="200" spans="6:12">
      <c r="F200" s="30"/>
      <c r="L200" s="20"/>
    </row>
    <row r="201" spans="6:12">
      <c r="F201" s="30"/>
      <c r="L201" s="20"/>
    </row>
    <row r="202" spans="6:12">
      <c r="F202" s="30"/>
      <c r="L202" s="20"/>
    </row>
    <row r="203" spans="6:12">
      <c r="F203" s="30"/>
      <c r="L203" s="20"/>
    </row>
    <row r="204" spans="6:12">
      <c r="F204" s="30"/>
      <c r="L204" s="20"/>
    </row>
    <row r="205" spans="6:12">
      <c r="F205" s="30"/>
      <c r="L205" s="20"/>
    </row>
    <row r="206" spans="6:12">
      <c r="F206" s="30"/>
      <c r="L206" s="20"/>
    </row>
    <row r="207" spans="6:12">
      <c r="F207" s="30"/>
      <c r="L207" s="20"/>
    </row>
    <row r="208" spans="6:12">
      <c r="F208" s="30"/>
      <c r="L208" s="20"/>
    </row>
    <row r="209" spans="6:12">
      <c r="F209" s="30"/>
      <c r="L209" s="20"/>
    </row>
    <row r="210" spans="6:12">
      <c r="F210" s="30"/>
      <c r="L210" s="20"/>
    </row>
    <row r="211" spans="6:12">
      <c r="F211" s="30"/>
      <c r="L211" s="20"/>
    </row>
    <row r="212" spans="6:12">
      <c r="F212" s="30"/>
      <c r="L212" s="20"/>
    </row>
    <row r="213" spans="6:12">
      <c r="F213" s="30"/>
      <c r="L213" s="20"/>
    </row>
    <row r="214" spans="6:12">
      <c r="F214" s="30"/>
      <c r="L214" s="20"/>
    </row>
    <row r="215" spans="6:12">
      <c r="F215" s="30"/>
      <c r="L215" s="20"/>
    </row>
    <row r="216" spans="6:12">
      <c r="F216" s="30"/>
      <c r="L216" s="20"/>
    </row>
    <row r="217" spans="6:12">
      <c r="F217" s="30"/>
      <c r="L217" s="20"/>
    </row>
    <row r="218" spans="6:12">
      <c r="F218" s="30"/>
      <c r="L218" s="20"/>
    </row>
    <row r="219" spans="6:12">
      <c r="F219" s="30"/>
      <c r="L219" s="20"/>
    </row>
    <row r="220" spans="6:12">
      <c r="F220" s="30"/>
      <c r="L220" s="20"/>
    </row>
    <row r="221" spans="6:12">
      <c r="F221" s="30"/>
      <c r="L221" s="20"/>
    </row>
    <row r="222" spans="6:12">
      <c r="F222" s="30"/>
      <c r="L222" s="20"/>
    </row>
    <row r="223" spans="6:12">
      <c r="F223" s="30"/>
      <c r="L223" s="20"/>
    </row>
    <row r="224" spans="6:12">
      <c r="F224" s="30"/>
      <c r="L224" s="20"/>
    </row>
    <row r="225" spans="6:12">
      <c r="F225" s="30"/>
      <c r="L225" s="20"/>
    </row>
    <row r="226" spans="6:12">
      <c r="F226" s="30"/>
      <c r="L226" s="20"/>
    </row>
    <row r="227" spans="6:12">
      <c r="F227" s="30"/>
      <c r="L227" s="20"/>
    </row>
    <row r="228" spans="6:12">
      <c r="F228" s="30"/>
      <c r="L228" s="20"/>
    </row>
    <row r="229" spans="6:12">
      <c r="F229" s="30"/>
      <c r="L229" s="20"/>
    </row>
    <row r="230" spans="6:12">
      <c r="F230" s="30"/>
      <c r="L230" s="20"/>
    </row>
    <row r="231" spans="6:12">
      <c r="F231" s="30"/>
      <c r="L231" s="20"/>
    </row>
    <row r="232" spans="6:12">
      <c r="F232" s="30"/>
      <c r="L232" s="20"/>
    </row>
    <row r="233" spans="6:12">
      <c r="F233" s="30"/>
      <c r="L233" s="20"/>
    </row>
    <row r="234" spans="6:12">
      <c r="F234" s="30"/>
      <c r="L234" s="20"/>
    </row>
    <row r="235" spans="6:12">
      <c r="F235" s="30"/>
      <c r="L235" s="20"/>
    </row>
    <row r="236" spans="6:12">
      <c r="F236" s="30"/>
      <c r="L236" s="20"/>
    </row>
    <row r="237" spans="6:12">
      <c r="F237" s="30"/>
      <c r="L237" s="20"/>
    </row>
    <row r="238" spans="6:12">
      <c r="F238" s="30"/>
      <c r="L238" s="20"/>
    </row>
    <row r="239" spans="6:12">
      <c r="F239" s="30"/>
      <c r="L239" s="20"/>
    </row>
    <row r="240" spans="6:12">
      <c r="F240" s="30"/>
      <c r="L240" s="20"/>
    </row>
    <row r="241" spans="6:12">
      <c r="F241" s="30"/>
      <c r="L241" s="20"/>
    </row>
    <row r="242" spans="6:12">
      <c r="F242" s="30"/>
      <c r="L242" s="20"/>
    </row>
    <row r="243" spans="6:12">
      <c r="F243" s="30"/>
      <c r="L243" s="20"/>
    </row>
    <row r="244" spans="6:12">
      <c r="F244" s="30"/>
      <c r="L244" s="20"/>
    </row>
    <row r="245" spans="6:12">
      <c r="F245" s="30"/>
      <c r="L245" s="20"/>
    </row>
    <row r="246" spans="6:12">
      <c r="F246" s="30"/>
      <c r="L246" s="20"/>
    </row>
    <row r="247" spans="6:12">
      <c r="F247" s="30"/>
      <c r="L247" s="20"/>
    </row>
    <row r="248" spans="6:12">
      <c r="F248" s="30"/>
      <c r="L248" s="20"/>
    </row>
    <row r="249" spans="6:12">
      <c r="F249" s="30"/>
      <c r="L249" s="20"/>
    </row>
    <row r="250" spans="6:12">
      <c r="F250" s="30"/>
      <c r="L250" s="20"/>
    </row>
    <row r="251" spans="6:12">
      <c r="F251" s="30"/>
      <c r="L251" s="20"/>
    </row>
    <row r="252" spans="6:12">
      <c r="F252" s="30"/>
      <c r="L252" s="20"/>
    </row>
    <row r="253" spans="6:12">
      <c r="F253" s="30"/>
      <c r="L253" s="20"/>
    </row>
    <row r="254" spans="6:12">
      <c r="F254" s="30"/>
      <c r="L254" s="20"/>
    </row>
    <row r="255" spans="6:12">
      <c r="F255" s="30"/>
      <c r="L255" s="20"/>
    </row>
    <row r="256" spans="6:12">
      <c r="F256" s="30"/>
      <c r="L256" s="20"/>
    </row>
    <row r="257" spans="6:12">
      <c r="F257" s="30"/>
      <c r="L257" s="20"/>
    </row>
    <row r="258" spans="6:12">
      <c r="F258" s="30"/>
      <c r="L258" s="20"/>
    </row>
    <row r="259" spans="6:12">
      <c r="F259" s="30"/>
      <c r="L259" s="20"/>
    </row>
    <row r="260" spans="6:12">
      <c r="F260" s="30"/>
      <c r="L260" s="20"/>
    </row>
    <row r="261" spans="6:12">
      <c r="F261" s="30"/>
      <c r="L261" s="20"/>
    </row>
    <row r="262" spans="6:12">
      <c r="F262" s="30"/>
      <c r="L262" s="20"/>
    </row>
    <row r="263" spans="6:12">
      <c r="F263" s="30"/>
      <c r="L263" s="20"/>
    </row>
    <row r="264" spans="6:12">
      <c r="F264" s="30"/>
      <c r="L264" s="20"/>
    </row>
    <row r="265" spans="6:12">
      <c r="F265" s="30"/>
      <c r="L265" s="20"/>
    </row>
    <row r="266" spans="6:12">
      <c r="F266" s="30"/>
      <c r="L266" s="20"/>
    </row>
    <row r="267" spans="6:12">
      <c r="F267" s="30"/>
      <c r="L267" s="20"/>
    </row>
    <row r="268" spans="6:12">
      <c r="F268" s="30"/>
      <c r="L268" s="20"/>
    </row>
    <row r="269" spans="6:12">
      <c r="F269" s="30"/>
      <c r="L269" s="20"/>
    </row>
    <row r="270" spans="6:12">
      <c r="F270" s="30"/>
      <c r="L270" s="20"/>
    </row>
    <row r="271" spans="6:12">
      <c r="F271" s="30"/>
      <c r="L271" s="20"/>
    </row>
    <row r="272" spans="6:12">
      <c r="F272" s="30"/>
      <c r="L272" s="20"/>
    </row>
    <row r="273" spans="6:12">
      <c r="F273" s="30"/>
      <c r="L273" s="20"/>
    </row>
    <row r="274" spans="6:12">
      <c r="F274" s="30"/>
      <c r="L274" s="20"/>
    </row>
    <row r="275" spans="6:12">
      <c r="F275" s="30"/>
      <c r="L275" s="20"/>
    </row>
    <row r="276" spans="6:12">
      <c r="F276" s="30"/>
      <c r="L276" s="20"/>
    </row>
    <row r="277" spans="6:12">
      <c r="F277" s="30"/>
      <c r="L277" s="20"/>
    </row>
    <row r="278" spans="6:12">
      <c r="F278" s="30"/>
      <c r="L278" s="20"/>
    </row>
    <row r="279" spans="6:12">
      <c r="F279" s="30"/>
      <c r="L279" s="20"/>
    </row>
    <row r="280" spans="6:12">
      <c r="F280" s="30"/>
      <c r="L280" s="20"/>
    </row>
    <row r="281" spans="6:12">
      <c r="F281" s="30"/>
      <c r="L281" s="20"/>
    </row>
    <row r="282" spans="6:12">
      <c r="F282" s="30"/>
      <c r="L282" s="20"/>
    </row>
    <row r="283" spans="6:12">
      <c r="F283" s="30"/>
      <c r="L283" s="20"/>
    </row>
    <row r="284" spans="6:12">
      <c r="F284" s="30"/>
      <c r="L284" s="20"/>
    </row>
    <row r="285" spans="6:12">
      <c r="F285" s="30"/>
      <c r="L285" s="20"/>
    </row>
    <row r="286" spans="6:12">
      <c r="F286" s="30"/>
      <c r="L286" s="20"/>
    </row>
    <row r="287" spans="6:12">
      <c r="F287" s="30"/>
      <c r="L287" s="20"/>
    </row>
    <row r="288" spans="6:12">
      <c r="F288" s="30"/>
      <c r="L288" s="20"/>
    </row>
    <row r="289" spans="6:12">
      <c r="F289" s="30"/>
      <c r="L289" s="20"/>
    </row>
    <row r="290" spans="6:12">
      <c r="F290" s="30"/>
      <c r="L290" s="20"/>
    </row>
    <row r="291" spans="6:12">
      <c r="F291" s="30"/>
      <c r="L291" s="20"/>
    </row>
    <row r="292" spans="6:12">
      <c r="F292" s="30"/>
      <c r="L292" s="20"/>
    </row>
    <row r="293" spans="6:12">
      <c r="F293" s="30"/>
      <c r="L293" s="20"/>
    </row>
    <row r="294" spans="6:12">
      <c r="F294" s="30"/>
      <c r="L294" s="20"/>
    </row>
    <row r="295" spans="6:12">
      <c r="F295" s="30"/>
      <c r="L295" s="20"/>
    </row>
    <row r="296" spans="6:12">
      <c r="F296" s="30"/>
      <c r="L296" s="20"/>
    </row>
    <row r="297" spans="6:12">
      <c r="F297" s="30"/>
      <c r="L297" s="20"/>
    </row>
    <row r="298" spans="6:12">
      <c r="F298" s="30"/>
      <c r="L298" s="20"/>
    </row>
    <row r="299" spans="6:12">
      <c r="F299" s="30"/>
      <c r="L299" s="20"/>
    </row>
    <row r="300" spans="6:12">
      <c r="F300" s="30"/>
      <c r="L300" s="20"/>
    </row>
    <row r="301" spans="6:12">
      <c r="F301" s="30"/>
      <c r="L301" s="20"/>
    </row>
    <row r="302" spans="6:12">
      <c r="F302" s="30"/>
      <c r="L302" s="20"/>
    </row>
    <row r="303" spans="6:12">
      <c r="F303" s="30"/>
      <c r="L303" s="20"/>
    </row>
    <row r="304" spans="6:12">
      <c r="F304" s="30"/>
      <c r="L304" s="20"/>
    </row>
    <row r="305" spans="6:12">
      <c r="F305" s="30"/>
      <c r="L305" s="20"/>
    </row>
    <row r="306" spans="6:12">
      <c r="F306" s="30"/>
      <c r="L306" s="20"/>
    </row>
    <row r="307" spans="6:12">
      <c r="F307" s="30"/>
      <c r="L307" s="20"/>
    </row>
    <row r="308" spans="6:12">
      <c r="F308" s="30"/>
      <c r="L308" s="20"/>
    </row>
    <row r="309" spans="6:12">
      <c r="F309" s="30"/>
      <c r="L309" s="20"/>
    </row>
    <row r="310" spans="6:12">
      <c r="F310" s="30"/>
      <c r="L310" s="20"/>
    </row>
    <row r="311" spans="6:12">
      <c r="F311" s="30"/>
      <c r="L311" s="20"/>
    </row>
    <row r="312" spans="6:12">
      <c r="F312" s="30"/>
      <c r="L312" s="20"/>
    </row>
    <row r="313" spans="6:12">
      <c r="F313" s="30"/>
      <c r="L313" s="20"/>
    </row>
    <row r="314" spans="6:12">
      <c r="F314" s="30"/>
      <c r="L314" s="20"/>
    </row>
    <row r="315" spans="6:12">
      <c r="F315" s="30"/>
      <c r="L315" s="20"/>
    </row>
    <row r="316" spans="6:12">
      <c r="F316" s="30"/>
      <c r="L316" s="20"/>
    </row>
    <row r="317" spans="6:12">
      <c r="F317" s="30"/>
      <c r="L317" s="20"/>
    </row>
    <row r="318" spans="6:12">
      <c r="F318" s="30"/>
      <c r="L318" s="20"/>
    </row>
    <row r="319" spans="6:12">
      <c r="F319" s="30"/>
      <c r="L319" s="20"/>
    </row>
    <row r="320" spans="6:12">
      <c r="F320" s="30"/>
      <c r="L320" s="20"/>
    </row>
    <row r="321" spans="6:12">
      <c r="F321" s="30"/>
      <c r="L321" s="20"/>
    </row>
    <row r="322" spans="6:12">
      <c r="F322" s="30"/>
      <c r="L322" s="20"/>
    </row>
    <row r="323" spans="6:12">
      <c r="F323" s="30"/>
      <c r="L323" s="20"/>
    </row>
    <row r="324" spans="6:12">
      <c r="F324" s="30"/>
      <c r="L324" s="20"/>
    </row>
    <row r="325" spans="6:12">
      <c r="F325" s="30"/>
      <c r="L325" s="20"/>
    </row>
    <row r="326" spans="6:12">
      <c r="F326" s="30"/>
      <c r="L326" s="20"/>
    </row>
    <row r="327" spans="6:12">
      <c r="F327" s="30"/>
      <c r="L327" s="20"/>
    </row>
    <row r="328" spans="6:12">
      <c r="F328" s="30"/>
      <c r="L328" s="20"/>
    </row>
    <row r="329" spans="6:12">
      <c r="F329" s="30"/>
      <c r="L329" s="20"/>
    </row>
    <row r="330" spans="6:12">
      <c r="F330" s="30"/>
      <c r="L330" s="20"/>
    </row>
    <row r="331" spans="6:12">
      <c r="F331" s="30"/>
      <c r="L331" s="20"/>
    </row>
    <row r="332" spans="6:12">
      <c r="F332" s="30"/>
      <c r="L332" s="20"/>
    </row>
    <row r="333" spans="6:12">
      <c r="F333" s="30"/>
      <c r="L333" s="20"/>
    </row>
    <row r="334" spans="6:12">
      <c r="F334" s="30"/>
      <c r="L334" s="20"/>
    </row>
    <row r="335" spans="6:12">
      <c r="F335" s="30"/>
      <c r="L335" s="20"/>
    </row>
    <row r="336" spans="6:12">
      <c r="F336" s="30"/>
      <c r="L336" s="20"/>
    </row>
    <row r="337" spans="6:12">
      <c r="F337" s="30"/>
      <c r="L337" s="20"/>
    </row>
    <row r="338" spans="6:12">
      <c r="F338" s="30"/>
      <c r="L338" s="20"/>
    </row>
    <row r="339" spans="6:12">
      <c r="F339" s="30"/>
      <c r="L339" s="20"/>
    </row>
    <row r="340" spans="6:12">
      <c r="F340" s="30"/>
      <c r="L340" s="20"/>
    </row>
    <row r="341" spans="6:12">
      <c r="F341" s="30"/>
      <c r="L341" s="20"/>
    </row>
    <row r="342" spans="6:12">
      <c r="F342" s="30"/>
      <c r="L342" s="20"/>
    </row>
    <row r="343" spans="6:12">
      <c r="F343" s="30"/>
      <c r="L343" s="20"/>
    </row>
    <row r="344" spans="6:12">
      <c r="F344" s="30"/>
      <c r="L344" s="20"/>
    </row>
    <row r="345" spans="6:12">
      <c r="F345" s="30"/>
      <c r="L345" s="20"/>
    </row>
    <row r="346" spans="6:12">
      <c r="F346" s="30"/>
      <c r="L346" s="20"/>
    </row>
    <row r="347" spans="6:12">
      <c r="F347" s="30"/>
      <c r="L347" s="20"/>
    </row>
    <row r="348" spans="6:12">
      <c r="F348" s="30"/>
      <c r="L348" s="20"/>
    </row>
    <row r="349" spans="6:12">
      <c r="F349" s="30"/>
      <c r="L349" s="20"/>
    </row>
    <row r="350" spans="6:12">
      <c r="F350" s="30"/>
      <c r="L350" s="20"/>
    </row>
    <row r="351" spans="6:12">
      <c r="F351" s="30"/>
      <c r="L351" s="20"/>
    </row>
    <row r="352" spans="6:12">
      <c r="F352" s="30"/>
      <c r="L352" s="20"/>
    </row>
    <row r="353" spans="6:12">
      <c r="F353" s="30"/>
      <c r="L353" s="20"/>
    </row>
    <row r="354" spans="6:12">
      <c r="F354" s="30"/>
      <c r="L354" s="20"/>
    </row>
    <row r="355" spans="6:12">
      <c r="F355" s="30"/>
      <c r="L355" s="20"/>
    </row>
    <row r="356" spans="6:12">
      <c r="F356" s="30"/>
      <c r="L356" s="20"/>
    </row>
    <row r="357" spans="6:12">
      <c r="F357" s="30"/>
      <c r="L357" s="2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4ddf23-7a09-4933-bb6e-56f344fe660b">
      <Terms xmlns="http://schemas.microsoft.com/office/infopath/2007/PartnerControls"/>
    </lcf76f155ced4ddcb4097134ff3c332f>
    <TaxCatchAll xmlns="34941ac5-b86d-411d-a16e-23319281a3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7315D23E5C74593209D6FE7790F80" ma:contentTypeVersion="15" ma:contentTypeDescription="Create a new document." ma:contentTypeScope="" ma:versionID="35296b389d3d42f11ea8835b3fd4c055">
  <xsd:schema xmlns:xsd="http://www.w3.org/2001/XMLSchema" xmlns:xs="http://www.w3.org/2001/XMLSchema" xmlns:p="http://schemas.microsoft.com/office/2006/metadata/properties" xmlns:ns2="9f4ddf23-7a09-4933-bb6e-56f344fe660b" xmlns:ns3="34941ac5-b86d-411d-a16e-23319281a3b1" targetNamespace="http://schemas.microsoft.com/office/2006/metadata/properties" ma:root="true" ma:fieldsID="0b837411da4275b80126188190aedde1" ns2:_="" ns3:_="">
    <xsd:import namespace="9f4ddf23-7a09-4933-bb6e-56f344fe660b"/>
    <xsd:import namespace="34941ac5-b86d-411d-a16e-23319281a3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ddf23-7a09-4933-bb6e-56f344fe6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9cbd4b1-bac8-4a49-b2fe-9fcb1c6af8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41ac5-b86d-411d-a16e-23319281a3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06c16cc-3073-4c67-bf2f-28bcb8c6ca78}" ma:internalName="TaxCatchAll" ma:showField="CatchAllData" ma:web="34941ac5-b86d-411d-a16e-23319281a3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0C4899-2FE6-4FEF-9FCF-D2A3D2ABCFDC}"/>
</file>

<file path=customXml/itemProps2.xml><?xml version="1.0" encoding="utf-8"?>
<ds:datastoreItem xmlns:ds="http://schemas.openxmlformats.org/officeDocument/2006/customXml" ds:itemID="{1C8485E2-04C3-43FE-A23A-D4338628922B}"/>
</file>

<file path=customXml/itemProps3.xml><?xml version="1.0" encoding="utf-8"?>
<ds:datastoreItem xmlns:ds="http://schemas.openxmlformats.org/officeDocument/2006/customXml" ds:itemID="{A57827F4-32EA-49FC-A9B5-F5DF9A667544}"/>
</file>

<file path=docMetadata/LabelInfo.xml><?xml version="1.0" encoding="utf-8"?>
<clbl:labelList xmlns:clbl="http://schemas.microsoft.com/office/2020/mipLabelMetadata">
  <clbl:label id="{95f01533-05ae-4a90-bf22-9506c8a39118}" enabled="0" method="" siteId="{95f01533-05ae-4a90-bf22-9506c8a391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Md. Ismail Hosen</dc:creator>
  <cp:keywords/>
  <dc:description/>
  <cp:lastModifiedBy>i:0#.f|membership|mathieu@frigoloco.be</cp:lastModifiedBy>
  <cp:revision/>
  <dcterms:created xsi:type="dcterms:W3CDTF">2025-09-30T16:06:58Z</dcterms:created>
  <dcterms:modified xsi:type="dcterms:W3CDTF">2026-05-08T07:50:58Z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0x010100BE97315D23E5C74593209D6FE7790F80</vt:lpwstr>
  </property>
  <property fmtid="{D5CDD505-2E9C-101B-9397-08002B2CF9AE}" pid="3" name="MediaServiceImageTags">
    <vt:lpwstr/>
  </property>
</Properties>
</file>